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copa/Downloads/"/>
    </mc:Choice>
  </mc:AlternateContent>
  <xr:revisionPtr revIDLastSave="0" documentId="13_ncr:1_{417B2C6E-9855-7042-80D1-7FA9B504B246}" xr6:coauthVersionLast="47" xr6:coauthVersionMax="47" xr10:uidLastSave="{00000000-0000-0000-0000-000000000000}"/>
  <bookViews>
    <workbookView xWindow="0" yWindow="760" windowWidth="34560" windowHeight="19880" firstSheet="1" activeTab="1" xr2:uid="{4E236A06-F65A-43D4-8570-4A69DA688A2A}"/>
  </bookViews>
  <sheets>
    <sheet name="Sheet1" sheetId="2" r:id="rId1"/>
    <sheet name="Data" sheetId="1" r:id="rId2"/>
  </sheets>
  <definedNames>
    <definedName name="solver_adj" localSheetId="1" hidden="1">Data!$BR$2:$BT$2</definedName>
    <definedName name="solver_eng" localSheetId="1" hidden="1">0</definedName>
    <definedName name="solver_lhs1" localSheetId="1" hidden="1">Data!$BR$2</definedName>
    <definedName name="solver_lhs2" localSheetId="1" hidden="1">Data!$BS$2</definedName>
    <definedName name="solver_lhs3" localSheetId="1" hidden="1">Data!$BT$2</definedName>
    <definedName name="solver_lhs4" localSheetId="1" hidden="1">Data!$BS$2:$BT$2</definedName>
    <definedName name="solver_ntr" localSheetId="1" hidden="1">2</definedName>
    <definedName name="solver_num" localSheetId="1" hidden="1">4</definedName>
    <definedName name="solver_opt" localSheetId="1" hidden="1">Data!$BQ$2</definedName>
    <definedName name="solver_rel1" localSheetId="1" hidden="1">3</definedName>
    <definedName name="solver_rel2" localSheetId="1" hidden="1">3</definedName>
    <definedName name="solver_rel3" localSheetId="1" hidden="1">3</definedName>
    <definedName name="solver_rel4" localSheetId="1" hidden="1">1</definedName>
    <definedName name="solver_rhs1" localSheetId="1" hidden="1">0</definedName>
    <definedName name="solver_rhs2" localSheetId="1" hidden="1">0</definedName>
    <definedName name="solver_rhs3" localSheetId="1" hidden="1">0</definedName>
    <definedName name="solver_rhs4" localSheetId="1" hidden="1">1</definedName>
    <definedName name="solver_rxc1" localSheetId="1" hidden="1">1</definedName>
    <definedName name="solver_rxc2" localSheetId="1" hidden="1">1</definedName>
    <definedName name="solver_rxc3" localSheetId="1" hidden="1">1</definedName>
    <definedName name="solver_rxv" localSheetId="1" hidden="1">1</definedName>
    <definedName name="solver_typ" localSheetId="1" hidden="1">1</definedName>
    <definedName name="solver_val" localSheetId="1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08" i="1" l="1"/>
  <c r="AJ909" i="1" a="1"/>
  <c r="AJ909" i="1"/>
  <c r="AJ908" i="1"/>
  <c r="L908" i="1"/>
  <c r="AG910" i="1"/>
  <c r="AF910" i="1"/>
  <c r="AF909" i="1"/>
  <c r="AE910" i="1"/>
  <c r="AG909" i="1"/>
  <c r="BJ2" i="1"/>
  <c r="BH6" i="1"/>
  <c r="N908" i="1"/>
  <c r="BO2" i="1" l="1"/>
  <c r="BP2" i="1" s="1"/>
  <c r="BK2" i="1"/>
  <c r="BK3" i="1" s="1"/>
  <c r="AL908" i="1"/>
  <c r="N1462" i="1" l="1"/>
  <c r="N1456" i="1"/>
  <c r="N909" i="1"/>
  <c r="AK909" i="1"/>
  <c r="AL909" i="1"/>
  <c r="N910" i="1"/>
  <c r="AK910" i="1"/>
  <c r="AL910" i="1"/>
  <c r="N911" i="1"/>
  <c r="AK911" i="1"/>
  <c r="AL911" i="1"/>
  <c r="N912" i="1"/>
  <c r="AK912" i="1"/>
  <c r="AL912" i="1"/>
  <c r="N913" i="1"/>
  <c r="AK913" i="1"/>
  <c r="AL913" i="1"/>
  <c r="N914" i="1"/>
  <c r="AK914" i="1"/>
  <c r="AL914" i="1"/>
  <c r="N915" i="1"/>
  <c r="AK915" i="1"/>
  <c r="AL915" i="1"/>
  <c r="N916" i="1"/>
  <c r="AK916" i="1"/>
  <c r="AL916" i="1"/>
  <c r="N917" i="1"/>
  <c r="AK917" i="1"/>
  <c r="AL917" i="1"/>
  <c r="N918" i="1"/>
  <c r="AK918" i="1"/>
  <c r="AL918" i="1"/>
  <c r="N919" i="1"/>
  <c r="AK919" i="1"/>
  <c r="AL919" i="1"/>
  <c r="N920" i="1"/>
  <c r="AK920" i="1"/>
  <c r="AL920" i="1"/>
  <c r="N921" i="1"/>
  <c r="AK921" i="1"/>
  <c r="AL921" i="1"/>
  <c r="N922" i="1"/>
  <c r="AK922" i="1"/>
  <c r="AL922" i="1"/>
  <c r="N923" i="1"/>
  <c r="AK923" i="1"/>
  <c r="AL923" i="1"/>
  <c r="N924" i="1"/>
  <c r="AK924" i="1"/>
  <c r="AL924" i="1"/>
  <c r="N925" i="1"/>
  <c r="AK925" i="1"/>
  <c r="AL925" i="1"/>
  <c r="N926" i="1"/>
  <c r="AK926" i="1"/>
  <c r="AL926" i="1"/>
  <c r="N927" i="1"/>
  <c r="AK927" i="1"/>
  <c r="AL927" i="1"/>
  <c r="N928" i="1"/>
  <c r="AK928" i="1"/>
  <c r="AL928" i="1"/>
  <c r="N929" i="1"/>
  <c r="AK929" i="1"/>
  <c r="AL929" i="1"/>
  <c r="N930" i="1"/>
  <c r="AK930" i="1"/>
  <c r="AL930" i="1"/>
  <c r="N931" i="1"/>
  <c r="AK931" i="1"/>
  <c r="AL931" i="1"/>
  <c r="N932" i="1"/>
  <c r="AK932" i="1"/>
  <c r="AL932" i="1"/>
  <c r="N933" i="1"/>
  <c r="AK933" i="1"/>
  <c r="AL933" i="1"/>
  <c r="N934" i="1"/>
  <c r="AK934" i="1"/>
  <c r="AL934" i="1"/>
  <c r="N935" i="1"/>
  <c r="AK935" i="1"/>
  <c r="AL935" i="1"/>
  <c r="N936" i="1"/>
  <c r="AK936" i="1"/>
  <c r="AL936" i="1"/>
  <c r="N937" i="1"/>
  <c r="AK937" i="1"/>
  <c r="AL937" i="1"/>
  <c r="N938" i="1"/>
  <c r="AK938" i="1"/>
  <c r="AL938" i="1"/>
  <c r="N939" i="1"/>
  <c r="AK939" i="1"/>
  <c r="AL939" i="1"/>
  <c r="N940" i="1"/>
  <c r="AK940" i="1"/>
  <c r="AL940" i="1"/>
  <c r="N941" i="1"/>
  <c r="AK941" i="1"/>
  <c r="AL941" i="1"/>
  <c r="N942" i="1"/>
  <c r="AK942" i="1"/>
  <c r="AL942" i="1"/>
  <c r="N943" i="1"/>
  <c r="AK943" i="1"/>
  <c r="AL943" i="1"/>
  <c r="N944" i="1"/>
  <c r="AK944" i="1"/>
  <c r="AL944" i="1"/>
  <c r="N945" i="1"/>
  <c r="AK945" i="1"/>
  <c r="AL945" i="1"/>
  <c r="N946" i="1"/>
  <c r="AK946" i="1"/>
  <c r="AL946" i="1"/>
  <c r="N947" i="1"/>
  <c r="AK947" i="1"/>
  <c r="AL947" i="1"/>
  <c r="N948" i="1"/>
  <c r="AK948" i="1"/>
  <c r="AL948" i="1"/>
  <c r="N949" i="1"/>
  <c r="AK949" i="1"/>
  <c r="AL949" i="1"/>
  <c r="N950" i="1"/>
  <c r="AK950" i="1"/>
  <c r="AL950" i="1"/>
  <c r="N951" i="1"/>
  <c r="AK951" i="1"/>
  <c r="AL951" i="1"/>
  <c r="N952" i="1"/>
  <c r="AK952" i="1"/>
  <c r="AL952" i="1"/>
  <c r="N953" i="1"/>
  <c r="AK953" i="1"/>
  <c r="AL953" i="1"/>
  <c r="N954" i="1"/>
  <c r="AK954" i="1"/>
  <c r="AL954" i="1"/>
  <c r="N955" i="1"/>
  <c r="AK955" i="1"/>
  <c r="AL955" i="1"/>
  <c r="N956" i="1"/>
  <c r="AK956" i="1"/>
  <c r="AL956" i="1"/>
  <c r="N957" i="1"/>
  <c r="AK957" i="1"/>
  <c r="AL957" i="1"/>
  <c r="N958" i="1"/>
  <c r="AK958" i="1"/>
  <c r="AL958" i="1"/>
  <c r="N959" i="1"/>
  <c r="AK959" i="1"/>
  <c r="AL959" i="1"/>
  <c r="N960" i="1"/>
  <c r="AK960" i="1"/>
  <c r="AL960" i="1"/>
  <c r="N961" i="1"/>
  <c r="AK961" i="1"/>
  <c r="AL961" i="1"/>
  <c r="N962" i="1"/>
  <c r="AK962" i="1"/>
  <c r="AL962" i="1"/>
  <c r="N963" i="1"/>
  <c r="AK963" i="1"/>
  <c r="AL963" i="1"/>
  <c r="N964" i="1"/>
  <c r="AK964" i="1"/>
  <c r="AL964" i="1"/>
  <c r="N965" i="1"/>
  <c r="AK965" i="1"/>
  <c r="AL965" i="1"/>
  <c r="N966" i="1"/>
  <c r="AK966" i="1"/>
  <c r="AL966" i="1"/>
  <c r="N967" i="1"/>
  <c r="AK967" i="1"/>
  <c r="AL967" i="1"/>
  <c r="N968" i="1"/>
  <c r="AK968" i="1"/>
  <c r="AL968" i="1"/>
  <c r="N969" i="1"/>
  <c r="AK969" i="1"/>
  <c r="AL969" i="1"/>
  <c r="N970" i="1"/>
  <c r="AK970" i="1"/>
  <c r="AL970" i="1"/>
  <c r="N971" i="1"/>
  <c r="AK971" i="1"/>
  <c r="AL971" i="1"/>
  <c r="N972" i="1"/>
  <c r="AK972" i="1"/>
  <c r="AL972" i="1"/>
  <c r="N973" i="1"/>
  <c r="AK973" i="1"/>
  <c r="AL973" i="1"/>
  <c r="N974" i="1"/>
  <c r="AK974" i="1"/>
  <c r="AL974" i="1"/>
  <c r="N975" i="1"/>
  <c r="AK975" i="1"/>
  <c r="AL975" i="1"/>
  <c r="N976" i="1"/>
  <c r="AK976" i="1"/>
  <c r="AL976" i="1"/>
  <c r="N977" i="1"/>
  <c r="AK977" i="1"/>
  <c r="AL977" i="1"/>
  <c r="N978" i="1"/>
  <c r="AK978" i="1"/>
  <c r="AL978" i="1"/>
  <c r="N979" i="1"/>
  <c r="AK979" i="1"/>
  <c r="AL979" i="1"/>
  <c r="N980" i="1"/>
  <c r="AK980" i="1"/>
  <c r="AL980" i="1"/>
  <c r="N981" i="1"/>
  <c r="AK981" i="1"/>
  <c r="AL981" i="1"/>
  <c r="N982" i="1"/>
  <c r="AK982" i="1"/>
  <c r="AL982" i="1"/>
  <c r="N983" i="1"/>
  <c r="AK983" i="1"/>
  <c r="AL983" i="1"/>
  <c r="N984" i="1"/>
  <c r="AK984" i="1"/>
  <c r="AL984" i="1"/>
  <c r="N985" i="1"/>
  <c r="AK985" i="1"/>
  <c r="AL985" i="1"/>
  <c r="N986" i="1"/>
  <c r="AK986" i="1"/>
  <c r="AL986" i="1"/>
  <c r="N987" i="1"/>
  <c r="AK987" i="1"/>
  <c r="AL987" i="1"/>
  <c r="N988" i="1"/>
  <c r="AK988" i="1"/>
  <c r="AL988" i="1"/>
  <c r="N989" i="1"/>
  <c r="AK989" i="1"/>
  <c r="AL989" i="1"/>
  <c r="N990" i="1"/>
  <c r="AK990" i="1"/>
  <c r="AL990" i="1"/>
  <c r="N991" i="1"/>
  <c r="AK991" i="1"/>
  <c r="AL991" i="1"/>
  <c r="N992" i="1"/>
  <c r="AK992" i="1"/>
  <c r="AL992" i="1"/>
  <c r="N993" i="1"/>
  <c r="AK993" i="1"/>
  <c r="AL993" i="1"/>
  <c r="N994" i="1"/>
  <c r="AK994" i="1"/>
  <c r="AL994" i="1"/>
  <c r="N995" i="1"/>
  <c r="AK995" i="1"/>
  <c r="AL995" i="1"/>
  <c r="N996" i="1"/>
  <c r="AK996" i="1"/>
  <c r="AL996" i="1"/>
  <c r="N997" i="1"/>
  <c r="AK997" i="1"/>
  <c r="AL997" i="1"/>
  <c r="N998" i="1"/>
  <c r="AK998" i="1"/>
  <c r="AL998" i="1"/>
  <c r="N999" i="1"/>
  <c r="AK999" i="1"/>
  <c r="AL999" i="1"/>
  <c r="N1000" i="1"/>
  <c r="AK1000" i="1"/>
  <c r="AL1000" i="1"/>
  <c r="N1001" i="1"/>
  <c r="AK1001" i="1"/>
  <c r="AL1001" i="1"/>
  <c r="N1002" i="1"/>
  <c r="AK1002" i="1"/>
  <c r="AL1002" i="1"/>
  <c r="N1003" i="1"/>
  <c r="AK1003" i="1"/>
  <c r="AL1003" i="1"/>
  <c r="N1004" i="1"/>
  <c r="AK1004" i="1"/>
  <c r="AL1004" i="1"/>
  <c r="N1005" i="1"/>
  <c r="AK1005" i="1"/>
  <c r="AL1005" i="1"/>
  <c r="N1006" i="1"/>
  <c r="AK1006" i="1"/>
  <c r="AL1006" i="1"/>
  <c r="N1007" i="1"/>
  <c r="AK1007" i="1"/>
  <c r="AL1007" i="1"/>
  <c r="N1008" i="1"/>
  <c r="AK1008" i="1"/>
  <c r="AL1008" i="1"/>
  <c r="N1009" i="1"/>
  <c r="AK1009" i="1"/>
  <c r="AL1009" i="1"/>
  <c r="N1010" i="1"/>
  <c r="AK1010" i="1"/>
  <c r="AL1010" i="1"/>
  <c r="N1011" i="1"/>
  <c r="AK1011" i="1"/>
  <c r="AL1011" i="1"/>
  <c r="N1012" i="1"/>
  <c r="AK1012" i="1"/>
  <c r="AL1012" i="1"/>
  <c r="N1013" i="1"/>
  <c r="AK1013" i="1"/>
  <c r="AL1013" i="1"/>
  <c r="N1014" i="1"/>
  <c r="AK1014" i="1"/>
  <c r="AL1014" i="1"/>
  <c r="N1015" i="1"/>
  <c r="AK1015" i="1"/>
  <c r="AL1015" i="1"/>
  <c r="N1016" i="1"/>
  <c r="AK1016" i="1"/>
  <c r="AL1016" i="1"/>
  <c r="N1017" i="1"/>
  <c r="AK1017" i="1"/>
  <c r="AL1017" i="1"/>
  <c r="N1018" i="1"/>
  <c r="AK1018" i="1"/>
  <c r="AL1018" i="1"/>
  <c r="N1019" i="1"/>
  <c r="AK1019" i="1"/>
  <c r="AL1019" i="1"/>
  <c r="N1020" i="1"/>
  <c r="AK1020" i="1"/>
  <c r="AL1020" i="1"/>
  <c r="N1021" i="1"/>
  <c r="AK1021" i="1"/>
  <c r="AL1021" i="1"/>
  <c r="N1022" i="1"/>
  <c r="AK1022" i="1"/>
  <c r="AL1022" i="1"/>
  <c r="N1023" i="1"/>
  <c r="AK1023" i="1"/>
  <c r="AL1023" i="1"/>
  <c r="N1024" i="1"/>
  <c r="AK1024" i="1"/>
  <c r="AL1024" i="1"/>
  <c r="N1025" i="1"/>
  <c r="AK1025" i="1"/>
  <c r="AL1025" i="1"/>
  <c r="N1026" i="1"/>
  <c r="AK1026" i="1"/>
  <c r="AL1026" i="1"/>
  <c r="N1027" i="1"/>
  <c r="AK1027" i="1"/>
  <c r="AL1027" i="1"/>
  <c r="N1028" i="1"/>
  <c r="AK1028" i="1"/>
  <c r="AL1028" i="1"/>
  <c r="N1029" i="1"/>
  <c r="AK1029" i="1"/>
  <c r="AL1029" i="1"/>
  <c r="N1030" i="1"/>
  <c r="AK1030" i="1"/>
  <c r="AL1030" i="1"/>
  <c r="N1031" i="1"/>
  <c r="AK1031" i="1"/>
  <c r="AL1031" i="1"/>
  <c r="N1032" i="1"/>
  <c r="AK1032" i="1"/>
  <c r="AL1032" i="1"/>
  <c r="N1033" i="1"/>
  <c r="AK1033" i="1"/>
  <c r="AL1033" i="1"/>
  <c r="N1034" i="1"/>
  <c r="AK1034" i="1"/>
  <c r="AL1034" i="1"/>
  <c r="N1035" i="1"/>
  <c r="AK1035" i="1"/>
  <c r="AL1035" i="1"/>
  <c r="N1036" i="1"/>
  <c r="AK1036" i="1"/>
  <c r="AL1036" i="1"/>
  <c r="N1037" i="1"/>
  <c r="AK1037" i="1"/>
  <c r="AL1037" i="1"/>
  <c r="N1038" i="1"/>
  <c r="AK1038" i="1"/>
  <c r="AL1038" i="1"/>
  <c r="N1039" i="1"/>
  <c r="AK1039" i="1"/>
  <c r="AL1039" i="1"/>
  <c r="N1040" i="1"/>
  <c r="AK1040" i="1"/>
  <c r="AL1040" i="1"/>
  <c r="N1041" i="1"/>
  <c r="AK1041" i="1"/>
  <c r="AL1041" i="1"/>
  <c r="N1042" i="1"/>
  <c r="AK1042" i="1"/>
  <c r="AL1042" i="1"/>
  <c r="N1043" i="1"/>
  <c r="AK1043" i="1"/>
  <c r="AL1043" i="1"/>
  <c r="N1044" i="1"/>
  <c r="AK1044" i="1"/>
  <c r="AL1044" i="1"/>
  <c r="N1045" i="1"/>
  <c r="AK1045" i="1"/>
  <c r="AL1045" i="1"/>
  <c r="N1046" i="1"/>
  <c r="AK1046" i="1"/>
  <c r="AL1046" i="1"/>
  <c r="N1047" i="1"/>
  <c r="AK1047" i="1"/>
  <c r="AL1047" i="1"/>
  <c r="N1048" i="1"/>
  <c r="AK1048" i="1"/>
  <c r="AL1048" i="1"/>
  <c r="N1049" i="1"/>
  <c r="AK1049" i="1"/>
  <c r="AL1049" i="1"/>
  <c r="N1050" i="1"/>
  <c r="AK1050" i="1"/>
  <c r="AL1050" i="1"/>
  <c r="N1051" i="1"/>
  <c r="AK1051" i="1"/>
  <c r="AL1051" i="1"/>
  <c r="N1052" i="1"/>
  <c r="AK1052" i="1"/>
  <c r="AL1052" i="1"/>
  <c r="N1053" i="1"/>
  <c r="AK1053" i="1"/>
  <c r="AL1053" i="1"/>
  <c r="N1054" i="1"/>
  <c r="AK1054" i="1"/>
  <c r="AL1054" i="1"/>
  <c r="N1055" i="1"/>
  <c r="AK1055" i="1"/>
  <c r="AL1055" i="1"/>
  <c r="N1056" i="1"/>
  <c r="AK1056" i="1"/>
  <c r="AL1056" i="1"/>
  <c r="N1057" i="1"/>
  <c r="AK1057" i="1"/>
  <c r="AL1057" i="1"/>
  <c r="N1058" i="1"/>
  <c r="AK1058" i="1"/>
  <c r="AL1058" i="1"/>
  <c r="N1059" i="1"/>
  <c r="AK1059" i="1"/>
  <c r="AL1059" i="1"/>
  <c r="N1060" i="1"/>
  <c r="AK1060" i="1"/>
  <c r="AL1060" i="1"/>
  <c r="N1061" i="1"/>
  <c r="AK1061" i="1"/>
  <c r="AL1061" i="1"/>
  <c r="N1062" i="1"/>
  <c r="AK1062" i="1"/>
  <c r="AL1062" i="1"/>
  <c r="N1063" i="1"/>
  <c r="AK1063" i="1"/>
  <c r="AL1063" i="1"/>
  <c r="N1064" i="1"/>
  <c r="AK1064" i="1"/>
  <c r="AL1064" i="1"/>
  <c r="N1065" i="1"/>
  <c r="AK1065" i="1"/>
  <c r="AL1065" i="1"/>
  <c r="N1066" i="1"/>
  <c r="AK1066" i="1"/>
  <c r="AL1066" i="1"/>
  <c r="N1067" i="1"/>
  <c r="AK1067" i="1"/>
  <c r="AL1067" i="1"/>
  <c r="N1068" i="1"/>
  <c r="AK1068" i="1"/>
  <c r="AL1068" i="1"/>
  <c r="N1069" i="1"/>
  <c r="AK1069" i="1"/>
  <c r="AL1069" i="1"/>
  <c r="N1070" i="1"/>
  <c r="AK1070" i="1"/>
  <c r="AL1070" i="1"/>
  <c r="N1071" i="1"/>
  <c r="AK1071" i="1"/>
  <c r="AL1071" i="1"/>
  <c r="N1072" i="1"/>
  <c r="AK1072" i="1"/>
  <c r="AL1072" i="1"/>
  <c r="N1073" i="1"/>
  <c r="AK1073" i="1"/>
  <c r="AL1073" i="1"/>
  <c r="N1074" i="1"/>
  <c r="AK1074" i="1"/>
  <c r="AL1074" i="1"/>
  <c r="N1075" i="1"/>
  <c r="AK1075" i="1"/>
  <c r="AL1075" i="1"/>
  <c r="N1076" i="1"/>
  <c r="AK1076" i="1"/>
  <c r="AL1076" i="1"/>
  <c r="N1077" i="1"/>
  <c r="AK1077" i="1"/>
  <c r="AL1077" i="1"/>
  <c r="N1078" i="1"/>
  <c r="AK1078" i="1"/>
  <c r="AL1078" i="1"/>
  <c r="N1079" i="1"/>
  <c r="AK1079" i="1"/>
  <c r="AL1079" i="1"/>
  <c r="N1080" i="1"/>
  <c r="AK1080" i="1"/>
  <c r="AL1080" i="1"/>
  <c r="N1081" i="1"/>
  <c r="AK1081" i="1"/>
  <c r="AL1081" i="1"/>
  <c r="N1082" i="1"/>
  <c r="AK1082" i="1"/>
  <c r="AL1082" i="1"/>
  <c r="N1083" i="1"/>
  <c r="AK1083" i="1"/>
  <c r="AL1083" i="1"/>
  <c r="N1084" i="1"/>
  <c r="AK1084" i="1"/>
  <c r="AL1084" i="1"/>
  <c r="N1085" i="1"/>
  <c r="AK1085" i="1"/>
  <c r="AL1085" i="1"/>
  <c r="N1086" i="1"/>
  <c r="AK1086" i="1"/>
  <c r="AL1086" i="1"/>
  <c r="N1087" i="1"/>
  <c r="AK1087" i="1"/>
  <c r="AL1087" i="1"/>
  <c r="N1088" i="1"/>
  <c r="AK1088" i="1"/>
  <c r="AL1088" i="1"/>
  <c r="N1089" i="1"/>
  <c r="AK1089" i="1"/>
  <c r="AL1089" i="1"/>
  <c r="N1090" i="1"/>
  <c r="AK1090" i="1"/>
  <c r="AL1090" i="1"/>
  <c r="N1091" i="1"/>
  <c r="AK1091" i="1"/>
  <c r="AL1091" i="1"/>
  <c r="N1092" i="1"/>
  <c r="AK1092" i="1"/>
  <c r="AL1092" i="1"/>
  <c r="N1093" i="1"/>
  <c r="AK1093" i="1"/>
  <c r="AL1093" i="1"/>
  <c r="N1094" i="1"/>
  <c r="AK1094" i="1"/>
  <c r="AL1094" i="1"/>
  <c r="N1095" i="1"/>
  <c r="AK1095" i="1"/>
  <c r="AL1095" i="1"/>
  <c r="N1096" i="1"/>
  <c r="AK1096" i="1"/>
  <c r="AL1096" i="1"/>
  <c r="N1097" i="1"/>
  <c r="AK1097" i="1"/>
  <c r="AL1097" i="1"/>
  <c r="N1098" i="1"/>
  <c r="AK1098" i="1"/>
  <c r="AL1098" i="1"/>
  <c r="N1099" i="1"/>
  <c r="AK1099" i="1"/>
  <c r="AL1099" i="1"/>
  <c r="N1100" i="1"/>
  <c r="AK1100" i="1"/>
  <c r="AL1100" i="1"/>
  <c r="N1101" i="1"/>
  <c r="AK1101" i="1"/>
  <c r="AL1101" i="1"/>
  <c r="N1102" i="1"/>
  <c r="AK1102" i="1"/>
  <c r="AL1102" i="1"/>
  <c r="N1103" i="1"/>
  <c r="AK1103" i="1"/>
  <c r="AL1103" i="1"/>
  <c r="N1104" i="1"/>
  <c r="AK1104" i="1"/>
  <c r="AL1104" i="1"/>
  <c r="N1105" i="1"/>
  <c r="AK1105" i="1"/>
  <c r="AL1105" i="1"/>
  <c r="N1106" i="1"/>
  <c r="AK1106" i="1"/>
  <c r="AL1106" i="1"/>
  <c r="N1107" i="1"/>
  <c r="AK1107" i="1"/>
  <c r="AL1107" i="1"/>
  <c r="N1108" i="1"/>
  <c r="AK1108" i="1"/>
  <c r="AL1108" i="1"/>
  <c r="N1109" i="1"/>
  <c r="AK1109" i="1"/>
  <c r="AL1109" i="1"/>
  <c r="N1110" i="1"/>
  <c r="AK1110" i="1"/>
  <c r="AL1110" i="1"/>
  <c r="N1111" i="1"/>
  <c r="AK1111" i="1"/>
  <c r="AL1111" i="1"/>
  <c r="N1112" i="1"/>
  <c r="AK1112" i="1"/>
  <c r="AL1112" i="1"/>
  <c r="N1113" i="1"/>
  <c r="AK1113" i="1"/>
  <c r="AL1113" i="1"/>
  <c r="N1114" i="1"/>
  <c r="AK1114" i="1"/>
  <c r="AL1114" i="1"/>
  <c r="N1115" i="1"/>
  <c r="AK1115" i="1"/>
  <c r="AL1115" i="1"/>
  <c r="N1116" i="1"/>
  <c r="AK1116" i="1"/>
  <c r="AL1116" i="1"/>
  <c r="N1117" i="1"/>
  <c r="AK1117" i="1"/>
  <c r="AL1117" i="1"/>
  <c r="N1118" i="1"/>
  <c r="AK1118" i="1"/>
  <c r="AL1118" i="1"/>
  <c r="N1119" i="1"/>
  <c r="AK1119" i="1"/>
  <c r="AL1119" i="1"/>
  <c r="N1120" i="1"/>
  <c r="AK1120" i="1"/>
  <c r="AL1120" i="1"/>
  <c r="N1121" i="1"/>
  <c r="AK1121" i="1"/>
  <c r="AL1121" i="1"/>
  <c r="N1122" i="1"/>
  <c r="AK1122" i="1"/>
  <c r="AL1122" i="1"/>
  <c r="N1123" i="1"/>
  <c r="AK1123" i="1"/>
  <c r="AL1123" i="1"/>
  <c r="N1124" i="1"/>
  <c r="AK1124" i="1"/>
  <c r="AL1124" i="1"/>
  <c r="N1125" i="1"/>
  <c r="AK1125" i="1"/>
  <c r="AL1125" i="1"/>
  <c r="N1126" i="1"/>
  <c r="AK1126" i="1"/>
  <c r="AL1126" i="1"/>
  <c r="N1127" i="1"/>
  <c r="AK1127" i="1"/>
  <c r="AL1127" i="1"/>
  <c r="N1128" i="1"/>
  <c r="AK1128" i="1"/>
  <c r="AL1128" i="1"/>
  <c r="N1129" i="1"/>
  <c r="AK1129" i="1"/>
  <c r="AL1129" i="1"/>
  <c r="N1130" i="1"/>
  <c r="AK1130" i="1"/>
  <c r="AL1130" i="1"/>
  <c r="N1131" i="1"/>
  <c r="AK1131" i="1"/>
  <c r="AL1131" i="1"/>
  <c r="N1132" i="1"/>
  <c r="AK1132" i="1"/>
  <c r="AL1132" i="1"/>
  <c r="N1133" i="1"/>
  <c r="AK1133" i="1"/>
  <c r="AL1133" i="1"/>
  <c r="N1134" i="1"/>
  <c r="AK1134" i="1"/>
  <c r="AL1134" i="1"/>
  <c r="N1135" i="1"/>
  <c r="AK1135" i="1"/>
  <c r="AL1135" i="1"/>
  <c r="N1136" i="1"/>
  <c r="AK1136" i="1"/>
  <c r="AL1136" i="1"/>
  <c r="N1137" i="1"/>
  <c r="AK1137" i="1"/>
  <c r="AL1137" i="1"/>
  <c r="N1138" i="1"/>
  <c r="AK1138" i="1"/>
  <c r="AL1138" i="1"/>
  <c r="N1139" i="1"/>
  <c r="AK1139" i="1"/>
  <c r="AL1139" i="1"/>
  <c r="N1140" i="1"/>
  <c r="AK1140" i="1"/>
  <c r="AL1140" i="1"/>
  <c r="N1141" i="1"/>
  <c r="AK1141" i="1"/>
  <c r="AL1141" i="1"/>
  <c r="N1142" i="1"/>
  <c r="AK1142" i="1"/>
  <c r="AL1142" i="1"/>
  <c r="N1143" i="1"/>
  <c r="AK1143" i="1"/>
  <c r="AL1143" i="1"/>
  <c r="N1144" i="1"/>
  <c r="AK1144" i="1"/>
  <c r="AL1144" i="1"/>
  <c r="N1145" i="1"/>
  <c r="AK1145" i="1"/>
  <c r="AL1145" i="1"/>
  <c r="N1146" i="1"/>
  <c r="AK1146" i="1"/>
  <c r="AL1146" i="1"/>
  <c r="N1147" i="1"/>
  <c r="AK1147" i="1"/>
  <c r="AL1147" i="1"/>
  <c r="N1148" i="1"/>
  <c r="AK1148" i="1"/>
  <c r="AL1148" i="1"/>
  <c r="N1149" i="1"/>
  <c r="AK1149" i="1"/>
  <c r="AL1149" i="1"/>
  <c r="N1150" i="1"/>
  <c r="AK1150" i="1"/>
  <c r="AL1150" i="1"/>
  <c r="N1151" i="1"/>
  <c r="AK1151" i="1"/>
  <c r="AL1151" i="1"/>
  <c r="N1152" i="1"/>
  <c r="AK1152" i="1"/>
  <c r="AL1152" i="1"/>
  <c r="N1153" i="1"/>
  <c r="AK1153" i="1"/>
  <c r="AL1153" i="1"/>
  <c r="N1154" i="1"/>
  <c r="AK1154" i="1"/>
  <c r="AL1154" i="1"/>
  <c r="N1155" i="1"/>
  <c r="AK1155" i="1"/>
  <c r="AL1155" i="1"/>
  <c r="N1156" i="1"/>
  <c r="AK1156" i="1"/>
  <c r="AL1156" i="1"/>
  <c r="N1157" i="1"/>
  <c r="AK1157" i="1"/>
  <c r="AL1157" i="1"/>
  <c r="N1158" i="1"/>
  <c r="AK1158" i="1"/>
  <c r="AL1158" i="1"/>
  <c r="N1159" i="1"/>
  <c r="AK1159" i="1"/>
  <c r="AL1159" i="1"/>
  <c r="N1160" i="1"/>
  <c r="AK1160" i="1"/>
  <c r="AL1160" i="1"/>
  <c r="N1161" i="1"/>
  <c r="AK1161" i="1"/>
  <c r="AL1161" i="1"/>
  <c r="N1162" i="1"/>
  <c r="AK1162" i="1"/>
  <c r="AL1162" i="1"/>
  <c r="N1163" i="1"/>
  <c r="AK1163" i="1"/>
  <c r="AL1163" i="1"/>
  <c r="N1164" i="1"/>
  <c r="AK1164" i="1"/>
  <c r="AL1164" i="1"/>
  <c r="N1165" i="1"/>
  <c r="AK1165" i="1"/>
  <c r="AL1165" i="1"/>
  <c r="N1166" i="1"/>
  <c r="AK1166" i="1"/>
  <c r="AL1166" i="1"/>
  <c r="N1167" i="1"/>
  <c r="AK1167" i="1"/>
  <c r="AL1167" i="1"/>
  <c r="N1168" i="1"/>
  <c r="AK1168" i="1"/>
  <c r="AL1168" i="1"/>
  <c r="N1169" i="1"/>
  <c r="AK1169" i="1"/>
  <c r="AL1169" i="1"/>
  <c r="N1170" i="1"/>
  <c r="AK1170" i="1"/>
  <c r="AL1170" i="1"/>
  <c r="N1171" i="1"/>
  <c r="AK1171" i="1"/>
  <c r="AL1171" i="1"/>
  <c r="N1172" i="1"/>
  <c r="AK1172" i="1"/>
  <c r="AL1172" i="1"/>
  <c r="N1173" i="1"/>
  <c r="AK1173" i="1"/>
  <c r="AL1173" i="1"/>
  <c r="N1174" i="1"/>
  <c r="AK1174" i="1"/>
  <c r="AL1174" i="1"/>
  <c r="N1175" i="1"/>
  <c r="AK1175" i="1"/>
  <c r="AL1175" i="1"/>
  <c r="N1176" i="1"/>
  <c r="AK1176" i="1"/>
  <c r="AL1176" i="1"/>
  <c r="N1177" i="1"/>
  <c r="AK1177" i="1"/>
  <c r="AL1177" i="1"/>
  <c r="N1178" i="1"/>
  <c r="AK1178" i="1"/>
  <c r="AL1178" i="1"/>
  <c r="N1179" i="1"/>
  <c r="AK1179" i="1"/>
  <c r="AL1179" i="1"/>
  <c r="N1180" i="1"/>
  <c r="AK1180" i="1"/>
  <c r="AL1180" i="1"/>
  <c r="N1181" i="1"/>
  <c r="AK1181" i="1"/>
  <c r="AL1181" i="1"/>
  <c r="N1182" i="1"/>
  <c r="AK1182" i="1"/>
  <c r="AL1182" i="1"/>
  <c r="N1183" i="1"/>
  <c r="AK1183" i="1"/>
  <c r="AL1183" i="1"/>
  <c r="N1184" i="1"/>
  <c r="AK1184" i="1"/>
  <c r="AL1184" i="1"/>
  <c r="N1185" i="1"/>
  <c r="AK1185" i="1"/>
  <c r="AL1185" i="1"/>
  <c r="N1186" i="1"/>
  <c r="AK1186" i="1"/>
  <c r="AL1186" i="1"/>
  <c r="N1187" i="1"/>
  <c r="AK1187" i="1"/>
  <c r="AL1187" i="1"/>
  <c r="N1188" i="1"/>
  <c r="AK1188" i="1"/>
  <c r="AL1188" i="1"/>
  <c r="N1189" i="1"/>
  <c r="AK1189" i="1"/>
  <c r="AL1189" i="1"/>
  <c r="N1190" i="1"/>
  <c r="AK1190" i="1"/>
  <c r="AL1190" i="1"/>
  <c r="N1191" i="1"/>
  <c r="AK1191" i="1"/>
  <c r="AL1191" i="1"/>
  <c r="N1192" i="1"/>
  <c r="AK1192" i="1"/>
  <c r="AL1192" i="1"/>
  <c r="N1193" i="1"/>
  <c r="AK1193" i="1"/>
  <c r="AL1193" i="1"/>
  <c r="N1194" i="1"/>
  <c r="AK1194" i="1"/>
  <c r="AL1194" i="1"/>
  <c r="N1195" i="1"/>
  <c r="AK1195" i="1"/>
  <c r="AL1195" i="1"/>
  <c r="N1196" i="1"/>
  <c r="AK1196" i="1"/>
  <c r="AL1196" i="1"/>
  <c r="N1197" i="1"/>
  <c r="AK1197" i="1"/>
  <c r="AL1197" i="1"/>
  <c r="N1198" i="1"/>
  <c r="AK1198" i="1"/>
  <c r="AL1198" i="1"/>
  <c r="N1199" i="1"/>
  <c r="AK1199" i="1"/>
  <c r="AL1199" i="1"/>
  <c r="N1200" i="1"/>
  <c r="AK1200" i="1"/>
  <c r="AL1200" i="1"/>
  <c r="N1201" i="1"/>
  <c r="AK1201" i="1"/>
  <c r="AL1201" i="1"/>
  <c r="N1202" i="1"/>
  <c r="AK1202" i="1"/>
  <c r="AL1202" i="1"/>
  <c r="N1203" i="1"/>
  <c r="AK1203" i="1"/>
  <c r="AL1203" i="1"/>
  <c r="N1204" i="1"/>
  <c r="AK1204" i="1"/>
  <c r="AL1204" i="1"/>
  <c r="N1205" i="1"/>
  <c r="AK1205" i="1"/>
  <c r="AL1205" i="1"/>
  <c r="N1206" i="1"/>
  <c r="AK1206" i="1"/>
  <c r="AL1206" i="1"/>
  <c r="N1207" i="1"/>
  <c r="AK1207" i="1"/>
  <c r="AL1207" i="1"/>
  <c r="N1208" i="1"/>
  <c r="AK1208" i="1"/>
  <c r="AL1208" i="1"/>
  <c r="N1209" i="1"/>
  <c r="AK1209" i="1"/>
  <c r="AL1209" i="1"/>
  <c r="N1210" i="1"/>
  <c r="AK1210" i="1"/>
  <c r="AL1210" i="1"/>
  <c r="N1211" i="1"/>
  <c r="AK1211" i="1"/>
  <c r="AL1211" i="1"/>
  <c r="N1212" i="1"/>
  <c r="AK1212" i="1"/>
  <c r="AL1212" i="1"/>
  <c r="N1213" i="1"/>
  <c r="AK1213" i="1"/>
  <c r="AL1213" i="1"/>
  <c r="N1214" i="1"/>
  <c r="AK1214" i="1"/>
  <c r="AL1214" i="1"/>
  <c r="N1215" i="1"/>
  <c r="AK1215" i="1"/>
  <c r="AL1215" i="1"/>
  <c r="N1216" i="1"/>
  <c r="AK1216" i="1"/>
  <c r="AL1216" i="1"/>
  <c r="N1217" i="1"/>
  <c r="AK1217" i="1"/>
  <c r="AL1217" i="1"/>
  <c r="N1218" i="1"/>
  <c r="AK1218" i="1"/>
  <c r="AL1218" i="1"/>
  <c r="N1219" i="1"/>
  <c r="AK1219" i="1"/>
  <c r="AL1219" i="1"/>
  <c r="N1220" i="1"/>
  <c r="AK1220" i="1"/>
  <c r="AL1220" i="1"/>
  <c r="N1221" i="1"/>
  <c r="AK1221" i="1"/>
  <c r="AL1221" i="1"/>
  <c r="N1222" i="1"/>
  <c r="AK1222" i="1"/>
  <c r="AL1222" i="1"/>
  <c r="N1223" i="1"/>
  <c r="AK1223" i="1"/>
  <c r="AL1223" i="1"/>
  <c r="N1224" i="1"/>
  <c r="AK1224" i="1"/>
  <c r="AL1224" i="1"/>
  <c r="N1225" i="1"/>
  <c r="AK1225" i="1"/>
  <c r="AL1225" i="1"/>
  <c r="N1226" i="1"/>
  <c r="AK1226" i="1"/>
  <c r="AL1226" i="1"/>
  <c r="N1227" i="1"/>
  <c r="AK1227" i="1"/>
  <c r="AL1227" i="1"/>
  <c r="N1228" i="1"/>
  <c r="AK1228" i="1"/>
  <c r="AL1228" i="1"/>
  <c r="N1229" i="1"/>
  <c r="AK1229" i="1"/>
  <c r="AL1229" i="1"/>
  <c r="N1230" i="1"/>
  <c r="AK1230" i="1"/>
  <c r="AL1230" i="1"/>
  <c r="N1231" i="1"/>
  <c r="AK1231" i="1"/>
  <c r="AL1231" i="1"/>
  <c r="N1232" i="1"/>
  <c r="AK1232" i="1"/>
  <c r="AL1232" i="1"/>
  <c r="N1233" i="1"/>
  <c r="AK1233" i="1"/>
  <c r="AL1233" i="1"/>
  <c r="N1234" i="1"/>
  <c r="AK1234" i="1"/>
  <c r="AL1234" i="1"/>
  <c r="N1235" i="1"/>
  <c r="AK1235" i="1"/>
  <c r="AL1235" i="1"/>
  <c r="N1236" i="1"/>
  <c r="AK1236" i="1"/>
  <c r="AL1236" i="1"/>
  <c r="N1237" i="1"/>
  <c r="AK1237" i="1"/>
  <c r="AL1237" i="1"/>
  <c r="N1238" i="1"/>
  <c r="AK1238" i="1"/>
  <c r="AL1238" i="1"/>
  <c r="N1239" i="1"/>
  <c r="AK1239" i="1"/>
  <c r="AL1239" i="1"/>
  <c r="N1240" i="1"/>
  <c r="AK1240" i="1"/>
  <c r="AL1240" i="1"/>
  <c r="N1241" i="1"/>
  <c r="AK1241" i="1"/>
  <c r="AL1241" i="1"/>
  <c r="N1242" i="1"/>
  <c r="AK1242" i="1"/>
  <c r="AL1242" i="1"/>
  <c r="N1243" i="1"/>
  <c r="AK1243" i="1"/>
  <c r="AL1243" i="1"/>
  <c r="N1244" i="1"/>
  <c r="AK1244" i="1"/>
  <c r="AL1244" i="1"/>
  <c r="N1245" i="1"/>
  <c r="AK1245" i="1"/>
  <c r="AL1245" i="1"/>
  <c r="N1246" i="1"/>
  <c r="AK1246" i="1"/>
  <c r="AL1246" i="1"/>
  <c r="N1247" i="1"/>
  <c r="AK1247" i="1"/>
  <c r="AL1247" i="1"/>
  <c r="N1248" i="1"/>
  <c r="AK1248" i="1"/>
  <c r="AL1248" i="1"/>
  <c r="N1249" i="1"/>
  <c r="AK1249" i="1"/>
  <c r="AL1249" i="1"/>
  <c r="N1250" i="1"/>
  <c r="AK1250" i="1"/>
  <c r="AL1250" i="1"/>
  <c r="N1251" i="1"/>
  <c r="AK1251" i="1"/>
  <c r="AL1251" i="1"/>
  <c r="N1252" i="1"/>
  <c r="AK1252" i="1"/>
  <c r="AL1252" i="1"/>
  <c r="N1253" i="1"/>
  <c r="AK1253" i="1"/>
  <c r="AL1253" i="1"/>
  <c r="N1254" i="1"/>
  <c r="AK1254" i="1"/>
  <c r="AL1254" i="1"/>
  <c r="N1255" i="1"/>
  <c r="AK1255" i="1"/>
  <c r="AL1255" i="1"/>
  <c r="N1256" i="1"/>
  <c r="AK1256" i="1"/>
  <c r="AL1256" i="1"/>
  <c r="N1257" i="1"/>
  <c r="AK1257" i="1"/>
  <c r="AL1257" i="1"/>
  <c r="N1258" i="1"/>
  <c r="AK1258" i="1"/>
  <c r="AL1258" i="1"/>
  <c r="N1259" i="1"/>
  <c r="AK1259" i="1"/>
  <c r="AL1259" i="1"/>
  <c r="N1260" i="1"/>
  <c r="AK1260" i="1"/>
  <c r="AL1260" i="1"/>
  <c r="N1261" i="1"/>
  <c r="AK1261" i="1"/>
  <c r="AL1261" i="1"/>
  <c r="N1262" i="1"/>
  <c r="AK1262" i="1"/>
  <c r="AL1262" i="1"/>
  <c r="N1263" i="1"/>
  <c r="AK1263" i="1"/>
  <c r="AL1263" i="1"/>
  <c r="N1264" i="1"/>
  <c r="AK1264" i="1"/>
  <c r="AL1264" i="1"/>
  <c r="N1265" i="1"/>
  <c r="AK1265" i="1"/>
  <c r="AL1265" i="1"/>
  <c r="N1266" i="1"/>
  <c r="AK1266" i="1"/>
  <c r="AL1266" i="1"/>
  <c r="N1267" i="1"/>
  <c r="AK1267" i="1"/>
  <c r="AL1267" i="1"/>
  <c r="N1268" i="1"/>
  <c r="AK1268" i="1"/>
  <c r="AL1268" i="1"/>
  <c r="N1269" i="1"/>
  <c r="AK1269" i="1"/>
  <c r="AL1269" i="1"/>
  <c r="N1270" i="1"/>
  <c r="AK1270" i="1"/>
  <c r="AL1270" i="1"/>
  <c r="N1271" i="1"/>
  <c r="AK1271" i="1"/>
  <c r="AL1271" i="1"/>
  <c r="N1272" i="1"/>
  <c r="AK1272" i="1"/>
  <c r="AL1272" i="1"/>
  <c r="N1273" i="1"/>
  <c r="AK1273" i="1"/>
  <c r="AL1273" i="1"/>
  <c r="N1274" i="1"/>
  <c r="AK1274" i="1"/>
  <c r="AL1274" i="1"/>
  <c r="N1275" i="1"/>
  <c r="AK1275" i="1"/>
  <c r="AL1275" i="1"/>
  <c r="N1276" i="1"/>
  <c r="AK1276" i="1"/>
  <c r="AL1276" i="1"/>
  <c r="N1277" i="1"/>
  <c r="AK1277" i="1"/>
  <c r="AL1277" i="1"/>
  <c r="N1278" i="1"/>
  <c r="AK1278" i="1"/>
  <c r="AL1278" i="1"/>
  <c r="N1279" i="1"/>
  <c r="AK1279" i="1"/>
  <c r="AL1279" i="1"/>
  <c r="N1280" i="1"/>
  <c r="AK1280" i="1"/>
  <c r="AL1280" i="1"/>
  <c r="N1281" i="1"/>
  <c r="AK1281" i="1"/>
  <c r="AL1281" i="1"/>
  <c r="N1282" i="1"/>
  <c r="AK1282" i="1"/>
  <c r="AL1282" i="1"/>
  <c r="N1283" i="1"/>
  <c r="AK1283" i="1"/>
  <c r="AL1283" i="1"/>
  <c r="N1284" i="1"/>
  <c r="AK1284" i="1"/>
  <c r="AL1284" i="1"/>
  <c r="N1285" i="1"/>
  <c r="AK1285" i="1"/>
  <c r="AL1285" i="1"/>
  <c r="N1286" i="1"/>
  <c r="AK1286" i="1"/>
  <c r="AL1286" i="1"/>
  <c r="N1287" i="1"/>
  <c r="AK1287" i="1"/>
  <c r="AL1287" i="1"/>
  <c r="N1288" i="1"/>
  <c r="AK1288" i="1"/>
  <c r="AL1288" i="1"/>
  <c r="N1289" i="1"/>
  <c r="AK1289" i="1"/>
  <c r="AL1289" i="1"/>
  <c r="N1290" i="1"/>
  <c r="AK1290" i="1"/>
  <c r="AL1290" i="1"/>
  <c r="N1291" i="1"/>
  <c r="AK1291" i="1"/>
  <c r="AL1291" i="1"/>
  <c r="N1292" i="1"/>
  <c r="AK1292" i="1"/>
  <c r="AL1292" i="1"/>
  <c r="N1293" i="1"/>
  <c r="AK1293" i="1"/>
  <c r="AL1293" i="1"/>
  <c r="N1294" i="1"/>
  <c r="AK1294" i="1"/>
  <c r="AL1294" i="1"/>
  <c r="N1295" i="1"/>
  <c r="AK1295" i="1"/>
  <c r="AL1295" i="1"/>
  <c r="N1296" i="1"/>
  <c r="AK1296" i="1"/>
  <c r="AL1296" i="1"/>
  <c r="N1297" i="1"/>
  <c r="AK1297" i="1"/>
  <c r="AL1297" i="1"/>
  <c r="N1298" i="1"/>
  <c r="AK1298" i="1"/>
  <c r="AL1298" i="1"/>
  <c r="N1299" i="1"/>
  <c r="AK1299" i="1"/>
  <c r="AL1299" i="1"/>
  <c r="N1300" i="1"/>
  <c r="AK1300" i="1"/>
  <c r="AL1300" i="1"/>
  <c r="N1301" i="1"/>
  <c r="AK1301" i="1"/>
  <c r="AL1301" i="1"/>
  <c r="N1302" i="1"/>
  <c r="AK1302" i="1"/>
  <c r="AL1302" i="1"/>
  <c r="N1303" i="1"/>
  <c r="AK1303" i="1"/>
  <c r="AL1303" i="1"/>
  <c r="N1304" i="1"/>
  <c r="AK1304" i="1"/>
  <c r="AL1304" i="1"/>
  <c r="N1305" i="1"/>
  <c r="AK1305" i="1"/>
  <c r="AL1305" i="1"/>
  <c r="N1306" i="1"/>
  <c r="AK1306" i="1"/>
  <c r="AL1306" i="1"/>
  <c r="N1307" i="1"/>
  <c r="AK1307" i="1"/>
  <c r="AL1307" i="1"/>
  <c r="N1308" i="1"/>
  <c r="AK1308" i="1"/>
  <c r="AL1308" i="1"/>
  <c r="N1309" i="1"/>
  <c r="AK1309" i="1"/>
  <c r="AL1309" i="1"/>
  <c r="N1310" i="1"/>
  <c r="AK1310" i="1"/>
  <c r="AL1310" i="1"/>
  <c r="N1311" i="1"/>
  <c r="AK1311" i="1"/>
  <c r="AL1311" i="1"/>
  <c r="N1312" i="1"/>
  <c r="AK1312" i="1"/>
  <c r="AL1312" i="1"/>
  <c r="N1313" i="1"/>
  <c r="AK1313" i="1"/>
  <c r="AL1313" i="1"/>
  <c r="N1314" i="1"/>
  <c r="AK1314" i="1"/>
  <c r="AL1314" i="1"/>
  <c r="N1315" i="1"/>
  <c r="AK1315" i="1"/>
  <c r="AL1315" i="1"/>
  <c r="N1316" i="1"/>
  <c r="AK1316" i="1"/>
  <c r="AL1316" i="1"/>
  <c r="N1317" i="1"/>
  <c r="AK1317" i="1"/>
  <c r="AL1317" i="1"/>
  <c r="N1318" i="1"/>
  <c r="AK1318" i="1"/>
  <c r="AL1318" i="1"/>
  <c r="N1319" i="1"/>
  <c r="AK1319" i="1"/>
  <c r="AL1319" i="1"/>
  <c r="N1320" i="1"/>
  <c r="AK1320" i="1"/>
  <c r="AL1320" i="1"/>
  <c r="N1321" i="1"/>
  <c r="AK1321" i="1"/>
  <c r="AL1321" i="1"/>
  <c r="N1322" i="1"/>
  <c r="AK1322" i="1"/>
  <c r="AL1322" i="1"/>
  <c r="N1323" i="1"/>
  <c r="AK1323" i="1"/>
  <c r="AL1323" i="1"/>
  <c r="N1324" i="1"/>
  <c r="AK1324" i="1"/>
  <c r="AL1324" i="1"/>
  <c r="N1325" i="1"/>
  <c r="AK1325" i="1"/>
  <c r="AL1325" i="1"/>
  <c r="N1326" i="1"/>
  <c r="AK1326" i="1"/>
  <c r="AL1326" i="1"/>
  <c r="N1327" i="1"/>
  <c r="AK1327" i="1"/>
  <c r="AL1327" i="1"/>
  <c r="N1328" i="1"/>
  <c r="AK1328" i="1"/>
  <c r="AL1328" i="1"/>
  <c r="N1329" i="1"/>
  <c r="AK1329" i="1"/>
  <c r="AL1329" i="1"/>
  <c r="N1330" i="1"/>
  <c r="AK1330" i="1"/>
  <c r="AL1330" i="1"/>
  <c r="N1331" i="1"/>
  <c r="AK1331" i="1"/>
  <c r="AL1331" i="1"/>
  <c r="N1332" i="1"/>
  <c r="AK1332" i="1"/>
  <c r="AL1332" i="1"/>
  <c r="N1333" i="1"/>
  <c r="AK1333" i="1"/>
  <c r="AL1333" i="1"/>
  <c r="N1334" i="1"/>
  <c r="AK1334" i="1"/>
  <c r="AL1334" i="1"/>
  <c r="N1335" i="1"/>
  <c r="AK1335" i="1"/>
  <c r="AL1335" i="1"/>
  <c r="N1336" i="1"/>
  <c r="AK1336" i="1"/>
  <c r="AL1336" i="1"/>
  <c r="N1337" i="1"/>
  <c r="AK1337" i="1"/>
  <c r="AL1337" i="1"/>
  <c r="N1338" i="1"/>
  <c r="AK1338" i="1"/>
  <c r="AL1338" i="1"/>
  <c r="N1339" i="1"/>
  <c r="AK1339" i="1"/>
  <c r="AL1339" i="1"/>
  <c r="N1340" i="1"/>
  <c r="AK1340" i="1"/>
  <c r="AL1340" i="1"/>
  <c r="N1341" i="1"/>
  <c r="AK1341" i="1"/>
  <c r="AL1341" i="1"/>
  <c r="N1342" i="1"/>
  <c r="AK1342" i="1"/>
  <c r="AL1342" i="1"/>
  <c r="N1343" i="1"/>
  <c r="AK1343" i="1"/>
  <c r="AL1343" i="1"/>
  <c r="N1344" i="1"/>
  <c r="AK1344" i="1"/>
  <c r="AL1344" i="1"/>
  <c r="N1345" i="1"/>
  <c r="AK1345" i="1"/>
  <c r="AL1345" i="1"/>
  <c r="N1346" i="1"/>
  <c r="AK1346" i="1"/>
  <c r="AL1346" i="1"/>
  <c r="N1347" i="1"/>
  <c r="AK1347" i="1"/>
  <c r="AL1347" i="1"/>
  <c r="N1348" i="1"/>
  <c r="AK1348" i="1"/>
  <c r="AL1348" i="1"/>
  <c r="N1349" i="1"/>
  <c r="AK1349" i="1"/>
  <c r="AL1349" i="1"/>
  <c r="N1350" i="1"/>
  <c r="AK1350" i="1"/>
  <c r="AL1350" i="1"/>
  <c r="N1351" i="1"/>
  <c r="AK1351" i="1"/>
  <c r="AL1351" i="1"/>
  <c r="N1352" i="1"/>
  <c r="AK1352" i="1"/>
  <c r="AL1352" i="1"/>
  <c r="N1353" i="1"/>
  <c r="AK1353" i="1"/>
  <c r="AL1353" i="1"/>
  <c r="N1354" i="1"/>
  <c r="AK1354" i="1"/>
  <c r="AL1354" i="1"/>
  <c r="N1355" i="1"/>
  <c r="AK1355" i="1"/>
  <c r="AL1355" i="1"/>
  <c r="N1356" i="1"/>
  <c r="AK1356" i="1"/>
  <c r="AL1356" i="1"/>
  <c r="N1357" i="1"/>
  <c r="AK1357" i="1"/>
  <c r="AL1357" i="1"/>
  <c r="N1358" i="1"/>
  <c r="AK1358" i="1"/>
  <c r="AL1358" i="1"/>
  <c r="N1359" i="1"/>
  <c r="AK1359" i="1"/>
  <c r="AL1359" i="1"/>
  <c r="N1360" i="1"/>
  <c r="AK1360" i="1"/>
  <c r="AL1360" i="1"/>
  <c r="N1361" i="1"/>
  <c r="AK1361" i="1"/>
  <c r="AL1361" i="1"/>
  <c r="N1362" i="1"/>
  <c r="AK1362" i="1"/>
  <c r="AL1362" i="1"/>
  <c r="N1363" i="1"/>
  <c r="AK1363" i="1"/>
  <c r="AL1363" i="1"/>
  <c r="N1364" i="1"/>
  <c r="AK1364" i="1"/>
  <c r="AL1364" i="1"/>
  <c r="N1365" i="1"/>
  <c r="AK1365" i="1"/>
  <c r="AL1365" i="1"/>
  <c r="N1366" i="1"/>
  <c r="AK1366" i="1"/>
  <c r="AL1366" i="1"/>
  <c r="N1367" i="1"/>
  <c r="AK1367" i="1"/>
  <c r="AL1367" i="1"/>
  <c r="N1368" i="1"/>
  <c r="AK1368" i="1"/>
  <c r="AL1368" i="1"/>
  <c r="N1369" i="1"/>
  <c r="AK1369" i="1"/>
  <c r="AL1369" i="1"/>
  <c r="N1370" i="1"/>
  <c r="AK1370" i="1"/>
  <c r="AL1370" i="1"/>
  <c r="N1371" i="1"/>
  <c r="AK1371" i="1"/>
  <c r="AL1371" i="1"/>
  <c r="N1372" i="1"/>
  <c r="AK1372" i="1"/>
  <c r="AL1372" i="1"/>
  <c r="N1373" i="1"/>
  <c r="AK1373" i="1"/>
  <c r="AL1373" i="1"/>
  <c r="N1374" i="1"/>
  <c r="AK1374" i="1"/>
  <c r="AL1374" i="1"/>
  <c r="N1375" i="1"/>
  <c r="AK1375" i="1"/>
  <c r="AL1375" i="1"/>
  <c r="N1376" i="1"/>
  <c r="AK1376" i="1"/>
  <c r="AL1376" i="1"/>
  <c r="N1377" i="1"/>
  <c r="AK1377" i="1"/>
  <c r="AL1377" i="1"/>
  <c r="N1378" i="1"/>
  <c r="AK1378" i="1"/>
  <c r="AL1378" i="1"/>
  <c r="N1379" i="1"/>
  <c r="AK1379" i="1"/>
  <c r="AL1379" i="1"/>
  <c r="N1380" i="1"/>
  <c r="AK1380" i="1"/>
  <c r="AL1380" i="1"/>
  <c r="N1381" i="1"/>
  <c r="AK1381" i="1"/>
  <c r="AL1381" i="1"/>
  <c r="N1382" i="1"/>
  <c r="AK1382" i="1"/>
  <c r="AL1382" i="1"/>
  <c r="N1383" i="1"/>
  <c r="AK1383" i="1"/>
  <c r="AL1383" i="1"/>
  <c r="N1384" i="1"/>
  <c r="AK1384" i="1"/>
  <c r="AL1384" i="1"/>
  <c r="N1385" i="1"/>
  <c r="AK1385" i="1"/>
  <c r="AL1385" i="1"/>
  <c r="N1386" i="1"/>
  <c r="AK1386" i="1"/>
  <c r="AL1386" i="1"/>
  <c r="N1387" i="1"/>
  <c r="AK1387" i="1"/>
  <c r="AL1387" i="1"/>
  <c r="N1388" i="1"/>
  <c r="AK1388" i="1"/>
  <c r="AL1388" i="1"/>
  <c r="N1389" i="1"/>
  <c r="AK1389" i="1"/>
  <c r="AL1389" i="1"/>
  <c r="N1390" i="1"/>
  <c r="AK1390" i="1"/>
  <c r="AL1390" i="1"/>
  <c r="N1391" i="1"/>
  <c r="AK1391" i="1"/>
  <c r="AL1391" i="1"/>
  <c r="N1392" i="1"/>
  <c r="AK1392" i="1"/>
  <c r="AL1392" i="1"/>
  <c r="N1393" i="1"/>
  <c r="AK1393" i="1"/>
  <c r="AL1393" i="1"/>
  <c r="N1394" i="1"/>
  <c r="AK1394" i="1"/>
  <c r="AL1394" i="1"/>
  <c r="N1395" i="1"/>
  <c r="AK1395" i="1"/>
  <c r="AL1395" i="1"/>
  <c r="N1396" i="1"/>
  <c r="AK1396" i="1"/>
  <c r="AL1396" i="1"/>
  <c r="N1397" i="1"/>
  <c r="AK1397" i="1"/>
  <c r="AL1397" i="1"/>
  <c r="N1398" i="1"/>
  <c r="AK1398" i="1"/>
  <c r="AL1398" i="1"/>
  <c r="N1399" i="1"/>
  <c r="AK1399" i="1"/>
  <c r="AL1399" i="1"/>
  <c r="N1400" i="1"/>
  <c r="AK1400" i="1"/>
  <c r="AL1400" i="1"/>
  <c r="N1401" i="1"/>
  <c r="AK1401" i="1"/>
  <c r="AL1401" i="1"/>
  <c r="N1402" i="1"/>
  <c r="AK1402" i="1"/>
  <c r="AL1402" i="1"/>
  <c r="N1403" i="1"/>
  <c r="AK1403" i="1"/>
  <c r="AL1403" i="1"/>
  <c r="N1404" i="1"/>
  <c r="AK1404" i="1"/>
  <c r="AL1404" i="1"/>
  <c r="N1405" i="1"/>
  <c r="AK1405" i="1"/>
  <c r="AL1405" i="1"/>
  <c r="N1406" i="1"/>
  <c r="AK1406" i="1"/>
  <c r="AL1406" i="1"/>
  <c r="N1407" i="1"/>
  <c r="AK1407" i="1"/>
  <c r="AL1407" i="1"/>
  <c r="N1408" i="1"/>
  <c r="AK1408" i="1"/>
  <c r="AL1408" i="1"/>
  <c r="N1409" i="1"/>
  <c r="AK1409" i="1"/>
  <c r="AL1409" i="1"/>
  <c r="N1410" i="1"/>
  <c r="AK1410" i="1"/>
  <c r="AL1410" i="1"/>
  <c r="N1411" i="1"/>
  <c r="AK1411" i="1"/>
  <c r="AL1411" i="1"/>
  <c r="N1412" i="1"/>
  <c r="AK1412" i="1"/>
  <c r="AL1412" i="1"/>
  <c r="N1413" i="1"/>
  <c r="AK1413" i="1"/>
  <c r="AL1413" i="1"/>
  <c r="N1414" i="1"/>
  <c r="AK1414" i="1"/>
  <c r="AL1414" i="1"/>
  <c r="N1415" i="1"/>
  <c r="AK1415" i="1"/>
  <c r="AL1415" i="1"/>
  <c r="N1416" i="1"/>
  <c r="AK1416" i="1"/>
  <c r="AL1416" i="1"/>
  <c r="N1417" i="1"/>
  <c r="AK1417" i="1"/>
  <c r="AL1417" i="1"/>
  <c r="N1418" i="1"/>
  <c r="AK1418" i="1"/>
  <c r="AL1418" i="1"/>
  <c r="N1419" i="1"/>
  <c r="AK1419" i="1"/>
  <c r="AL1419" i="1"/>
  <c r="N1420" i="1"/>
  <c r="AK1420" i="1"/>
  <c r="AL1420" i="1"/>
  <c r="N1421" i="1"/>
  <c r="AK1421" i="1"/>
  <c r="AL1421" i="1"/>
  <c r="N1422" i="1"/>
  <c r="AK1422" i="1"/>
  <c r="AL1422" i="1"/>
  <c r="N1423" i="1"/>
  <c r="AK1423" i="1"/>
  <c r="AL1423" i="1"/>
  <c r="N1424" i="1"/>
  <c r="AK1424" i="1"/>
  <c r="AL1424" i="1"/>
  <c r="N1425" i="1"/>
  <c r="AK1425" i="1"/>
  <c r="AL1425" i="1"/>
  <c r="N1426" i="1"/>
  <c r="AK1426" i="1"/>
  <c r="AL1426" i="1"/>
  <c r="N1427" i="1"/>
  <c r="AK1427" i="1"/>
  <c r="AL1427" i="1"/>
  <c r="N1428" i="1"/>
  <c r="AK1428" i="1"/>
  <c r="AL1428" i="1"/>
  <c r="N1429" i="1"/>
  <c r="AK1429" i="1"/>
  <c r="AL1429" i="1"/>
  <c r="N1430" i="1"/>
  <c r="AK1430" i="1"/>
  <c r="AL1430" i="1"/>
  <c r="N1431" i="1"/>
  <c r="AK1431" i="1"/>
  <c r="AL1431" i="1"/>
  <c r="N1432" i="1"/>
  <c r="AK1432" i="1"/>
  <c r="AL1432" i="1"/>
  <c r="N1433" i="1"/>
  <c r="AK1433" i="1"/>
  <c r="AL1433" i="1"/>
  <c r="N1434" i="1"/>
  <c r="AK1434" i="1"/>
  <c r="AL1434" i="1"/>
  <c r="N1435" i="1"/>
  <c r="AK1435" i="1"/>
  <c r="AL1435" i="1"/>
  <c r="N1436" i="1"/>
  <c r="AK1436" i="1"/>
  <c r="AL1436" i="1"/>
  <c r="N1437" i="1"/>
  <c r="AK1437" i="1"/>
  <c r="AL1437" i="1"/>
  <c r="N1438" i="1"/>
  <c r="AK1438" i="1"/>
  <c r="AL1438" i="1"/>
  <c r="N1439" i="1"/>
  <c r="AK1439" i="1"/>
  <c r="AL1439" i="1"/>
  <c r="N1440" i="1"/>
  <c r="AK1440" i="1"/>
  <c r="AL1440" i="1"/>
  <c r="N1441" i="1"/>
  <c r="AK1441" i="1"/>
  <c r="AL1441" i="1"/>
  <c r="N1442" i="1"/>
  <c r="AK1442" i="1"/>
  <c r="AL1442" i="1"/>
  <c r="N1443" i="1"/>
  <c r="AK1443" i="1"/>
  <c r="AL1443" i="1"/>
  <c r="N1444" i="1"/>
  <c r="AK1444" i="1"/>
  <c r="AL1444" i="1"/>
  <c r="N1445" i="1"/>
  <c r="AK1445" i="1"/>
  <c r="AL1445" i="1"/>
  <c r="N1446" i="1"/>
  <c r="AK1446" i="1"/>
  <c r="AL1446" i="1"/>
  <c r="N1447" i="1"/>
  <c r="AK1447" i="1"/>
  <c r="AL1447" i="1"/>
  <c r="N1448" i="1"/>
  <c r="AK1448" i="1"/>
  <c r="AL1448" i="1"/>
  <c r="N1449" i="1"/>
  <c r="AK1449" i="1"/>
  <c r="AL1449" i="1"/>
  <c r="N1450" i="1"/>
  <c r="AK1450" i="1"/>
  <c r="AL1450" i="1"/>
  <c r="N1451" i="1"/>
  <c r="AK1451" i="1"/>
  <c r="AL1451" i="1"/>
  <c r="N1452" i="1"/>
  <c r="AK1452" i="1"/>
  <c r="AL1452" i="1"/>
  <c r="N1453" i="1"/>
  <c r="AK1453" i="1"/>
  <c r="AL1453" i="1"/>
  <c r="N1454" i="1"/>
  <c r="AK1454" i="1"/>
  <c r="AL1454" i="1"/>
  <c r="N1455" i="1"/>
  <c r="AK1455" i="1"/>
  <c r="AL1455" i="1"/>
  <c r="AK1456" i="1"/>
  <c r="AL1456" i="1"/>
  <c r="N1457" i="1"/>
  <c r="AK1457" i="1"/>
  <c r="AL1457" i="1"/>
  <c r="N1458" i="1"/>
  <c r="AK1458" i="1"/>
  <c r="AL1458" i="1"/>
  <c r="N1459" i="1"/>
  <c r="AK1459" i="1"/>
  <c r="AL1459" i="1"/>
  <c r="N1460" i="1"/>
  <c r="AK1460" i="1"/>
  <c r="AL1460" i="1"/>
  <c r="N1461" i="1"/>
  <c r="AK1461" i="1"/>
  <c r="AL1461" i="1"/>
  <c r="AK1462" i="1"/>
  <c r="AL1462" i="1"/>
  <c r="N1463" i="1"/>
  <c r="AK1463" i="1"/>
  <c r="AL1463" i="1"/>
  <c r="N1464" i="1"/>
  <c r="AK1464" i="1"/>
  <c r="AL1464" i="1"/>
  <c r="N1465" i="1"/>
  <c r="AK1465" i="1"/>
  <c r="AL1465" i="1"/>
  <c r="N1466" i="1"/>
  <c r="AK1466" i="1"/>
  <c r="AL1466" i="1"/>
  <c r="N1467" i="1"/>
  <c r="AK1467" i="1"/>
  <c r="AL1467" i="1"/>
  <c r="N1468" i="1"/>
  <c r="AK1468" i="1"/>
  <c r="AL1468" i="1"/>
  <c r="N1469" i="1"/>
  <c r="AK1469" i="1"/>
  <c r="AL1469" i="1"/>
  <c r="N1470" i="1"/>
  <c r="AE909" i="1" s="1"/>
  <c r="AK1470" i="1"/>
  <c r="AL1470" i="1"/>
  <c r="AK908" i="1"/>
  <c r="I658" i="1"/>
  <c r="AW33" i="1"/>
  <c r="AW32" i="1" l="1"/>
  <c r="AV3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K3" i="1"/>
  <c r="J3" i="1"/>
  <c r="I147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3" i="1"/>
  <c r="AW7" i="1"/>
  <c r="AX7" i="1" s="1"/>
  <c r="AW6" i="1"/>
  <c r="AX6" i="1" s="1"/>
  <c r="AW5" i="1"/>
  <c r="AX26" i="1" l="1"/>
  <c r="AU13" i="1"/>
  <c r="AU32" i="1"/>
  <c r="AX5" i="1"/>
  <c r="AV13" i="1"/>
  <c r="AV18" i="1" s="1"/>
  <c r="AU15" i="1"/>
  <c r="AU20" i="1" s="1"/>
  <c r="BD6" i="1"/>
  <c r="BF6" i="1" s="1"/>
  <c r="AW34" i="1"/>
  <c r="BK4" i="1"/>
  <c r="BK5" i="1" s="1"/>
  <c r="BK6" i="1" s="1"/>
  <c r="BK7" i="1" s="1"/>
  <c r="BK8" i="1" s="1"/>
  <c r="BK9" i="1" s="1"/>
  <c r="BK10" i="1" s="1"/>
  <c r="BK11" i="1" s="1"/>
  <c r="BK12" i="1" s="1"/>
  <c r="BD7" i="1"/>
  <c r="BF7" i="1" s="1"/>
  <c r="BD8" i="1"/>
  <c r="AX8" i="1"/>
  <c r="AP908" i="1" s="1"/>
  <c r="AV15" i="1"/>
  <c r="AV20" i="1" s="1"/>
  <c r="AU14" i="1"/>
  <c r="AU19" i="1" s="1"/>
  <c r="BO3" i="1"/>
  <c r="BP3" i="1" s="1"/>
  <c r="AV14" i="1"/>
  <c r="AV19" i="1" s="1"/>
  <c r="AV33" i="1"/>
  <c r="BO4" i="1"/>
  <c r="BO5" i="1" s="1"/>
  <c r="BF8" i="1" l="1"/>
  <c r="BZ4" i="1" s="1"/>
  <c r="BZ3" i="1"/>
  <c r="BK13" i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K63" i="1" s="1"/>
  <c r="BK64" i="1" s="1"/>
  <c r="BK65" i="1" s="1"/>
  <c r="BK66" i="1" s="1"/>
  <c r="BK67" i="1" s="1"/>
  <c r="BK68" i="1" s="1"/>
  <c r="BK69" i="1" s="1"/>
  <c r="BK70" i="1" s="1"/>
  <c r="BK71" i="1" s="1"/>
  <c r="BK72" i="1" s="1"/>
  <c r="BK73" i="1" s="1"/>
  <c r="BK74" i="1" s="1"/>
  <c r="BK75" i="1" s="1"/>
  <c r="BK76" i="1" s="1"/>
  <c r="BK77" i="1" s="1"/>
  <c r="BK78" i="1" s="1"/>
  <c r="BK79" i="1" s="1"/>
  <c r="BK80" i="1" s="1"/>
  <c r="BK81" i="1" s="1"/>
  <c r="BK82" i="1" s="1"/>
  <c r="BK83" i="1" s="1"/>
  <c r="BK84" i="1" s="1"/>
  <c r="BK85" i="1" s="1"/>
  <c r="BK86" i="1" s="1"/>
  <c r="BK87" i="1" s="1"/>
  <c r="BK88" i="1" s="1"/>
  <c r="BK89" i="1" s="1"/>
  <c r="BK90" i="1" s="1"/>
  <c r="BK91" i="1" s="1"/>
  <c r="BK92" i="1" s="1"/>
  <c r="BK93" i="1" s="1"/>
  <c r="BK94" i="1" s="1"/>
  <c r="BK95" i="1" s="1"/>
  <c r="BK96" i="1" s="1"/>
  <c r="BK97" i="1" s="1"/>
  <c r="BK98" i="1" s="1"/>
  <c r="BK99" i="1" s="1"/>
  <c r="BK100" i="1" s="1"/>
  <c r="BK101" i="1" s="1"/>
  <c r="BK102" i="1" s="1"/>
  <c r="BK103" i="1" s="1"/>
  <c r="BK104" i="1" s="1"/>
  <c r="BK105" i="1" s="1"/>
  <c r="BK106" i="1" s="1"/>
  <c r="BK107" i="1" s="1"/>
  <c r="BK108" i="1" s="1"/>
  <c r="BK109" i="1" s="1"/>
  <c r="BK110" i="1" s="1"/>
  <c r="BK111" i="1" s="1"/>
  <c r="BK112" i="1" s="1"/>
  <c r="BK113" i="1" s="1"/>
  <c r="BK114" i="1" s="1"/>
  <c r="BK115" i="1" s="1"/>
  <c r="BK116" i="1" s="1"/>
  <c r="BK117" i="1" s="1"/>
  <c r="BK118" i="1" s="1"/>
  <c r="BK119" i="1" s="1"/>
  <c r="BK120" i="1" s="1"/>
  <c r="BK121" i="1" s="1"/>
  <c r="BK122" i="1" s="1"/>
  <c r="BK123" i="1" s="1"/>
  <c r="BK124" i="1" s="1"/>
  <c r="BK125" i="1" s="1"/>
  <c r="BK126" i="1" s="1"/>
  <c r="BK127" i="1" s="1"/>
  <c r="BK128" i="1" s="1"/>
  <c r="BK129" i="1" s="1"/>
  <c r="BK130" i="1" s="1"/>
  <c r="BK131" i="1" s="1"/>
  <c r="BK132" i="1" s="1"/>
  <c r="BK133" i="1" s="1"/>
  <c r="BK134" i="1" s="1"/>
  <c r="BK135" i="1" s="1"/>
  <c r="BK136" i="1" s="1"/>
  <c r="BK137" i="1" s="1"/>
  <c r="BK138" i="1" s="1"/>
  <c r="BK139" i="1" s="1"/>
  <c r="BK140" i="1" s="1"/>
  <c r="BK141" i="1" s="1"/>
  <c r="BK142" i="1" s="1"/>
  <c r="BK143" i="1" s="1"/>
  <c r="BK144" i="1" s="1"/>
  <c r="BK145" i="1" s="1"/>
  <c r="BK146" i="1" s="1"/>
  <c r="BK147" i="1" s="1"/>
  <c r="BK148" i="1" s="1"/>
  <c r="BK149" i="1" s="1"/>
  <c r="BK150" i="1" s="1"/>
  <c r="BK151" i="1" s="1"/>
  <c r="BK152" i="1" s="1"/>
  <c r="BK153" i="1" s="1"/>
  <c r="BK154" i="1" s="1"/>
  <c r="BK155" i="1" s="1"/>
  <c r="BK156" i="1" s="1"/>
  <c r="BK157" i="1" s="1"/>
  <c r="BK158" i="1" s="1"/>
  <c r="BK159" i="1" s="1"/>
  <c r="BK160" i="1" s="1"/>
  <c r="BK161" i="1" s="1"/>
  <c r="BK162" i="1" s="1"/>
  <c r="BK163" i="1" s="1"/>
  <c r="BK164" i="1" s="1"/>
  <c r="BK165" i="1" s="1"/>
  <c r="BK166" i="1" s="1"/>
  <c r="BK167" i="1" s="1"/>
  <c r="BK168" i="1" s="1"/>
  <c r="BK169" i="1" s="1"/>
  <c r="BK170" i="1" s="1"/>
  <c r="BK171" i="1" s="1"/>
  <c r="BK172" i="1" s="1"/>
  <c r="BK173" i="1" s="1"/>
  <c r="BK174" i="1" s="1"/>
  <c r="BK175" i="1" s="1"/>
  <c r="BK176" i="1" s="1"/>
  <c r="BK177" i="1" s="1"/>
  <c r="BK178" i="1" s="1"/>
  <c r="BK179" i="1" s="1"/>
  <c r="BK180" i="1" s="1"/>
  <c r="BK181" i="1" s="1"/>
  <c r="BK182" i="1" s="1"/>
  <c r="BK183" i="1" s="1"/>
  <c r="BK184" i="1" s="1"/>
  <c r="BK185" i="1" s="1"/>
  <c r="BK186" i="1" s="1"/>
  <c r="BK187" i="1" s="1"/>
  <c r="BK188" i="1" s="1"/>
  <c r="BK189" i="1" s="1"/>
  <c r="BK190" i="1" s="1"/>
  <c r="BK191" i="1" s="1"/>
  <c r="BK192" i="1" s="1"/>
  <c r="BK193" i="1" s="1"/>
  <c r="BK194" i="1" s="1"/>
  <c r="BK195" i="1" s="1"/>
  <c r="BK196" i="1" s="1"/>
  <c r="BK197" i="1" s="1"/>
  <c r="BK198" i="1" s="1"/>
  <c r="BK199" i="1" s="1"/>
  <c r="BK200" i="1" s="1"/>
  <c r="BK201" i="1" s="1"/>
  <c r="BK202" i="1" s="1"/>
  <c r="BK203" i="1" s="1"/>
  <c r="BK204" i="1" s="1"/>
  <c r="BK205" i="1" s="1"/>
  <c r="BK206" i="1" s="1"/>
  <c r="BK207" i="1" s="1"/>
  <c r="BK208" i="1" s="1"/>
  <c r="BK209" i="1" s="1"/>
  <c r="BK210" i="1" s="1"/>
  <c r="BK211" i="1" s="1"/>
  <c r="BK212" i="1" s="1"/>
  <c r="BK213" i="1" s="1"/>
  <c r="BK214" i="1" s="1"/>
  <c r="BK215" i="1" s="1"/>
  <c r="BK216" i="1" s="1"/>
  <c r="BK217" i="1" s="1"/>
  <c r="BK218" i="1" s="1"/>
  <c r="BK219" i="1" s="1"/>
  <c r="BK220" i="1" s="1"/>
  <c r="BK221" i="1" s="1"/>
  <c r="BK222" i="1" s="1"/>
  <c r="BK223" i="1" s="1"/>
  <c r="BK224" i="1" s="1"/>
  <c r="BK225" i="1" s="1"/>
  <c r="BK226" i="1" s="1"/>
  <c r="BK227" i="1" s="1"/>
  <c r="BK228" i="1" s="1"/>
  <c r="BK229" i="1" s="1"/>
  <c r="BK230" i="1" s="1"/>
  <c r="BK231" i="1" s="1"/>
  <c r="BK232" i="1" s="1"/>
  <c r="BK233" i="1" s="1"/>
  <c r="BK234" i="1" s="1"/>
  <c r="BK235" i="1" s="1"/>
  <c r="BK236" i="1" s="1"/>
  <c r="BK237" i="1" s="1"/>
  <c r="BK238" i="1" s="1"/>
  <c r="BK239" i="1" s="1"/>
  <c r="BK240" i="1" s="1"/>
  <c r="BK241" i="1" s="1"/>
  <c r="BK242" i="1" s="1"/>
  <c r="BK243" i="1" s="1"/>
  <c r="BK244" i="1" s="1"/>
  <c r="BK245" i="1" s="1"/>
  <c r="BK246" i="1" s="1"/>
  <c r="BK247" i="1" s="1"/>
  <c r="BK248" i="1" s="1"/>
  <c r="BK249" i="1" s="1"/>
  <c r="BK250" i="1" s="1"/>
  <c r="BK251" i="1" s="1"/>
  <c r="BK252" i="1" s="1"/>
  <c r="BK253" i="1" s="1"/>
  <c r="BK254" i="1" s="1"/>
  <c r="BK255" i="1" s="1"/>
  <c r="BK256" i="1" s="1"/>
  <c r="BK257" i="1" s="1"/>
  <c r="BK258" i="1" s="1"/>
  <c r="BK259" i="1" s="1"/>
  <c r="BK260" i="1" s="1"/>
  <c r="BK261" i="1" s="1"/>
  <c r="BK262" i="1" s="1"/>
  <c r="BK263" i="1" s="1"/>
  <c r="BK264" i="1" s="1"/>
  <c r="BK265" i="1" s="1"/>
  <c r="BK266" i="1" s="1"/>
  <c r="BK267" i="1" s="1"/>
  <c r="BK268" i="1" s="1"/>
  <c r="BK269" i="1" s="1"/>
  <c r="BK270" i="1" s="1"/>
  <c r="BK271" i="1" s="1"/>
  <c r="BK272" i="1" s="1"/>
  <c r="BK273" i="1" s="1"/>
  <c r="BK274" i="1" s="1"/>
  <c r="BK275" i="1" s="1"/>
  <c r="BK276" i="1" s="1"/>
  <c r="BK277" i="1" s="1"/>
  <c r="BK278" i="1" s="1"/>
  <c r="BK279" i="1" s="1"/>
  <c r="BK280" i="1" s="1"/>
  <c r="BK281" i="1" s="1"/>
  <c r="BK282" i="1" s="1"/>
  <c r="BK283" i="1" s="1"/>
  <c r="BK284" i="1" s="1"/>
  <c r="BK285" i="1" s="1"/>
  <c r="BK286" i="1" s="1"/>
  <c r="BK287" i="1" s="1"/>
  <c r="BK288" i="1" s="1"/>
  <c r="BK289" i="1" s="1"/>
  <c r="BK290" i="1" s="1"/>
  <c r="BK291" i="1" s="1"/>
  <c r="BK292" i="1" s="1"/>
  <c r="BK293" i="1" s="1"/>
  <c r="BK294" i="1" s="1"/>
  <c r="BK295" i="1" s="1"/>
  <c r="BK296" i="1" s="1"/>
  <c r="BK297" i="1" s="1"/>
  <c r="BK298" i="1" s="1"/>
  <c r="BK299" i="1" s="1"/>
  <c r="BK300" i="1" s="1"/>
  <c r="BK301" i="1" s="1"/>
  <c r="BK302" i="1" s="1"/>
  <c r="BK303" i="1" s="1"/>
  <c r="BK304" i="1" s="1"/>
  <c r="BK305" i="1" s="1"/>
  <c r="BK306" i="1" s="1"/>
  <c r="BK307" i="1" s="1"/>
  <c r="BK308" i="1" s="1"/>
  <c r="BK309" i="1" s="1"/>
  <c r="BK310" i="1" s="1"/>
  <c r="BK311" i="1" s="1"/>
  <c r="BK312" i="1" s="1"/>
  <c r="BK313" i="1" s="1"/>
  <c r="BK314" i="1" s="1"/>
  <c r="BK315" i="1" s="1"/>
  <c r="BK316" i="1" s="1"/>
  <c r="BK317" i="1" s="1"/>
  <c r="BK318" i="1" s="1"/>
  <c r="BK319" i="1" s="1"/>
  <c r="BK320" i="1" s="1"/>
  <c r="BK321" i="1" s="1"/>
  <c r="BK322" i="1" s="1"/>
  <c r="BK323" i="1" s="1"/>
  <c r="BK324" i="1" s="1"/>
  <c r="BK325" i="1" s="1"/>
  <c r="BK326" i="1" s="1"/>
  <c r="BK327" i="1" s="1"/>
  <c r="BK328" i="1" s="1"/>
  <c r="BK329" i="1" s="1"/>
  <c r="BK330" i="1" s="1"/>
  <c r="BK331" i="1" s="1"/>
  <c r="BK332" i="1" s="1"/>
  <c r="BK333" i="1" s="1"/>
  <c r="BK334" i="1" s="1"/>
  <c r="BK335" i="1" s="1"/>
  <c r="BK336" i="1" s="1"/>
  <c r="BK337" i="1" s="1"/>
  <c r="BK338" i="1" s="1"/>
  <c r="BK339" i="1" s="1"/>
  <c r="BK340" i="1" s="1"/>
  <c r="BK341" i="1" s="1"/>
  <c r="BK342" i="1" s="1"/>
  <c r="BK343" i="1" s="1"/>
  <c r="BK344" i="1" s="1"/>
  <c r="BK345" i="1" s="1"/>
  <c r="BK346" i="1" s="1"/>
  <c r="BK347" i="1" s="1"/>
  <c r="BK348" i="1" s="1"/>
  <c r="BK349" i="1" s="1"/>
  <c r="BK350" i="1" s="1"/>
  <c r="BK351" i="1" s="1"/>
  <c r="BK352" i="1" s="1"/>
  <c r="BK353" i="1" s="1"/>
  <c r="BK354" i="1" s="1"/>
  <c r="BK355" i="1" s="1"/>
  <c r="BK356" i="1" s="1"/>
  <c r="BK357" i="1" s="1"/>
  <c r="BK358" i="1" s="1"/>
  <c r="BK359" i="1" s="1"/>
  <c r="BK360" i="1" s="1"/>
  <c r="BK361" i="1" s="1"/>
  <c r="BK362" i="1" s="1"/>
  <c r="BK363" i="1" s="1"/>
  <c r="BK364" i="1" s="1"/>
  <c r="BK365" i="1" s="1"/>
  <c r="BK366" i="1" s="1"/>
  <c r="BK367" i="1" s="1"/>
  <c r="BK368" i="1" s="1"/>
  <c r="BK369" i="1" s="1"/>
  <c r="BK370" i="1" s="1"/>
  <c r="BK371" i="1" s="1"/>
  <c r="BK372" i="1" s="1"/>
  <c r="BK373" i="1" s="1"/>
  <c r="BK374" i="1" s="1"/>
  <c r="BK375" i="1" s="1"/>
  <c r="BK376" i="1" s="1"/>
  <c r="BK377" i="1" s="1"/>
  <c r="BK378" i="1" s="1"/>
  <c r="BK379" i="1" s="1"/>
  <c r="BK380" i="1" s="1"/>
  <c r="BK381" i="1" s="1"/>
  <c r="BK382" i="1" s="1"/>
  <c r="BK383" i="1" s="1"/>
  <c r="BK384" i="1" s="1"/>
  <c r="BK385" i="1" s="1"/>
  <c r="BK386" i="1" s="1"/>
  <c r="BK387" i="1" s="1"/>
  <c r="BK388" i="1" s="1"/>
  <c r="BK389" i="1" s="1"/>
  <c r="BK390" i="1" s="1"/>
  <c r="BK391" i="1" s="1"/>
  <c r="BK392" i="1" s="1"/>
  <c r="BK393" i="1" s="1"/>
  <c r="BK394" i="1" s="1"/>
  <c r="BK395" i="1" s="1"/>
  <c r="BK396" i="1" s="1"/>
  <c r="BK397" i="1" s="1"/>
  <c r="BK398" i="1" s="1"/>
  <c r="BK399" i="1" s="1"/>
  <c r="BK400" i="1" s="1"/>
  <c r="BK401" i="1" s="1"/>
  <c r="BK402" i="1" s="1"/>
  <c r="BK403" i="1" s="1"/>
  <c r="BK404" i="1" s="1"/>
  <c r="BK405" i="1" s="1"/>
  <c r="BK406" i="1" s="1"/>
  <c r="BK407" i="1" s="1"/>
  <c r="BK408" i="1" s="1"/>
  <c r="BK409" i="1" s="1"/>
  <c r="BK410" i="1" s="1"/>
  <c r="BK411" i="1" s="1"/>
  <c r="BK412" i="1" s="1"/>
  <c r="BK413" i="1" s="1"/>
  <c r="BK414" i="1" s="1"/>
  <c r="BK415" i="1" s="1"/>
  <c r="BK416" i="1" s="1"/>
  <c r="BK417" i="1" s="1"/>
  <c r="BK418" i="1" s="1"/>
  <c r="BK419" i="1" s="1"/>
  <c r="BK420" i="1" s="1"/>
  <c r="BK421" i="1" s="1"/>
  <c r="BK422" i="1" s="1"/>
  <c r="BK423" i="1" s="1"/>
  <c r="BK424" i="1" s="1"/>
  <c r="BK425" i="1" s="1"/>
  <c r="BK426" i="1" s="1"/>
  <c r="BK427" i="1" s="1"/>
  <c r="BK428" i="1" s="1"/>
  <c r="BK429" i="1" s="1"/>
  <c r="BK430" i="1" s="1"/>
  <c r="BK431" i="1" s="1"/>
  <c r="BK432" i="1" s="1"/>
  <c r="BK433" i="1" s="1"/>
  <c r="BK434" i="1" s="1"/>
  <c r="BK435" i="1" s="1"/>
  <c r="BK436" i="1" s="1"/>
  <c r="BK437" i="1" s="1"/>
  <c r="BK438" i="1" s="1"/>
  <c r="BK439" i="1" s="1"/>
  <c r="BK440" i="1" s="1"/>
  <c r="BK441" i="1" s="1"/>
  <c r="BK442" i="1" s="1"/>
  <c r="BK443" i="1" s="1"/>
  <c r="BK444" i="1" s="1"/>
  <c r="BK445" i="1" s="1"/>
  <c r="BK446" i="1" s="1"/>
  <c r="BK447" i="1" s="1"/>
  <c r="BK448" i="1" s="1"/>
  <c r="BK449" i="1" s="1"/>
  <c r="BK450" i="1" s="1"/>
  <c r="BK451" i="1" s="1"/>
  <c r="BK452" i="1" s="1"/>
  <c r="BK453" i="1" s="1"/>
  <c r="BK454" i="1" s="1"/>
  <c r="BK455" i="1" s="1"/>
  <c r="BK456" i="1" s="1"/>
  <c r="BK457" i="1" s="1"/>
  <c r="BK458" i="1" s="1"/>
  <c r="BK459" i="1" s="1"/>
  <c r="BK460" i="1" s="1"/>
  <c r="BK461" i="1" s="1"/>
  <c r="BK462" i="1" s="1"/>
  <c r="BK463" i="1" s="1"/>
  <c r="BK464" i="1" s="1"/>
  <c r="BK465" i="1" s="1"/>
  <c r="BK466" i="1" s="1"/>
  <c r="BK467" i="1" s="1"/>
  <c r="BK468" i="1" s="1"/>
  <c r="BK469" i="1" s="1"/>
  <c r="BK470" i="1" s="1"/>
  <c r="BK471" i="1" s="1"/>
  <c r="BK472" i="1" s="1"/>
  <c r="BK473" i="1" s="1"/>
  <c r="BK474" i="1" s="1"/>
  <c r="BK475" i="1" s="1"/>
  <c r="BK476" i="1" s="1"/>
  <c r="BK477" i="1" s="1"/>
  <c r="BK478" i="1" s="1"/>
  <c r="BK479" i="1" s="1"/>
  <c r="BK480" i="1" s="1"/>
  <c r="BK481" i="1" s="1"/>
  <c r="BK482" i="1" s="1"/>
  <c r="BK483" i="1" s="1"/>
  <c r="BK484" i="1" s="1"/>
  <c r="BK485" i="1" s="1"/>
  <c r="BK486" i="1" s="1"/>
  <c r="BK487" i="1" s="1"/>
  <c r="BK488" i="1" s="1"/>
  <c r="BK489" i="1" s="1"/>
  <c r="BK490" i="1" s="1"/>
  <c r="BK491" i="1" s="1"/>
  <c r="BK492" i="1" s="1"/>
  <c r="BK493" i="1" s="1"/>
  <c r="BK494" i="1" s="1"/>
  <c r="BK495" i="1" s="1"/>
  <c r="BK496" i="1" s="1"/>
  <c r="BK497" i="1" s="1"/>
  <c r="BK498" i="1" s="1"/>
  <c r="BK499" i="1" s="1"/>
  <c r="BK500" i="1" s="1"/>
  <c r="BK501" i="1" s="1"/>
  <c r="BK502" i="1" s="1"/>
  <c r="BK503" i="1" s="1"/>
  <c r="BK504" i="1" s="1"/>
  <c r="BK505" i="1" s="1"/>
  <c r="BK506" i="1" s="1"/>
  <c r="BK507" i="1" s="1"/>
  <c r="BK508" i="1" s="1"/>
  <c r="BK509" i="1" s="1"/>
  <c r="BK510" i="1" s="1"/>
  <c r="BK511" i="1" s="1"/>
  <c r="BK512" i="1" s="1"/>
  <c r="BK513" i="1" s="1"/>
  <c r="BK514" i="1" s="1"/>
  <c r="BK515" i="1" s="1"/>
  <c r="BK516" i="1" s="1"/>
  <c r="BK517" i="1" s="1"/>
  <c r="BK518" i="1" s="1"/>
  <c r="BK519" i="1" s="1"/>
  <c r="BK520" i="1" s="1"/>
  <c r="BK521" i="1" s="1"/>
  <c r="BK522" i="1" s="1"/>
  <c r="BK523" i="1" s="1"/>
  <c r="BK524" i="1" s="1"/>
  <c r="BK525" i="1" s="1"/>
  <c r="BK526" i="1" s="1"/>
  <c r="BK527" i="1" s="1"/>
  <c r="BK528" i="1" s="1"/>
  <c r="BK529" i="1" s="1"/>
  <c r="BK530" i="1" s="1"/>
  <c r="BK531" i="1" s="1"/>
  <c r="BK532" i="1" s="1"/>
  <c r="BK533" i="1" s="1"/>
  <c r="BK534" i="1" s="1"/>
  <c r="BK535" i="1" s="1"/>
  <c r="BK536" i="1" s="1"/>
  <c r="BK537" i="1" s="1"/>
  <c r="BK538" i="1" s="1"/>
  <c r="BK539" i="1" s="1"/>
  <c r="BK540" i="1" s="1"/>
  <c r="BK541" i="1" s="1"/>
  <c r="BK542" i="1" s="1"/>
  <c r="BK543" i="1" s="1"/>
  <c r="BK544" i="1" s="1"/>
  <c r="BK545" i="1" s="1"/>
  <c r="BK546" i="1" s="1"/>
  <c r="BK547" i="1" s="1"/>
  <c r="BK548" i="1" s="1"/>
  <c r="BK549" i="1" s="1"/>
  <c r="BK550" i="1" s="1"/>
  <c r="BK551" i="1" s="1"/>
  <c r="BK552" i="1" s="1"/>
  <c r="BK553" i="1" s="1"/>
  <c r="BK554" i="1" s="1"/>
  <c r="BK555" i="1" s="1"/>
  <c r="BK556" i="1" s="1"/>
  <c r="BK557" i="1" s="1"/>
  <c r="BK558" i="1" s="1"/>
  <c r="BK559" i="1" s="1"/>
  <c r="BK560" i="1" s="1"/>
  <c r="BK561" i="1" s="1"/>
  <c r="BK562" i="1" s="1"/>
  <c r="BK563" i="1" s="1"/>
  <c r="BK564" i="1" s="1"/>
  <c r="BK565" i="1" s="1"/>
  <c r="BK566" i="1" s="1"/>
  <c r="BK567" i="1" s="1"/>
  <c r="BK568" i="1" s="1"/>
  <c r="BK569" i="1" s="1"/>
  <c r="BK570" i="1" s="1"/>
  <c r="BK571" i="1" s="1"/>
  <c r="BK572" i="1" s="1"/>
  <c r="BK573" i="1" s="1"/>
  <c r="BK574" i="1" s="1"/>
  <c r="BK575" i="1" s="1"/>
  <c r="BK576" i="1" s="1"/>
  <c r="BK577" i="1" s="1"/>
  <c r="BK578" i="1" s="1"/>
  <c r="BK579" i="1" s="1"/>
  <c r="BK580" i="1" s="1"/>
  <c r="BK581" i="1" s="1"/>
  <c r="BK582" i="1" s="1"/>
  <c r="BK583" i="1" s="1"/>
  <c r="BK584" i="1" s="1"/>
  <c r="BK585" i="1" s="1"/>
  <c r="BK586" i="1" s="1"/>
  <c r="BK587" i="1" s="1"/>
  <c r="BK588" i="1" s="1"/>
  <c r="BK589" i="1" s="1"/>
  <c r="BK590" i="1" s="1"/>
  <c r="BK591" i="1" s="1"/>
  <c r="BK592" i="1" s="1"/>
  <c r="BK593" i="1" s="1"/>
  <c r="BK594" i="1" s="1"/>
  <c r="BK595" i="1" s="1"/>
  <c r="BK596" i="1" s="1"/>
  <c r="BK597" i="1" s="1"/>
  <c r="BK598" i="1" s="1"/>
  <c r="BK599" i="1" s="1"/>
  <c r="BK600" i="1" s="1"/>
  <c r="BK601" i="1" s="1"/>
  <c r="BK602" i="1" s="1"/>
  <c r="BK603" i="1" s="1"/>
  <c r="BK604" i="1" s="1"/>
  <c r="BK605" i="1" s="1"/>
  <c r="BK606" i="1" s="1"/>
  <c r="BK607" i="1" s="1"/>
  <c r="BK608" i="1" s="1"/>
  <c r="BK609" i="1" s="1"/>
  <c r="BK610" i="1" s="1"/>
  <c r="BK611" i="1" s="1"/>
  <c r="BK612" i="1" s="1"/>
  <c r="BK613" i="1" s="1"/>
  <c r="BK614" i="1" s="1"/>
  <c r="BK615" i="1" s="1"/>
  <c r="BK616" i="1" s="1"/>
  <c r="BK617" i="1" s="1"/>
  <c r="BK618" i="1" s="1"/>
  <c r="BK619" i="1" s="1"/>
  <c r="BK620" i="1" s="1"/>
  <c r="BK621" i="1" s="1"/>
  <c r="BK622" i="1" s="1"/>
  <c r="BK623" i="1" s="1"/>
  <c r="BK624" i="1" s="1"/>
  <c r="BK625" i="1" s="1"/>
  <c r="BK626" i="1" s="1"/>
  <c r="BK627" i="1" s="1"/>
  <c r="BK628" i="1" s="1"/>
  <c r="BK629" i="1" s="1"/>
  <c r="BK630" i="1" s="1"/>
  <c r="BK631" i="1" s="1"/>
  <c r="BK632" i="1" s="1"/>
  <c r="BK633" i="1" s="1"/>
  <c r="BK634" i="1" s="1"/>
  <c r="BK635" i="1" s="1"/>
  <c r="BK636" i="1" s="1"/>
  <c r="BK637" i="1" s="1"/>
  <c r="BK638" i="1" s="1"/>
  <c r="BK639" i="1" s="1"/>
  <c r="BK640" i="1" s="1"/>
  <c r="BK641" i="1" s="1"/>
  <c r="BK642" i="1" s="1"/>
  <c r="BK643" i="1" s="1"/>
  <c r="BK644" i="1" s="1"/>
  <c r="BK645" i="1" s="1"/>
  <c r="BK646" i="1" s="1"/>
  <c r="BK647" i="1" s="1"/>
  <c r="BK648" i="1" s="1"/>
  <c r="BK649" i="1" s="1"/>
  <c r="BK650" i="1" s="1"/>
  <c r="BK651" i="1" s="1"/>
  <c r="BK652" i="1" s="1"/>
  <c r="BK653" i="1" s="1"/>
  <c r="BK654" i="1" s="1"/>
  <c r="BK655" i="1" s="1"/>
  <c r="BK656" i="1" s="1"/>
  <c r="BK657" i="1" s="1"/>
  <c r="BK658" i="1" s="1"/>
  <c r="BK659" i="1" s="1"/>
  <c r="BK660" i="1" s="1"/>
  <c r="BK661" i="1" s="1"/>
  <c r="BK662" i="1" s="1"/>
  <c r="BK663" i="1" s="1"/>
  <c r="BK664" i="1" s="1"/>
  <c r="BK665" i="1" s="1"/>
  <c r="BK666" i="1" s="1"/>
  <c r="BK667" i="1" s="1"/>
  <c r="BK668" i="1" s="1"/>
  <c r="BK669" i="1" s="1"/>
  <c r="BK670" i="1" s="1"/>
  <c r="BK671" i="1" s="1"/>
  <c r="BK672" i="1" s="1"/>
  <c r="BK673" i="1" s="1"/>
  <c r="BK674" i="1" s="1"/>
  <c r="BK675" i="1" s="1"/>
  <c r="BK676" i="1" s="1"/>
  <c r="BK677" i="1" s="1"/>
  <c r="BK678" i="1" s="1"/>
  <c r="BK679" i="1" s="1"/>
  <c r="BK680" i="1" s="1"/>
  <c r="BK681" i="1" s="1"/>
  <c r="BK682" i="1" s="1"/>
  <c r="BK683" i="1" s="1"/>
  <c r="BK684" i="1" s="1"/>
  <c r="BK685" i="1" s="1"/>
  <c r="BK686" i="1" s="1"/>
  <c r="BK687" i="1" s="1"/>
  <c r="BK688" i="1" s="1"/>
  <c r="BK689" i="1" s="1"/>
  <c r="BK690" i="1" s="1"/>
  <c r="BK691" i="1" s="1"/>
  <c r="BK692" i="1" s="1"/>
  <c r="BK693" i="1" s="1"/>
  <c r="BK694" i="1" s="1"/>
  <c r="BK695" i="1" s="1"/>
  <c r="BK696" i="1" s="1"/>
  <c r="BK697" i="1" s="1"/>
  <c r="BK698" i="1" s="1"/>
  <c r="BK699" i="1" s="1"/>
  <c r="BK700" i="1" s="1"/>
  <c r="BK701" i="1" s="1"/>
  <c r="BK702" i="1" s="1"/>
  <c r="BK703" i="1" s="1"/>
  <c r="BK704" i="1" s="1"/>
  <c r="BK705" i="1" s="1"/>
  <c r="BK706" i="1" s="1"/>
  <c r="BK707" i="1" s="1"/>
  <c r="BK708" i="1" s="1"/>
  <c r="BK709" i="1" s="1"/>
  <c r="BK710" i="1" s="1"/>
  <c r="BK711" i="1" s="1"/>
  <c r="BK712" i="1" s="1"/>
  <c r="BK713" i="1" s="1"/>
  <c r="BK714" i="1" s="1"/>
  <c r="BK715" i="1" s="1"/>
  <c r="BK716" i="1" s="1"/>
  <c r="BK717" i="1" s="1"/>
  <c r="BK718" i="1" s="1"/>
  <c r="BK719" i="1" s="1"/>
  <c r="BK720" i="1" s="1"/>
  <c r="BK721" i="1" s="1"/>
  <c r="BK722" i="1" s="1"/>
  <c r="BK723" i="1" s="1"/>
  <c r="BK724" i="1" s="1"/>
  <c r="BK725" i="1" s="1"/>
  <c r="BK726" i="1" s="1"/>
  <c r="BK727" i="1" s="1"/>
  <c r="BK728" i="1" s="1"/>
  <c r="BK729" i="1" s="1"/>
  <c r="BK730" i="1" s="1"/>
  <c r="BK731" i="1" s="1"/>
  <c r="BK732" i="1" s="1"/>
  <c r="BK733" i="1" s="1"/>
  <c r="BK734" i="1" s="1"/>
  <c r="BK735" i="1" s="1"/>
  <c r="BK736" i="1" s="1"/>
  <c r="BK737" i="1" s="1"/>
  <c r="BK738" i="1" s="1"/>
  <c r="BK739" i="1" s="1"/>
  <c r="BK740" i="1" s="1"/>
  <c r="BK741" i="1" s="1"/>
  <c r="BK742" i="1" s="1"/>
  <c r="BK743" i="1" s="1"/>
  <c r="BK744" i="1" s="1"/>
  <c r="BK745" i="1" s="1"/>
  <c r="BK746" i="1" s="1"/>
  <c r="BK747" i="1" s="1"/>
  <c r="BK748" i="1" s="1"/>
  <c r="BK749" i="1" s="1"/>
  <c r="BK750" i="1" s="1"/>
  <c r="BK751" i="1" s="1"/>
  <c r="BK752" i="1" s="1"/>
  <c r="BK753" i="1" s="1"/>
  <c r="BK754" i="1" s="1"/>
  <c r="BK755" i="1" s="1"/>
  <c r="BK756" i="1" s="1"/>
  <c r="BK757" i="1" s="1"/>
  <c r="BK758" i="1" s="1"/>
  <c r="BK759" i="1" s="1"/>
  <c r="BK760" i="1" s="1"/>
  <c r="BK761" i="1" s="1"/>
  <c r="BK762" i="1" s="1"/>
  <c r="BK763" i="1" s="1"/>
  <c r="BK764" i="1" s="1"/>
  <c r="BK765" i="1" s="1"/>
  <c r="BK766" i="1" s="1"/>
  <c r="BK767" i="1" s="1"/>
  <c r="BK768" i="1" s="1"/>
  <c r="BK769" i="1" s="1"/>
  <c r="BK770" i="1" s="1"/>
  <c r="BK771" i="1" s="1"/>
  <c r="BK772" i="1" s="1"/>
  <c r="BK773" i="1" s="1"/>
  <c r="BK774" i="1" s="1"/>
  <c r="BK775" i="1" s="1"/>
  <c r="BK776" i="1" s="1"/>
  <c r="BK777" i="1" s="1"/>
  <c r="BK778" i="1" s="1"/>
  <c r="BK779" i="1" s="1"/>
  <c r="BK780" i="1" s="1"/>
  <c r="BK781" i="1" s="1"/>
  <c r="BK782" i="1" s="1"/>
  <c r="BK783" i="1" s="1"/>
  <c r="BK784" i="1" s="1"/>
  <c r="BK785" i="1" s="1"/>
  <c r="BK786" i="1" s="1"/>
  <c r="BK787" i="1" s="1"/>
  <c r="BK788" i="1" s="1"/>
  <c r="BK789" i="1" s="1"/>
  <c r="BK790" i="1" s="1"/>
  <c r="BK791" i="1" s="1"/>
  <c r="BK792" i="1" s="1"/>
  <c r="BK793" i="1" s="1"/>
  <c r="BK794" i="1" s="1"/>
  <c r="BK795" i="1" s="1"/>
  <c r="BK796" i="1" s="1"/>
  <c r="BK797" i="1" s="1"/>
  <c r="BK798" i="1" s="1"/>
  <c r="BK799" i="1" s="1"/>
  <c r="BK800" i="1" s="1"/>
  <c r="BK801" i="1" s="1"/>
  <c r="BK802" i="1" s="1"/>
  <c r="BK803" i="1" s="1"/>
  <c r="BK804" i="1" s="1"/>
  <c r="BK805" i="1" s="1"/>
  <c r="BK806" i="1" s="1"/>
  <c r="BK807" i="1" s="1"/>
  <c r="BK808" i="1" s="1"/>
  <c r="BK809" i="1" s="1"/>
  <c r="BK810" i="1" s="1"/>
  <c r="BK811" i="1" s="1"/>
  <c r="BK812" i="1" s="1"/>
  <c r="BK813" i="1" s="1"/>
  <c r="BK814" i="1" s="1"/>
  <c r="BK815" i="1" s="1"/>
  <c r="BK816" i="1" s="1"/>
  <c r="BK817" i="1" s="1"/>
  <c r="BK818" i="1" s="1"/>
  <c r="BK819" i="1" s="1"/>
  <c r="BK820" i="1" s="1"/>
  <c r="BK821" i="1" s="1"/>
  <c r="BK822" i="1" s="1"/>
  <c r="BK823" i="1" s="1"/>
  <c r="BK824" i="1" s="1"/>
  <c r="BK825" i="1" s="1"/>
  <c r="BK826" i="1" s="1"/>
  <c r="BK827" i="1" s="1"/>
  <c r="BK828" i="1" s="1"/>
  <c r="BK829" i="1" s="1"/>
  <c r="BK830" i="1" s="1"/>
  <c r="BK831" i="1" s="1"/>
  <c r="BK832" i="1" s="1"/>
  <c r="BK833" i="1" s="1"/>
  <c r="BK834" i="1" s="1"/>
  <c r="BK835" i="1" s="1"/>
  <c r="BK836" i="1" s="1"/>
  <c r="BK837" i="1" s="1"/>
  <c r="BK838" i="1" s="1"/>
  <c r="BK839" i="1" s="1"/>
  <c r="BK840" i="1" s="1"/>
  <c r="BK841" i="1" s="1"/>
  <c r="BK842" i="1" s="1"/>
  <c r="BK843" i="1" s="1"/>
  <c r="BK844" i="1" s="1"/>
  <c r="BK845" i="1" s="1"/>
  <c r="BK846" i="1" s="1"/>
  <c r="BK847" i="1" s="1"/>
  <c r="BK848" i="1" s="1"/>
  <c r="BK849" i="1" s="1"/>
  <c r="BK850" i="1" s="1"/>
  <c r="BK851" i="1" s="1"/>
  <c r="BK852" i="1" s="1"/>
  <c r="BK853" i="1" s="1"/>
  <c r="BK854" i="1" s="1"/>
  <c r="BK855" i="1" s="1"/>
  <c r="BK856" i="1" s="1"/>
  <c r="BK857" i="1" s="1"/>
  <c r="BK858" i="1" s="1"/>
  <c r="BK859" i="1" s="1"/>
  <c r="BK860" i="1" s="1"/>
  <c r="BK861" i="1" s="1"/>
  <c r="BK862" i="1" s="1"/>
  <c r="BK863" i="1" s="1"/>
  <c r="BK864" i="1" s="1"/>
  <c r="BK865" i="1" s="1"/>
  <c r="BK866" i="1" s="1"/>
  <c r="BK867" i="1" s="1"/>
  <c r="BK868" i="1" s="1"/>
  <c r="BK869" i="1" s="1"/>
  <c r="BK870" i="1" s="1"/>
  <c r="BK871" i="1" s="1"/>
  <c r="BK872" i="1" s="1"/>
  <c r="BK873" i="1" s="1"/>
  <c r="BK874" i="1" s="1"/>
  <c r="BK875" i="1" s="1"/>
  <c r="BK876" i="1" s="1"/>
  <c r="BK877" i="1" s="1"/>
  <c r="BK878" i="1" s="1"/>
  <c r="BK879" i="1" s="1"/>
  <c r="BK880" i="1" s="1"/>
  <c r="BK881" i="1" s="1"/>
  <c r="BK882" i="1" s="1"/>
  <c r="BK883" i="1" s="1"/>
  <c r="BK884" i="1" s="1"/>
  <c r="BK885" i="1" s="1"/>
  <c r="BK886" i="1" s="1"/>
  <c r="BK887" i="1" s="1"/>
  <c r="BK888" i="1" s="1"/>
  <c r="BK889" i="1" s="1"/>
  <c r="BK890" i="1" s="1"/>
  <c r="BK891" i="1" s="1"/>
  <c r="BK892" i="1" s="1"/>
  <c r="BK893" i="1" s="1"/>
  <c r="BK894" i="1" s="1"/>
  <c r="BK895" i="1" s="1"/>
  <c r="BK896" i="1" s="1"/>
  <c r="BK897" i="1" s="1"/>
  <c r="BK898" i="1" s="1"/>
  <c r="BK899" i="1" s="1"/>
  <c r="BK900" i="1" s="1"/>
  <c r="BK901" i="1" s="1"/>
  <c r="BK902" i="1" s="1"/>
  <c r="BK903" i="1" s="1"/>
  <c r="BK904" i="1" s="1"/>
  <c r="BK905" i="1" s="1"/>
  <c r="BK906" i="1" s="1"/>
  <c r="BK907" i="1" s="1"/>
  <c r="BK908" i="1" s="1"/>
  <c r="BK909" i="1" s="1"/>
  <c r="BK910" i="1" s="1"/>
  <c r="BK911" i="1" s="1"/>
  <c r="BK912" i="1" s="1"/>
  <c r="BK913" i="1" s="1"/>
  <c r="BK914" i="1" s="1"/>
  <c r="BK915" i="1" s="1"/>
  <c r="BK916" i="1" s="1"/>
  <c r="BK917" i="1" s="1"/>
  <c r="BK918" i="1" s="1"/>
  <c r="BK919" i="1" s="1"/>
  <c r="BK920" i="1" s="1"/>
  <c r="BK921" i="1" s="1"/>
  <c r="BK922" i="1" s="1"/>
  <c r="BK923" i="1" s="1"/>
  <c r="BK924" i="1" s="1"/>
  <c r="BK925" i="1" s="1"/>
  <c r="BK926" i="1" s="1"/>
  <c r="BK927" i="1" s="1"/>
  <c r="BK928" i="1" s="1"/>
  <c r="BK929" i="1" s="1"/>
  <c r="BK930" i="1" s="1"/>
  <c r="BK931" i="1" s="1"/>
  <c r="BK932" i="1" s="1"/>
  <c r="BK933" i="1" s="1"/>
  <c r="BK934" i="1" s="1"/>
  <c r="BK935" i="1" s="1"/>
  <c r="BK936" i="1" s="1"/>
  <c r="BK937" i="1" s="1"/>
  <c r="BK938" i="1" s="1"/>
  <c r="BK939" i="1" s="1"/>
  <c r="BK940" i="1" s="1"/>
  <c r="BK941" i="1" s="1"/>
  <c r="BK942" i="1" s="1"/>
  <c r="BK943" i="1" s="1"/>
  <c r="BK944" i="1" s="1"/>
  <c r="BK945" i="1" s="1"/>
  <c r="BK946" i="1" s="1"/>
  <c r="BK947" i="1" s="1"/>
  <c r="BK948" i="1" s="1"/>
  <c r="BK949" i="1" s="1"/>
  <c r="BK950" i="1" s="1"/>
  <c r="BK951" i="1" s="1"/>
  <c r="BK952" i="1" s="1"/>
  <c r="BK953" i="1" s="1"/>
  <c r="BK954" i="1" s="1"/>
  <c r="BK955" i="1" s="1"/>
  <c r="BK956" i="1" s="1"/>
  <c r="BK957" i="1" s="1"/>
  <c r="BK958" i="1" s="1"/>
  <c r="BK959" i="1" s="1"/>
  <c r="BK960" i="1" s="1"/>
  <c r="BK961" i="1" s="1"/>
  <c r="BK962" i="1" s="1"/>
  <c r="BK963" i="1" s="1"/>
  <c r="BK964" i="1" s="1"/>
  <c r="BK965" i="1" s="1"/>
  <c r="BK966" i="1" s="1"/>
  <c r="BK967" i="1" s="1"/>
  <c r="BK968" i="1" s="1"/>
  <c r="BK969" i="1" s="1"/>
  <c r="BK970" i="1" s="1"/>
  <c r="BK971" i="1" s="1"/>
  <c r="BK972" i="1" s="1"/>
  <c r="BK973" i="1" s="1"/>
  <c r="BK974" i="1" s="1"/>
  <c r="BK975" i="1" s="1"/>
  <c r="BK976" i="1" s="1"/>
  <c r="BK977" i="1" s="1"/>
  <c r="BK978" i="1" s="1"/>
  <c r="BK979" i="1" s="1"/>
  <c r="BK980" i="1" s="1"/>
  <c r="BK981" i="1" s="1"/>
  <c r="BK982" i="1" s="1"/>
  <c r="BK983" i="1" s="1"/>
  <c r="BK984" i="1" s="1"/>
  <c r="BK985" i="1" s="1"/>
  <c r="BK986" i="1" s="1"/>
  <c r="BK987" i="1" s="1"/>
  <c r="BK988" i="1" s="1"/>
  <c r="BK989" i="1" s="1"/>
  <c r="BK990" i="1" s="1"/>
  <c r="BK991" i="1" s="1"/>
  <c r="BK992" i="1" s="1"/>
  <c r="BK993" i="1" s="1"/>
  <c r="BK994" i="1" s="1"/>
  <c r="BK995" i="1" s="1"/>
  <c r="BK996" i="1" s="1"/>
  <c r="BK997" i="1" s="1"/>
  <c r="BK998" i="1" s="1"/>
  <c r="BK999" i="1" s="1"/>
  <c r="BK1000" i="1" s="1"/>
  <c r="BK1001" i="1" s="1"/>
  <c r="BK1002" i="1" s="1"/>
  <c r="BK1003" i="1" s="1"/>
  <c r="BK1004" i="1" s="1"/>
  <c r="BK1005" i="1" s="1"/>
  <c r="BK1006" i="1" s="1"/>
  <c r="BK1007" i="1" s="1"/>
  <c r="BK1008" i="1" s="1"/>
  <c r="BK1009" i="1" s="1"/>
  <c r="BK1010" i="1" s="1"/>
  <c r="BK1011" i="1" s="1"/>
  <c r="BK1012" i="1" s="1"/>
  <c r="BK1013" i="1" s="1"/>
  <c r="BK1014" i="1" s="1"/>
  <c r="BK1015" i="1" s="1"/>
  <c r="BK1016" i="1" s="1"/>
  <c r="BK1017" i="1" s="1"/>
  <c r="BK1018" i="1" s="1"/>
  <c r="BK1019" i="1" s="1"/>
  <c r="BK1020" i="1" s="1"/>
  <c r="BK1021" i="1" s="1"/>
  <c r="BK1022" i="1" s="1"/>
  <c r="BK1023" i="1" s="1"/>
  <c r="BK1024" i="1" s="1"/>
  <c r="BK1025" i="1" s="1"/>
  <c r="BK1026" i="1" s="1"/>
  <c r="BK1027" i="1" s="1"/>
  <c r="BK1028" i="1" s="1"/>
  <c r="BK1029" i="1" s="1"/>
  <c r="BK1030" i="1" s="1"/>
  <c r="BK1031" i="1" s="1"/>
  <c r="BK1032" i="1" s="1"/>
  <c r="BK1033" i="1" s="1"/>
  <c r="BK1034" i="1" s="1"/>
  <c r="BK1035" i="1" s="1"/>
  <c r="BK1036" i="1" s="1"/>
  <c r="BK1037" i="1" s="1"/>
  <c r="BK1038" i="1" s="1"/>
  <c r="BK1039" i="1" s="1"/>
  <c r="BK1040" i="1" s="1"/>
  <c r="BK1041" i="1" s="1"/>
  <c r="BK1042" i="1" s="1"/>
  <c r="BK1043" i="1" s="1"/>
  <c r="BK1044" i="1" s="1"/>
  <c r="BK1045" i="1" s="1"/>
  <c r="BK1046" i="1" s="1"/>
  <c r="BK1047" i="1" s="1"/>
  <c r="BK1048" i="1" s="1"/>
  <c r="BK1049" i="1" s="1"/>
  <c r="BK1050" i="1" s="1"/>
  <c r="BK1051" i="1" s="1"/>
  <c r="BK1052" i="1" s="1"/>
  <c r="BK1053" i="1" s="1"/>
  <c r="BK1054" i="1" s="1"/>
  <c r="BK1055" i="1" s="1"/>
  <c r="BK1056" i="1" s="1"/>
  <c r="BK1057" i="1" s="1"/>
  <c r="BK1058" i="1" s="1"/>
  <c r="BK1059" i="1" s="1"/>
  <c r="BK1060" i="1" s="1"/>
  <c r="BK1061" i="1" s="1"/>
  <c r="BK1062" i="1" s="1"/>
  <c r="BK1063" i="1" s="1"/>
  <c r="BK1064" i="1" s="1"/>
  <c r="BK1065" i="1" s="1"/>
  <c r="BK1066" i="1" s="1"/>
  <c r="BK1067" i="1" s="1"/>
  <c r="BK1068" i="1" s="1"/>
  <c r="BK1069" i="1" s="1"/>
  <c r="BK1070" i="1" s="1"/>
  <c r="BK1071" i="1" s="1"/>
  <c r="BK1072" i="1" s="1"/>
  <c r="BK1073" i="1" s="1"/>
  <c r="BK1074" i="1" s="1"/>
  <c r="BK1075" i="1" s="1"/>
  <c r="BK1076" i="1" s="1"/>
  <c r="BK1077" i="1" s="1"/>
  <c r="BK1078" i="1" s="1"/>
  <c r="BK1079" i="1" s="1"/>
  <c r="BK1080" i="1" s="1"/>
  <c r="BK1081" i="1" s="1"/>
  <c r="BK1082" i="1" s="1"/>
  <c r="BK1083" i="1" s="1"/>
  <c r="BK1084" i="1" s="1"/>
  <c r="BK1085" i="1" s="1"/>
  <c r="BK1086" i="1" s="1"/>
  <c r="BK1087" i="1" s="1"/>
  <c r="BK1088" i="1" s="1"/>
  <c r="BK1089" i="1" s="1"/>
  <c r="BK1090" i="1" s="1"/>
  <c r="BK1091" i="1" s="1"/>
  <c r="BK1092" i="1" s="1"/>
  <c r="BK1093" i="1" s="1"/>
  <c r="BK1094" i="1" s="1"/>
  <c r="BK1095" i="1" s="1"/>
  <c r="BK1096" i="1" s="1"/>
  <c r="BK1097" i="1" s="1"/>
  <c r="BK1098" i="1" s="1"/>
  <c r="BK1099" i="1" s="1"/>
  <c r="BK1100" i="1" s="1"/>
  <c r="BK1101" i="1" s="1"/>
  <c r="BK1102" i="1" s="1"/>
  <c r="BK1103" i="1" s="1"/>
  <c r="BK1104" i="1" s="1"/>
  <c r="BK1105" i="1" s="1"/>
  <c r="BK1106" i="1" s="1"/>
  <c r="BK1107" i="1" s="1"/>
  <c r="BK1108" i="1" s="1"/>
  <c r="BK1109" i="1" s="1"/>
  <c r="BK1110" i="1" s="1"/>
  <c r="BK1111" i="1" s="1"/>
  <c r="BK1112" i="1" s="1"/>
  <c r="BK1113" i="1" s="1"/>
  <c r="BK1114" i="1" s="1"/>
  <c r="BK1115" i="1" s="1"/>
  <c r="BK1116" i="1" s="1"/>
  <c r="BK1117" i="1" s="1"/>
  <c r="BK1118" i="1" s="1"/>
  <c r="BK1119" i="1" s="1"/>
  <c r="BK1120" i="1" s="1"/>
  <c r="BK1121" i="1" s="1"/>
  <c r="BK1122" i="1" s="1"/>
  <c r="BK1123" i="1" s="1"/>
  <c r="BK1124" i="1" s="1"/>
  <c r="BK1125" i="1" s="1"/>
  <c r="BK1126" i="1" s="1"/>
  <c r="BK1127" i="1" s="1"/>
  <c r="BK1128" i="1" s="1"/>
  <c r="BK1129" i="1" s="1"/>
  <c r="BK1130" i="1" s="1"/>
  <c r="BK1131" i="1" s="1"/>
  <c r="BK1132" i="1" s="1"/>
  <c r="BK1133" i="1" s="1"/>
  <c r="BK1134" i="1" s="1"/>
  <c r="BK1135" i="1" s="1"/>
  <c r="BK1136" i="1" s="1"/>
  <c r="BK1137" i="1" s="1"/>
  <c r="BK1138" i="1" s="1"/>
  <c r="BK1139" i="1" s="1"/>
  <c r="BK1140" i="1" s="1"/>
  <c r="BK1141" i="1" s="1"/>
  <c r="BK1142" i="1" s="1"/>
  <c r="BK1143" i="1" s="1"/>
  <c r="BK1144" i="1" s="1"/>
  <c r="BK1145" i="1" s="1"/>
  <c r="BK1146" i="1" s="1"/>
  <c r="BK1147" i="1" s="1"/>
  <c r="BK1148" i="1" s="1"/>
  <c r="BK1149" i="1" s="1"/>
  <c r="BK1150" i="1" s="1"/>
  <c r="BK1151" i="1" s="1"/>
  <c r="BK1152" i="1" s="1"/>
  <c r="BK1153" i="1" s="1"/>
  <c r="BK1154" i="1" s="1"/>
  <c r="BK1155" i="1" s="1"/>
  <c r="BK1156" i="1" s="1"/>
  <c r="BK1157" i="1" s="1"/>
  <c r="BK1158" i="1" s="1"/>
  <c r="BK1159" i="1" s="1"/>
  <c r="BK1160" i="1" s="1"/>
  <c r="BK1161" i="1" s="1"/>
  <c r="BK1162" i="1" s="1"/>
  <c r="BK1163" i="1" s="1"/>
  <c r="BK1164" i="1" s="1"/>
  <c r="BK1165" i="1" s="1"/>
  <c r="BK1166" i="1" s="1"/>
  <c r="BK1167" i="1" s="1"/>
  <c r="BK1168" i="1" s="1"/>
  <c r="BK1169" i="1" s="1"/>
  <c r="BK1170" i="1" s="1"/>
  <c r="BK1171" i="1" s="1"/>
  <c r="BK1172" i="1" s="1"/>
  <c r="BK1173" i="1" s="1"/>
  <c r="BK1174" i="1" s="1"/>
  <c r="BK1175" i="1" s="1"/>
  <c r="BK1176" i="1" s="1"/>
  <c r="BK1177" i="1" s="1"/>
  <c r="BK1178" i="1" s="1"/>
  <c r="BK1179" i="1" s="1"/>
  <c r="BK1180" i="1" s="1"/>
  <c r="BK1181" i="1" s="1"/>
  <c r="BK1182" i="1" s="1"/>
  <c r="BK1183" i="1" s="1"/>
  <c r="BK1184" i="1" s="1"/>
  <c r="BK1185" i="1" s="1"/>
  <c r="BK1186" i="1" s="1"/>
  <c r="BK1187" i="1" s="1"/>
  <c r="BK1188" i="1" s="1"/>
  <c r="BK1189" i="1" s="1"/>
  <c r="BK1190" i="1" s="1"/>
  <c r="BK1191" i="1" s="1"/>
  <c r="BK1192" i="1" s="1"/>
  <c r="BK1193" i="1" s="1"/>
  <c r="BK1194" i="1" s="1"/>
  <c r="BK1195" i="1" s="1"/>
  <c r="BK1196" i="1" s="1"/>
  <c r="BK1197" i="1" s="1"/>
  <c r="BK1198" i="1" s="1"/>
  <c r="BK1199" i="1" s="1"/>
  <c r="BK1200" i="1" s="1"/>
  <c r="BK1201" i="1" s="1"/>
  <c r="BK1202" i="1" s="1"/>
  <c r="BK1203" i="1" s="1"/>
  <c r="BK1204" i="1" s="1"/>
  <c r="BK1205" i="1" s="1"/>
  <c r="BK1206" i="1" s="1"/>
  <c r="BK1207" i="1" s="1"/>
  <c r="BK1208" i="1" s="1"/>
  <c r="BK1209" i="1" s="1"/>
  <c r="BK1210" i="1" s="1"/>
  <c r="BK1211" i="1" s="1"/>
  <c r="BK1212" i="1" s="1"/>
  <c r="BK1213" i="1" s="1"/>
  <c r="BK1214" i="1" s="1"/>
  <c r="BK1215" i="1" s="1"/>
  <c r="BK1216" i="1" s="1"/>
  <c r="BK1217" i="1" s="1"/>
  <c r="BK1218" i="1" s="1"/>
  <c r="BK1219" i="1" s="1"/>
  <c r="BK1220" i="1" s="1"/>
  <c r="BK1221" i="1" s="1"/>
  <c r="BK1222" i="1" s="1"/>
  <c r="BK1223" i="1" s="1"/>
  <c r="BK1224" i="1" s="1"/>
  <c r="BK1225" i="1" s="1"/>
  <c r="BK1226" i="1" s="1"/>
  <c r="BK1227" i="1" s="1"/>
  <c r="BK1228" i="1" s="1"/>
  <c r="BK1229" i="1" s="1"/>
  <c r="BK1230" i="1" s="1"/>
  <c r="BK1231" i="1" s="1"/>
  <c r="BK1232" i="1" s="1"/>
  <c r="BK1233" i="1" s="1"/>
  <c r="BK1234" i="1" s="1"/>
  <c r="BK1235" i="1" s="1"/>
  <c r="BK1236" i="1" s="1"/>
  <c r="BK1237" i="1" s="1"/>
  <c r="BK1238" i="1" s="1"/>
  <c r="BK1239" i="1" s="1"/>
  <c r="BK1240" i="1" s="1"/>
  <c r="BK1241" i="1" s="1"/>
  <c r="BK1242" i="1" s="1"/>
  <c r="BK1243" i="1" s="1"/>
  <c r="BK1244" i="1" s="1"/>
  <c r="BK1245" i="1" s="1"/>
  <c r="BK1246" i="1" s="1"/>
  <c r="BK1247" i="1" s="1"/>
  <c r="BK1248" i="1" s="1"/>
  <c r="BK1249" i="1" s="1"/>
  <c r="BK1250" i="1" s="1"/>
  <c r="BK1251" i="1" s="1"/>
  <c r="BK1252" i="1" s="1"/>
  <c r="BK1253" i="1" s="1"/>
  <c r="BK1254" i="1" s="1"/>
  <c r="BK1255" i="1" s="1"/>
  <c r="BK1256" i="1" s="1"/>
  <c r="BK1257" i="1" s="1"/>
  <c r="BK1258" i="1" s="1"/>
  <c r="BK1259" i="1" s="1"/>
  <c r="BK1260" i="1" s="1"/>
  <c r="BK1261" i="1" s="1"/>
  <c r="BK1262" i="1" s="1"/>
  <c r="BK1263" i="1" s="1"/>
  <c r="BK1264" i="1" s="1"/>
  <c r="BK1265" i="1" s="1"/>
  <c r="BK1266" i="1" s="1"/>
  <c r="BK1267" i="1" s="1"/>
  <c r="BK1268" i="1" s="1"/>
  <c r="BK1269" i="1" s="1"/>
  <c r="BK1270" i="1" s="1"/>
  <c r="BK1271" i="1" s="1"/>
  <c r="BK1272" i="1" s="1"/>
  <c r="BK1273" i="1" s="1"/>
  <c r="BK1274" i="1" s="1"/>
  <c r="BK1275" i="1" s="1"/>
  <c r="BK1276" i="1" s="1"/>
  <c r="BK1277" i="1" s="1"/>
  <c r="BK1278" i="1" s="1"/>
  <c r="BK1279" i="1" s="1"/>
  <c r="BK1280" i="1" s="1"/>
  <c r="BK1281" i="1" s="1"/>
  <c r="BK1282" i="1" s="1"/>
  <c r="BK1283" i="1" s="1"/>
  <c r="BK1284" i="1" s="1"/>
  <c r="BK1285" i="1" s="1"/>
  <c r="BK1286" i="1" s="1"/>
  <c r="BK1287" i="1" s="1"/>
  <c r="BK1288" i="1" s="1"/>
  <c r="BK1289" i="1" s="1"/>
  <c r="BK1290" i="1" s="1"/>
  <c r="BK1291" i="1" s="1"/>
  <c r="BK1292" i="1" s="1"/>
  <c r="BK1293" i="1" s="1"/>
  <c r="BK1294" i="1" s="1"/>
  <c r="BK1295" i="1" s="1"/>
  <c r="BK1296" i="1" s="1"/>
  <c r="BK1297" i="1" s="1"/>
  <c r="BK1298" i="1" s="1"/>
  <c r="BK1299" i="1" s="1"/>
  <c r="BK1300" i="1" s="1"/>
  <c r="BK1301" i="1" s="1"/>
  <c r="BK1302" i="1" s="1"/>
  <c r="BK1303" i="1" s="1"/>
  <c r="BK1304" i="1" s="1"/>
  <c r="BK1305" i="1" s="1"/>
  <c r="BK1306" i="1" s="1"/>
  <c r="BK1307" i="1" s="1"/>
  <c r="BK1308" i="1" s="1"/>
  <c r="BK1309" i="1" s="1"/>
  <c r="BK1310" i="1" s="1"/>
  <c r="BK1311" i="1" s="1"/>
  <c r="BK1312" i="1" s="1"/>
  <c r="BK1313" i="1" s="1"/>
  <c r="BK1314" i="1" s="1"/>
  <c r="BK1315" i="1" s="1"/>
  <c r="BK1316" i="1" s="1"/>
  <c r="BK1317" i="1" s="1"/>
  <c r="BK1318" i="1" s="1"/>
  <c r="BK1319" i="1" s="1"/>
  <c r="BK1320" i="1" s="1"/>
  <c r="BK1321" i="1" s="1"/>
  <c r="BK1322" i="1" s="1"/>
  <c r="BK1323" i="1" s="1"/>
  <c r="BK1324" i="1" s="1"/>
  <c r="BK1325" i="1" s="1"/>
  <c r="BK1326" i="1" s="1"/>
  <c r="BK1327" i="1" s="1"/>
  <c r="BK1328" i="1" s="1"/>
  <c r="BK1329" i="1" s="1"/>
  <c r="BK1330" i="1" s="1"/>
  <c r="BK1331" i="1" s="1"/>
  <c r="BK1332" i="1" s="1"/>
  <c r="BK1333" i="1" s="1"/>
  <c r="BK1334" i="1" s="1"/>
  <c r="BK1335" i="1" s="1"/>
  <c r="BK1336" i="1" s="1"/>
  <c r="BK1337" i="1" s="1"/>
  <c r="BK1338" i="1" s="1"/>
  <c r="BK1339" i="1" s="1"/>
  <c r="BK1340" i="1" s="1"/>
  <c r="BK1341" i="1" s="1"/>
  <c r="BK1342" i="1" s="1"/>
  <c r="BK1343" i="1" s="1"/>
  <c r="BK1344" i="1" s="1"/>
  <c r="BK1345" i="1" s="1"/>
  <c r="BK1346" i="1" s="1"/>
  <c r="BK1347" i="1" s="1"/>
  <c r="BK1348" i="1" s="1"/>
  <c r="BK1349" i="1" s="1"/>
  <c r="BK1350" i="1" s="1"/>
  <c r="BK1351" i="1" s="1"/>
  <c r="BK1352" i="1" s="1"/>
  <c r="BK1353" i="1" s="1"/>
  <c r="BK1354" i="1" s="1"/>
  <c r="BK1355" i="1" s="1"/>
  <c r="BK1356" i="1" s="1"/>
  <c r="BK1357" i="1" s="1"/>
  <c r="BK1358" i="1" s="1"/>
  <c r="BK1359" i="1" s="1"/>
  <c r="BK1360" i="1" s="1"/>
  <c r="BK1361" i="1" s="1"/>
  <c r="BK1362" i="1" s="1"/>
  <c r="BK1363" i="1" s="1"/>
  <c r="BK1364" i="1" s="1"/>
  <c r="BK1365" i="1" s="1"/>
  <c r="BK1366" i="1" s="1"/>
  <c r="BK1367" i="1" s="1"/>
  <c r="BK1368" i="1" s="1"/>
  <c r="BK1369" i="1" s="1"/>
  <c r="BK1370" i="1" s="1"/>
  <c r="BK1371" i="1" s="1"/>
  <c r="BK1372" i="1" s="1"/>
  <c r="BK1373" i="1" s="1"/>
  <c r="BK1374" i="1" s="1"/>
  <c r="BK1375" i="1" s="1"/>
  <c r="BK1376" i="1" s="1"/>
  <c r="BK1377" i="1" s="1"/>
  <c r="BK1378" i="1" s="1"/>
  <c r="BK1379" i="1" s="1"/>
  <c r="BK1380" i="1" s="1"/>
  <c r="BK1381" i="1" s="1"/>
  <c r="BK1382" i="1" s="1"/>
  <c r="BK1383" i="1" s="1"/>
  <c r="BK1384" i="1" s="1"/>
  <c r="BK1385" i="1" s="1"/>
  <c r="BK1386" i="1" s="1"/>
  <c r="BK1387" i="1" s="1"/>
  <c r="BK1388" i="1" s="1"/>
  <c r="BK1389" i="1" s="1"/>
  <c r="BK1390" i="1" s="1"/>
  <c r="BK1391" i="1" s="1"/>
  <c r="BK1392" i="1" s="1"/>
  <c r="BK1393" i="1" s="1"/>
  <c r="BK1394" i="1" s="1"/>
  <c r="BK1395" i="1" s="1"/>
  <c r="BK1396" i="1" s="1"/>
  <c r="BK1397" i="1" s="1"/>
  <c r="BK1398" i="1" s="1"/>
  <c r="BK1399" i="1" s="1"/>
  <c r="BK1400" i="1" s="1"/>
  <c r="BK1401" i="1" s="1"/>
  <c r="BK1402" i="1" s="1"/>
  <c r="BK1403" i="1" s="1"/>
  <c r="BK1404" i="1" s="1"/>
  <c r="BK1405" i="1" s="1"/>
  <c r="BK1406" i="1" s="1"/>
  <c r="BK1407" i="1" s="1"/>
  <c r="BK1408" i="1" s="1"/>
  <c r="BK1409" i="1" s="1"/>
  <c r="BK1410" i="1" s="1"/>
  <c r="BK1411" i="1" s="1"/>
  <c r="BK1412" i="1" s="1"/>
  <c r="BK1413" i="1" s="1"/>
  <c r="BK1414" i="1" s="1"/>
  <c r="BK1415" i="1" s="1"/>
  <c r="BK1416" i="1" s="1"/>
  <c r="BK1417" i="1" s="1"/>
  <c r="BK1418" i="1" s="1"/>
  <c r="BK1419" i="1" s="1"/>
  <c r="BK1420" i="1" s="1"/>
  <c r="BK1421" i="1" s="1"/>
  <c r="BK1422" i="1" s="1"/>
  <c r="BK1423" i="1" s="1"/>
  <c r="BK1424" i="1" s="1"/>
  <c r="BK1425" i="1" s="1"/>
  <c r="BK1426" i="1" s="1"/>
  <c r="BK1427" i="1" s="1"/>
  <c r="BK1428" i="1" s="1"/>
  <c r="BK1429" i="1" s="1"/>
  <c r="BK1430" i="1" s="1"/>
  <c r="BK1431" i="1" s="1"/>
  <c r="BK1432" i="1" s="1"/>
  <c r="BK1433" i="1" s="1"/>
  <c r="BK1434" i="1" s="1"/>
  <c r="BK1435" i="1" s="1"/>
  <c r="BK1436" i="1" s="1"/>
  <c r="BK1437" i="1" s="1"/>
  <c r="BK1438" i="1" s="1"/>
  <c r="BK1439" i="1" s="1"/>
  <c r="BK1440" i="1" s="1"/>
  <c r="BK1441" i="1" s="1"/>
  <c r="BK1442" i="1" s="1"/>
  <c r="BK1443" i="1" s="1"/>
  <c r="BK1444" i="1" s="1"/>
  <c r="BK1445" i="1" s="1"/>
  <c r="BK1446" i="1" s="1"/>
  <c r="BK1447" i="1" s="1"/>
  <c r="BK1448" i="1" s="1"/>
  <c r="BK1449" i="1" s="1"/>
  <c r="BK1450" i="1" s="1"/>
  <c r="BK1451" i="1" s="1"/>
  <c r="BK1452" i="1" s="1"/>
  <c r="BK1453" i="1" s="1"/>
  <c r="BK1454" i="1" s="1"/>
  <c r="BK1455" i="1" s="1"/>
  <c r="BK1456" i="1" s="1"/>
  <c r="BK1457" i="1" s="1"/>
  <c r="BK1458" i="1" s="1"/>
  <c r="BK1459" i="1" s="1"/>
  <c r="BK1460" i="1" s="1"/>
  <c r="BK1461" i="1" s="1"/>
  <c r="BK1462" i="1" s="1"/>
  <c r="BK1463" i="1" s="1"/>
  <c r="BK1464" i="1" s="1"/>
  <c r="BK1465" i="1" s="1"/>
  <c r="BK1466" i="1" s="1"/>
  <c r="BK1467" i="1" s="1"/>
  <c r="BK1468" i="1" s="1"/>
  <c r="BK1469" i="1" s="1"/>
  <c r="BK1470" i="1" s="1"/>
  <c r="AU18" i="1"/>
  <c r="Q908" i="1"/>
  <c r="P908" i="1"/>
  <c r="O908" i="1"/>
  <c r="BZ2" i="1"/>
  <c r="BX2" i="1" s="1"/>
  <c r="AV38" i="1"/>
  <c r="AY5" i="1"/>
  <c r="AU38" i="1"/>
  <c r="AU21" i="1" s="1"/>
  <c r="AY6" i="1"/>
  <c r="AV21" i="1"/>
  <c r="AY7" i="1"/>
  <c r="AO1016" i="1" s="1" a="1"/>
  <c r="AO1016" i="1" s="1"/>
  <c r="AO1079" i="1" a="1"/>
  <c r="AO1079" i="1" s="1"/>
  <c r="BP4" i="1"/>
  <c r="AO909" i="1" l="1" a="1"/>
  <c r="AO909" i="1" s="1"/>
  <c r="AP909" i="1" s="1"/>
  <c r="AQ909" i="1" s="1"/>
  <c r="S908" i="1" a="1"/>
  <c r="S908" i="1" s="1"/>
  <c r="AO1408" i="1" a="1"/>
  <c r="AO1408" i="1" s="1"/>
  <c r="R908" i="1" a="1"/>
  <c r="R908" i="1" s="1"/>
  <c r="AO1338" i="1" a="1"/>
  <c r="AO1338" i="1" s="1"/>
  <c r="AV36" i="1" a="1"/>
  <c r="AV36" i="1" s="1"/>
  <c r="AO1282" i="1" a="1"/>
  <c r="AO1282" i="1" s="1"/>
  <c r="AO1156" i="1" a="1"/>
  <c r="AO1156" i="1" s="1"/>
  <c r="AO1144" i="1" a="1"/>
  <c r="AO1144" i="1" s="1"/>
  <c r="AO1457" i="1" a="1"/>
  <c r="AO1457" i="1" s="1"/>
  <c r="AO1263" i="1" a="1"/>
  <c r="AO1263" i="1" s="1"/>
  <c r="AO1035" i="1" a="1"/>
  <c r="AO1035" i="1" s="1"/>
  <c r="AO1318" i="1" a="1"/>
  <c r="AO1318" i="1" s="1"/>
  <c r="AO1164" i="1" a="1"/>
  <c r="AO1164" i="1" s="1"/>
  <c r="AO1441" i="1" a="1"/>
  <c r="AO1441" i="1" s="1"/>
  <c r="AO1354" i="1" a="1"/>
  <c r="AO1354" i="1" s="1"/>
  <c r="AO1112" i="1" a="1"/>
  <c r="AO1112" i="1" s="1"/>
  <c r="AO1288" i="1" a="1"/>
  <c r="AO1288" i="1" s="1"/>
  <c r="AO1023" i="1" a="1"/>
  <c r="AO1023" i="1" s="1"/>
  <c r="AO1452" i="1" a="1"/>
  <c r="AO1452" i="1" s="1"/>
  <c r="AO1285" i="1" a="1"/>
  <c r="AO1285" i="1" s="1"/>
  <c r="AO1259" i="1" a="1"/>
  <c r="AO1259" i="1" s="1"/>
  <c r="AO1209" i="1" a="1"/>
  <c r="AO1209" i="1" s="1"/>
  <c r="AO1210" i="1" a="1"/>
  <c r="AO1210" i="1" s="1"/>
  <c r="AO1244" i="1" a="1"/>
  <c r="AO1244" i="1" s="1"/>
  <c r="AO1345" i="1" a="1"/>
  <c r="AO1345" i="1" s="1"/>
  <c r="AO1393" i="1" a="1"/>
  <c r="AO1393" i="1" s="1"/>
  <c r="AO1220" i="1" a="1"/>
  <c r="AO1220" i="1" s="1"/>
  <c r="AO1427" i="1" a="1"/>
  <c r="AO1427" i="1" s="1"/>
  <c r="AO1295" i="1" a="1"/>
  <c r="AO1295" i="1" s="1"/>
  <c r="AO1028" i="1" a="1"/>
  <c r="AO1028" i="1" s="1"/>
  <c r="AO1126" i="1" a="1"/>
  <c r="AO1126" i="1" s="1"/>
  <c r="AO1426" i="1" a="1"/>
  <c r="AO1426" i="1" s="1"/>
  <c r="AO1055" i="1" a="1"/>
  <c r="AO1055" i="1" s="1"/>
  <c r="AO1447" i="1" a="1"/>
  <c r="AO1447" i="1" s="1"/>
  <c r="AO965" i="1" a="1"/>
  <c r="AO965" i="1" s="1"/>
  <c r="AO1064" i="1" a="1"/>
  <c r="AO1064" i="1" s="1"/>
  <c r="AO1387" i="1" a="1"/>
  <c r="AO1387" i="1" s="1"/>
  <c r="AO1141" i="1" a="1"/>
  <c r="AO1141" i="1" s="1"/>
  <c r="AO1176" i="1" a="1"/>
  <c r="AO1176" i="1" s="1"/>
  <c r="AO1153" i="1" a="1"/>
  <c r="AO1153" i="1" s="1"/>
  <c r="AO993" i="1" a="1"/>
  <c r="AO993" i="1" s="1"/>
  <c r="AO1428" i="1" a="1"/>
  <c r="AO1428" i="1" s="1"/>
  <c r="AO1280" i="1" a="1"/>
  <c r="AO1280" i="1" s="1"/>
  <c r="AO1422" i="1" a="1"/>
  <c r="AO1422" i="1" s="1"/>
  <c r="AO941" i="1" a="1"/>
  <c r="AO941" i="1" s="1"/>
  <c r="AO1328" i="1" a="1"/>
  <c r="AO1328" i="1" s="1"/>
  <c r="AO1314" i="1" a="1"/>
  <c r="AO1314" i="1" s="1"/>
  <c r="AO1446" i="1" a="1"/>
  <c r="AO1446" i="1" s="1"/>
  <c r="AO1165" i="1" a="1"/>
  <c r="AO1165" i="1" s="1"/>
  <c r="AO1143" i="1" a="1"/>
  <c r="AO1143" i="1" s="1"/>
  <c r="AO923" i="1" a="1"/>
  <c r="AO923" i="1" s="1"/>
  <c r="AO1171" i="1" a="1"/>
  <c r="AO1171" i="1" s="1"/>
  <c r="AO1036" i="1" a="1"/>
  <c r="AO1036" i="1" s="1"/>
  <c r="AO1130" i="1" a="1"/>
  <c r="AO1130" i="1" s="1"/>
  <c r="AO1170" i="1" a="1"/>
  <c r="AO1170" i="1" s="1"/>
  <c r="AO1074" i="1" a="1"/>
  <c r="AO1074" i="1" s="1"/>
  <c r="AO1199" i="1" a="1"/>
  <c r="AO1199" i="1" s="1"/>
  <c r="AO1182" i="1" a="1"/>
  <c r="AO1182" i="1" s="1"/>
  <c r="AO1005" i="1" a="1"/>
  <c r="AO1005" i="1" s="1"/>
  <c r="AO1006" i="1" a="1"/>
  <c r="AO1006" i="1" s="1"/>
  <c r="AO1188" i="1" a="1"/>
  <c r="AO1188" i="1" s="1"/>
  <c r="AO1307" i="1" a="1"/>
  <c r="AO1307" i="1" s="1"/>
  <c r="AO1366" i="1" a="1"/>
  <c r="AO1366" i="1" s="1"/>
  <c r="AO989" i="1" a="1"/>
  <c r="AO989" i="1" s="1"/>
  <c r="AO1097" i="1" a="1"/>
  <c r="AO1097" i="1" s="1"/>
  <c r="AO1309" i="1" a="1"/>
  <c r="AO1309" i="1" s="1"/>
  <c r="AO1102" i="1" a="1"/>
  <c r="AO1102" i="1" s="1"/>
  <c r="AO1432" i="1" a="1"/>
  <c r="AO1432" i="1" s="1"/>
  <c r="AO932" i="1" a="1"/>
  <c r="AO932" i="1" s="1"/>
  <c r="AO1257" i="1" a="1"/>
  <c r="AO1257" i="1" s="1"/>
  <c r="AO1353" i="1" a="1"/>
  <c r="AO1353" i="1" s="1"/>
  <c r="AO1399" i="1" a="1"/>
  <c r="AO1399" i="1" s="1"/>
  <c r="AO937" i="1" a="1"/>
  <c r="AO937" i="1" s="1"/>
  <c r="AO1463" i="1" a="1"/>
  <c r="AO1463" i="1" s="1"/>
  <c r="AO1212" i="1" a="1"/>
  <c r="AO1212" i="1" s="1"/>
  <c r="AO1385" i="1" a="1"/>
  <c r="AO1385" i="1" s="1"/>
  <c r="AO1375" i="1" a="1"/>
  <c r="AO1375" i="1" s="1"/>
  <c r="AO1319" i="1" a="1"/>
  <c r="AO1319" i="1" s="1"/>
  <c r="AO1025" i="1" a="1"/>
  <c r="AO1025" i="1" s="1"/>
  <c r="AO977" i="1" a="1"/>
  <c r="AO977" i="1" s="1"/>
  <c r="AO1339" i="1" a="1"/>
  <c r="AO1339" i="1" s="1"/>
  <c r="AO1329" i="1" a="1"/>
  <c r="AO1329" i="1" s="1"/>
  <c r="AO1159" i="1" a="1"/>
  <c r="AO1159" i="1" s="1"/>
  <c r="AO1470" i="1" a="1"/>
  <c r="AO1470" i="1" s="1"/>
  <c r="AO1400" i="1" a="1"/>
  <c r="AO1400" i="1" s="1"/>
  <c r="AO1423" i="1" a="1"/>
  <c r="AO1423" i="1" s="1"/>
  <c r="AO1433" i="1" a="1"/>
  <c r="AO1433" i="1" s="1"/>
  <c r="AO1140" i="1" a="1"/>
  <c r="AO1140" i="1" s="1"/>
  <c r="AO1175" i="1" a="1"/>
  <c r="AO1175" i="1" s="1"/>
  <c r="AO1038" i="1" a="1"/>
  <c r="AO1038" i="1" s="1"/>
  <c r="AO1357" i="1" a="1"/>
  <c r="AO1357" i="1" s="1"/>
  <c r="AO1322" i="1" a="1"/>
  <c r="AO1322" i="1" s="1"/>
  <c r="AO1294" i="1" a="1"/>
  <c r="AO1294" i="1" s="1"/>
  <c r="AO1163" i="1" a="1"/>
  <c r="AO1163" i="1" s="1"/>
  <c r="AO1032" i="1" a="1"/>
  <c r="AO1032" i="1" s="1"/>
  <c r="AO1356" i="1" a="1"/>
  <c r="AO1356" i="1" s="1"/>
  <c r="AO1099" i="1" a="1"/>
  <c r="AO1099" i="1" s="1"/>
  <c r="AO1137" i="1" a="1"/>
  <c r="AO1137" i="1" s="1"/>
  <c r="AO1242" i="1" a="1"/>
  <c r="AO1242" i="1" s="1"/>
  <c r="AO1402" i="1" a="1"/>
  <c r="AO1402" i="1" s="1"/>
  <c r="AO929" i="1" a="1"/>
  <c r="AO929" i="1" s="1"/>
  <c r="AO1326" i="1" a="1"/>
  <c r="AO1326" i="1" s="1"/>
  <c r="AO1469" i="1" a="1"/>
  <c r="AO1469" i="1" s="1"/>
  <c r="AO924" i="1" a="1"/>
  <c r="AO924" i="1" s="1"/>
  <c r="AO1293" i="1" a="1"/>
  <c r="AO1293" i="1" s="1"/>
  <c r="AO1222" i="1" a="1"/>
  <c r="AO1222" i="1" s="1"/>
  <c r="AO1439" i="1" a="1"/>
  <c r="AO1439" i="1" s="1"/>
  <c r="AO1271" i="1" a="1"/>
  <c r="AO1271" i="1" s="1"/>
  <c r="AO1344" i="1" a="1"/>
  <c r="AO1344" i="1" s="1"/>
  <c r="AO1445" i="1" a="1"/>
  <c r="AO1445" i="1" s="1"/>
  <c r="AO1455" i="1" a="1"/>
  <c r="AO1455" i="1" s="1"/>
  <c r="AO1167" i="1" a="1"/>
  <c r="AO1167" i="1" s="1"/>
  <c r="AO1077" i="1" a="1"/>
  <c r="AO1077" i="1" s="1"/>
  <c r="AO976" i="1" a="1"/>
  <c r="AO976" i="1" s="1"/>
  <c r="AO1214" i="1" a="1"/>
  <c r="AO1214" i="1" s="1"/>
  <c r="AO925" i="1" a="1"/>
  <c r="AO925" i="1" s="1"/>
  <c r="AO990" i="1" a="1"/>
  <c r="AO990" i="1" s="1"/>
  <c r="AO1247" i="1" a="1"/>
  <c r="AO1247" i="1" s="1"/>
  <c r="AO913" i="1" a="1"/>
  <c r="AO913" i="1" s="1"/>
  <c r="AO1325" i="1" a="1"/>
  <c r="AO1325" i="1" s="1"/>
  <c r="AO1438" i="1" a="1"/>
  <c r="AO1438" i="1" s="1"/>
  <c r="AO1052" i="1" a="1"/>
  <c r="AO1052" i="1" s="1"/>
  <c r="AO995" i="1" a="1"/>
  <c r="AO995" i="1" s="1"/>
  <c r="AO1449" i="1" a="1"/>
  <c r="AO1449" i="1" s="1"/>
  <c r="AO921" i="1" a="1"/>
  <c r="AO921" i="1" s="1"/>
  <c r="AO1026" i="1" a="1"/>
  <c r="AO1026" i="1" s="1"/>
  <c r="AO1162" i="1" a="1"/>
  <c r="AO1162" i="1" s="1"/>
  <c r="AO1060" i="1" a="1"/>
  <c r="AO1060" i="1" s="1"/>
  <c r="AO1218" i="1" a="1"/>
  <c r="AO1218" i="1" s="1"/>
  <c r="AO1196" i="1" a="1"/>
  <c r="AO1196" i="1" s="1"/>
  <c r="AO1265" i="1" a="1"/>
  <c r="AO1265" i="1" s="1"/>
  <c r="AO1068" i="1" a="1"/>
  <c r="AO1068" i="1" s="1"/>
  <c r="AO1355" i="1" a="1"/>
  <c r="AO1355" i="1" s="1"/>
  <c r="AO1230" i="1" a="1"/>
  <c r="AO1230" i="1" s="1"/>
  <c r="AO1255" i="1" a="1"/>
  <c r="AO1255" i="1" s="1"/>
  <c r="AO1297" i="1" a="1"/>
  <c r="AO1297" i="1" s="1"/>
  <c r="AO981" i="1" a="1"/>
  <c r="AO981" i="1" s="1"/>
  <c r="AO1056" i="1" a="1"/>
  <c r="AO1056" i="1" s="1"/>
  <c r="AO1157" i="1" a="1"/>
  <c r="AO1157" i="1" s="1"/>
  <c r="AO1152" i="1" a="1"/>
  <c r="AO1152" i="1" s="1"/>
  <c r="AO984" i="1" a="1"/>
  <c r="AO984" i="1" s="1"/>
  <c r="AO1183" i="1" a="1"/>
  <c r="AO1183" i="1" s="1"/>
  <c r="AO1011" i="1" a="1"/>
  <c r="AO1011" i="1" s="1"/>
  <c r="AO1415" i="1" a="1"/>
  <c r="AO1415" i="1" s="1"/>
  <c r="AO1421" i="1" a="1"/>
  <c r="AO1421" i="1" s="1"/>
  <c r="AO1225" i="1" a="1"/>
  <c r="AO1225" i="1" s="1"/>
  <c r="AO922" i="1" a="1"/>
  <c r="AO922" i="1" s="1"/>
  <c r="AO1337" i="1" a="1"/>
  <c r="AO1337" i="1" s="1"/>
  <c r="AO1401" i="1" a="1"/>
  <c r="AO1401" i="1" s="1"/>
  <c r="AO1065" i="1" a="1"/>
  <c r="AO1065" i="1" s="1"/>
  <c r="AO968" i="1" a="1"/>
  <c r="AO968" i="1" s="1"/>
  <c r="AO1462" i="1" a="1"/>
  <c r="AO1462" i="1" s="1"/>
  <c r="AO1154" i="1" a="1"/>
  <c r="AO1154" i="1" s="1"/>
  <c r="AO979" i="1" a="1"/>
  <c r="AO979" i="1" s="1"/>
  <c r="AO1172" i="1" a="1"/>
  <c r="AO1172" i="1" s="1"/>
  <c r="AO939" i="1" a="1"/>
  <c r="AO939" i="1" s="1"/>
  <c r="AO1169" i="1" a="1"/>
  <c r="AO1169" i="1" s="1"/>
  <c r="AO1018" i="1" a="1"/>
  <c r="AO1018" i="1" s="1"/>
  <c r="AO1082" i="1" a="1"/>
  <c r="AO1082" i="1" s="1"/>
  <c r="AO1334" i="1" a="1"/>
  <c r="AO1334" i="1" s="1"/>
  <c r="AO1381" i="1" a="1"/>
  <c r="AO1381" i="1" s="1"/>
  <c r="AO1129" i="1" a="1"/>
  <c r="AO1129" i="1" s="1"/>
  <c r="AO1418" i="1" a="1"/>
  <c r="AO1418" i="1" s="1"/>
  <c r="AO920" i="1" a="1"/>
  <c r="AO920" i="1" s="1"/>
  <c r="AO1429" i="1" a="1"/>
  <c r="AO1429" i="1" s="1"/>
  <c r="AO912" i="1" a="1"/>
  <c r="AO912" i="1" s="1"/>
  <c r="AO1013" i="1" a="1"/>
  <c r="AO1013" i="1" s="1"/>
  <c r="AO1151" i="1" a="1"/>
  <c r="AO1151" i="1" s="1"/>
  <c r="AO983" i="1" a="1"/>
  <c r="AO983" i="1" s="1"/>
  <c r="AO1093" i="1" a="1"/>
  <c r="AO1093" i="1" s="1"/>
  <c r="AO1308" i="1" a="1"/>
  <c r="AO1308" i="1" s="1"/>
  <c r="AO1237" i="1" a="1"/>
  <c r="AO1237" i="1" s="1"/>
  <c r="AO1277" i="1" a="1"/>
  <c r="AO1277" i="1" s="1"/>
  <c r="AY8" i="1"/>
  <c r="AO1160" i="1" a="1"/>
  <c r="AO1160" i="1" s="1"/>
  <c r="AO1193" i="1" a="1"/>
  <c r="AO1193" i="1" s="1"/>
  <c r="AO931" i="1" a="1"/>
  <c r="AO931" i="1" s="1"/>
  <c r="AO1350" i="1" a="1"/>
  <c r="AO1350" i="1" s="1"/>
  <c r="AO1384" i="1" a="1"/>
  <c r="AO1384" i="1" s="1"/>
  <c r="AO1313" i="1" a="1"/>
  <c r="AO1313" i="1" s="1"/>
  <c r="AO1045" i="1" a="1"/>
  <c r="AO1045" i="1" s="1"/>
  <c r="AO1376" i="1" a="1"/>
  <c r="AO1376" i="1" s="1"/>
  <c r="AO1359" i="1" a="1"/>
  <c r="AO1359" i="1" s="1"/>
  <c r="AO1239" i="1" a="1"/>
  <c r="AO1239" i="1" s="1"/>
  <c r="AO1186" i="1" a="1"/>
  <c r="AO1186" i="1" s="1"/>
  <c r="AO1466" i="1" a="1"/>
  <c r="AO1466" i="1" s="1"/>
  <c r="AO1412" i="1" a="1"/>
  <c r="AO1412" i="1" s="1"/>
  <c r="AO1124" i="1" a="1"/>
  <c r="AO1124" i="1" s="1"/>
  <c r="AO980" i="1" a="1"/>
  <c r="AO980" i="1" s="1"/>
  <c r="AO1211" i="1" a="1"/>
  <c r="AO1211" i="1" s="1"/>
  <c r="AO1324" i="1" a="1"/>
  <c r="AO1324" i="1" s="1"/>
  <c r="AO1067" i="1" a="1"/>
  <c r="AO1067" i="1" s="1"/>
  <c r="AO1054" i="1" a="1"/>
  <c r="AO1054" i="1" s="1"/>
  <c r="AO1300" i="1" a="1"/>
  <c r="AO1300" i="1" s="1"/>
  <c r="AO1274" i="1" a="1"/>
  <c r="AO1274" i="1" s="1"/>
  <c r="AO967" i="1" a="1"/>
  <c r="AO967" i="1" s="1"/>
  <c r="AO943" i="1" a="1"/>
  <c r="AO943" i="1" s="1"/>
  <c r="AO1343" i="1" a="1"/>
  <c r="AO1343" i="1" s="1"/>
  <c r="AO1424" i="1" a="1"/>
  <c r="AO1424" i="1" s="1"/>
  <c r="AO1150" i="1" a="1"/>
  <c r="AO1150" i="1" s="1"/>
  <c r="AO1269" i="1" a="1"/>
  <c r="AO1269" i="1" s="1"/>
  <c r="AO1332" i="1" a="1"/>
  <c r="AO1332" i="1" s="1"/>
  <c r="AO1451" i="1" a="1"/>
  <c r="AO1451" i="1" s="1"/>
  <c r="AO1117" i="1" a="1"/>
  <c r="AO1117" i="1" s="1"/>
  <c r="AO1133" i="1" a="1"/>
  <c r="AO1133" i="1" s="1"/>
  <c r="AO1146" i="1" a="1"/>
  <c r="AO1146" i="1" s="1"/>
  <c r="AO1049" i="1" a="1"/>
  <c r="AO1049" i="1" s="1"/>
  <c r="AO1333" i="1" a="1"/>
  <c r="AO1333" i="1" s="1"/>
  <c r="AO1261" i="1" a="1"/>
  <c r="AO1261" i="1" s="1"/>
  <c r="AO1042" i="1" a="1"/>
  <c r="AO1042" i="1" s="1"/>
  <c r="AO969" i="1" a="1"/>
  <c r="AO969" i="1" s="1"/>
  <c r="AO1200" i="1" a="1"/>
  <c r="AO1200" i="1" s="1"/>
  <c r="AO1304" i="1" a="1"/>
  <c r="AO1304" i="1" s="1"/>
  <c r="AO1301" i="1" a="1"/>
  <c r="AO1301" i="1" s="1"/>
  <c r="AO1275" i="1" a="1"/>
  <c r="AO1275" i="1" s="1"/>
  <c r="AO1094" i="1" a="1"/>
  <c r="AO1094" i="1" s="1"/>
  <c r="AO1370" i="1" a="1"/>
  <c r="AO1370" i="1" s="1"/>
  <c r="AO926" i="1" a="1"/>
  <c r="AO926" i="1" s="1"/>
  <c r="AO914" i="1" a="1"/>
  <c r="AO914" i="1" s="1"/>
  <c r="AO1136" i="1" a="1"/>
  <c r="AO1136" i="1" s="1"/>
  <c r="AO1003" i="1" a="1"/>
  <c r="AO1003" i="1" s="1"/>
  <c r="AO1203" i="1" a="1"/>
  <c r="AO1203" i="1" s="1"/>
  <c r="AO1425" i="1" a="1"/>
  <c r="AO1425" i="1" s="1"/>
  <c r="AO1128" i="1" a="1"/>
  <c r="AO1128" i="1" s="1"/>
  <c r="AO1361" i="1" a="1"/>
  <c r="AO1361" i="1" s="1"/>
  <c r="AO946" i="1" a="1"/>
  <c r="AO946" i="1" s="1"/>
  <c r="AO1227" i="1" a="1"/>
  <c r="AO1227" i="1" s="1"/>
  <c r="AO1444" i="1" a="1"/>
  <c r="AO1444" i="1" s="1"/>
  <c r="AO1217" i="1" a="1"/>
  <c r="AO1217" i="1" s="1"/>
  <c r="AO973" i="1" a="1"/>
  <c r="AO973" i="1" s="1"/>
  <c r="AO927" i="1" a="1"/>
  <c r="AO927" i="1" s="1"/>
  <c r="AO930" i="1" a="1"/>
  <c r="AO930" i="1" s="1"/>
  <c r="AO1299" i="1" a="1"/>
  <c r="AO1299" i="1" s="1"/>
  <c r="AO986" i="1" a="1"/>
  <c r="AO986" i="1" s="1"/>
  <c r="AO916" i="1" a="1"/>
  <c r="AO916" i="1" s="1"/>
  <c r="AO1177" i="1" a="1"/>
  <c r="AO1177" i="1" s="1"/>
  <c r="AO1362" i="1" a="1"/>
  <c r="AO1362" i="1" s="1"/>
  <c r="AO1413" i="1" a="1"/>
  <c r="AO1413" i="1" s="1"/>
  <c r="AO1371" i="1" a="1"/>
  <c r="AO1371" i="1" s="1"/>
  <c r="AO911" i="1" a="1"/>
  <c r="AO911" i="1" s="1"/>
  <c r="AO1015" i="1" a="1"/>
  <c r="AO1015" i="1" s="1"/>
  <c r="AO988" i="1" a="1"/>
  <c r="AO988" i="1" s="1"/>
  <c r="AO1460" i="1" a="1"/>
  <c r="AO1460" i="1" s="1"/>
  <c r="AO1111" i="1" a="1"/>
  <c r="AO1111" i="1" s="1"/>
  <c r="AO1292" i="1" a="1"/>
  <c r="AO1292" i="1" s="1"/>
  <c r="AO1098" i="1" a="1"/>
  <c r="AO1098" i="1" s="1"/>
  <c r="AO1073" i="1" a="1"/>
  <c r="AO1073" i="1" s="1"/>
  <c r="AO1105" i="1" a="1"/>
  <c r="AO1105" i="1" s="1"/>
  <c r="AO1289" i="1" a="1"/>
  <c r="AO1289" i="1" s="1"/>
  <c r="AO1017" i="1" a="1"/>
  <c r="AO1017" i="1" s="1"/>
  <c r="AO1139" i="1" a="1"/>
  <c r="AO1139" i="1" s="1"/>
  <c r="AO1058" i="1" a="1"/>
  <c r="AO1058" i="1" s="1"/>
  <c r="AO1031" i="1" a="1"/>
  <c r="AO1031" i="1" s="1"/>
  <c r="AO1086" i="1" a="1"/>
  <c r="AO1086" i="1" s="1"/>
  <c r="AO1468" i="1" a="1"/>
  <c r="AO1468" i="1" s="1"/>
  <c r="AO1184" i="1" a="1"/>
  <c r="AO1184" i="1" s="1"/>
  <c r="AO1075" i="1" a="1"/>
  <c r="AO1075" i="1" s="1"/>
  <c r="AO1349" i="1" a="1"/>
  <c r="AO1349" i="1" s="1"/>
  <c r="AO1235" i="1" a="1"/>
  <c r="AO1235" i="1" s="1"/>
  <c r="AO1335" i="1" a="1"/>
  <c r="AO1335" i="1" s="1"/>
  <c r="AO1110" i="1" a="1"/>
  <c r="AO1110" i="1" s="1"/>
  <c r="AO1430" i="1" a="1"/>
  <c r="AO1430" i="1" s="1"/>
  <c r="AO1251" i="1" a="1"/>
  <c r="AO1251" i="1" s="1"/>
  <c r="AO928" i="1" a="1"/>
  <c r="AO928" i="1" s="1"/>
  <c r="AO1467" i="1" a="1"/>
  <c r="AO1467" i="1" s="1"/>
  <c r="AO1119" i="1" a="1"/>
  <c r="AO1119" i="1" s="1"/>
  <c r="AO1395" i="1" a="1"/>
  <c r="AO1395" i="1" s="1"/>
  <c r="AO1383" i="1" a="1"/>
  <c r="AO1383" i="1" s="1"/>
  <c r="AO1378" i="1" a="1"/>
  <c r="AO1378" i="1" s="1"/>
  <c r="AO1258" i="1" a="1"/>
  <c r="AO1258" i="1" s="1"/>
  <c r="AO1363" i="1" a="1"/>
  <c r="AO1363" i="1" s="1"/>
  <c r="AO1409" i="1" a="1"/>
  <c r="AO1409" i="1" s="1"/>
  <c r="AO1436" i="1" a="1"/>
  <c r="AO1436" i="1" s="1"/>
  <c r="AO1241" i="1" a="1"/>
  <c r="AO1241" i="1" s="1"/>
  <c r="AO1229" i="1" a="1"/>
  <c r="AO1229" i="1" s="1"/>
  <c r="AO1096" i="1" a="1"/>
  <c r="AO1096" i="1" s="1"/>
  <c r="AO1185" i="1" a="1"/>
  <c r="AO1185" i="1" s="1"/>
  <c r="AO964" i="1" a="1"/>
  <c r="AO964" i="1" s="1"/>
  <c r="AO1076" i="1" a="1"/>
  <c r="AO1076" i="1" s="1"/>
  <c r="AO1305" i="1" a="1"/>
  <c r="AO1305" i="1" s="1"/>
  <c r="AO1403" i="1" a="1"/>
  <c r="AO1403" i="1" s="1"/>
  <c r="AO1246" i="1" a="1"/>
  <c r="AO1246" i="1" s="1"/>
  <c r="AO1179" i="1" a="1"/>
  <c r="AO1179" i="1" s="1"/>
  <c r="AO1208" i="1" a="1"/>
  <c r="AO1208" i="1" s="1"/>
  <c r="AO1087" i="1" a="1"/>
  <c r="AO1087" i="1" s="1"/>
  <c r="AO1248" i="1" a="1"/>
  <c r="AO1248" i="1" s="1"/>
  <c r="AO1205" i="1" a="1"/>
  <c r="AO1205" i="1" s="1"/>
  <c r="AO1091" i="1" a="1"/>
  <c r="AO1091" i="1" s="1"/>
  <c r="AO1080" i="1" a="1"/>
  <c r="AO1080" i="1" s="1"/>
  <c r="AO1000" i="1" a="1"/>
  <c r="AO1000" i="1" s="1"/>
  <c r="AO1286" i="1" a="1"/>
  <c r="AO1286" i="1" s="1"/>
  <c r="AO1262" i="1" a="1"/>
  <c r="AO1262" i="1" s="1"/>
  <c r="AO1078" i="1" a="1"/>
  <c r="AO1078" i="1" s="1"/>
  <c r="AO1030" i="1" a="1"/>
  <c r="AO1030" i="1" s="1"/>
  <c r="AO1419" i="1" a="1"/>
  <c r="AO1419" i="1" s="1"/>
  <c r="AO934" i="1" a="1"/>
  <c r="AO934" i="1" s="1"/>
  <c r="AO1046" i="1" a="1"/>
  <c r="AO1046" i="1" s="1"/>
  <c r="AO1189" i="1" a="1"/>
  <c r="AO1189" i="1" s="1"/>
  <c r="AO1386" i="1" a="1"/>
  <c r="AO1386" i="1" s="1"/>
  <c r="AO1014" i="1" a="1"/>
  <c r="AO1014" i="1" s="1"/>
  <c r="AO1459" i="1" a="1"/>
  <c r="AO1459" i="1" s="1"/>
  <c r="AO1109" i="1" a="1"/>
  <c r="AO1109" i="1" s="1"/>
  <c r="AO954" i="1" a="1"/>
  <c r="AO954" i="1" s="1"/>
  <c r="AO1456" i="1" a="1"/>
  <c r="AO1456" i="1" s="1"/>
  <c r="AO1132" i="1" a="1"/>
  <c r="AO1132" i="1" s="1"/>
  <c r="AO1041" i="1" a="1"/>
  <c r="AO1041" i="1" s="1"/>
  <c r="AO1303" i="1" a="1"/>
  <c r="AO1303" i="1" s="1"/>
  <c r="AO1123" i="1" a="1"/>
  <c r="AO1123" i="1" s="1"/>
  <c r="AO1066" i="1" a="1"/>
  <c r="AO1066" i="1" s="1"/>
  <c r="AO994" i="1" a="1"/>
  <c r="AO994" i="1" s="1"/>
  <c r="AO1232" i="1" a="1"/>
  <c r="AO1232" i="1" s="1"/>
  <c r="AO999" i="1" a="1"/>
  <c r="AO999" i="1" s="1"/>
  <c r="AO1341" i="1" a="1"/>
  <c r="AO1341" i="1" s="1"/>
  <c r="AO1268" i="1" a="1"/>
  <c r="AO1268" i="1" s="1"/>
  <c r="AO1104" i="1" a="1"/>
  <c r="AO1104" i="1" s="1"/>
  <c r="AO1061" i="1" a="1"/>
  <c r="AO1061" i="1" s="1"/>
  <c r="AO1417" i="1" a="1"/>
  <c r="AO1417" i="1" s="1"/>
  <c r="AO936" i="1" a="1"/>
  <c r="AO936" i="1" s="1"/>
  <c r="AO1027" i="1" a="1"/>
  <c r="AO1027" i="1" s="1"/>
  <c r="AO1435" i="1" a="1"/>
  <c r="AO1435" i="1" s="1"/>
  <c r="AO1142" i="1" a="1"/>
  <c r="AO1142" i="1" s="1"/>
  <c r="AO974" i="1" a="1"/>
  <c r="AO974" i="1" s="1"/>
  <c r="AO1238" i="1" a="1"/>
  <c r="AO1238" i="1" s="1"/>
  <c r="AO1226" i="1" a="1"/>
  <c r="AO1226" i="1" s="1"/>
  <c r="AO1070" i="1" a="1"/>
  <c r="AO1070" i="1" s="1"/>
  <c r="AO1202" i="1" a="1"/>
  <c r="AO1202" i="1" s="1"/>
  <c r="AO933" i="1" a="1"/>
  <c r="AO933" i="1" s="1"/>
  <c r="AO1197" i="1" a="1"/>
  <c r="AO1197" i="1" s="1"/>
  <c r="AO1081" i="1" a="1"/>
  <c r="AO1081" i="1" s="1"/>
  <c r="AO1276" i="1" a="1"/>
  <c r="AO1276" i="1" s="1"/>
  <c r="AO1458" i="1" a="1"/>
  <c r="AO1458" i="1" s="1"/>
  <c r="AO1180" i="1" a="1"/>
  <c r="AO1180" i="1" s="1"/>
  <c r="AO1420" i="1" a="1"/>
  <c r="AO1420" i="1" s="1"/>
  <c r="AO1396" i="1" a="1"/>
  <c r="AO1396" i="1" s="1"/>
  <c r="AO961" i="1" a="1"/>
  <c r="AO961" i="1" s="1"/>
  <c r="AO1465" i="1" a="1"/>
  <c r="AO1465" i="1" s="1"/>
  <c r="AO966" i="1" a="1"/>
  <c r="AO966" i="1" s="1"/>
  <c r="AO1382" i="1" a="1"/>
  <c r="AO1382" i="1" s="1"/>
  <c r="AO1414" i="1" a="1"/>
  <c r="AO1414" i="1" s="1"/>
  <c r="AO958" i="1" a="1"/>
  <c r="AO958" i="1" s="1"/>
  <c r="AO1088" i="1" a="1"/>
  <c r="AO1088" i="1" s="1"/>
  <c r="AO1273" i="1" a="1"/>
  <c r="AO1273" i="1" s="1"/>
  <c r="AO1194" i="1" a="1"/>
  <c r="AO1194" i="1" s="1"/>
  <c r="AO1085" i="1" a="1"/>
  <c r="AO1085" i="1" s="1"/>
  <c r="AO960" i="1" a="1"/>
  <c r="AO960" i="1" s="1"/>
  <c r="AO917" i="1" a="1"/>
  <c r="AO917" i="1" s="1"/>
  <c r="AO1089" i="1" a="1"/>
  <c r="AO1089" i="1" s="1"/>
  <c r="AO1367" i="1" a="1"/>
  <c r="AO1367" i="1" s="1"/>
  <c r="AO1062" i="1" a="1"/>
  <c r="AO1062" i="1" s="1"/>
  <c r="AO998" i="1" a="1"/>
  <c r="AO998" i="1" s="1"/>
  <c r="AO1106" i="1" a="1"/>
  <c r="AO1106" i="1" s="1"/>
  <c r="AO1296" i="1" a="1"/>
  <c r="AO1296" i="1" s="1"/>
  <c r="AO1284" i="1" a="1"/>
  <c r="AO1284" i="1" s="1"/>
  <c r="AO1272" i="1" a="1"/>
  <c r="AO1272" i="1" s="1"/>
  <c r="AO972" i="1" a="1"/>
  <c r="AO972" i="1" s="1"/>
  <c r="AO1201" i="1" a="1"/>
  <c r="AO1201" i="1" s="1"/>
  <c r="AO1053" i="1" a="1"/>
  <c r="AO1053" i="1" s="1"/>
  <c r="AO1374" i="1" a="1"/>
  <c r="AO1374" i="1" s="1"/>
  <c r="AO1012" i="1" a="1"/>
  <c r="AO1012" i="1" s="1"/>
  <c r="AO1155" i="1" a="1"/>
  <c r="AO1155" i="1" s="1"/>
  <c r="AO1192" i="1" a="1"/>
  <c r="AO1192" i="1" s="1"/>
  <c r="AO963" i="1" a="1"/>
  <c r="AO963" i="1" s="1"/>
  <c r="AO951" i="1" a="1"/>
  <c r="AO951" i="1" s="1"/>
  <c r="AO1190" i="1" a="1"/>
  <c r="AO1190" i="1" s="1"/>
  <c r="AO1306" i="1" a="1"/>
  <c r="AO1306" i="1" s="1"/>
  <c r="AO1252" i="1" a="1"/>
  <c r="AO1252" i="1" s="1"/>
  <c r="AO1440" i="1" a="1"/>
  <c r="AO1440" i="1" s="1"/>
  <c r="AO955" i="1" a="1"/>
  <c r="AO955" i="1" s="1"/>
  <c r="AO1369" i="1" a="1"/>
  <c r="AO1369" i="1" s="1"/>
  <c r="AO944" i="1" a="1"/>
  <c r="AO944" i="1" s="1"/>
  <c r="AO1138" i="1" a="1"/>
  <c r="AO1138" i="1" s="1"/>
  <c r="AO1253" i="1" a="1"/>
  <c r="AO1253" i="1" s="1"/>
  <c r="AO1120" i="1" a="1"/>
  <c r="AO1120" i="1" s="1"/>
  <c r="AO1391" i="1" a="1"/>
  <c r="AO1391" i="1" s="1"/>
  <c r="AO1398" i="1" a="1"/>
  <c r="AO1398" i="1" s="1"/>
  <c r="AO945" i="1" a="1"/>
  <c r="AO945" i="1" s="1"/>
  <c r="AO1223" i="1" a="1"/>
  <c r="AO1223" i="1" s="1"/>
  <c r="AO1320" i="1" a="1"/>
  <c r="AO1320" i="1" s="1"/>
  <c r="AO1405" i="1" a="1"/>
  <c r="AO1405" i="1" s="1"/>
  <c r="AO1266" i="1" a="1"/>
  <c r="AO1266" i="1" s="1"/>
  <c r="AO952" i="1" a="1"/>
  <c r="AO952" i="1" s="1"/>
  <c r="AO1161" i="1" a="1"/>
  <c r="AO1161" i="1" s="1"/>
  <c r="AO1149" i="1" a="1"/>
  <c r="AO1149" i="1" s="1"/>
  <c r="AO1090" i="1" a="1"/>
  <c r="AO1090" i="1" s="1"/>
  <c r="AO1125" i="1" a="1"/>
  <c r="AO1125" i="1" s="1"/>
  <c r="AO1050" i="1" a="1"/>
  <c r="AO1050" i="1" s="1"/>
  <c r="AO1113" i="1" a="1"/>
  <c r="AO1113" i="1" s="1"/>
  <c r="AO957" i="1" a="1"/>
  <c r="AO957" i="1" s="1"/>
  <c r="AO978" i="1" a="1"/>
  <c r="AO978" i="1" s="1"/>
  <c r="AO1083" i="1" a="1"/>
  <c r="AO1083" i="1" s="1"/>
  <c r="AO1379" i="1" a="1"/>
  <c r="AO1379" i="1" s="1"/>
  <c r="AO1315" i="1" a="1"/>
  <c r="AO1315" i="1" s="1"/>
  <c r="AO1388" i="1" a="1"/>
  <c r="AO1388" i="1" s="1"/>
  <c r="AO1298" i="1" a="1"/>
  <c r="AO1298" i="1" s="1"/>
  <c r="AO1100" i="1" a="1"/>
  <c r="AO1100" i="1" s="1"/>
  <c r="AO1145" i="1" a="1"/>
  <c r="AO1145" i="1" s="1"/>
  <c r="AO1321" i="1" a="1"/>
  <c r="AO1321" i="1" s="1"/>
  <c r="AO1281" i="1" a="1"/>
  <c r="AO1281" i="1" s="1"/>
  <c r="AO1397" i="1" a="1"/>
  <c r="AO1397" i="1" s="1"/>
  <c r="AO1122" i="1" a="1"/>
  <c r="AO1122" i="1" s="1"/>
  <c r="AO1373" i="1" a="1"/>
  <c r="AO1373" i="1" s="1"/>
  <c r="AO1231" i="1" a="1"/>
  <c r="AO1231" i="1" s="1"/>
  <c r="AO1453" i="1" a="1"/>
  <c r="AO1453" i="1" s="1"/>
  <c r="AO1135" i="1" a="1"/>
  <c r="AO1135" i="1" s="1"/>
  <c r="AO1240" i="1" a="1"/>
  <c r="AO1240" i="1" s="1"/>
  <c r="AO1394" i="1" a="1"/>
  <c r="AO1394" i="1" s="1"/>
  <c r="AO987" i="1" a="1"/>
  <c r="AO987" i="1" s="1"/>
  <c r="AO975" i="1" a="1"/>
  <c r="AO975" i="1" s="1"/>
  <c r="AO1168" i="1" a="1"/>
  <c r="AO1168" i="1" s="1"/>
  <c r="AO997" i="1" a="1"/>
  <c r="AO997" i="1" s="1"/>
  <c r="AO1365" i="1" a="1"/>
  <c r="AO1365" i="1" s="1"/>
  <c r="AO1103" i="1" a="1"/>
  <c r="AO1103" i="1" s="1"/>
  <c r="AO1267" i="1" a="1"/>
  <c r="AO1267" i="1" s="1"/>
  <c r="AO1072" i="1" a="1"/>
  <c r="AO1072" i="1" s="1"/>
  <c r="AO1034" i="1" a="1"/>
  <c r="AO1034" i="1" s="1"/>
  <c r="AO1461" i="1" a="1"/>
  <c r="AO1461" i="1" s="1"/>
  <c r="AO1084" i="1" a="1"/>
  <c r="AO1084" i="1" s="1"/>
  <c r="AO935" i="1" a="1"/>
  <c r="AO935" i="1" s="1"/>
  <c r="AO1312" i="1" a="1"/>
  <c r="AO1312" i="1" s="1"/>
  <c r="AO1044" i="1" a="1"/>
  <c r="AO1044" i="1" s="1"/>
  <c r="AO956" i="1" a="1"/>
  <c r="AO956" i="1" s="1"/>
  <c r="AO1001" i="1" a="1"/>
  <c r="AO1001" i="1" s="1"/>
  <c r="AO1174" i="1" a="1"/>
  <c r="AO1174" i="1" s="1"/>
  <c r="AO1121" i="1" a="1"/>
  <c r="AO1121" i="1" s="1"/>
  <c r="AO1411" i="1" a="1"/>
  <c r="AO1411" i="1" s="1"/>
  <c r="AO953" i="1" a="1"/>
  <c r="AO953" i="1" s="1"/>
  <c r="AO1279" i="1" a="1"/>
  <c r="AO1279" i="1" s="1"/>
  <c r="AO1254" i="1" a="1"/>
  <c r="AO1254" i="1" s="1"/>
  <c r="AO1270" i="1" a="1"/>
  <c r="AO1270" i="1" s="1"/>
  <c r="AO991" i="1" a="1"/>
  <c r="AO991" i="1" s="1"/>
  <c r="AO940" i="1" a="1"/>
  <c r="AO940" i="1" s="1"/>
  <c r="AO1250" i="1" a="1"/>
  <c r="AO1250" i="1" s="1"/>
  <c r="AO1215" i="1" a="1"/>
  <c r="AO1215" i="1" s="1"/>
  <c r="AO1191" i="1" a="1"/>
  <c r="AO1191" i="1" s="1"/>
  <c r="AO1057" i="1" a="1"/>
  <c r="AO1057" i="1" s="1"/>
  <c r="AO1346" i="1" a="1"/>
  <c r="AO1346" i="1" s="1"/>
  <c r="AO1114" i="1" a="1"/>
  <c r="AO1114" i="1" s="1"/>
  <c r="AO959" i="1" a="1"/>
  <c r="AO959" i="1" s="1"/>
  <c r="AO1063" i="1" a="1"/>
  <c r="AO1063" i="1" s="1"/>
  <c r="AO1206" i="1" a="1"/>
  <c r="AO1206" i="1" s="1"/>
  <c r="AO1380" i="1" a="1"/>
  <c r="AO1380" i="1" s="1"/>
  <c r="AO1148" i="1" a="1"/>
  <c r="AO1148" i="1" s="1"/>
  <c r="AO1323" i="1" a="1"/>
  <c r="AO1323" i="1" s="1"/>
  <c r="AO949" i="1" a="1"/>
  <c r="AO949" i="1" s="1"/>
  <c r="AO1243" i="1" a="1"/>
  <c r="AO1243" i="1" s="1"/>
  <c r="AO1331" i="1" a="1"/>
  <c r="AO1331" i="1" s="1"/>
  <c r="AO985" i="1" a="1"/>
  <c r="AO985" i="1" s="1"/>
  <c r="AO1340" i="1" a="1"/>
  <c r="AO1340" i="1" s="1"/>
  <c r="AO1434" i="1" a="1"/>
  <c r="AO1434" i="1" s="1"/>
  <c r="AO1216" i="1" a="1"/>
  <c r="AO1216" i="1" s="1"/>
  <c r="AO1410" i="1" a="1"/>
  <c r="AO1410" i="1" s="1"/>
  <c r="AO1234" i="1" a="1"/>
  <c r="AO1234" i="1" s="1"/>
  <c r="AO1302" i="1" a="1"/>
  <c r="AO1302" i="1" s="1"/>
  <c r="AO1095" i="1" a="1"/>
  <c r="AO1095" i="1" s="1"/>
  <c r="AO1021" i="1" a="1"/>
  <c r="AO1021" i="1" s="1"/>
  <c r="AO1317" i="1" a="1"/>
  <c r="AO1317" i="1" s="1"/>
  <c r="AO1195" i="1" a="1"/>
  <c r="AO1195" i="1" s="1"/>
  <c r="AO962" i="1" a="1"/>
  <c r="AO962" i="1" s="1"/>
  <c r="AO950" i="1" a="1"/>
  <c r="AO950" i="1" s="1"/>
  <c r="AO938" i="1" a="1"/>
  <c r="AO938" i="1" s="1"/>
  <c r="AO1358" i="1" a="1"/>
  <c r="AO1358" i="1" s="1"/>
  <c r="AO1116" i="1" a="1"/>
  <c r="AO1116" i="1" s="1"/>
  <c r="AO1040" i="1" a="1"/>
  <c r="AO1040" i="1" s="1"/>
  <c r="AO1069" i="1" a="1"/>
  <c r="AO1069" i="1" s="1"/>
  <c r="AO1327" i="1" a="1"/>
  <c r="AO1327" i="1" s="1"/>
  <c r="AO1360" i="1" a="1"/>
  <c r="AO1360" i="1" s="1"/>
  <c r="AO1236" i="1" a="1"/>
  <c r="AO1236" i="1" s="1"/>
  <c r="AO1004" i="1" a="1"/>
  <c r="AO1004" i="1" s="1"/>
  <c r="AO1071" i="1" a="1"/>
  <c r="AO1071" i="1" s="1"/>
  <c r="AO1010" i="1" a="1"/>
  <c r="AO1010" i="1" s="1"/>
  <c r="AO1187" i="1" a="1"/>
  <c r="AO1187" i="1" s="1"/>
  <c r="AO970" i="1" a="1"/>
  <c r="AO970" i="1" s="1"/>
  <c r="AO1134" i="1" a="1"/>
  <c r="AO1134" i="1" s="1"/>
  <c r="AO1406" i="1" a="1"/>
  <c r="AO1406" i="1" s="1"/>
  <c r="AO1204" i="1" a="1"/>
  <c r="AO1204" i="1" s="1"/>
  <c r="AO1131" i="1" a="1"/>
  <c r="AO1131" i="1" s="1"/>
  <c r="AO1431" i="1" a="1"/>
  <c r="AO1431" i="1" s="1"/>
  <c r="AO1107" i="1" a="1"/>
  <c r="AO1107" i="1" s="1"/>
  <c r="AO1059" i="1" a="1"/>
  <c r="AO1059" i="1" s="1"/>
  <c r="AO1173" i="1" a="1"/>
  <c r="AO1173" i="1" s="1"/>
  <c r="AO1290" i="1" a="1"/>
  <c r="AO1290" i="1" s="1"/>
  <c r="AO918" i="1" a="1"/>
  <c r="AO918" i="1" s="1"/>
  <c r="AO1020" i="1" a="1"/>
  <c r="AO1020" i="1" s="1"/>
  <c r="AO1008" i="1" a="1"/>
  <c r="AO1008" i="1" s="1"/>
  <c r="AO996" i="1" a="1"/>
  <c r="AO996" i="1" s="1"/>
  <c r="AO1416" i="1" a="1"/>
  <c r="AO1416" i="1" s="1"/>
  <c r="AO971" i="1" a="1"/>
  <c r="AO971" i="1" s="1"/>
  <c r="AO1404" i="1" a="1"/>
  <c r="AO1404" i="1" s="1"/>
  <c r="AO1245" i="1" a="1"/>
  <c r="AO1245" i="1" s="1"/>
  <c r="AO1002" i="1" a="1"/>
  <c r="AO1002" i="1" s="1"/>
  <c r="AO1108" i="1" a="1"/>
  <c r="AO1108" i="1" s="1"/>
  <c r="AO1092" i="1" a="1"/>
  <c r="AO1092" i="1" s="1"/>
  <c r="AO1249" i="1" a="1"/>
  <c r="AO1249" i="1" s="1"/>
  <c r="AO915" i="1" a="1"/>
  <c r="AO915" i="1" s="1"/>
  <c r="AO1024" i="1" a="1"/>
  <c r="AO1024" i="1" s="1"/>
  <c r="AO1287" i="1" a="1"/>
  <c r="AO1287" i="1" s="1"/>
  <c r="AO1043" i="1" a="1"/>
  <c r="AO1043" i="1" s="1"/>
  <c r="AO1147" i="1" a="1"/>
  <c r="AO1147" i="1" s="1"/>
  <c r="AO1264" i="1" a="1"/>
  <c r="AO1264" i="1" s="1"/>
  <c r="AO1118" i="1" a="1"/>
  <c r="AO1118" i="1" s="1"/>
  <c r="AO1213" i="1" a="1"/>
  <c r="AO1213" i="1" s="1"/>
  <c r="AO1443" i="1" a="1"/>
  <c r="AO1443" i="1" s="1"/>
  <c r="AO982" i="1" a="1"/>
  <c r="AO982" i="1" s="1"/>
  <c r="AO1407" i="1" a="1"/>
  <c r="AO1407" i="1" s="1"/>
  <c r="AO1464" i="1" a="1"/>
  <c r="AO1464" i="1" s="1"/>
  <c r="AO1029" i="1" a="1"/>
  <c r="AO1029" i="1" s="1"/>
  <c r="AO1377" i="1" a="1"/>
  <c r="AO1377" i="1" s="1"/>
  <c r="AO1228" i="1" a="1"/>
  <c r="AO1228" i="1" s="1"/>
  <c r="AO1019" i="1" a="1"/>
  <c r="AO1019" i="1" s="1"/>
  <c r="AO1007" i="1" a="1"/>
  <c r="AO1007" i="1" s="1"/>
  <c r="AO1283" i="1" a="1"/>
  <c r="AO1283" i="1" s="1"/>
  <c r="AO1127" i="1" a="1"/>
  <c r="AO1127" i="1" s="1"/>
  <c r="AO1033" i="1" a="1"/>
  <c r="AO1033" i="1" s="1"/>
  <c r="AO1115" i="1" a="1"/>
  <c r="AO1115" i="1" s="1"/>
  <c r="AO1101" i="1" a="1"/>
  <c r="AO1101" i="1" s="1"/>
  <c r="AO1351" i="1" a="1"/>
  <c r="AO1351" i="1" s="1"/>
  <c r="AO1347" i="1" a="1"/>
  <c r="AO1347" i="1" s="1"/>
  <c r="AO948" i="1" a="1"/>
  <c r="AO948" i="1" s="1"/>
  <c r="AO1198" i="1" a="1"/>
  <c r="AO1198" i="1" s="1"/>
  <c r="AO1390" i="1" a="1"/>
  <c r="AO1390" i="1" s="1"/>
  <c r="AO1442" i="1" a="1"/>
  <c r="AO1442" i="1" s="1"/>
  <c r="AO1352" i="1" a="1"/>
  <c r="AO1352" i="1" s="1"/>
  <c r="AO1278" i="1" a="1"/>
  <c r="AO1278" i="1" s="1"/>
  <c r="AO1316" i="1" a="1"/>
  <c r="AO1316" i="1" s="1"/>
  <c r="AO1311" i="1" a="1"/>
  <c r="AO1311" i="1" s="1"/>
  <c r="AO1348" i="1" a="1"/>
  <c r="AO1348" i="1" s="1"/>
  <c r="AO1372" i="1" a="1"/>
  <c r="AO1372" i="1" s="1"/>
  <c r="AO1454" i="1" a="1"/>
  <c r="AO1454" i="1" s="1"/>
  <c r="AO1221" i="1" a="1"/>
  <c r="AO1221" i="1" s="1"/>
  <c r="AO1342" i="1" a="1"/>
  <c r="AO1342" i="1" s="1"/>
  <c r="AO1037" i="1" a="1"/>
  <c r="AO1037" i="1" s="1"/>
  <c r="AO947" i="1" a="1"/>
  <c r="AO947" i="1" s="1"/>
  <c r="AO1207" i="1" a="1"/>
  <c r="AO1207" i="1" s="1"/>
  <c r="AO1048" i="1" a="1"/>
  <c r="AO1048" i="1" s="1"/>
  <c r="AO1166" i="1" a="1"/>
  <c r="AO1166" i="1" s="1"/>
  <c r="AO1450" i="1" a="1"/>
  <c r="AO1450" i="1" s="1"/>
  <c r="AO1389" i="1" a="1"/>
  <c r="AO1389" i="1" s="1"/>
  <c r="AO1437" i="1" a="1"/>
  <c r="AO1437" i="1" s="1"/>
  <c r="AO1009" i="1" a="1"/>
  <c r="AO1009" i="1" s="1"/>
  <c r="AO1051" i="1" a="1"/>
  <c r="AO1051" i="1" s="1"/>
  <c r="AO1364" i="1" a="1"/>
  <c r="AO1364" i="1" s="1"/>
  <c r="AO1022" i="1" a="1"/>
  <c r="AO1022" i="1" s="1"/>
  <c r="AO992" i="1" a="1"/>
  <c r="AO992" i="1" s="1"/>
  <c r="AO1219" i="1" a="1"/>
  <c r="AO1219" i="1" s="1"/>
  <c r="AO1047" i="1" a="1"/>
  <c r="AO1047" i="1" s="1"/>
  <c r="AO1291" i="1" a="1"/>
  <c r="AO1291" i="1" s="1"/>
  <c r="AO1158" i="1" a="1"/>
  <c r="AO1158" i="1" s="1"/>
  <c r="AO1368" i="1" a="1"/>
  <c r="AO1368" i="1" s="1"/>
  <c r="AO1039" i="1" a="1"/>
  <c r="AO1039" i="1" s="1"/>
  <c r="AO1256" i="1" a="1"/>
  <c r="AO1256" i="1" s="1"/>
  <c r="AO1181" i="1" a="1"/>
  <c r="AO1181" i="1" s="1"/>
  <c r="AO1330" i="1" a="1"/>
  <c r="AO1330" i="1" s="1"/>
  <c r="AO1260" i="1" a="1"/>
  <c r="AO1260" i="1" s="1"/>
  <c r="AO910" i="1" a="1"/>
  <c r="AO910" i="1" s="1"/>
  <c r="AO919" i="1" a="1"/>
  <c r="AO919" i="1" s="1"/>
  <c r="AO1448" i="1" a="1"/>
  <c r="AO1448" i="1" s="1"/>
  <c r="AO1178" i="1" a="1"/>
  <c r="AO1178" i="1" s="1"/>
  <c r="AO1233" i="1" a="1"/>
  <c r="AO1233" i="1" s="1"/>
  <c r="AO942" i="1" a="1"/>
  <c r="AO942" i="1" s="1"/>
  <c r="AO1336" i="1" a="1"/>
  <c r="AO1336" i="1" s="1"/>
  <c r="AO1224" i="1" a="1"/>
  <c r="AO1224" i="1" s="1"/>
  <c r="AO1310" i="1" a="1"/>
  <c r="AO1310" i="1" s="1"/>
  <c r="AO1392" i="1" a="1"/>
  <c r="AO1392" i="1" s="1"/>
  <c r="BO6" i="1"/>
  <c r="BP5" i="1"/>
  <c r="AS909" i="1" l="1"/>
  <c r="AR909" i="1"/>
  <c r="X908" i="1"/>
  <c r="AA908" i="1" s="1"/>
  <c r="W908" i="1"/>
  <c r="Z908" i="1" s="1"/>
  <c r="V908" i="1"/>
  <c r="Y908" i="1" s="1"/>
  <c r="AB908" i="1" s="1"/>
  <c r="P909" i="1"/>
  <c r="Q909" i="1"/>
  <c r="AV37" i="1"/>
  <c r="AV16" i="1"/>
  <c r="O909" i="1"/>
  <c r="AP910" i="1"/>
  <c r="BO7" i="1"/>
  <c r="BP6" i="1"/>
  <c r="AV39" i="1" l="1"/>
  <c r="AD908" i="1"/>
  <c r="AC908" i="1"/>
  <c r="R909" i="1" a="1"/>
  <c r="R909" i="1" s="1"/>
  <c r="L909" i="1" s="1"/>
  <c r="S909" i="1" a="1"/>
  <c r="AQ910" i="1"/>
  <c r="Q910" i="1"/>
  <c r="P910" i="1"/>
  <c r="AP911" i="1"/>
  <c r="AQ911" i="1" s="1"/>
  <c r="O910" i="1"/>
  <c r="BO8" i="1"/>
  <c r="BP7" i="1"/>
  <c r="AS910" i="1" l="1"/>
  <c r="W909" i="1"/>
  <c r="Z909" i="1" s="1"/>
  <c r="AC909" i="1" s="1"/>
  <c r="X909" i="1"/>
  <c r="AP912" i="1"/>
  <c r="S910" i="1" a="1"/>
  <c r="S909" i="1"/>
  <c r="V909" i="1" s="1"/>
  <c r="AA909" i="1"/>
  <c r="AD909" i="1" s="1"/>
  <c r="O911" i="1"/>
  <c r="Q911" i="1"/>
  <c r="P911" i="1"/>
  <c r="R910" i="1" a="1"/>
  <c r="R910" i="1" s="1"/>
  <c r="L910" i="1" s="1"/>
  <c r="BO9" i="1"/>
  <c r="BP8" i="1"/>
  <c r="AS911" i="1" l="1"/>
  <c r="W910" i="1"/>
  <c r="X910" i="1"/>
  <c r="AA910" i="1" s="1"/>
  <c r="AD910" i="1" s="1"/>
  <c r="AR910" i="1"/>
  <c r="O912" i="1"/>
  <c r="AQ912" i="1"/>
  <c r="P912" i="1"/>
  <c r="Q912" i="1"/>
  <c r="AP913" i="1"/>
  <c r="Q913" i="1" s="1"/>
  <c r="Y909" i="1"/>
  <c r="AB909" i="1" s="1"/>
  <c r="S911" i="1" a="1"/>
  <c r="S911" i="1" s="1"/>
  <c r="R911" i="1" a="1"/>
  <c r="R911" i="1" s="1"/>
  <c r="L911" i="1" s="1"/>
  <c r="S910" i="1"/>
  <c r="V910" i="1" s="1"/>
  <c r="Z910" i="1"/>
  <c r="AC910" i="1" s="1"/>
  <c r="BO10" i="1"/>
  <c r="BP9" i="1"/>
  <c r="AS912" i="1" l="1"/>
  <c r="S912" i="1" a="1"/>
  <c r="S912" i="1" s="1"/>
  <c r="AQ913" i="1"/>
  <c r="R912" i="1" a="1"/>
  <c r="R912" i="1" s="1"/>
  <c r="L912" i="1" s="1"/>
  <c r="W912" i="1" s="1"/>
  <c r="Z912" i="1" s="1"/>
  <c r="AC912" i="1" s="1"/>
  <c r="AP914" i="1"/>
  <c r="O914" i="1" s="1"/>
  <c r="AR912" i="1"/>
  <c r="W911" i="1"/>
  <c r="Z911" i="1" s="1"/>
  <c r="AC911" i="1" s="1"/>
  <c r="V911" i="1"/>
  <c r="Y911" i="1" s="1"/>
  <c r="AB911" i="1" s="1"/>
  <c r="X911" i="1"/>
  <c r="AA911" i="1" s="1"/>
  <c r="AD911" i="1" s="1"/>
  <c r="AR911" i="1"/>
  <c r="P913" i="1"/>
  <c r="O913" i="1"/>
  <c r="R913" i="1" s="1" a="1"/>
  <c r="R913" i="1" s="1"/>
  <c r="L913" i="1" s="1"/>
  <c r="Y910" i="1"/>
  <c r="AB910" i="1" s="1"/>
  <c r="P914" i="1"/>
  <c r="Q914" i="1"/>
  <c r="S913" i="1" a="1"/>
  <c r="BO11" i="1"/>
  <c r="BP10" i="1"/>
  <c r="V912" i="1" l="1"/>
  <c r="Y912" i="1" s="1"/>
  <c r="AB912" i="1" s="1"/>
  <c r="X912" i="1"/>
  <c r="AA912" i="1" s="1"/>
  <c r="AD912" i="1" s="1"/>
  <c r="AS913" i="1"/>
  <c r="X913" i="1"/>
  <c r="W913" i="1"/>
  <c r="AR913" i="1"/>
  <c r="AQ914" i="1"/>
  <c r="AP915" i="1"/>
  <c r="Q915" i="1" s="1"/>
  <c r="AS914" i="1"/>
  <c r="S913" i="1"/>
  <c r="V913" i="1" s="1"/>
  <c r="AA913" i="1"/>
  <c r="AD913" i="1" s="1"/>
  <c r="Z913" i="1"/>
  <c r="AC913" i="1" s="1"/>
  <c r="S914" i="1" a="1"/>
  <c r="R914" i="1" a="1"/>
  <c r="R914" i="1" s="1"/>
  <c r="L914" i="1" s="1"/>
  <c r="BO12" i="1"/>
  <c r="BP11" i="1"/>
  <c r="O915" i="1" l="1"/>
  <c r="X914" i="1"/>
  <c r="W914" i="1"/>
  <c r="Z914" i="1" s="1"/>
  <c r="AC914" i="1" s="1"/>
  <c r="AR914" i="1"/>
  <c r="AQ915" i="1"/>
  <c r="AS915" i="1" s="1"/>
  <c r="AP916" i="1"/>
  <c r="Q916" i="1" s="1"/>
  <c r="P915" i="1"/>
  <c r="S915" i="1" s="1" a="1"/>
  <c r="Y913" i="1"/>
  <c r="AB913" i="1" s="1"/>
  <c r="S914" i="1"/>
  <c r="V914" i="1" s="1"/>
  <c r="AA914" i="1"/>
  <c r="AD914" i="1" s="1"/>
  <c r="BO13" i="1"/>
  <c r="BP12" i="1"/>
  <c r="O916" i="1" l="1"/>
  <c r="R915" i="1" a="1"/>
  <c r="R915" i="1" s="1"/>
  <c r="L915" i="1" s="1"/>
  <c r="AR915" i="1" s="1"/>
  <c r="AQ916" i="1"/>
  <c r="AP917" i="1"/>
  <c r="Q917" i="1" s="1"/>
  <c r="P916" i="1"/>
  <c r="S916" i="1" s="1" a="1"/>
  <c r="Y914" i="1"/>
  <c r="AB914" i="1" s="1"/>
  <c r="S915" i="1"/>
  <c r="P917" i="1"/>
  <c r="BO14" i="1"/>
  <c r="BP13" i="1"/>
  <c r="AP918" i="1" l="1"/>
  <c r="O917" i="1"/>
  <c r="R916" i="1" a="1"/>
  <c r="R916" i="1" s="1"/>
  <c r="L916" i="1" s="1"/>
  <c r="AS916" i="1"/>
  <c r="X915" i="1"/>
  <c r="AA915" i="1" s="1"/>
  <c r="AD915" i="1" s="1"/>
  <c r="W915" i="1"/>
  <c r="Z915" i="1" s="1"/>
  <c r="AC915" i="1" s="1"/>
  <c r="V915" i="1"/>
  <c r="AQ917" i="1"/>
  <c r="AS917" i="1" s="1"/>
  <c r="AR916" i="1"/>
  <c r="Y915" i="1"/>
  <c r="AB915" i="1" s="1"/>
  <c r="S916" i="1"/>
  <c r="P918" i="1"/>
  <c r="Q918" i="1"/>
  <c r="S917" i="1" a="1"/>
  <c r="R917" i="1" a="1"/>
  <c r="R917" i="1" s="1"/>
  <c r="L917" i="1" s="1"/>
  <c r="O918" i="1"/>
  <c r="AP919" i="1"/>
  <c r="AQ918" i="1"/>
  <c r="BO15" i="1"/>
  <c r="BP14" i="1"/>
  <c r="AR917" i="1" l="1"/>
  <c r="AS918" i="1"/>
  <c r="W917" i="1"/>
  <c r="Z917" i="1" s="1"/>
  <c r="AC917" i="1" s="1"/>
  <c r="X917" i="1"/>
  <c r="X916" i="1"/>
  <c r="AA916" i="1" s="1"/>
  <c r="AD916" i="1" s="1"/>
  <c r="V916" i="1"/>
  <c r="W916" i="1"/>
  <c r="Z916" i="1" s="1"/>
  <c r="AC916" i="1" s="1"/>
  <c r="Y916" i="1"/>
  <c r="AB916" i="1" s="1"/>
  <c r="S917" i="1"/>
  <c r="V917" i="1" s="1"/>
  <c r="AA917" i="1"/>
  <c r="AD917" i="1" s="1"/>
  <c r="Q919" i="1"/>
  <c r="P919" i="1"/>
  <c r="S918" i="1" a="1"/>
  <c r="R918" i="1" a="1"/>
  <c r="R918" i="1" s="1"/>
  <c r="L918" i="1" s="1"/>
  <c r="O919" i="1"/>
  <c r="AP920" i="1"/>
  <c r="AQ919" i="1"/>
  <c r="BO16" i="1"/>
  <c r="BP15" i="1"/>
  <c r="AS919" i="1" l="1"/>
  <c r="W918" i="1"/>
  <c r="X918" i="1"/>
  <c r="AR918" i="1"/>
  <c r="Y917" i="1"/>
  <c r="AB917" i="1" s="1"/>
  <c r="S918" i="1"/>
  <c r="V918" i="1" s="1"/>
  <c r="AA918" i="1"/>
  <c r="AD918" i="1" s="1"/>
  <c r="Z918" i="1"/>
  <c r="AC918" i="1" s="1"/>
  <c r="Q920" i="1"/>
  <c r="P920" i="1"/>
  <c r="S919" i="1" a="1"/>
  <c r="R919" i="1" a="1"/>
  <c r="R919" i="1" s="1"/>
  <c r="L919" i="1" s="1"/>
  <c r="AR919" i="1" s="1"/>
  <c r="O920" i="1"/>
  <c r="AP921" i="1"/>
  <c r="AQ920" i="1"/>
  <c r="BO17" i="1"/>
  <c r="BP16" i="1"/>
  <c r="W919" i="1" l="1"/>
  <c r="X919" i="1"/>
  <c r="AS920" i="1"/>
  <c r="Y918" i="1"/>
  <c r="AB918" i="1" s="1"/>
  <c r="S919" i="1"/>
  <c r="V919" i="1" s="1"/>
  <c r="AA919" i="1"/>
  <c r="AD919" i="1" s="1"/>
  <c r="Z919" i="1"/>
  <c r="AC919" i="1" s="1"/>
  <c r="P921" i="1"/>
  <c r="Q921" i="1"/>
  <c r="R920" i="1" a="1"/>
  <c r="R920" i="1" s="1"/>
  <c r="L920" i="1" s="1"/>
  <c r="S920" i="1" a="1"/>
  <c r="O921" i="1"/>
  <c r="AP922" i="1"/>
  <c r="AQ921" i="1"/>
  <c r="BO18" i="1"/>
  <c r="BP17" i="1"/>
  <c r="AS921" i="1" l="1"/>
  <c r="W920" i="1"/>
  <c r="X920" i="1"/>
  <c r="AR920" i="1"/>
  <c r="Y919" i="1"/>
  <c r="AB919" i="1" s="1"/>
  <c r="S920" i="1"/>
  <c r="V920" i="1" s="1"/>
  <c r="Z920" i="1"/>
  <c r="AC920" i="1" s="1"/>
  <c r="AA920" i="1"/>
  <c r="AD920" i="1" s="1"/>
  <c r="P922" i="1"/>
  <c r="Q922" i="1"/>
  <c r="R921" i="1" a="1"/>
  <c r="R921" i="1" s="1"/>
  <c r="L921" i="1" s="1"/>
  <c r="S921" i="1" a="1"/>
  <c r="O922" i="1"/>
  <c r="AP923" i="1"/>
  <c r="AQ922" i="1"/>
  <c r="BO19" i="1"/>
  <c r="BP18" i="1"/>
  <c r="AS922" i="1" l="1"/>
  <c r="X921" i="1"/>
  <c r="W921" i="1"/>
  <c r="AR921" i="1"/>
  <c r="Y920" i="1"/>
  <c r="AB920" i="1" s="1"/>
  <c r="S921" i="1"/>
  <c r="V921" i="1" s="1"/>
  <c r="AA921" i="1"/>
  <c r="AD921" i="1" s="1"/>
  <c r="Z921" i="1"/>
  <c r="AC921" i="1" s="1"/>
  <c r="P923" i="1"/>
  <c r="Q923" i="1"/>
  <c r="R922" i="1" a="1"/>
  <c r="R922" i="1" s="1"/>
  <c r="L922" i="1" s="1"/>
  <c r="S922" i="1" a="1"/>
  <c r="O923" i="1"/>
  <c r="AP924" i="1"/>
  <c r="AQ923" i="1"/>
  <c r="BO20" i="1"/>
  <c r="BP19" i="1"/>
  <c r="AS923" i="1" l="1"/>
  <c r="X922" i="1"/>
  <c r="W922" i="1"/>
  <c r="AR922" i="1"/>
  <c r="Y921" i="1"/>
  <c r="AB921" i="1" s="1"/>
  <c r="S922" i="1"/>
  <c r="V922" i="1" s="1"/>
  <c r="AA922" i="1"/>
  <c r="AD922" i="1" s="1"/>
  <c r="Z922" i="1"/>
  <c r="AC922" i="1" s="1"/>
  <c r="Q924" i="1"/>
  <c r="P924" i="1"/>
  <c r="S923" i="1" a="1"/>
  <c r="R923" i="1" a="1"/>
  <c r="R923" i="1" s="1"/>
  <c r="L923" i="1" s="1"/>
  <c r="O924" i="1"/>
  <c r="AP925" i="1"/>
  <c r="AQ924" i="1"/>
  <c r="BO21" i="1"/>
  <c r="BP20" i="1"/>
  <c r="AS924" i="1" l="1"/>
  <c r="X923" i="1"/>
  <c r="W923" i="1"/>
  <c r="AR923" i="1"/>
  <c r="Y922" i="1"/>
  <c r="AB922" i="1" s="1"/>
  <c r="S923" i="1"/>
  <c r="V923" i="1" s="1"/>
  <c r="Z923" i="1"/>
  <c r="AC923" i="1" s="1"/>
  <c r="AA923" i="1"/>
  <c r="AD923" i="1" s="1"/>
  <c r="P925" i="1"/>
  <c r="Q925" i="1"/>
  <c r="S924" i="1" a="1"/>
  <c r="R924" i="1" a="1"/>
  <c r="R924" i="1" s="1"/>
  <c r="L924" i="1" s="1"/>
  <c r="O925" i="1"/>
  <c r="AP926" i="1"/>
  <c r="AQ925" i="1"/>
  <c r="BO22" i="1"/>
  <c r="BP21" i="1"/>
  <c r="AS925" i="1" l="1"/>
  <c r="X924" i="1"/>
  <c r="W924" i="1"/>
  <c r="AR924" i="1"/>
  <c r="Y923" i="1"/>
  <c r="AB923" i="1" s="1"/>
  <c r="S924" i="1"/>
  <c r="V924" i="1" s="1"/>
  <c r="Z924" i="1"/>
  <c r="AC924" i="1" s="1"/>
  <c r="AA924" i="1"/>
  <c r="AD924" i="1" s="1"/>
  <c r="P926" i="1"/>
  <c r="Q926" i="1"/>
  <c r="S925" i="1" a="1"/>
  <c r="R925" i="1" a="1"/>
  <c r="R925" i="1" s="1"/>
  <c r="L925" i="1" s="1"/>
  <c r="O926" i="1"/>
  <c r="AP927" i="1"/>
  <c r="AQ926" i="1"/>
  <c r="BO23" i="1"/>
  <c r="BP22" i="1"/>
  <c r="AS926" i="1" l="1"/>
  <c r="X925" i="1"/>
  <c r="W925" i="1"/>
  <c r="AR925" i="1"/>
  <c r="Y924" i="1"/>
  <c r="AB924" i="1" s="1"/>
  <c r="S925" i="1"/>
  <c r="V925" i="1" s="1"/>
  <c r="AA925" i="1"/>
  <c r="AD925" i="1" s="1"/>
  <c r="Z925" i="1"/>
  <c r="AC925" i="1" s="1"/>
  <c r="P927" i="1"/>
  <c r="Q927" i="1"/>
  <c r="S926" i="1" a="1"/>
  <c r="R926" i="1" a="1"/>
  <c r="R926" i="1" s="1"/>
  <c r="L926" i="1" s="1"/>
  <c r="O927" i="1"/>
  <c r="AP928" i="1"/>
  <c r="AQ927" i="1"/>
  <c r="BO24" i="1"/>
  <c r="BP23" i="1"/>
  <c r="AS927" i="1" l="1"/>
  <c r="X926" i="1"/>
  <c r="W926" i="1"/>
  <c r="AR926" i="1"/>
  <c r="Y925" i="1"/>
  <c r="AB925" i="1" s="1"/>
  <c r="S926" i="1"/>
  <c r="V926" i="1" s="1"/>
  <c r="Z926" i="1"/>
  <c r="AC926" i="1" s="1"/>
  <c r="AA926" i="1"/>
  <c r="AD926" i="1" s="1"/>
  <c r="Q928" i="1"/>
  <c r="P928" i="1"/>
  <c r="S927" i="1" a="1"/>
  <c r="R927" i="1" a="1"/>
  <c r="R927" i="1" s="1"/>
  <c r="L927" i="1" s="1"/>
  <c r="O928" i="1"/>
  <c r="AP929" i="1"/>
  <c r="AQ928" i="1"/>
  <c r="BO25" i="1"/>
  <c r="BP24" i="1"/>
  <c r="X927" i="1" l="1"/>
  <c r="W927" i="1"/>
  <c r="AR927" i="1"/>
  <c r="AS928" i="1"/>
  <c r="Y926" i="1"/>
  <c r="AB926" i="1" s="1"/>
  <c r="S927" i="1"/>
  <c r="V927" i="1" s="1"/>
  <c r="Z927" i="1"/>
  <c r="AC927" i="1" s="1"/>
  <c r="AA927" i="1"/>
  <c r="AD927" i="1" s="1"/>
  <c r="Q929" i="1"/>
  <c r="P929" i="1"/>
  <c r="S928" i="1" a="1"/>
  <c r="R928" i="1" a="1"/>
  <c r="R928" i="1" s="1"/>
  <c r="L928" i="1" s="1"/>
  <c r="O929" i="1"/>
  <c r="AP930" i="1"/>
  <c r="AQ929" i="1"/>
  <c r="BO26" i="1"/>
  <c r="BP25" i="1"/>
  <c r="AS929" i="1" l="1"/>
  <c r="X928" i="1"/>
  <c r="W928" i="1"/>
  <c r="AR928" i="1"/>
  <c r="Y927" i="1"/>
  <c r="AB927" i="1" s="1"/>
  <c r="S928" i="1"/>
  <c r="V928" i="1" s="1"/>
  <c r="AA928" i="1"/>
  <c r="AD928" i="1" s="1"/>
  <c r="Z928" i="1"/>
  <c r="AC928" i="1" s="1"/>
  <c r="P930" i="1"/>
  <c r="Q930" i="1"/>
  <c r="S929" i="1" a="1"/>
  <c r="R929" i="1" a="1"/>
  <c r="R929" i="1" s="1"/>
  <c r="L929" i="1" s="1"/>
  <c r="AR929" i="1" s="1"/>
  <c r="O930" i="1"/>
  <c r="AP931" i="1"/>
  <c r="AQ930" i="1"/>
  <c r="BO27" i="1"/>
  <c r="BP26" i="1"/>
  <c r="AS930" i="1" l="1"/>
  <c r="W929" i="1"/>
  <c r="X929" i="1"/>
  <c r="Y928" i="1"/>
  <c r="AB928" i="1" s="1"/>
  <c r="S929" i="1"/>
  <c r="V929" i="1" s="1"/>
  <c r="Z929" i="1"/>
  <c r="AC929" i="1" s="1"/>
  <c r="AA929" i="1"/>
  <c r="AD929" i="1" s="1"/>
  <c r="P931" i="1"/>
  <c r="Q931" i="1"/>
  <c r="S930" i="1" a="1"/>
  <c r="R930" i="1" a="1"/>
  <c r="R930" i="1" s="1"/>
  <c r="L930" i="1" s="1"/>
  <c r="AR930" i="1" s="1"/>
  <c r="O931" i="1"/>
  <c r="AP932" i="1"/>
  <c r="AQ931" i="1"/>
  <c r="BP27" i="1"/>
  <c r="BO28" i="1"/>
  <c r="AS931" i="1" l="1"/>
  <c r="W930" i="1"/>
  <c r="X930" i="1"/>
  <c r="Y929" i="1"/>
  <c r="AB929" i="1" s="1"/>
  <c r="S930" i="1"/>
  <c r="V930" i="1" s="1"/>
  <c r="AA930" i="1"/>
  <c r="AD930" i="1" s="1"/>
  <c r="Z930" i="1"/>
  <c r="AC930" i="1" s="1"/>
  <c r="Q932" i="1"/>
  <c r="P932" i="1"/>
  <c r="S931" i="1" a="1"/>
  <c r="R931" i="1" a="1"/>
  <c r="R931" i="1" s="1"/>
  <c r="L931" i="1" s="1"/>
  <c r="O932" i="1"/>
  <c r="AP933" i="1"/>
  <c r="AQ932" i="1"/>
  <c r="BO29" i="1"/>
  <c r="BP28" i="1"/>
  <c r="AS932" i="1" l="1"/>
  <c r="W931" i="1"/>
  <c r="X931" i="1"/>
  <c r="AR931" i="1"/>
  <c r="Y930" i="1"/>
  <c r="AB930" i="1" s="1"/>
  <c r="S931" i="1"/>
  <c r="V931" i="1" s="1"/>
  <c r="AA931" i="1"/>
  <c r="AD931" i="1" s="1"/>
  <c r="Z931" i="1"/>
  <c r="AC931" i="1" s="1"/>
  <c r="Q933" i="1"/>
  <c r="P933" i="1"/>
  <c r="S932" i="1" a="1"/>
  <c r="R932" i="1" a="1"/>
  <c r="R932" i="1" s="1"/>
  <c r="L932" i="1" s="1"/>
  <c r="O933" i="1"/>
  <c r="AP934" i="1"/>
  <c r="AQ933" i="1"/>
  <c r="BO30" i="1"/>
  <c r="BP29" i="1"/>
  <c r="AS933" i="1" l="1"/>
  <c r="W932" i="1"/>
  <c r="X932" i="1"/>
  <c r="AR932" i="1"/>
  <c r="Y931" i="1"/>
  <c r="AB931" i="1" s="1"/>
  <c r="S932" i="1"/>
  <c r="V932" i="1" s="1"/>
  <c r="Z932" i="1"/>
  <c r="AC932" i="1" s="1"/>
  <c r="AA932" i="1"/>
  <c r="AD932" i="1" s="1"/>
  <c r="P934" i="1"/>
  <c r="Q934" i="1"/>
  <c r="S933" i="1" a="1"/>
  <c r="R933" i="1" a="1"/>
  <c r="R933" i="1" s="1"/>
  <c r="L933" i="1" s="1"/>
  <c r="O934" i="1"/>
  <c r="AP935" i="1"/>
  <c r="AQ934" i="1"/>
  <c r="BO31" i="1"/>
  <c r="BP30" i="1"/>
  <c r="AS934" i="1" l="1"/>
  <c r="W933" i="1"/>
  <c r="X933" i="1"/>
  <c r="AR933" i="1"/>
  <c r="Y932" i="1"/>
  <c r="AB932" i="1" s="1"/>
  <c r="S933" i="1"/>
  <c r="V933" i="1" s="1"/>
  <c r="AA933" i="1"/>
  <c r="AD933" i="1" s="1"/>
  <c r="Z933" i="1"/>
  <c r="AC933" i="1" s="1"/>
  <c r="P935" i="1"/>
  <c r="Q935" i="1"/>
  <c r="S934" i="1" a="1"/>
  <c r="R934" i="1" a="1"/>
  <c r="R934" i="1" s="1"/>
  <c r="L934" i="1" s="1"/>
  <c r="O935" i="1"/>
  <c r="AP936" i="1"/>
  <c r="AQ935" i="1"/>
  <c r="BO32" i="1"/>
  <c r="BP31" i="1"/>
  <c r="AS935" i="1" l="1"/>
  <c r="W934" i="1"/>
  <c r="X934" i="1"/>
  <c r="AR934" i="1"/>
  <c r="Y933" i="1"/>
  <c r="AB933" i="1" s="1"/>
  <c r="S934" i="1"/>
  <c r="V934" i="1" s="1"/>
  <c r="AA934" i="1"/>
  <c r="AD934" i="1" s="1"/>
  <c r="Z934" i="1"/>
  <c r="AC934" i="1" s="1"/>
  <c r="P936" i="1"/>
  <c r="Q936" i="1"/>
  <c r="S935" i="1" a="1"/>
  <c r="R935" i="1" a="1"/>
  <c r="R935" i="1" s="1"/>
  <c r="L935" i="1" s="1"/>
  <c r="O936" i="1"/>
  <c r="AP937" i="1"/>
  <c r="AQ936" i="1"/>
  <c r="BO33" i="1"/>
  <c r="BP32" i="1"/>
  <c r="AS936" i="1" l="1"/>
  <c r="W935" i="1"/>
  <c r="X935" i="1"/>
  <c r="AR935" i="1"/>
  <c r="Y934" i="1"/>
  <c r="AB934" i="1" s="1"/>
  <c r="S935" i="1"/>
  <c r="V935" i="1" s="1"/>
  <c r="Z935" i="1"/>
  <c r="AC935" i="1" s="1"/>
  <c r="AA935" i="1"/>
  <c r="AD935" i="1" s="1"/>
  <c r="Q937" i="1"/>
  <c r="P937" i="1"/>
  <c r="S936" i="1" a="1"/>
  <c r="R936" i="1" a="1"/>
  <c r="R936" i="1" s="1"/>
  <c r="L936" i="1" s="1"/>
  <c r="O937" i="1"/>
  <c r="AP938" i="1"/>
  <c r="AQ937" i="1"/>
  <c r="BO34" i="1"/>
  <c r="BP33" i="1"/>
  <c r="AS937" i="1" l="1"/>
  <c r="X936" i="1"/>
  <c r="W936" i="1"/>
  <c r="AR936" i="1"/>
  <c r="Y935" i="1"/>
  <c r="AB935" i="1" s="1"/>
  <c r="S936" i="1"/>
  <c r="V936" i="1" s="1"/>
  <c r="Z936" i="1"/>
  <c r="AC936" i="1" s="1"/>
  <c r="AA936" i="1"/>
  <c r="AD936" i="1" s="1"/>
  <c r="Q938" i="1"/>
  <c r="P938" i="1"/>
  <c r="S937" i="1" a="1"/>
  <c r="R937" i="1" a="1"/>
  <c r="R937" i="1" s="1"/>
  <c r="L937" i="1" s="1"/>
  <c r="O938" i="1"/>
  <c r="AP939" i="1"/>
  <c r="AQ938" i="1"/>
  <c r="BO35" i="1"/>
  <c r="BP34" i="1"/>
  <c r="AS938" i="1" l="1"/>
  <c r="X937" i="1"/>
  <c r="W937" i="1"/>
  <c r="AR937" i="1"/>
  <c r="Y936" i="1"/>
  <c r="AB936" i="1" s="1"/>
  <c r="S937" i="1"/>
  <c r="V937" i="1" s="1"/>
  <c r="AA937" i="1"/>
  <c r="AD937" i="1" s="1"/>
  <c r="Z937" i="1"/>
  <c r="AC937" i="1" s="1"/>
  <c r="P939" i="1"/>
  <c r="Q939" i="1"/>
  <c r="R938" i="1" a="1"/>
  <c r="R938" i="1" s="1"/>
  <c r="L938" i="1" s="1"/>
  <c r="S938" i="1" a="1"/>
  <c r="O939" i="1"/>
  <c r="AP940" i="1"/>
  <c r="AQ939" i="1"/>
  <c r="BO36" i="1"/>
  <c r="BP35" i="1"/>
  <c r="X938" i="1" l="1"/>
  <c r="W938" i="1"/>
  <c r="AR938" i="1"/>
  <c r="AS939" i="1"/>
  <c r="Y937" i="1"/>
  <c r="AB937" i="1" s="1"/>
  <c r="S938" i="1"/>
  <c r="V938" i="1" s="1"/>
  <c r="AA938" i="1"/>
  <c r="AD938" i="1" s="1"/>
  <c r="Z938" i="1"/>
  <c r="AC938" i="1" s="1"/>
  <c r="P940" i="1"/>
  <c r="Q940" i="1"/>
  <c r="R939" i="1" a="1"/>
  <c r="R939" i="1" s="1"/>
  <c r="L939" i="1" s="1"/>
  <c r="S939" i="1" a="1"/>
  <c r="O940" i="1"/>
  <c r="AP941" i="1"/>
  <c r="AQ940" i="1"/>
  <c r="BO37" i="1"/>
  <c r="BP36" i="1"/>
  <c r="AS940" i="1" l="1"/>
  <c r="X939" i="1"/>
  <c r="W939" i="1"/>
  <c r="AR939" i="1"/>
  <c r="Y938" i="1"/>
  <c r="AB938" i="1" s="1"/>
  <c r="S939" i="1"/>
  <c r="V939" i="1" s="1"/>
  <c r="Z939" i="1"/>
  <c r="AC939" i="1" s="1"/>
  <c r="AA939" i="1"/>
  <c r="AD939" i="1" s="1"/>
  <c r="Q941" i="1"/>
  <c r="P941" i="1"/>
  <c r="S940" i="1" a="1"/>
  <c r="R940" i="1" a="1"/>
  <c r="R940" i="1" s="1"/>
  <c r="L940" i="1" s="1"/>
  <c r="O941" i="1"/>
  <c r="AP942" i="1"/>
  <c r="AQ941" i="1"/>
  <c r="BO38" i="1"/>
  <c r="BP37" i="1"/>
  <c r="X940" i="1" l="1"/>
  <c r="W940" i="1"/>
  <c r="AR940" i="1"/>
  <c r="AS941" i="1"/>
  <c r="Y939" i="1"/>
  <c r="AB939" i="1" s="1"/>
  <c r="S940" i="1"/>
  <c r="V940" i="1" s="1"/>
  <c r="AA940" i="1"/>
  <c r="AD940" i="1" s="1"/>
  <c r="Z940" i="1"/>
  <c r="AC940" i="1" s="1"/>
  <c r="Q942" i="1"/>
  <c r="P942" i="1"/>
  <c r="S941" i="1" a="1"/>
  <c r="R941" i="1" a="1"/>
  <c r="R941" i="1" s="1"/>
  <c r="L941" i="1" s="1"/>
  <c r="O942" i="1"/>
  <c r="AP943" i="1"/>
  <c r="AQ942" i="1"/>
  <c r="BO39" i="1"/>
  <c r="BP38" i="1"/>
  <c r="AS942" i="1" l="1"/>
  <c r="W941" i="1"/>
  <c r="X941" i="1"/>
  <c r="AR941" i="1"/>
  <c r="Y940" i="1"/>
  <c r="AB940" i="1" s="1"/>
  <c r="S941" i="1"/>
  <c r="V941" i="1" s="1"/>
  <c r="AA941" i="1"/>
  <c r="AD941" i="1" s="1"/>
  <c r="Z941" i="1"/>
  <c r="AC941" i="1" s="1"/>
  <c r="P943" i="1"/>
  <c r="Q943" i="1"/>
  <c r="S942" i="1" a="1"/>
  <c r="R942" i="1" a="1"/>
  <c r="R942" i="1" s="1"/>
  <c r="L942" i="1" s="1"/>
  <c r="AR942" i="1" s="1"/>
  <c r="O943" i="1"/>
  <c r="AP944" i="1"/>
  <c r="AQ943" i="1"/>
  <c r="BO40" i="1"/>
  <c r="BP39" i="1"/>
  <c r="AS943" i="1" l="1"/>
  <c r="W942" i="1"/>
  <c r="X942" i="1"/>
  <c r="Y941" i="1"/>
  <c r="AB941" i="1" s="1"/>
  <c r="S942" i="1"/>
  <c r="V942" i="1" s="1"/>
  <c r="AA942" i="1"/>
  <c r="AD942" i="1" s="1"/>
  <c r="Z942" i="1"/>
  <c r="AC942" i="1" s="1"/>
  <c r="P944" i="1"/>
  <c r="Q944" i="1"/>
  <c r="S943" i="1" a="1"/>
  <c r="R943" i="1" a="1"/>
  <c r="R943" i="1" s="1"/>
  <c r="L943" i="1" s="1"/>
  <c r="O944" i="1"/>
  <c r="AP945" i="1"/>
  <c r="AQ944" i="1"/>
  <c r="BO41" i="1"/>
  <c r="BP40" i="1"/>
  <c r="AS944" i="1" l="1"/>
  <c r="W943" i="1"/>
  <c r="X943" i="1"/>
  <c r="AR943" i="1"/>
  <c r="Y942" i="1"/>
  <c r="AB942" i="1" s="1"/>
  <c r="S943" i="1"/>
  <c r="V943" i="1" s="1"/>
  <c r="Z943" i="1"/>
  <c r="AC943" i="1" s="1"/>
  <c r="AA943" i="1"/>
  <c r="AD943" i="1" s="1"/>
  <c r="P945" i="1"/>
  <c r="Q945" i="1"/>
  <c r="S944" i="1" a="1"/>
  <c r="R944" i="1" a="1"/>
  <c r="R944" i="1" s="1"/>
  <c r="L944" i="1" s="1"/>
  <c r="O945" i="1"/>
  <c r="AP946" i="1"/>
  <c r="AQ945" i="1"/>
  <c r="BO42" i="1"/>
  <c r="BP41" i="1"/>
  <c r="AS945" i="1" l="1"/>
  <c r="W944" i="1"/>
  <c r="X944" i="1"/>
  <c r="AR944" i="1"/>
  <c r="Y943" i="1"/>
  <c r="AB943" i="1" s="1"/>
  <c r="S944" i="1"/>
  <c r="V944" i="1" s="1"/>
  <c r="Z944" i="1"/>
  <c r="AC944" i="1" s="1"/>
  <c r="AA944" i="1"/>
  <c r="AD944" i="1" s="1"/>
  <c r="Q946" i="1"/>
  <c r="P946" i="1"/>
  <c r="S945" i="1" a="1"/>
  <c r="R945" i="1" a="1"/>
  <c r="R945" i="1" s="1"/>
  <c r="L945" i="1" s="1"/>
  <c r="O946" i="1"/>
  <c r="AP947" i="1"/>
  <c r="AQ946" i="1"/>
  <c r="BO43" i="1"/>
  <c r="BP42" i="1"/>
  <c r="AS946" i="1" l="1"/>
  <c r="X945" i="1"/>
  <c r="W945" i="1"/>
  <c r="AR945" i="1"/>
  <c r="Y944" i="1"/>
  <c r="AB944" i="1" s="1"/>
  <c r="S945" i="1"/>
  <c r="V945" i="1" s="1"/>
  <c r="AA945" i="1"/>
  <c r="AD945" i="1" s="1"/>
  <c r="Z945" i="1"/>
  <c r="AC945" i="1" s="1"/>
  <c r="P947" i="1"/>
  <c r="Q947" i="1"/>
  <c r="S946" i="1" a="1"/>
  <c r="R946" i="1" a="1"/>
  <c r="R946" i="1" s="1"/>
  <c r="L946" i="1" s="1"/>
  <c r="O947" i="1"/>
  <c r="AP948" i="1"/>
  <c r="AQ947" i="1"/>
  <c r="BO44" i="1"/>
  <c r="BP43" i="1"/>
  <c r="AS947" i="1" l="1"/>
  <c r="X946" i="1"/>
  <c r="W946" i="1"/>
  <c r="AR946" i="1"/>
  <c r="Y945" i="1"/>
  <c r="AB945" i="1" s="1"/>
  <c r="S946" i="1"/>
  <c r="V946" i="1" s="1"/>
  <c r="AA946" i="1"/>
  <c r="AD946" i="1" s="1"/>
  <c r="Z946" i="1"/>
  <c r="AC946" i="1" s="1"/>
  <c r="P948" i="1"/>
  <c r="Q948" i="1"/>
  <c r="S947" i="1" a="1"/>
  <c r="R947" i="1" a="1"/>
  <c r="R947" i="1" s="1"/>
  <c r="L947" i="1" s="1"/>
  <c r="O948" i="1"/>
  <c r="AP949" i="1"/>
  <c r="AQ948" i="1"/>
  <c r="BO45" i="1"/>
  <c r="BP44" i="1"/>
  <c r="AS948" i="1" l="1"/>
  <c r="X947" i="1"/>
  <c r="W947" i="1"/>
  <c r="AR947" i="1"/>
  <c r="Y946" i="1"/>
  <c r="AB946" i="1" s="1"/>
  <c r="S947" i="1"/>
  <c r="V947" i="1" s="1"/>
  <c r="Z947" i="1"/>
  <c r="AC947" i="1" s="1"/>
  <c r="AA947" i="1"/>
  <c r="AD947" i="1" s="1"/>
  <c r="P949" i="1"/>
  <c r="Q949" i="1"/>
  <c r="R948" i="1" a="1"/>
  <c r="R948" i="1" s="1"/>
  <c r="L948" i="1" s="1"/>
  <c r="S948" i="1" a="1"/>
  <c r="O949" i="1"/>
  <c r="AP950" i="1"/>
  <c r="AQ949" i="1"/>
  <c r="BO46" i="1"/>
  <c r="BP45" i="1"/>
  <c r="AS949" i="1" l="1"/>
  <c r="X948" i="1"/>
  <c r="W948" i="1"/>
  <c r="AR948" i="1"/>
  <c r="Y947" i="1"/>
  <c r="AB947" i="1" s="1"/>
  <c r="S948" i="1"/>
  <c r="V948" i="1" s="1"/>
  <c r="Z948" i="1"/>
  <c r="AC948" i="1" s="1"/>
  <c r="AA948" i="1"/>
  <c r="AD948" i="1" s="1"/>
  <c r="Q950" i="1"/>
  <c r="P950" i="1"/>
  <c r="R949" i="1" a="1"/>
  <c r="R949" i="1" s="1"/>
  <c r="L949" i="1" s="1"/>
  <c r="S949" i="1" a="1"/>
  <c r="O950" i="1"/>
  <c r="AP951" i="1"/>
  <c r="AQ950" i="1"/>
  <c r="BO47" i="1"/>
  <c r="BP46" i="1"/>
  <c r="AS950" i="1" l="1"/>
  <c r="X949" i="1"/>
  <c r="W949" i="1"/>
  <c r="AR949" i="1"/>
  <c r="Y948" i="1"/>
  <c r="AB948" i="1" s="1"/>
  <c r="S949" i="1"/>
  <c r="V949" i="1" s="1"/>
  <c r="AA949" i="1"/>
  <c r="AD949" i="1" s="1"/>
  <c r="Z949" i="1"/>
  <c r="AC949" i="1" s="1"/>
  <c r="Q951" i="1"/>
  <c r="P951" i="1"/>
  <c r="R950" i="1" a="1"/>
  <c r="R950" i="1" s="1"/>
  <c r="L950" i="1" s="1"/>
  <c r="S950" i="1" a="1"/>
  <c r="O951" i="1"/>
  <c r="AP952" i="1"/>
  <c r="AQ951" i="1"/>
  <c r="BO48" i="1"/>
  <c r="BP47" i="1"/>
  <c r="AS951" i="1" l="1"/>
  <c r="X950" i="1"/>
  <c r="W950" i="1"/>
  <c r="AR950" i="1"/>
  <c r="Y949" i="1"/>
  <c r="AB949" i="1" s="1"/>
  <c r="S950" i="1"/>
  <c r="V950" i="1" s="1"/>
  <c r="AA950" i="1"/>
  <c r="AD950" i="1" s="1"/>
  <c r="Z950" i="1"/>
  <c r="AC950" i="1" s="1"/>
  <c r="P952" i="1"/>
  <c r="Q952" i="1"/>
  <c r="S951" i="1" a="1"/>
  <c r="R951" i="1" a="1"/>
  <c r="R951" i="1" s="1"/>
  <c r="L951" i="1" s="1"/>
  <c r="O952" i="1"/>
  <c r="AP953" i="1"/>
  <c r="AQ952" i="1"/>
  <c r="BO49" i="1"/>
  <c r="BP48" i="1"/>
  <c r="AS952" i="1" l="1"/>
  <c r="X951" i="1"/>
  <c r="W951" i="1"/>
  <c r="AR951" i="1"/>
  <c r="Y950" i="1"/>
  <c r="AB950" i="1" s="1"/>
  <c r="S951" i="1"/>
  <c r="V951" i="1" s="1"/>
  <c r="Z951" i="1"/>
  <c r="AC951" i="1" s="1"/>
  <c r="AA951" i="1"/>
  <c r="AD951" i="1" s="1"/>
  <c r="S952" i="1" a="1"/>
  <c r="R952" i="1" a="1"/>
  <c r="R952" i="1" s="1"/>
  <c r="L952" i="1" s="1"/>
  <c r="P953" i="1"/>
  <c r="Q953" i="1"/>
  <c r="O953" i="1"/>
  <c r="AP954" i="1"/>
  <c r="AQ953" i="1"/>
  <c r="BO50" i="1"/>
  <c r="BP49" i="1"/>
  <c r="X952" i="1" l="1"/>
  <c r="W952" i="1"/>
  <c r="AR952" i="1"/>
  <c r="AS953" i="1"/>
  <c r="Y951" i="1"/>
  <c r="AB951" i="1" s="1"/>
  <c r="S952" i="1"/>
  <c r="V952" i="1" s="1"/>
  <c r="Z952" i="1"/>
  <c r="AC952" i="1" s="1"/>
  <c r="AA952" i="1"/>
  <c r="AD952" i="1" s="1"/>
  <c r="Q954" i="1"/>
  <c r="P954" i="1"/>
  <c r="S953" i="1" a="1"/>
  <c r="R953" i="1" a="1"/>
  <c r="R953" i="1" s="1"/>
  <c r="L953" i="1" s="1"/>
  <c r="AR953" i="1" s="1"/>
  <c r="O954" i="1"/>
  <c r="AP955" i="1"/>
  <c r="AQ954" i="1"/>
  <c r="BO51" i="1"/>
  <c r="BP50" i="1"/>
  <c r="W953" i="1" l="1"/>
  <c r="X953" i="1"/>
  <c r="AS954" i="1"/>
  <c r="Y952" i="1"/>
  <c r="AB952" i="1" s="1"/>
  <c r="S953" i="1"/>
  <c r="V953" i="1" s="1"/>
  <c r="Z953" i="1"/>
  <c r="AC953" i="1" s="1"/>
  <c r="AA953" i="1"/>
  <c r="AD953" i="1" s="1"/>
  <c r="Q955" i="1"/>
  <c r="P955" i="1"/>
  <c r="S954" i="1" a="1"/>
  <c r="R954" i="1" a="1"/>
  <c r="R954" i="1" s="1"/>
  <c r="L954" i="1" s="1"/>
  <c r="O955" i="1"/>
  <c r="AP956" i="1"/>
  <c r="AQ955" i="1"/>
  <c r="BO52" i="1"/>
  <c r="BP51" i="1"/>
  <c r="AS955" i="1" l="1"/>
  <c r="W954" i="1"/>
  <c r="X954" i="1"/>
  <c r="AR954" i="1"/>
  <c r="Y953" i="1"/>
  <c r="AB953" i="1" s="1"/>
  <c r="S954" i="1"/>
  <c r="V954" i="1" s="1"/>
  <c r="Z954" i="1"/>
  <c r="AC954" i="1" s="1"/>
  <c r="AA954" i="1"/>
  <c r="AD954" i="1" s="1"/>
  <c r="P956" i="1"/>
  <c r="Q956" i="1"/>
  <c r="S955" i="1" a="1"/>
  <c r="R955" i="1" a="1"/>
  <c r="R955" i="1" s="1"/>
  <c r="L955" i="1" s="1"/>
  <c r="O956" i="1"/>
  <c r="AP957" i="1"/>
  <c r="AQ956" i="1"/>
  <c r="BO53" i="1"/>
  <c r="BP52" i="1"/>
  <c r="AS956" i="1" l="1"/>
  <c r="W955" i="1"/>
  <c r="X955" i="1"/>
  <c r="AR955" i="1"/>
  <c r="Y954" i="1"/>
  <c r="AB954" i="1" s="1"/>
  <c r="S955" i="1"/>
  <c r="V955" i="1" s="1"/>
  <c r="Z955" i="1"/>
  <c r="AC955" i="1" s="1"/>
  <c r="AA955" i="1"/>
  <c r="AD955" i="1" s="1"/>
  <c r="P957" i="1"/>
  <c r="Q957" i="1"/>
  <c r="R956" i="1" a="1"/>
  <c r="R956" i="1" s="1"/>
  <c r="L956" i="1" s="1"/>
  <c r="S956" i="1" a="1"/>
  <c r="O957" i="1"/>
  <c r="AP958" i="1"/>
  <c r="AQ957" i="1"/>
  <c r="BO54" i="1"/>
  <c r="BP53" i="1"/>
  <c r="W956" i="1" l="1"/>
  <c r="X956" i="1"/>
  <c r="AR956" i="1"/>
  <c r="AS957" i="1"/>
  <c r="Y955" i="1"/>
  <c r="AB955" i="1" s="1"/>
  <c r="S956" i="1"/>
  <c r="V956" i="1" s="1"/>
  <c r="Z956" i="1"/>
  <c r="AC956" i="1" s="1"/>
  <c r="AA956" i="1"/>
  <c r="AD956" i="1" s="1"/>
  <c r="Q958" i="1"/>
  <c r="P958" i="1"/>
  <c r="R957" i="1" a="1"/>
  <c r="R957" i="1" s="1"/>
  <c r="L957" i="1" s="1"/>
  <c r="S957" i="1" a="1"/>
  <c r="O958" i="1"/>
  <c r="AP959" i="1"/>
  <c r="AQ958" i="1"/>
  <c r="BO55" i="1"/>
  <c r="BP54" i="1"/>
  <c r="AS958" i="1" l="1"/>
  <c r="X957" i="1"/>
  <c r="W957" i="1"/>
  <c r="AR957" i="1"/>
  <c r="Y956" i="1"/>
  <c r="AB956" i="1" s="1"/>
  <c r="S957" i="1"/>
  <c r="V957" i="1" s="1"/>
  <c r="AA957" i="1"/>
  <c r="AD957" i="1" s="1"/>
  <c r="Z957" i="1"/>
  <c r="AC957" i="1" s="1"/>
  <c r="Q959" i="1"/>
  <c r="P959" i="1"/>
  <c r="R958" i="1" a="1"/>
  <c r="R958" i="1" s="1"/>
  <c r="L958" i="1" s="1"/>
  <c r="S958" i="1" a="1"/>
  <c r="O959" i="1"/>
  <c r="AP960" i="1"/>
  <c r="AQ959" i="1"/>
  <c r="BO56" i="1"/>
  <c r="BP55" i="1"/>
  <c r="X958" i="1" l="1"/>
  <c r="W958" i="1"/>
  <c r="AR958" i="1"/>
  <c r="AS959" i="1"/>
  <c r="Y957" i="1"/>
  <c r="AB957" i="1" s="1"/>
  <c r="S958" i="1"/>
  <c r="V958" i="1" s="1"/>
  <c r="AA958" i="1"/>
  <c r="AD958" i="1" s="1"/>
  <c r="Z958" i="1"/>
  <c r="AC958" i="1" s="1"/>
  <c r="P960" i="1"/>
  <c r="Q960" i="1"/>
  <c r="R959" i="1" a="1"/>
  <c r="R959" i="1" s="1"/>
  <c r="L959" i="1" s="1"/>
  <c r="S959" i="1" a="1"/>
  <c r="O960" i="1"/>
  <c r="AP961" i="1"/>
  <c r="AQ960" i="1"/>
  <c r="BO57" i="1"/>
  <c r="BP56" i="1"/>
  <c r="AS960" i="1" l="1"/>
  <c r="W959" i="1"/>
  <c r="X959" i="1"/>
  <c r="AR959" i="1"/>
  <c r="Y958" i="1"/>
  <c r="AB958" i="1" s="1"/>
  <c r="S959" i="1"/>
  <c r="V959" i="1" s="1"/>
  <c r="Z959" i="1"/>
  <c r="AC959" i="1" s="1"/>
  <c r="AA959" i="1"/>
  <c r="AD959" i="1" s="1"/>
  <c r="P961" i="1"/>
  <c r="Q961" i="1"/>
  <c r="S960" i="1" a="1"/>
  <c r="R960" i="1" a="1"/>
  <c r="R960" i="1" s="1"/>
  <c r="L960" i="1" s="1"/>
  <c r="O961" i="1"/>
  <c r="AP962" i="1"/>
  <c r="AQ961" i="1"/>
  <c r="BO58" i="1"/>
  <c r="BP57" i="1"/>
  <c r="AS961" i="1" l="1"/>
  <c r="W960" i="1"/>
  <c r="X960" i="1"/>
  <c r="AR960" i="1"/>
  <c r="Y959" i="1"/>
  <c r="AB959" i="1" s="1"/>
  <c r="S960" i="1"/>
  <c r="V960" i="1" s="1"/>
  <c r="Z960" i="1"/>
  <c r="AC960" i="1" s="1"/>
  <c r="AA960" i="1"/>
  <c r="AD960" i="1" s="1"/>
  <c r="P962" i="1"/>
  <c r="Q962" i="1"/>
  <c r="S961" i="1" a="1"/>
  <c r="R961" i="1" a="1"/>
  <c r="R961" i="1" s="1"/>
  <c r="L961" i="1" s="1"/>
  <c r="O962" i="1"/>
  <c r="AP963" i="1"/>
  <c r="AQ962" i="1"/>
  <c r="BO59" i="1"/>
  <c r="BP58" i="1"/>
  <c r="AS962" i="1" l="1"/>
  <c r="X961" i="1"/>
  <c r="W961" i="1"/>
  <c r="AR961" i="1"/>
  <c r="Y960" i="1"/>
  <c r="AB960" i="1" s="1"/>
  <c r="S961" i="1"/>
  <c r="V961" i="1" s="1"/>
  <c r="AA961" i="1"/>
  <c r="AD961" i="1" s="1"/>
  <c r="Z961" i="1"/>
  <c r="AC961" i="1" s="1"/>
  <c r="Q963" i="1"/>
  <c r="P963" i="1"/>
  <c r="S962" i="1" a="1"/>
  <c r="R962" i="1" a="1"/>
  <c r="R962" i="1" s="1"/>
  <c r="L962" i="1" s="1"/>
  <c r="O963" i="1"/>
  <c r="AP964" i="1"/>
  <c r="AQ963" i="1"/>
  <c r="BO60" i="1"/>
  <c r="BP59" i="1"/>
  <c r="AS963" i="1" l="1"/>
  <c r="X962" i="1"/>
  <c r="W962" i="1"/>
  <c r="AR962" i="1"/>
  <c r="Y961" i="1"/>
  <c r="AB961" i="1" s="1"/>
  <c r="S962" i="1"/>
  <c r="V962" i="1" s="1"/>
  <c r="AA962" i="1"/>
  <c r="AD962" i="1" s="1"/>
  <c r="Z962" i="1"/>
  <c r="AC962" i="1" s="1"/>
  <c r="Q964" i="1"/>
  <c r="P964" i="1"/>
  <c r="S963" i="1" a="1"/>
  <c r="R963" i="1" a="1"/>
  <c r="R963" i="1" s="1"/>
  <c r="L963" i="1" s="1"/>
  <c r="O964" i="1"/>
  <c r="AP965" i="1"/>
  <c r="AQ964" i="1"/>
  <c r="BO61" i="1"/>
  <c r="BP60" i="1"/>
  <c r="X963" i="1" l="1"/>
  <c r="W963" i="1"/>
  <c r="AR963" i="1"/>
  <c r="AS964" i="1"/>
  <c r="Y962" i="1"/>
  <c r="AB962" i="1" s="1"/>
  <c r="S963" i="1"/>
  <c r="V963" i="1" s="1"/>
  <c r="Z963" i="1"/>
  <c r="AC963" i="1" s="1"/>
  <c r="AA963" i="1"/>
  <c r="AD963" i="1" s="1"/>
  <c r="S964" i="1" a="1"/>
  <c r="R964" i="1" a="1"/>
  <c r="R964" i="1" s="1"/>
  <c r="L964" i="1" s="1"/>
  <c r="P965" i="1"/>
  <c r="Q965" i="1"/>
  <c r="O965" i="1"/>
  <c r="AP966" i="1"/>
  <c r="AQ965" i="1"/>
  <c r="BO62" i="1"/>
  <c r="BP61" i="1"/>
  <c r="AS965" i="1" l="1"/>
  <c r="X964" i="1"/>
  <c r="W964" i="1"/>
  <c r="AR964" i="1"/>
  <c r="Y963" i="1"/>
  <c r="AB963" i="1" s="1"/>
  <c r="S964" i="1"/>
  <c r="V964" i="1" s="1"/>
  <c r="AA964" i="1"/>
  <c r="AD964" i="1" s="1"/>
  <c r="Z964" i="1"/>
  <c r="AC964" i="1" s="1"/>
  <c r="P966" i="1"/>
  <c r="Q966" i="1"/>
  <c r="S965" i="1" a="1"/>
  <c r="R965" i="1" a="1"/>
  <c r="R965" i="1" s="1"/>
  <c r="L965" i="1" s="1"/>
  <c r="AR965" i="1" s="1"/>
  <c r="O966" i="1"/>
  <c r="AP967" i="1"/>
  <c r="AQ966" i="1"/>
  <c r="BO63" i="1"/>
  <c r="BP62" i="1"/>
  <c r="AS966" i="1" l="1"/>
  <c r="W965" i="1"/>
  <c r="X965" i="1"/>
  <c r="Y964" i="1"/>
  <c r="AB964" i="1" s="1"/>
  <c r="S965" i="1"/>
  <c r="V965" i="1" s="1"/>
  <c r="AA965" i="1"/>
  <c r="AD965" i="1" s="1"/>
  <c r="Z965" i="1"/>
  <c r="AC965" i="1" s="1"/>
  <c r="Q967" i="1"/>
  <c r="P967" i="1"/>
  <c r="R966" i="1" a="1"/>
  <c r="R966" i="1" s="1"/>
  <c r="L966" i="1" s="1"/>
  <c r="S966" i="1" a="1"/>
  <c r="O967" i="1"/>
  <c r="AP968" i="1"/>
  <c r="AQ967" i="1"/>
  <c r="BO64" i="1"/>
  <c r="BP63" i="1"/>
  <c r="W966" i="1" l="1"/>
  <c r="X966" i="1"/>
  <c r="AR966" i="1"/>
  <c r="AS967" i="1"/>
  <c r="Y965" i="1"/>
  <c r="AB965" i="1" s="1"/>
  <c r="S966" i="1"/>
  <c r="V966" i="1" s="1"/>
  <c r="Z966" i="1"/>
  <c r="AC966" i="1" s="1"/>
  <c r="AA966" i="1"/>
  <c r="AD966" i="1" s="1"/>
  <c r="Q968" i="1"/>
  <c r="P968" i="1"/>
  <c r="R967" i="1" a="1"/>
  <c r="R967" i="1" s="1"/>
  <c r="L967" i="1" s="1"/>
  <c r="AR967" i="1" s="1"/>
  <c r="S967" i="1" a="1"/>
  <c r="O968" i="1"/>
  <c r="AP969" i="1"/>
  <c r="AQ968" i="1"/>
  <c r="BO65" i="1"/>
  <c r="BP64" i="1"/>
  <c r="W967" i="1" l="1"/>
  <c r="X967" i="1"/>
  <c r="AS968" i="1"/>
  <c r="Y966" i="1"/>
  <c r="AB966" i="1" s="1"/>
  <c r="S967" i="1"/>
  <c r="V967" i="1" s="1"/>
  <c r="AA967" i="1"/>
  <c r="AD967" i="1" s="1"/>
  <c r="Z967" i="1"/>
  <c r="AC967" i="1" s="1"/>
  <c r="R968" i="1" a="1"/>
  <c r="R968" i="1" s="1"/>
  <c r="L968" i="1" s="1"/>
  <c r="S968" i="1" a="1"/>
  <c r="P969" i="1"/>
  <c r="Q969" i="1"/>
  <c r="O969" i="1"/>
  <c r="AP970" i="1"/>
  <c r="AQ969" i="1"/>
  <c r="BO66" i="1"/>
  <c r="BP65" i="1"/>
  <c r="W968" i="1" l="1"/>
  <c r="X968" i="1"/>
  <c r="AR968" i="1"/>
  <c r="AS969" i="1"/>
  <c r="Y967" i="1"/>
  <c r="AB967" i="1" s="1"/>
  <c r="S968" i="1"/>
  <c r="V968" i="1" s="1"/>
  <c r="AA968" i="1"/>
  <c r="AD968" i="1" s="1"/>
  <c r="Z968" i="1"/>
  <c r="AC968" i="1" s="1"/>
  <c r="P970" i="1"/>
  <c r="Q970" i="1"/>
  <c r="R969" i="1" a="1"/>
  <c r="R969" i="1" s="1"/>
  <c r="L969" i="1" s="1"/>
  <c r="S969" i="1" a="1"/>
  <c r="O970" i="1"/>
  <c r="AP971" i="1"/>
  <c r="AQ970" i="1"/>
  <c r="BO67" i="1"/>
  <c r="BP66" i="1"/>
  <c r="AS970" i="1" l="1"/>
  <c r="W969" i="1"/>
  <c r="X969" i="1"/>
  <c r="AR969" i="1"/>
  <c r="Y968" i="1"/>
  <c r="AB968" i="1" s="1"/>
  <c r="S969" i="1"/>
  <c r="V969" i="1" s="1"/>
  <c r="AA969" i="1"/>
  <c r="AD969" i="1" s="1"/>
  <c r="Z969" i="1"/>
  <c r="AC969" i="1" s="1"/>
  <c r="P971" i="1"/>
  <c r="Q971" i="1"/>
  <c r="R970" i="1" a="1"/>
  <c r="R970" i="1" s="1"/>
  <c r="L970" i="1" s="1"/>
  <c r="S970" i="1" a="1"/>
  <c r="O971" i="1"/>
  <c r="AP972" i="1"/>
  <c r="AQ971" i="1"/>
  <c r="BO68" i="1"/>
  <c r="BP67" i="1"/>
  <c r="AS971" i="1" l="1"/>
  <c r="W970" i="1"/>
  <c r="X970" i="1"/>
  <c r="AR970" i="1"/>
  <c r="Y969" i="1"/>
  <c r="AB969" i="1" s="1"/>
  <c r="S970" i="1"/>
  <c r="V970" i="1" s="1"/>
  <c r="AA970" i="1"/>
  <c r="AD970" i="1" s="1"/>
  <c r="Z970" i="1"/>
  <c r="AC970" i="1" s="1"/>
  <c r="Q972" i="1"/>
  <c r="P972" i="1"/>
  <c r="S971" i="1" a="1"/>
  <c r="R971" i="1" a="1"/>
  <c r="R971" i="1" s="1"/>
  <c r="L971" i="1" s="1"/>
  <c r="O972" i="1"/>
  <c r="AP973" i="1"/>
  <c r="AQ972" i="1"/>
  <c r="BO69" i="1"/>
  <c r="BP68" i="1"/>
  <c r="AS972" i="1" l="1"/>
  <c r="X971" i="1"/>
  <c r="W971" i="1"/>
  <c r="AR971" i="1"/>
  <c r="Y970" i="1"/>
  <c r="AB970" i="1" s="1"/>
  <c r="S971" i="1"/>
  <c r="V971" i="1" s="1"/>
  <c r="AA971" i="1"/>
  <c r="AD971" i="1" s="1"/>
  <c r="Z971" i="1"/>
  <c r="AC971" i="1" s="1"/>
  <c r="Q973" i="1"/>
  <c r="P973" i="1"/>
  <c r="S972" i="1" a="1"/>
  <c r="R972" i="1" a="1"/>
  <c r="R972" i="1" s="1"/>
  <c r="L972" i="1" s="1"/>
  <c r="O973" i="1"/>
  <c r="AP974" i="1"/>
  <c r="AQ973" i="1"/>
  <c r="BO70" i="1"/>
  <c r="BP69" i="1"/>
  <c r="AS973" i="1" l="1"/>
  <c r="X972" i="1"/>
  <c r="W972" i="1"/>
  <c r="AR972" i="1"/>
  <c r="Y971" i="1"/>
  <c r="AB971" i="1" s="1"/>
  <c r="S972" i="1"/>
  <c r="V972" i="1" s="1"/>
  <c r="Z972" i="1"/>
  <c r="AC972" i="1" s="1"/>
  <c r="AA972" i="1"/>
  <c r="AD972" i="1" s="1"/>
  <c r="P974" i="1"/>
  <c r="Q974" i="1"/>
  <c r="S973" i="1" a="1"/>
  <c r="R973" i="1" a="1"/>
  <c r="R973" i="1" s="1"/>
  <c r="L973" i="1" s="1"/>
  <c r="O974" i="1"/>
  <c r="AP975" i="1"/>
  <c r="AQ974" i="1"/>
  <c r="BO71" i="1"/>
  <c r="BP70" i="1"/>
  <c r="AS974" i="1" l="1"/>
  <c r="X973" i="1"/>
  <c r="W973" i="1"/>
  <c r="AR973" i="1"/>
  <c r="Y972" i="1"/>
  <c r="AB972" i="1" s="1"/>
  <c r="S973" i="1"/>
  <c r="V973" i="1" s="1"/>
  <c r="Z973" i="1"/>
  <c r="AC973" i="1" s="1"/>
  <c r="AA973" i="1"/>
  <c r="AD973" i="1" s="1"/>
  <c r="P975" i="1"/>
  <c r="Q975" i="1"/>
  <c r="S974" i="1" a="1"/>
  <c r="R974" i="1" a="1"/>
  <c r="R974" i="1" s="1"/>
  <c r="L974" i="1" s="1"/>
  <c r="O975" i="1"/>
  <c r="AP976" i="1"/>
  <c r="AQ975" i="1"/>
  <c r="BO72" i="1"/>
  <c r="BP71" i="1"/>
  <c r="AS975" i="1" l="1"/>
  <c r="X974" i="1"/>
  <c r="W974" i="1"/>
  <c r="AR974" i="1"/>
  <c r="Y973" i="1"/>
  <c r="AB973" i="1" s="1"/>
  <c r="S974" i="1"/>
  <c r="V974" i="1" s="1"/>
  <c r="AA974" i="1"/>
  <c r="AD974" i="1" s="1"/>
  <c r="Z974" i="1"/>
  <c r="AC974" i="1" s="1"/>
  <c r="Q976" i="1"/>
  <c r="P976" i="1"/>
  <c r="S975" i="1" a="1"/>
  <c r="R975" i="1" a="1"/>
  <c r="R975" i="1" s="1"/>
  <c r="L975" i="1" s="1"/>
  <c r="O976" i="1"/>
  <c r="AP977" i="1"/>
  <c r="AQ976" i="1"/>
  <c r="BO73" i="1"/>
  <c r="BP72" i="1"/>
  <c r="AS976" i="1" l="1"/>
  <c r="X975" i="1"/>
  <c r="W975" i="1"/>
  <c r="AR975" i="1"/>
  <c r="Y974" i="1"/>
  <c r="AB974" i="1" s="1"/>
  <c r="S975" i="1"/>
  <c r="V975" i="1" s="1"/>
  <c r="AA975" i="1"/>
  <c r="AD975" i="1" s="1"/>
  <c r="Z975" i="1"/>
  <c r="AC975" i="1" s="1"/>
  <c r="Q977" i="1"/>
  <c r="P977" i="1"/>
  <c r="S976" i="1" a="1"/>
  <c r="R976" i="1" a="1"/>
  <c r="R976" i="1" s="1"/>
  <c r="L976" i="1" s="1"/>
  <c r="O977" i="1"/>
  <c r="AP978" i="1"/>
  <c r="AQ977" i="1"/>
  <c r="BO74" i="1"/>
  <c r="BP73" i="1"/>
  <c r="AS977" i="1" l="1"/>
  <c r="X976" i="1"/>
  <c r="W976" i="1"/>
  <c r="AR976" i="1"/>
  <c r="Y975" i="1"/>
  <c r="AB975" i="1" s="1"/>
  <c r="S976" i="1"/>
  <c r="V976" i="1" s="1"/>
  <c r="Z976" i="1"/>
  <c r="AC976" i="1" s="1"/>
  <c r="AA976" i="1"/>
  <c r="AD976" i="1" s="1"/>
  <c r="P978" i="1"/>
  <c r="Q978" i="1"/>
  <c r="R977" i="1" a="1"/>
  <c r="R977" i="1" s="1"/>
  <c r="L977" i="1" s="1"/>
  <c r="S977" i="1" a="1"/>
  <c r="O978" i="1"/>
  <c r="AP979" i="1"/>
  <c r="AQ978" i="1"/>
  <c r="BO75" i="1"/>
  <c r="BP74" i="1"/>
  <c r="AS978" i="1" l="1"/>
  <c r="W977" i="1"/>
  <c r="X977" i="1"/>
  <c r="AR977" i="1"/>
  <c r="Y976" i="1"/>
  <c r="AB976" i="1" s="1"/>
  <c r="S977" i="1"/>
  <c r="V977" i="1" s="1"/>
  <c r="Z977" i="1"/>
  <c r="AC977" i="1" s="1"/>
  <c r="AA977" i="1"/>
  <c r="AD977" i="1" s="1"/>
  <c r="P979" i="1"/>
  <c r="Q979" i="1"/>
  <c r="S978" i="1" a="1"/>
  <c r="R978" i="1" a="1"/>
  <c r="R978" i="1" s="1"/>
  <c r="L978" i="1" s="1"/>
  <c r="O979" i="1"/>
  <c r="AP980" i="1"/>
  <c r="AQ979" i="1"/>
  <c r="BO76" i="1"/>
  <c r="BP75" i="1"/>
  <c r="AS979" i="1" l="1"/>
  <c r="W978" i="1"/>
  <c r="X978" i="1"/>
  <c r="AR978" i="1"/>
  <c r="Y977" i="1"/>
  <c r="AB977" i="1" s="1"/>
  <c r="S978" i="1"/>
  <c r="V978" i="1" s="1"/>
  <c r="Z978" i="1"/>
  <c r="AC978" i="1" s="1"/>
  <c r="AA978" i="1"/>
  <c r="AD978" i="1" s="1"/>
  <c r="Q980" i="1"/>
  <c r="P980" i="1"/>
  <c r="S979" i="1" a="1"/>
  <c r="R979" i="1" a="1"/>
  <c r="R979" i="1" s="1"/>
  <c r="L979" i="1" s="1"/>
  <c r="O980" i="1"/>
  <c r="AP981" i="1"/>
  <c r="AQ980" i="1"/>
  <c r="BO77" i="1"/>
  <c r="BP76" i="1"/>
  <c r="AS980" i="1" l="1"/>
  <c r="W979" i="1"/>
  <c r="X979" i="1"/>
  <c r="AR979" i="1"/>
  <c r="Y978" i="1"/>
  <c r="AB978" i="1" s="1"/>
  <c r="S979" i="1"/>
  <c r="V979" i="1" s="1"/>
  <c r="AA979" i="1"/>
  <c r="AD979" i="1" s="1"/>
  <c r="Z979" i="1"/>
  <c r="AC979" i="1" s="1"/>
  <c r="Q981" i="1"/>
  <c r="P981" i="1"/>
  <c r="S980" i="1" a="1"/>
  <c r="R980" i="1" a="1"/>
  <c r="R980" i="1" s="1"/>
  <c r="L980" i="1" s="1"/>
  <c r="AR980" i="1" s="1"/>
  <c r="O981" i="1"/>
  <c r="AP982" i="1"/>
  <c r="AQ981" i="1"/>
  <c r="BO78" i="1"/>
  <c r="BP77" i="1"/>
  <c r="AS981" i="1" l="1"/>
  <c r="W980" i="1"/>
  <c r="X980" i="1"/>
  <c r="Y979" i="1"/>
  <c r="AB979" i="1" s="1"/>
  <c r="S980" i="1"/>
  <c r="V980" i="1" s="1"/>
  <c r="AA980" i="1"/>
  <c r="AD980" i="1" s="1"/>
  <c r="Z980" i="1"/>
  <c r="AC980" i="1" s="1"/>
  <c r="P982" i="1"/>
  <c r="Q982" i="1"/>
  <c r="S981" i="1" a="1"/>
  <c r="R981" i="1" a="1"/>
  <c r="R981" i="1" s="1"/>
  <c r="L981" i="1" s="1"/>
  <c r="O982" i="1"/>
  <c r="AP983" i="1"/>
  <c r="AQ982" i="1"/>
  <c r="BO79" i="1"/>
  <c r="BP78" i="1"/>
  <c r="AS982" i="1" l="1"/>
  <c r="X981" i="1"/>
  <c r="W981" i="1"/>
  <c r="AR981" i="1"/>
  <c r="Y980" i="1"/>
  <c r="AB980" i="1" s="1"/>
  <c r="S981" i="1"/>
  <c r="V981" i="1" s="1"/>
  <c r="AA981" i="1"/>
  <c r="AD981" i="1" s="1"/>
  <c r="Z981" i="1"/>
  <c r="AC981" i="1" s="1"/>
  <c r="P983" i="1"/>
  <c r="Q983" i="1"/>
  <c r="S982" i="1" a="1"/>
  <c r="R982" i="1" a="1"/>
  <c r="R982" i="1" s="1"/>
  <c r="L982" i="1" s="1"/>
  <c r="O983" i="1"/>
  <c r="AP984" i="1"/>
  <c r="AQ983" i="1"/>
  <c r="BO80" i="1"/>
  <c r="BP79" i="1"/>
  <c r="AS983" i="1" l="1"/>
  <c r="W982" i="1"/>
  <c r="X982" i="1"/>
  <c r="AR982" i="1"/>
  <c r="Y981" i="1"/>
  <c r="AB981" i="1" s="1"/>
  <c r="S982" i="1"/>
  <c r="V982" i="1" s="1"/>
  <c r="AA982" i="1"/>
  <c r="AD982" i="1" s="1"/>
  <c r="Z982" i="1"/>
  <c r="AC982" i="1" s="1"/>
  <c r="P984" i="1"/>
  <c r="Q984" i="1"/>
  <c r="S983" i="1" a="1"/>
  <c r="R983" i="1" a="1"/>
  <c r="R983" i="1" s="1"/>
  <c r="L983" i="1" s="1"/>
  <c r="O984" i="1"/>
  <c r="AP985" i="1"/>
  <c r="AQ984" i="1"/>
  <c r="BO81" i="1"/>
  <c r="BP80" i="1"/>
  <c r="AS984" i="1" l="1"/>
  <c r="W983" i="1"/>
  <c r="X983" i="1"/>
  <c r="AR983" i="1"/>
  <c r="Y982" i="1"/>
  <c r="AB982" i="1" s="1"/>
  <c r="S983" i="1"/>
  <c r="V983" i="1" s="1"/>
  <c r="Z983" i="1"/>
  <c r="AC983" i="1" s="1"/>
  <c r="AA983" i="1"/>
  <c r="AD983" i="1" s="1"/>
  <c r="Q985" i="1"/>
  <c r="P985" i="1"/>
  <c r="S984" i="1" a="1"/>
  <c r="R984" i="1" a="1"/>
  <c r="R984" i="1" s="1"/>
  <c r="L984" i="1" s="1"/>
  <c r="O985" i="1"/>
  <c r="AP986" i="1"/>
  <c r="AQ985" i="1"/>
  <c r="BO82" i="1"/>
  <c r="BP81" i="1"/>
  <c r="AS985" i="1" l="1"/>
  <c r="W984" i="1"/>
  <c r="X984" i="1"/>
  <c r="AR984" i="1"/>
  <c r="Y983" i="1"/>
  <c r="AB983" i="1" s="1"/>
  <c r="S984" i="1"/>
  <c r="V984" i="1" s="1"/>
  <c r="AA984" i="1"/>
  <c r="AD984" i="1" s="1"/>
  <c r="Z984" i="1"/>
  <c r="AC984" i="1" s="1"/>
  <c r="Q986" i="1"/>
  <c r="P986" i="1"/>
  <c r="S985" i="1" a="1"/>
  <c r="R985" i="1" a="1"/>
  <c r="R985" i="1" s="1"/>
  <c r="L985" i="1" s="1"/>
  <c r="O986" i="1"/>
  <c r="AP987" i="1"/>
  <c r="AQ986" i="1"/>
  <c r="BO83" i="1"/>
  <c r="BP82" i="1"/>
  <c r="AS986" i="1" l="1"/>
  <c r="X985" i="1"/>
  <c r="W985" i="1"/>
  <c r="AR985" i="1"/>
  <c r="Y984" i="1"/>
  <c r="AB984" i="1" s="1"/>
  <c r="S985" i="1"/>
  <c r="V985" i="1" s="1"/>
  <c r="Z985" i="1"/>
  <c r="AC985" i="1" s="1"/>
  <c r="AA985" i="1"/>
  <c r="AD985" i="1" s="1"/>
  <c r="P987" i="1"/>
  <c r="Q987" i="1"/>
  <c r="R986" i="1" a="1"/>
  <c r="R986" i="1" s="1"/>
  <c r="L986" i="1" s="1"/>
  <c r="S986" i="1" a="1"/>
  <c r="O987" i="1"/>
  <c r="AP988" i="1"/>
  <c r="AQ987" i="1"/>
  <c r="BO84" i="1"/>
  <c r="BP83" i="1"/>
  <c r="AS987" i="1" l="1"/>
  <c r="X986" i="1"/>
  <c r="W986" i="1"/>
  <c r="AR986" i="1"/>
  <c r="Y985" i="1"/>
  <c r="AB985" i="1" s="1"/>
  <c r="S986" i="1"/>
  <c r="V986" i="1" s="1"/>
  <c r="AA986" i="1"/>
  <c r="AD986" i="1" s="1"/>
  <c r="Z986" i="1"/>
  <c r="AC986" i="1" s="1"/>
  <c r="Q988" i="1"/>
  <c r="P988" i="1"/>
  <c r="R987" i="1" a="1"/>
  <c r="R987" i="1" s="1"/>
  <c r="L987" i="1" s="1"/>
  <c r="S987" i="1" a="1"/>
  <c r="O988" i="1"/>
  <c r="AP989" i="1"/>
  <c r="AQ988" i="1"/>
  <c r="BO85" i="1"/>
  <c r="BP84" i="1"/>
  <c r="AS988" i="1" l="1"/>
  <c r="X987" i="1"/>
  <c r="W987" i="1"/>
  <c r="AR987" i="1"/>
  <c r="Y986" i="1"/>
  <c r="AB986" i="1" s="1"/>
  <c r="S987" i="1"/>
  <c r="V987" i="1" s="1"/>
  <c r="Z987" i="1"/>
  <c r="AC987" i="1" s="1"/>
  <c r="AA987" i="1"/>
  <c r="AD987" i="1" s="1"/>
  <c r="Q989" i="1"/>
  <c r="P989" i="1"/>
  <c r="S988" i="1" a="1"/>
  <c r="R988" i="1" a="1"/>
  <c r="R988" i="1" s="1"/>
  <c r="L988" i="1" s="1"/>
  <c r="O989" i="1"/>
  <c r="AP990" i="1"/>
  <c r="AQ989" i="1"/>
  <c r="BO86" i="1"/>
  <c r="BP85" i="1"/>
  <c r="AS989" i="1" l="1"/>
  <c r="X988" i="1"/>
  <c r="W988" i="1"/>
  <c r="AR988" i="1"/>
  <c r="Y987" i="1"/>
  <c r="AB987" i="1" s="1"/>
  <c r="S988" i="1"/>
  <c r="V988" i="1" s="1"/>
  <c r="Z988" i="1"/>
  <c r="AC988" i="1" s="1"/>
  <c r="AA988" i="1"/>
  <c r="AD988" i="1" s="1"/>
  <c r="Q990" i="1"/>
  <c r="P990" i="1"/>
  <c r="S989" i="1" a="1"/>
  <c r="R989" i="1" a="1"/>
  <c r="R989" i="1" s="1"/>
  <c r="L989" i="1" s="1"/>
  <c r="O990" i="1"/>
  <c r="AP991" i="1"/>
  <c r="AQ990" i="1"/>
  <c r="BO87" i="1"/>
  <c r="BP86" i="1"/>
  <c r="AS990" i="1" l="1"/>
  <c r="W989" i="1"/>
  <c r="X989" i="1"/>
  <c r="AR989" i="1"/>
  <c r="Y988" i="1"/>
  <c r="AB988" i="1" s="1"/>
  <c r="S989" i="1"/>
  <c r="V989" i="1" s="1"/>
  <c r="Z989" i="1"/>
  <c r="AC989" i="1" s="1"/>
  <c r="AA989" i="1"/>
  <c r="AD989" i="1" s="1"/>
  <c r="P991" i="1"/>
  <c r="Q991" i="1"/>
  <c r="S990" i="1" a="1"/>
  <c r="R990" i="1" a="1"/>
  <c r="R990" i="1" s="1"/>
  <c r="L990" i="1" s="1"/>
  <c r="O991" i="1"/>
  <c r="AP992" i="1"/>
  <c r="AQ991" i="1"/>
  <c r="BO88" i="1"/>
  <c r="BP87" i="1"/>
  <c r="W990" i="1" l="1"/>
  <c r="X990" i="1"/>
  <c r="AR990" i="1"/>
  <c r="AS991" i="1"/>
  <c r="Y989" i="1"/>
  <c r="AB989" i="1" s="1"/>
  <c r="S990" i="1"/>
  <c r="V990" i="1" s="1"/>
  <c r="Z990" i="1"/>
  <c r="AC990" i="1" s="1"/>
  <c r="AA990" i="1"/>
  <c r="AD990" i="1" s="1"/>
  <c r="P992" i="1"/>
  <c r="Q992" i="1"/>
  <c r="S991" i="1" a="1"/>
  <c r="R991" i="1" a="1"/>
  <c r="R991" i="1" s="1"/>
  <c r="L991" i="1" s="1"/>
  <c r="O992" i="1"/>
  <c r="AP993" i="1"/>
  <c r="AQ992" i="1"/>
  <c r="BO89" i="1"/>
  <c r="BP88" i="1"/>
  <c r="AS992" i="1" l="1"/>
  <c r="W991" i="1"/>
  <c r="X991" i="1"/>
  <c r="AR991" i="1"/>
  <c r="Y990" i="1"/>
  <c r="AB990" i="1" s="1"/>
  <c r="S991" i="1"/>
  <c r="V991" i="1" s="1"/>
  <c r="Z991" i="1"/>
  <c r="AC991" i="1" s="1"/>
  <c r="AA991" i="1"/>
  <c r="AD991" i="1" s="1"/>
  <c r="Q993" i="1"/>
  <c r="P993" i="1"/>
  <c r="S992" i="1" a="1"/>
  <c r="R992" i="1" a="1"/>
  <c r="R992" i="1" s="1"/>
  <c r="L992" i="1" s="1"/>
  <c r="O993" i="1"/>
  <c r="AP994" i="1"/>
  <c r="AQ993" i="1"/>
  <c r="BO90" i="1"/>
  <c r="BP89" i="1"/>
  <c r="W992" i="1" l="1"/>
  <c r="X992" i="1"/>
  <c r="AR992" i="1"/>
  <c r="AS993" i="1"/>
  <c r="Y991" i="1"/>
  <c r="AB991" i="1" s="1"/>
  <c r="S992" i="1"/>
  <c r="V992" i="1" s="1"/>
  <c r="Z992" i="1"/>
  <c r="AC992" i="1" s="1"/>
  <c r="AA992" i="1"/>
  <c r="AD992" i="1" s="1"/>
  <c r="Q994" i="1"/>
  <c r="P994" i="1"/>
  <c r="S993" i="1" a="1"/>
  <c r="R993" i="1" a="1"/>
  <c r="R993" i="1" s="1"/>
  <c r="L993" i="1" s="1"/>
  <c r="O994" i="1"/>
  <c r="AP995" i="1"/>
  <c r="AQ994" i="1"/>
  <c r="BO91" i="1"/>
  <c r="BP90" i="1"/>
  <c r="AS994" i="1" l="1"/>
  <c r="X993" i="1"/>
  <c r="W993" i="1"/>
  <c r="AR993" i="1"/>
  <c r="Y992" i="1"/>
  <c r="AB992" i="1" s="1"/>
  <c r="S993" i="1"/>
  <c r="V993" i="1" s="1"/>
  <c r="Z993" i="1"/>
  <c r="AC993" i="1" s="1"/>
  <c r="AA993" i="1"/>
  <c r="AD993" i="1" s="1"/>
  <c r="P995" i="1"/>
  <c r="Q995" i="1"/>
  <c r="S994" i="1" a="1"/>
  <c r="R994" i="1" a="1"/>
  <c r="R994" i="1" s="1"/>
  <c r="L994" i="1" s="1"/>
  <c r="O995" i="1"/>
  <c r="AP996" i="1"/>
  <c r="AQ995" i="1"/>
  <c r="BO92" i="1"/>
  <c r="BP91" i="1"/>
  <c r="X994" i="1" l="1"/>
  <c r="W994" i="1"/>
  <c r="AR994" i="1"/>
  <c r="AS995" i="1"/>
  <c r="Y993" i="1"/>
  <c r="AB993" i="1" s="1"/>
  <c r="S994" i="1"/>
  <c r="V994" i="1" s="1"/>
  <c r="Z994" i="1"/>
  <c r="AC994" i="1" s="1"/>
  <c r="AA994" i="1"/>
  <c r="AD994" i="1" s="1"/>
  <c r="Q996" i="1"/>
  <c r="P996" i="1"/>
  <c r="R995" i="1" a="1"/>
  <c r="R995" i="1" s="1"/>
  <c r="L995" i="1" s="1"/>
  <c r="S995" i="1" a="1"/>
  <c r="O996" i="1"/>
  <c r="AP997" i="1"/>
  <c r="AQ996" i="1"/>
  <c r="BO93" i="1"/>
  <c r="BP92" i="1"/>
  <c r="AS996" i="1" l="1"/>
  <c r="X995" i="1"/>
  <c r="W995" i="1"/>
  <c r="AR995" i="1"/>
  <c r="Y994" i="1"/>
  <c r="AB994" i="1" s="1"/>
  <c r="S995" i="1"/>
  <c r="V995" i="1" s="1"/>
  <c r="AA995" i="1"/>
  <c r="AD995" i="1" s="1"/>
  <c r="Z995" i="1"/>
  <c r="AC995" i="1" s="1"/>
  <c r="P997" i="1"/>
  <c r="Q997" i="1"/>
  <c r="R996" i="1" a="1"/>
  <c r="R996" i="1" s="1"/>
  <c r="L996" i="1" s="1"/>
  <c r="S996" i="1" a="1"/>
  <c r="O997" i="1"/>
  <c r="AP998" i="1"/>
  <c r="AQ997" i="1"/>
  <c r="BO94" i="1"/>
  <c r="BP93" i="1"/>
  <c r="X996" i="1" l="1"/>
  <c r="W996" i="1"/>
  <c r="AR996" i="1"/>
  <c r="AS997" i="1"/>
  <c r="Y995" i="1"/>
  <c r="AB995" i="1" s="1"/>
  <c r="S996" i="1"/>
  <c r="V996" i="1" s="1"/>
  <c r="AA996" i="1"/>
  <c r="AD996" i="1" s="1"/>
  <c r="Z996" i="1"/>
  <c r="AC996" i="1" s="1"/>
  <c r="Q998" i="1"/>
  <c r="P998" i="1"/>
  <c r="R997" i="1" a="1"/>
  <c r="R997" i="1" s="1"/>
  <c r="L997" i="1" s="1"/>
  <c r="S997" i="1" a="1"/>
  <c r="O998" i="1"/>
  <c r="AP999" i="1"/>
  <c r="AQ998" i="1"/>
  <c r="BO95" i="1"/>
  <c r="BP94" i="1"/>
  <c r="AS998" i="1" l="1"/>
  <c r="X997" i="1"/>
  <c r="W997" i="1"/>
  <c r="AR997" i="1"/>
  <c r="Y996" i="1"/>
  <c r="AB996" i="1" s="1"/>
  <c r="S997" i="1"/>
  <c r="V997" i="1" s="1"/>
  <c r="Z997" i="1"/>
  <c r="AC997" i="1" s="1"/>
  <c r="AA997" i="1"/>
  <c r="AD997" i="1" s="1"/>
  <c r="Q999" i="1"/>
  <c r="P999" i="1"/>
  <c r="R998" i="1" a="1"/>
  <c r="R998" i="1" s="1"/>
  <c r="L998" i="1" s="1"/>
  <c r="S998" i="1" a="1"/>
  <c r="O999" i="1"/>
  <c r="AP1000" i="1"/>
  <c r="AQ999" i="1"/>
  <c r="BO96" i="1"/>
  <c r="BP95" i="1"/>
  <c r="X998" i="1" l="1"/>
  <c r="W998" i="1"/>
  <c r="AR998" i="1"/>
  <c r="AS999" i="1"/>
  <c r="Y997" i="1"/>
  <c r="AB997" i="1" s="1"/>
  <c r="S998" i="1"/>
  <c r="V998" i="1" s="1"/>
  <c r="Z998" i="1"/>
  <c r="AC998" i="1" s="1"/>
  <c r="AA998" i="1"/>
  <c r="AD998" i="1" s="1"/>
  <c r="Q1000" i="1"/>
  <c r="P1000" i="1"/>
  <c r="S999" i="1" a="1"/>
  <c r="R999" i="1" a="1"/>
  <c r="R999" i="1" s="1"/>
  <c r="L999" i="1" s="1"/>
  <c r="O1000" i="1"/>
  <c r="AP1001" i="1"/>
  <c r="AQ1000" i="1"/>
  <c r="BO97" i="1"/>
  <c r="BP96" i="1"/>
  <c r="AS1000" i="1" l="1"/>
  <c r="X999" i="1"/>
  <c r="W999" i="1"/>
  <c r="AR999" i="1"/>
  <c r="Y998" i="1"/>
  <c r="AB998" i="1" s="1"/>
  <c r="S999" i="1"/>
  <c r="V999" i="1" s="1"/>
  <c r="Z999" i="1"/>
  <c r="AC999" i="1" s="1"/>
  <c r="AA999" i="1"/>
  <c r="AD999" i="1" s="1"/>
  <c r="Q1001" i="1"/>
  <c r="P1001" i="1"/>
  <c r="S1000" i="1" a="1"/>
  <c r="R1000" i="1" a="1"/>
  <c r="R1000" i="1" s="1"/>
  <c r="L1000" i="1" s="1"/>
  <c r="O1001" i="1"/>
  <c r="AP1002" i="1"/>
  <c r="AQ1001" i="1"/>
  <c r="BO98" i="1"/>
  <c r="BP97" i="1"/>
  <c r="AS1001" i="1" l="1"/>
  <c r="X1000" i="1"/>
  <c r="W1000" i="1"/>
  <c r="AR1000" i="1"/>
  <c r="Y999" i="1"/>
  <c r="AB999" i="1" s="1"/>
  <c r="S1000" i="1"/>
  <c r="V1000" i="1" s="1"/>
  <c r="Z1000" i="1"/>
  <c r="AC1000" i="1" s="1"/>
  <c r="AA1000" i="1"/>
  <c r="AD1000" i="1" s="1"/>
  <c r="Q1002" i="1"/>
  <c r="P1002" i="1"/>
  <c r="S1001" i="1" a="1"/>
  <c r="R1001" i="1" a="1"/>
  <c r="R1001" i="1" s="1"/>
  <c r="L1001" i="1" s="1"/>
  <c r="AR1001" i="1" s="1"/>
  <c r="O1002" i="1"/>
  <c r="AP1003" i="1"/>
  <c r="AQ1002" i="1"/>
  <c r="BO99" i="1"/>
  <c r="BP98" i="1"/>
  <c r="AS1002" i="1" l="1"/>
  <c r="W1001" i="1"/>
  <c r="X1001" i="1"/>
  <c r="Y1000" i="1"/>
  <c r="AB1000" i="1" s="1"/>
  <c r="S1001" i="1"/>
  <c r="V1001" i="1" s="1"/>
  <c r="Z1001" i="1"/>
  <c r="AC1001" i="1" s="1"/>
  <c r="AA1001" i="1"/>
  <c r="AD1001" i="1" s="1"/>
  <c r="Q1003" i="1"/>
  <c r="P1003" i="1"/>
  <c r="S1002" i="1" a="1"/>
  <c r="R1002" i="1" a="1"/>
  <c r="R1002" i="1" s="1"/>
  <c r="L1002" i="1" s="1"/>
  <c r="O1003" i="1"/>
  <c r="AP1004" i="1"/>
  <c r="AQ1003" i="1"/>
  <c r="BO100" i="1"/>
  <c r="BP99" i="1"/>
  <c r="AS1003" i="1" l="1"/>
  <c r="W1002" i="1"/>
  <c r="X1002" i="1"/>
  <c r="AR1002" i="1"/>
  <c r="Y1001" i="1"/>
  <c r="AB1001" i="1" s="1"/>
  <c r="S1002" i="1"/>
  <c r="V1002" i="1" s="1"/>
  <c r="AA1002" i="1"/>
  <c r="AD1002" i="1" s="1"/>
  <c r="Z1002" i="1"/>
  <c r="AC1002" i="1" s="1"/>
  <c r="Q1004" i="1"/>
  <c r="P1004" i="1"/>
  <c r="S1003" i="1" a="1"/>
  <c r="R1003" i="1" a="1"/>
  <c r="R1003" i="1" s="1"/>
  <c r="L1003" i="1" s="1"/>
  <c r="O1004" i="1"/>
  <c r="AP1005" i="1"/>
  <c r="AQ1004" i="1"/>
  <c r="BO101" i="1"/>
  <c r="BP100" i="1"/>
  <c r="AS1004" i="1" l="1"/>
  <c r="W1003" i="1"/>
  <c r="X1003" i="1"/>
  <c r="AR1003" i="1"/>
  <c r="Y1002" i="1"/>
  <c r="AB1002" i="1" s="1"/>
  <c r="S1003" i="1"/>
  <c r="V1003" i="1" s="1"/>
  <c r="AA1003" i="1"/>
  <c r="AD1003" i="1" s="1"/>
  <c r="Z1003" i="1"/>
  <c r="AC1003" i="1" s="1"/>
  <c r="Q1005" i="1"/>
  <c r="P1005" i="1"/>
  <c r="S1004" i="1" a="1"/>
  <c r="R1004" i="1" a="1"/>
  <c r="R1004" i="1" s="1"/>
  <c r="L1004" i="1" s="1"/>
  <c r="O1005" i="1"/>
  <c r="AP1006" i="1"/>
  <c r="AQ1005" i="1"/>
  <c r="BO102" i="1"/>
  <c r="BP101" i="1"/>
  <c r="AS1005" i="1" l="1"/>
  <c r="W1004" i="1"/>
  <c r="X1004" i="1"/>
  <c r="AR1004" i="1"/>
  <c r="Y1003" i="1"/>
  <c r="AB1003" i="1" s="1"/>
  <c r="S1004" i="1"/>
  <c r="V1004" i="1" s="1"/>
  <c r="AA1004" i="1"/>
  <c r="AD1004" i="1" s="1"/>
  <c r="Z1004" i="1"/>
  <c r="AC1004" i="1" s="1"/>
  <c r="Q1006" i="1"/>
  <c r="P1006" i="1"/>
  <c r="S1005" i="1" a="1"/>
  <c r="R1005" i="1" a="1"/>
  <c r="R1005" i="1" s="1"/>
  <c r="L1005" i="1" s="1"/>
  <c r="O1006" i="1"/>
  <c r="AP1007" i="1"/>
  <c r="AQ1006" i="1"/>
  <c r="BO103" i="1"/>
  <c r="BP102" i="1"/>
  <c r="AS1006" i="1" l="1"/>
  <c r="W1005" i="1"/>
  <c r="X1005" i="1"/>
  <c r="AR1005" i="1"/>
  <c r="Y1004" i="1"/>
  <c r="AB1004" i="1" s="1"/>
  <c r="S1005" i="1"/>
  <c r="V1005" i="1" s="1"/>
  <c r="Z1005" i="1"/>
  <c r="AC1005" i="1" s="1"/>
  <c r="AA1005" i="1"/>
  <c r="AD1005" i="1" s="1"/>
  <c r="Q1007" i="1"/>
  <c r="P1007" i="1"/>
  <c r="R1006" i="1" a="1"/>
  <c r="R1006" i="1" s="1"/>
  <c r="L1006" i="1" s="1"/>
  <c r="S1006" i="1" a="1"/>
  <c r="O1007" i="1"/>
  <c r="AP1008" i="1"/>
  <c r="AQ1007" i="1"/>
  <c r="BO104" i="1"/>
  <c r="BP103" i="1"/>
  <c r="W1006" i="1" l="1"/>
  <c r="X1006" i="1"/>
  <c r="AR1006" i="1"/>
  <c r="AS1007" i="1"/>
  <c r="Y1005" i="1"/>
  <c r="AB1005" i="1" s="1"/>
  <c r="S1006" i="1"/>
  <c r="V1006" i="1" s="1"/>
  <c r="AA1006" i="1"/>
  <c r="AD1006" i="1" s="1"/>
  <c r="Z1006" i="1"/>
  <c r="AC1006" i="1" s="1"/>
  <c r="Q1008" i="1"/>
  <c r="P1008" i="1"/>
  <c r="R1007" i="1" a="1"/>
  <c r="R1007" i="1" s="1"/>
  <c r="L1007" i="1" s="1"/>
  <c r="S1007" i="1" a="1"/>
  <c r="O1008" i="1"/>
  <c r="AP1009" i="1"/>
  <c r="AQ1008" i="1"/>
  <c r="BO105" i="1"/>
  <c r="BP104" i="1"/>
  <c r="W1007" i="1" l="1"/>
  <c r="X1007" i="1"/>
  <c r="AR1007" i="1"/>
  <c r="AS1008" i="1"/>
  <c r="Y1006" i="1"/>
  <c r="AB1006" i="1" s="1"/>
  <c r="S1007" i="1"/>
  <c r="V1007" i="1" s="1"/>
  <c r="AA1007" i="1"/>
  <c r="AD1007" i="1" s="1"/>
  <c r="Z1007" i="1"/>
  <c r="AC1007" i="1" s="1"/>
  <c r="P1009" i="1"/>
  <c r="Q1009" i="1"/>
  <c r="R1008" i="1" a="1"/>
  <c r="R1008" i="1" s="1"/>
  <c r="L1008" i="1" s="1"/>
  <c r="S1008" i="1" a="1"/>
  <c r="O1009" i="1"/>
  <c r="AP1010" i="1"/>
  <c r="AQ1009" i="1"/>
  <c r="BO106" i="1"/>
  <c r="BP105" i="1"/>
  <c r="W1008" i="1" l="1"/>
  <c r="X1008" i="1"/>
  <c r="AR1008" i="1"/>
  <c r="AS1009" i="1"/>
  <c r="Y1007" i="1"/>
  <c r="AB1007" i="1" s="1"/>
  <c r="S1008" i="1"/>
  <c r="V1008" i="1" s="1"/>
  <c r="AA1008" i="1"/>
  <c r="AD1008" i="1" s="1"/>
  <c r="Z1008" i="1"/>
  <c r="AC1008" i="1" s="1"/>
  <c r="P1010" i="1"/>
  <c r="Q1010" i="1"/>
  <c r="R1009" i="1" a="1"/>
  <c r="R1009" i="1" s="1"/>
  <c r="L1009" i="1" s="1"/>
  <c r="S1009" i="1" a="1"/>
  <c r="O1010" i="1"/>
  <c r="AP1011" i="1"/>
  <c r="AQ1010" i="1"/>
  <c r="BO107" i="1"/>
  <c r="BP106" i="1"/>
  <c r="AS1010" i="1" l="1"/>
  <c r="W1009" i="1"/>
  <c r="X1009" i="1"/>
  <c r="AR1009" i="1"/>
  <c r="Y1008" i="1"/>
  <c r="AB1008" i="1" s="1"/>
  <c r="S1009" i="1"/>
  <c r="V1009" i="1" s="1"/>
  <c r="Z1009" i="1"/>
  <c r="AC1009" i="1" s="1"/>
  <c r="AA1009" i="1"/>
  <c r="AD1009" i="1" s="1"/>
  <c r="S1010" i="1" a="1"/>
  <c r="R1010" i="1" a="1"/>
  <c r="R1010" i="1" s="1"/>
  <c r="L1010" i="1" s="1"/>
  <c r="Q1011" i="1"/>
  <c r="P1011" i="1"/>
  <c r="O1011" i="1"/>
  <c r="AP1012" i="1"/>
  <c r="AQ1011" i="1"/>
  <c r="BO108" i="1"/>
  <c r="BP107" i="1"/>
  <c r="X1010" i="1" l="1"/>
  <c r="W1010" i="1"/>
  <c r="AR1010" i="1"/>
  <c r="AS1011" i="1"/>
  <c r="Y1009" i="1"/>
  <c r="AB1009" i="1" s="1"/>
  <c r="S1010" i="1"/>
  <c r="V1010" i="1" s="1"/>
  <c r="Z1010" i="1"/>
  <c r="AC1010" i="1" s="1"/>
  <c r="AA1010" i="1"/>
  <c r="AD1010" i="1" s="1"/>
  <c r="Q1012" i="1"/>
  <c r="P1012" i="1"/>
  <c r="S1011" i="1" a="1"/>
  <c r="R1011" i="1" a="1"/>
  <c r="R1011" i="1" s="1"/>
  <c r="L1011" i="1" s="1"/>
  <c r="O1012" i="1"/>
  <c r="AP1013" i="1"/>
  <c r="AQ1012" i="1"/>
  <c r="BO109" i="1"/>
  <c r="BP108" i="1"/>
  <c r="AS1012" i="1" l="1"/>
  <c r="X1011" i="1"/>
  <c r="W1011" i="1"/>
  <c r="AR1011" i="1"/>
  <c r="Y1010" i="1"/>
  <c r="AB1010" i="1" s="1"/>
  <c r="S1011" i="1"/>
  <c r="V1011" i="1" s="1"/>
  <c r="Z1011" i="1"/>
  <c r="AC1011" i="1" s="1"/>
  <c r="AA1011" i="1"/>
  <c r="AD1011" i="1" s="1"/>
  <c r="P1013" i="1"/>
  <c r="Q1013" i="1"/>
  <c r="S1012" i="1" a="1"/>
  <c r="R1012" i="1" a="1"/>
  <c r="R1012" i="1" s="1"/>
  <c r="L1012" i="1" s="1"/>
  <c r="AR1012" i="1" s="1"/>
  <c r="O1013" i="1"/>
  <c r="AP1014" i="1"/>
  <c r="AQ1013" i="1"/>
  <c r="BO110" i="1"/>
  <c r="BP109" i="1"/>
  <c r="AS1013" i="1" l="1"/>
  <c r="X1012" i="1"/>
  <c r="W1012" i="1"/>
  <c r="Y1011" i="1"/>
  <c r="AB1011" i="1" s="1"/>
  <c r="S1012" i="1"/>
  <c r="V1012" i="1" s="1"/>
  <c r="Z1012" i="1"/>
  <c r="AC1012" i="1" s="1"/>
  <c r="AA1012" i="1"/>
  <c r="AD1012" i="1" s="1"/>
  <c r="P1014" i="1"/>
  <c r="Q1014" i="1"/>
  <c r="S1013" i="1" a="1"/>
  <c r="R1013" i="1" a="1"/>
  <c r="R1013" i="1" s="1"/>
  <c r="L1013" i="1" s="1"/>
  <c r="O1014" i="1"/>
  <c r="AP1015" i="1"/>
  <c r="AQ1014" i="1"/>
  <c r="BO111" i="1"/>
  <c r="BP110" i="1"/>
  <c r="W1013" i="1" l="1"/>
  <c r="X1013" i="1"/>
  <c r="AR1013" i="1"/>
  <c r="AS1014" i="1"/>
  <c r="Y1012" i="1"/>
  <c r="AB1012" i="1" s="1"/>
  <c r="S1013" i="1"/>
  <c r="V1013" i="1" s="1"/>
  <c r="Z1013" i="1"/>
  <c r="AC1013" i="1" s="1"/>
  <c r="AA1013" i="1"/>
  <c r="AD1013" i="1" s="1"/>
  <c r="Q1015" i="1"/>
  <c r="P1015" i="1"/>
  <c r="S1014" i="1" a="1"/>
  <c r="R1014" i="1" a="1"/>
  <c r="R1014" i="1" s="1"/>
  <c r="L1014" i="1" s="1"/>
  <c r="O1015" i="1"/>
  <c r="AP1016" i="1"/>
  <c r="AQ1015" i="1"/>
  <c r="BO112" i="1"/>
  <c r="BP111" i="1"/>
  <c r="AS1015" i="1" l="1"/>
  <c r="W1014" i="1"/>
  <c r="X1014" i="1"/>
  <c r="AR1014" i="1"/>
  <c r="Y1013" i="1"/>
  <c r="AB1013" i="1" s="1"/>
  <c r="S1014" i="1"/>
  <c r="V1014" i="1" s="1"/>
  <c r="AA1014" i="1"/>
  <c r="AD1014" i="1" s="1"/>
  <c r="Z1014" i="1"/>
  <c r="AC1014" i="1" s="1"/>
  <c r="Q1016" i="1"/>
  <c r="P1016" i="1"/>
  <c r="R1015" i="1" a="1"/>
  <c r="R1015" i="1" s="1"/>
  <c r="L1015" i="1" s="1"/>
  <c r="S1015" i="1" a="1"/>
  <c r="O1016" i="1"/>
  <c r="AP1017" i="1"/>
  <c r="AQ1016" i="1"/>
  <c r="BO113" i="1"/>
  <c r="BP112" i="1"/>
  <c r="W1015" i="1" l="1"/>
  <c r="X1015" i="1"/>
  <c r="AR1015" i="1"/>
  <c r="AS1016" i="1"/>
  <c r="Y1014" i="1"/>
  <c r="AB1014" i="1" s="1"/>
  <c r="S1015" i="1"/>
  <c r="V1015" i="1" s="1"/>
  <c r="Z1015" i="1"/>
  <c r="AC1015" i="1" s="1"/>
  <c r="AA1015" i="1"/>
  <c r="AD1015" i="1" s="1"/>
  <c r="P1017" i="1"/>
  <c r="Q1017" i="1"/>
  <c r="R1016" i="1" a="1"/>
  <c r="R1016" i="1" s="1"/>
  <c r="L1016" i="1" s="1"/>
  <c r="S1016" i="1" a="1"/>
  <c r="O1017" i="1"/>
  <c r="AP1018" i="1"/>
  <c r="AQ1017" i="1"/>
  <c r="BO114" i="1"/>
  <c r="BP113" i="1"/>
  <c r="AS1017" i="1" l="1"/>
  <c r="W1016" i="1"/>
  <c r="X1016" i="1"/>
  <c r="AR1016" i="1"/>
  <c r="Y1015" i="1"/>
  <c r="AB1015" i="1" s="1"/>
  <c r="S1016" i="1"/>
  <c r="V1016" i="1" s="1"/>
  <c r="AA1016" i="1"/>
  <c r="AD1016" i="1" s="1"/>
  <c r="Z1016" i="1"/>
  <c r="AC1016" i="1" s="1"/>
  <c r="P1018" i="1"/>
  <c r="Q1018" i="1"/>
  <c r="R1017" i="1" a="1"/>
  <c r="R1017" i="1" s="1"/>
  <c r="L1017" i="1" s="1"/>
  <c r="S1017" i="1" a="1"/>
  <c r="O1018" i="1"/>
  <c r="AP1019" i="1"/>
  <c r="AQ1018" i="1"/>
  <c r="BO115" i="1"/>
  <c r="BP114" i="1"/>
  <c r="X1017" i="1" l="1"/>
  <c r="W1017" i="1"/>
  <c r="AR1017" i="1"/>
  <c r="AS1018" i="1"/>
  <c r="Y1016" i="1"/>
  <c r="AB1016" i="1" s="1"/>
  <c r="S1017" i="1"/>
  <c r="V1017" i="1" s="1"/>
  <c r="AA1017" i="1"/>
  <c r="AD1017" i="1" s="1"/>
  <c r="Z1017" i="1"/>
  <c r="AC1017" i="1" s="1"/>
  <c r="P1019" i="1"/>
  <c r="Q1019" i="1"/>
  <c r="R1018" i="1" a="1"/>
  <c r="R1018" i="1" s="1"/>
  <c r="L1018" i="1" s="1"/>
  <c r="S1018" i="1" a="1"/>
  <c r="O1019" i="1"/>
  <c r="AP1020" i="1"/>
  <c r="AQ1019" i="1"/>
  <c r="BO116" i="1"/>
  <c r="BP115" i="1"/>
  <c r="AS1019" i="1" l="1"/>
  <c r="X1018" i="1"/>
  <c r="W1018" i="1"/>
  <c r="AR1018" i="1"/>
  <c r="Y1017" i="1"/>
  <c r="AB1017" i="1" s="1"/>
  <c r="S1018" i="1"/>
  <c r="V1018" i="1" s="1"/>
  <c r="Z1018" i="1"/>
  <c r="AC1018" i="1" s="1"/>
  <c r="AA1018" i="1"/>
  <c r="AD1018" i="1" s="1"/>
  <c r="Q1020" i="1"/>
  <c r="P1020" i="1"/>
  <c r="R1019" i="1" a="1"/>
  <c r="R1019" i="1" s="1"/>
  <c r="L1019" i="1" s="1"/>
  <c r="S1019" i="1" a="1"/>
  <c r="O1020" i="1"/>
  <c r="AP1021" i="1"/>
  <c r="AQ1020" i="1"/>
  <c r="BO117" i="1"/>
  <c r="BP116" i="1"/>
  <c r="W1019" i="1" l="1"/>
  <c r="X1019" i="1"/>
  <c r="AR1019" i="1"/>
  <c r="AS1020" i="1"/>
  <c r="Y1018" i="1"/>
  <c r="AB1018" i="1" s="1"/>
  <c r="S1019" i="1"/>
  <c r="V1019" i="1" s="1"/>
  <c r="AA1019" i="1"/>
  <c r="AD1019" i="1" s="1"/>
  <c r="Z1019" i="1"/>
  <c r="AC1019" i="1" s="1"/>
  <c r="P1021" i="1"/>
  <c r="Q1021" i="1"/>
  <c r="S1020" i="1" a="1"/>
  <c r="R1020" i="1" a="1"/>
  <c r="R1020" i="1" s="1"/>
  <c r="L1020" i="1" s="1"/>
  <c r="O1021" i="1"/>
  <c r="AP1022" i="1"/>
  <c r="AQ1021" i="1"/>
  <c r="BO118" i="1"/>
  <c r="BP117" i="1"/>
  <c r="AS1021" i="1" l="1"/>
  <c r="W1020" i="1"/>
  <c r="X1020" i="1"/>
  <c r="AR1020" i="1"/>
  <c r="Y1019" i="1"/>
  <c r="AB1019" i="1" s="1"/>
  <c r="S1020" i="1"/>
  <c r="V1020" i="1" s="1"/>
  <c r="AA1020" i="1"/>
  <c r="AD1020" i="1" s="1"/>
  <c r="Z1020" i="1"/>
  <c r="AC1020" i="1" s="1"/>
  <c r="P1022" i="1"/>
  <c r="Q1022" i="1"/>
  <c r="S1021" i="1" a="1"/>
  <c r="R1021" i="1" a="1"/>
  <c r="R1021" i="1" s="1"/>
  <c r="L1021" i="1" s="1"/>
  <c r="O1022" i="1"/>
  <c r="AP1023" i="1"/>
  <c r="AQ1022" i="1"/>
  <c r="BO119" i="1"/>
  <c r="BP118" i="1"/>
  <c r="W1021" i="1" l="1"/>
  <c r="X1021" i="1"/>
  <c r="AR1021" i="1"/>
  <c r="AS1022" i="1"/>
  <c r="Y1020" i="1"/>
  <c r="AB1020" i="1" s="1"/>
  <c r="S1021" i="1"/>
  <c r="V1021" i="1" s="1"/>
  <c r="Z1021" i="1"/>
  <c r="AC1021" i="1" s="1"/>
  <c r="AA1021" i="1"/>
  <c r="AD1021" i="1" s="1"/>
  <c r="P1023" i="1"/>
  <c r="Q1023" i="1"/>
  <c r="S1022" i="1" a="1"/>
  <c r="R1022" i="1" a="1"/>
  <c r="R1022" i="1" s="1"/>
  <c r="L1022" i="1" s="1"/>
  <c r="O1023" i="1"/>
  <c r="AP1024" i="1"/>
  <c r="AQ1023" i="1"/>
  <c r="BO120" i="1"/>
  <c r="BP119" i="1"/>
  <c r="AS1023" i="1" l="1"/>
  <c r="X1022" i="1"/>
  <c r="W1022" i="1"/>
  <c r="AR1022" i="1"/>
  <c r="Y1021" i="1"/>
  <c r="AB1021" i="1" s="1"/>
  <c r="S1022" i="1"/>
  <c r="V1022" i="1" s="1"/>
  <c r="Z1022" i="1"/>
  <c r="AC1022" i="1" s="1"/>
  <c r="AA1022" i="1"/>
  <c r="AD1022" i="1" s="1"/>
  <c r="Q1024" i="1"/>
  <c r="P1024" i="1"/>
  <c r="S1023" i="1" a="1"/>
  <c r="R1023" i="1" a="1"/>
  <c r="R1023" i="1" s="1"/>
  <c r="L1023" i="1" s="1"/>
  <c r="O1024" i="1"/>
  <c r="AP1025" i="1"/>
  <c r="AQ1024" i="1"/>
  <c r="BO121" i="1"/>
  <c r="BP120" i="1"/>
  <c r="X1023" i="1" l="1"/>
  <c r="W1023" i="1"/>
  <c r="AR1023" i="1"/>
  <c r="AS1024" i="1"/>
  <c r="Y1022" i="1"/>
  <c r="AB1022" i="1" s="1"/>
  <c r="S1023" i="1"/>
  <c r="V1023" i="1" s="1"/>
  <c r="AA1023" i="1"/>
  <c r="AD1023" i="1" s="1"/>
  <c r="Z1023" i="1"/>
  <c r="AC1023" i="1" s="1"/>
  <c r="S1024" i="1" a="1"/>
  <c r="R1024" i="1" a="1"/>
  <c r="R1024" i="1" s="1"/>
  <c r="L1024" i="1" s="1"/>
  <c r="Q1025" i="1"/>
  <c r="P1025" i="1"/>
  <c r="O1025" i="1"/>
  <c r="AP1026" i="1"/>
  <c r="AQ1025" i="1"/>
  <c r="BO122" i="1"/>
  <c r="BP121" i="1"/>
  <c r="AS1025" i="1" l="1"/>
  <c r="X1024" i="1"/>
  <c r="W1024" i="1"/>
  <c r="AR1024" i="1"/>
  <c r="Y1023" i="1"/>
  <c r="AB1023" i="1" s="1"/>
  <c r="S1024" i="1"/>
  <c r="V1024" i="1" s="1"/>
  <c r="Z1024" i="1"/>
  <c r="AC1024" i="1" s="1"/>
  <c r="AA1024" i="1"/>
  <c r="AD1024" i="1" s="1"/>
  <c r="P1026" i="1"/>
  <c r="Q1026" i="1"/>
  <c r="R1025" i="1" a="1"/>
  <c r="R1025" i="1" s="1"/>
  <c r="L1025" i="1" s="1"/>
  <c r="AR1025" i="1" s="1"/>
  <c r="S1025" i="1" a="1"/>
  <c r="O1026" i="1"/>
  <c r="AP1027" i="1"/>
  <c r="AQ1026" i="1"/>
  <c r="BO123" i="1"/>
  <c r="BP122" i="1"/>
  <c r="AS1026" i="1" l="1"/>
  <c r="W1025" i="1"/>
  <c r="X1025" i="1"/>
  <c r="Y1024" i="1"/>
  <c r="AB1024" i="1" s="1"/>
  <c r="S1025" i="1"/>
  <c r="V1025" i="1" s="1"/>
  <c r="Z1025" i="1"/>
  <c r="AC1025" i="1" s="1"/>
  <c r="AA1025" i="1"/>
  <c r="AD1025" i="1" s="1"/>
  <c r="R1026" i="1" a="1"/>
  <c r="R1026" i="1" s="1"/>
  <c r="L1026" i="1" s="1"/>
  <c r="S1026" i="1" a="1"/>
  <c r="P1027" i="1"/>
  <c r="Q1027" i="1"/>
  <c r="O1027" i="1"/>
  <c r="AP1028" i="1"/>
  <c r="AQ1027" i="1"/>
  <c r="BO124" i="1"/>
  <c r="BP123" i="1"/>
  <c r="W1026" i="1" l="1"/>
  <c r="X1026" i="1"/>
  <c r="AR1026" i="1"/>
  <c r="AS1027" i="1"/>
  <c r="Y1025" i="1"/>
  <c r="AB1025" i="1" s="1"/>
  <c r="S1026" i="1"/>
  <c r="V1026" i="1" s="1"/>
  <c r="AA1026" i="1"/>
  <c r="AD1026" i="1" s="1"/>
  <c r="Z1026" i="1"/>
  <c r="AC1026" i="1" s="1"/>
  <c r="R1027" i="1" a="1"/>
  <c r="R1027" i="1" s="1"/>
  <c r="L1027" i="1" s="1"/>
  <c r="S1027" i="1" a="1"/>
  <c r="Q1028" i="1"/>
  <c r="P1028" i="1"/>
  <c r="O1028" i="1"/>
  <c r="AP1029" i="1"/>
  <c r="AQ1028" i="1"/>
  <c r="BO125" i="1"/>
  <c r="BP124" i="1"/>
  <c r="W1027" i="1" l="1"/>
  <c r="X1027" i="1"/>
  <c r="AR1027" i="1"/>
  <c r="AS1028" i="1"/>
  <c r="Y1026" i="1"/>
  <c r="AB1026" i="1" s="1"/>
  <c r="S1027" i="1"/>
  <c r="V1027" i="1" s="1"/>
  <c r="AA1027" i="1"/>
  <c r="AD1027" i="1" s="1"/>
  <c r="Z1027" i="1"/>
  <c r="AC1027" i="1" s="1"/>
  <c r="Q1029" i="1"/>
  <c r="P1029" i="1"/>
  <c r="S1028" i="1" a="1"/>
  <c r="R1028" i="1" a="1"/>
  <c r="R1028" i="1" s="1"/>
  <c r="L1028" i="1" s="1"/>
  <c r="AR1028" i="1" s="1"/>
  <c r="O1029" i="1"/>
  <c r="AP1030" i="1"/>
  <c r="AQ1029" i="1"/>
  <c r="BO126" i="1"/>
  <c r="BP125" i="1"/>
  <c r="AS1029" i="1" l="1"/>
  <c r="W1028" i="1"/>
  <c r="X1028" i="1"/>
  <c r="Y1027" i="1"/>
  <c r="AB1027" i="1" s="1"/>
  <c r="S1028" i="1"/>
  <c r="V1028" i="1" s="1"/>
  <c r="AA1028" i="1"/>
  <c r="AD1028" i="1" s="1"/>
  <c r="Z1028" i="1"/>
  <c r="AC1028" i="1" s="1"/>
  <c r="P1030" i="1"/>
  <c r="Q1030" i="1"/>
  <c r="S1029" i="1" a="1"/>
  <c r="R1029" i="1" a="1"/>
  <c r="R1029" i="1" s="1"/>
  <c r="L1029" i="1" s="1"/>
  <c r="O1030" i="1"/>
  <c r="AP1031" i="1"/>
  <c r="AQ1030" i="1"/>
  <c r="BO127" i="1"/>
  <c r="BP126" i="1"/>
  <c r="AS1030" i="1" l="1"/>
  <c r="X1029" i="1"/>
  <c r="W1029" i="1"/>
  <c r="AR1029" i="1"/>
  <c r="Y1028" i="1"/>
  <c r="AB1028" i="1" s="1"/>
  <c r="S1029" i="1"/>
  <c r="V1029" i="1" s="1"/>
  <c r="AA1029" i="1"/>
  <c r="AD1029" i="1" s="1"/>
  <c r="Z1029" i="1"/>
  <c r="AC1029" i="1" s="1"/>
  <c r="P1031" i="1"/>
  <c r="Q1031" i="1"/>
  <c r="S1030" i="1" a="1"/>
  <c r="R1030" i="1" a="1"/>
  <c r="R1030" i="1" s="1"/>
  <c r="L1030" i="1" s="1"/>
  <c r="O1031" i="1"/>
  <c r="AP1032" i="1"/>
  <c r="AQ1031" i="1"/>
  <c r="BO128" i="1"/>
  <c r="BP127" i="1"/>
  <c r="AS1031" i="1" l="1"/>
  <c r="X1030" i="1"/>
  <c r="W1030" i="1"/>
  <c r="AR1030" i="1"/>
  <c r="Y1029" i="1"/>
  <c r="AB1029" i="1" s="1"/>
  <c r="S1030" i="1"/>
  <c r="V1030" i="1" s="1"/>
  <c r="Z1030" i="1"/>
  <c r="AC1030" i="1" s="1"/>
  <c r="AA1030" i="1"/>
  <c r="AD1030" i="1" s="1"/>
  <c r="P1032" i="1"/>
  <c r="Q1032" i="1"/>
  <c r="S1031" i="1" a="1"/>
  <c r="R1031" i="1" a="1"/>
  <c r="R1031" i="1" s="1"/>
  <c r="L1031" i="1" s="1"/>
  <c r="O1032" i="1"/>
  <c r="AP1033" i="1"/>
  <c r="AQ1032" i="1"/>
  <c r="BO129" i="1"/>
  <c r="BP128" i="1"/>
  <c r="AS1032" i="1" l="1"/>
  <c r="X1031" i="1"/>
  <c r="W1031" i="1"/>
  <c r="AR1031" i="1"/>
  <c r="Y1030" i="1"/>
  <c r="AB1030" i="1" s="1"/>
  <c r="S1031" i="1"/>
  <c r="V1031" i="1" s="1"/>
  <c r="AA1031" i="1"/>
  <c r="AD1031" i="1" s="1"/>
  <c r="Z1031" i="1"/>
  <c r="AC1031" i="1" s="1"/>
  <c r="Q1033" i="1"/>
  <c r="P1033" i="1"/>
  <c r="S1032" i="1" a="1"/>
  <c r="R1032" i="1" a="1"/>
  <c r="R1032" i="1" s="1"/>
  <c r="L1032" i="1" s="1"/>
  <c r="O1033" i="1"/>
  <c r="AP1034" i="1"/>
  <c r="AQ1033" i="1"/>
  <c r="BO130" i="1"/>
  <c r="BP129" i="1"/>
  <c r="AS1033" i="1" l="1"/>
  <c r="X1032" i="1"/>
  <c r="W1032" i="1"/>
  <c r="AR1032" i="1"/>
  <c r="Y1031" i="1"/>
  <c r="AB1031" i="1" s="1"/>
  <c r="S1032" i="1"/>
  <c r="V1032" i="1" s="1"/>
  <c r="AA1032" i="1"/>
  <c r="AD1032" i="1" s="1"/>
  <c r="Z1032" i="1"/>
  <c r="AC1032" i="1" s="1"/>
  <c r="Q1034" i="1"/>
  <c r="P1034" i="1"/>
  <c r="S1033" i="1" a="1"/>
  <c r="R1033" i="1" a="1"/>
  <c r="R1033" i="1" s="1"/>
  <c r="L1033" i="1" s="1"/>
  <c r="O1034" i="1"/>
  <c r="AP1035" i="1"/>
  <c r="AQ1034" i="1"/>
  <c r="BO131" i="1"/>
  <c r="BP130" i="1"/>
  <c r="X1033" i="1" l="1"/>
  <c r="W1033" i="1"/>
  <c r="AR1033" i="1"/>
  <c r="AS1034" i="1"/>
  <c r="Y1032" i="1"/>
  <c r="AB1032" i="1" s="1"/>
  <c r="S1033" i="1"/>
  <c r="V1033" i="1" s="1"/>
  <c r="Z1033" i="1"/>
  <c r="AC1033" i="1" s="1"/>
  <c r="AA1033" i="1"/>
  <c r="AD1033" i="1" s="1"/>
  <c r="P1035" i="1"/>
  <c r="Q1035" i="1"/>
  <c r="S1034" i="1" a="1"/>
  <c r="R1034" i="1" a="1"/>
  <c r="R1034" i="1" s="1"/>
  <c r="L1034" i="1" s="1"/>
  <c r="O1035" i="1"/>
  <c r="AP1036" i="1"/>
  <c r="AQ1035" i="1"/>
  <c r="BO132" i="1"/>
  <c r="BP131" i="1"/>
  <c r="AS1035" i="1" l="1"/>
  <c r="X1034" i="1"/>
  <c r="W1034" i="1"/>
  <c r="AR1034" i="1"/>
  <c r="Y1033" i="1"/>
  <c r="AB1033" i="1" s="1"/>
  <c r="S1034" i="1"/>
  <c r="V1034" i="1" s="1"/>
  <c r="Z1034" i="1"/>
  <c r="AC1034" i="1" s="1"/>
  <c r="AA1034" i="1"/>
  <c r="AD1034" i="1" s="1"/>
  <c r="Q1036" i="1"/>
  <c r="P1036" i="1"/>
  <c r="R1035" i="1" a="1"/>
  <c r="R1035" i="1" s="1"/>
  <c r="L1035" i="1" s="1"/>
  <c r="S1035" i="1" a="1"/>
  <c r="O1036" i="1"/>
  <c r="AP1037" i="1"/>
  <c r="AQ1036" i="1"/>
  <c r="BO133" i="1"/>
  <c r="BP132" i="1"/>
  <c r="X1035" i="1" l="1"/>
  <c r="W1035" i="1"/>
  <c r="AR1035" i="1"/>
  <c r="AS1036" i="1"/>
  <c r="Y1034" i="1"/>
  <c r="AB1034" i="1" s="1"/>
  <c r="S1035" i="1"/>
  <c r="V1035" i="1" s="1"/>
  <c r="AA1035" i="1"/>
  <c r="AD1035" i="1" s="1"/>
  <c r="Z1035" i="1"/>
  <c r="AC1035" i="1" s="1"/>
  <c r="Q1037" i="1"/>
  <c r="P1037" i="1"/>
  <c r="S1036" i="1" a="1"/>
  <c r="R1036" i="1" a="1"/>
  <c r="R1036" i="1" s="1"/>
  <c r="L1036" i="1" s="1"/>
  <c r="O1037" i="1"/>
  <c r="AP1038" i="1"/>
  <c r="AQ1037" i="1"/>
  <c r="BO134" i="1"/>
  <c r="BP133" i="1"/>
  <c r="AS1037" i="1" l="1"/>
  <c r="X1036" i="1"/>
  <c r="W1036" i="1"/>
  <c r="AR1036" i="1"/>
  <c r="Y1035" i="1"/>
  <c r="AB1035" i="1" s="1"/>
  <c r="S1036" i="1"/>
  <c r="V1036" i="1" s="1"/>
  <c r="Z1036" i="1"/>
  <c r="AC1036" i="1" s="1"/>
  <c r="AA1036" i="1"/>
  <c r="AD1036" i="1" s="1"/>
  <c r="Q1038" i="1"/>
  <c r="P1038" i="1"/>
  <c r="S1037" i="1" a="1"/>
  <c r="R1037" i="1" a="1"/>
  <c r="R1037" i="1" s="1"/>
  <c r="L1037" i="1" s="1"/>
  <c r="O1038" i="1"/>
  <c r="AP1039" i="1"/>
  <c r="AQ1038" i="1"/>
  <c r="BO135" i="1"/>
  <c r="BP134" i="1"/>
  <c r="AS1038" i="1" l="1"/>
  <c r="W1037" i="1"/>
  <c r="X1037" i="1"/>
  <c r="AR1037" i="1"/>
  <c r="Y1036" i="1"/>
  <c r="AB1036" i="1" s="1"/>
  <c r="S1037" i="1"/>
  <c r="V1037" i="1" s="1"/>
  <c r="AA1037" i="1"/>
  <c r="AD1037" i="1" s="1"/>
  <c r="Z1037" i="1"/>
  <c r="AC1037" i="1" s="1"/>
  <c r="P1039" i="1"/>
  <c r="Q1039" i="1"/>
  <c r="S1038" i="1" a="1"/>
  <c r="R1038" i="1" a="1"/>
  <c r="R1038" i="1" s="1"/>
  <c r="L1038" i="1" s="1"/>
  <c r="O1039" i="1"/>
  <c r="AP1040" i="1"/>
  <c r="AQ1039" i="1"/>
  <c r="BO136" i="1"/>
  <c r="BP135" i="1"/>
  <c r="W1038" i="1" l="1"/>
  <c r="X1038" i="1"/>
  <c r="AR1038" i="1"/>
  <c r="AS1039" i="1"/>
  <c r="Y1037" i="1"/>
  <c r="AB1037" i="1" s="1"/>
  <c r="S1038" i="1"/>
  <c r="V1038" i="1" s="1"/>
  <c r="AA1038" i="1"/>
  <c r="AD1038" i="1" s="1"/>
  <c r="Z1038" i="1"/>
  <c r="AC1038" i="1" s="1"/>
  <c r="Q1040" i="1"/>
  <c r="P1040" i="1"/>
  <c r="S1039" i="1" a="1"/>
  <c r="R1039" i="1" a="1"/>
  <c r="R1039" i="1" s="1"/>
  <c r="L1039" i="1" s="1"/>
  <c r="O1040" i="1"/>
  <c r="AP1041" i="1"/>
  <c r="AQ1040" i="1"/>
  <c r="BO137" i="1"/>
  <c r="BP136" i="1"/>
  <c r="AS1040" i="1" l="1"/>
  <c r="W1039" i="1"/>
  <c r="X1039" i="1"/>
  <c r="AR1039" i="1"/>
  <c r="Y1038" i="1"/>
  <c r="AB1038" i="1" s="1"/>
  <c r="S1039" i="1"/>
  <c r="V1039" i="1" s="1"/>
  <c r="AA1039" i="1"/>
  <c r="AD1039" i="1" s="1"/>
  <c r="Z1039" i="1"/>
  <c r="AC1039" i="1" s="1"/>
  <c r="Q1041" i="1"/>
  <c r="P1041" i="1"/>
  <c r="S1040" i="1" a="1"/>
  <c r="R1040" i="1" a="1"/>
  <c r="R1040" i="1" s="1"/>
  <c r="L1040" i="1" s="1"/>
  <c r="O1041" i="1"/>
  <c r="AP1042" i="1"/>
  <c r="AQ1041" i="1"/>
  <c r="BO138" i="1"/>
  <c r="BP137" i="1"/>
  <c r="AS1041" i="1" l="1"/>
  <c r="W1040" i="1"/>
  <c r="X1040" i="1"/>
  <c r="AR1040" i="1"/>
  <c r="Y1039" i="1"/>
  <c r="AB1039" i="1" s="1"/>
  <c r="S1040" i="1"/>
  <c r="V1040" i="1" s="1"/>
  <c r="Z1040" i="1"/>
  <c r="AC1040" i="1" s="1"/>
  <c r="AA1040" i="1"/>
  <c r="AD1040" i="1" s="1"/>
  <c r="Q1042" i="1"/>
  <c r="P1042" i="1"/>
  <c r="S1041" i="1" a="1"/>
  <c r="R1041" i="1" a="1"/>
  <c r="R1041" i="1" s="1"/>
  <c r="L1041" i="1" s="1"/>
  <c r="O1042" i="1"/>
  <c r="AP1043" i="1"/>
  <c r="AQ1042" i="1"/>
  <c r="BO139" i="1"/>
  <c r="BP138" i="1"/>
  <c r="AS1042" i="1" l="1"/>
  <c r="X1041" i="1"/>
  <c r="W1041" i="1"/>
  <c r="AR1041" i="1"/>
  <c r="Y1040" i="1"/>
  <c r="AB1040" i="1" s="1"/>
  <c r="S1041" i="1"/>
  <c r="V1041" i="1" s="1"/>
  <c r="AA1041" i="1"/>
  <c r="AD1041" i="1" s="1"/>
  <c r="Z1041" i="1"/>
  <c r="AC1041" i="1" s="1"/>
  <c r="P1043" i="1"/>
  <c r="Q1043" i="1"/>
  <c r="S1042" i="1" a="1"/>
  <c r="R1042" i="1" a="1"/>
  <c r="R1042" i="1" s="1"/>
  <c r="L1042" i="1" s="1"/>
  <c r="O1043" i="1"/>
  <c r="AP1044" i="1"/>
  <c r="AQ1043" i="1"/>
  <c r="BO140" i="1"/>
  <c r="BP139" i="1"/>
  <c r="AS1043" i="1" l="1"/>
  <c r="X1042" i="1"/>
  <c r="W1042" i="1"/>
  <c r="AR1042" i="1"/>
  <c r="Y1041" i="1"/>
  <c r="AB1041" i="1" s="1"/>
  <c r="S1042" i="1"/>
  <c r="V1042" i="1" s="1"/>
  <c r="AA1042" i="1"/>
  <c r="AD1042" i="1" s="1"/>
  <c r="Z1042" i="1"/>
  <c r="AC1042" i="1" s="1"/>
  <c r="S1043" i="1" a="1"/>
  <c r="R1043" i="1" a="1"/>
  <c r="R1043" i="1" s="1"/>
  <c r="L1043" i="1" s="1"/>
  <c r="Q1044" i="1"/>
  <c r="P1044" i="1"/>
  <c r="O1044" i="1"/>
  <c r="AP1045" i="1"/>
  <c r="AQ1044" i="1"/>
  <c r="BO141" i="1"/>
  <c r="BP140" i="1"/>
  <c r="X1043" i="1" l="1"/>
  <c r="W1043" i="1"/>
  <c r="AR1043" i="1"/>
  <c r="AS1044" i="1"/>
  <c r="Y1042" i="1"/>
  <c r="AB1042" i="1" s="1"/>
  <c r="S1043" i="1"/>
  <c r="V1043" i="1" s="1"/>
  <c r="AA1043" i="1"/>
  <c r="AD1043" i="1" s="1"/>
  <c r="Z1043" i="1"/>
  <c r="AC1043" i="1" s="1"/>
  <c r="P1045" i="1"/>
  <c r="Q1045" i="1"/>
  <c r="S1044" i="1" a="1"/>
  <c r="R1044" i="1" a="1"/>
  <c r="R1044" i="1" s="1"/>
  <c r="L1044" i="1" s="1"/>
  <c r="AR1044" i="1" s="1"/>
  <c r="O1045" i="1"/>
  <c r="AP1046" i="1"/>
  <c r="AQ1045" i="1"/>
  <c r="BO142" i="1"/>
  <c r="BP141" i="1"/>
  <c r="AS1045" i="1" l="1"/>
  <c r="X1044" i="1"/>
  <c r="W1044" i="1"/>
  <c r="Y1043" i="1"/>
  <c r="AB1043" i="1" s="1"/>
  <c r="S1044" i="1"/>
  <c r="V1044" i="1" s="1"/>
  <c r="AA1044" i="1"/>
  <c r="AD1044" i="1" s="1"/>
  <c r="Z1044" i="1"/>
  <c r="AC1044" i="1" s="1"/>
  <c r="Q1046" i="1"/>
  <c r="P1046" i="1"/>
  <c r="R1045" i="1" a="1"/>
  <c r="R1045" i="1" s="1"/>
  <c r="L1045" i="1" s="1"/>
  <c r="S1045" i="1" a="1"/>
  <c r="O1046" i="1"/>
  <c r="AP1047" i="1"/>
  <c r="AQ1046" i="1"/>
  <c r="BO143" i="1"/>
  <c r="BP142" i="1"/>
  <c r="X1045" i="1" l="1"/>
  <c r="W1045" i="1"/>
  <c r="AR1045" i="1"/>
  <c r="AS1046" i="1"/>
  <c r="Y1044" i="1"/>
  <c r="AB1044" i="1" s="1"/>
  <c r="S1045" i="1"/>
  <c r="V1045" i="1" s="1"/>
  <c r="AA1045" i="1"/>
  <c r="AD1045" i="1" s="1"/>
  <c r="Z1045" i="1"/>
  <c r="AC1045" i="1" s="1"/>
  <c r="Q1047" i="1"/>
  <c r="P1047" i="1"/>
  <c r="R1046" i="1" a="1"/>
  <c r="R1046" i="1" s="1"/>
  <c r="L1046" i="1" s="1"/>
  <c r="S1046" i="1" a="1"/>
  <c r="O1047" i="1"/>
  <c r="AP1048" i="1"/>
  <c r="AQ1047" i="1"/>
  <c r="BO144" i="1"/>
  <c r="BP143" i="1"/>
  <c r="AS1047" i="1" l="1"/>
  <c r="X1046" i="1"/>
  <c r="W1046" i="1"/>
  <c r="AR1046" i="1"/>
  <c r="Y1045" i="1"/>
  <c r="AB1045" i="1" s="1"/>
  <c r="S1046" i="1"/>
  <c r="V1046" i="1" s="1"/>
  <c r="Z1046" i="1"/>
  <c r="AC1046" i="1" s="1"/>
  <c r="AA1046" i="1"/>
  <c r="AD1046" i="1" s="1"/>
  <c r="Q1048" i="1"/>
  <c r="P1048" i="1"/>
  <c r="R1047" i="1" a="1"/>
  <c r="R1047" i="1" s="1"/>
  <c r="L1047" i="1" s="1"/>
  <c r="S1047" i="1" a="1"/>
  <c r="O1048" i="1"/>
  <c r="AP1049" i="1"/>
  <c r="AQ1048" i="1"/>
  <c r="BO145" i="1"/>
  <c r="BP144" i="1"/>
  <c r="X1047" i="1" l="1"/>
  <c r="W1047" i="1"/>
  <c r="AR1047" i="1"/>
  <c r="AS1048" i="1"/>
  <c r="Y1046" i="1"/>
  <c r="AB1046" i="1" s="1"/>
  <c r="S1047" i="1"/>
  <c r="V1047" i="1" s="1"/>
  <c r="AA1047" i="1"/>
  <c r="AD1047" i="1" s="1"/>
  <c r="Z1047" i="1"/>
  <c r="AC1047" i="1" s="1"/>
  <c r="Q1049" i="1"/>
  <c r="P1049" i="1"/>
  <c r="S1048" i="1" a="1"/>
  <c r="R1048" i="1" a="1"/>
  <c r="R1048" i="1" s="1"/>
  <c r="L1048" i="1" s="1"/>
  <c r="O1049" i="1"/>
  <c r="AP1050" i="1"/>
  <c r="AQ1049" i="1"/>
  <c r="BO146" i="1"/>
  <c r="BP145" i="1"/>
  <c r="AS1049" i="1" l="1"/>
  <c r="X1048" i="1"/>
  <c r="W1048" i="1"/>
  <c r="AR1048" i="1"/>
  <c r="Y1047" i="1"/>
  <c r="AB1047" i="1" s="1"/>
  <c r="S1048" i="1"/>
  <c r="V1048" i="1" s="1"/>
  <c r="Z1048" i="1"/>
  <c r="AC1048" i="1" s="1"/>
  <c r="AA1048" i="1"/>
  <c r="AD1048" i="1" s="1"/>
  <c r="Q1050" i="1"/>
  <c r="P1050" i="1"/>
  <c r="S1049" i="1" a="1"/>
  <c r="R1049" i="1" a="1"/>
  <c r="R1049" i="1" s="1"/>
  <c r="L1049" i="1" s="1"/>
  <c r="O1050" i="1"/>
  <c r="AP1051" i="1"/>
  <c r="AQ1050" i="1"/>
  <c r="BO147" i="1"/>
  <c r="BP146" i="1"/>
  <c r="W1049" i="1" l="1"/>
  <c r="X1049" i="1"/>
  <c r="AR1049" i="1"/>
  <c r="AS1050" i="1"/>
  <c r="Y1048" i="1"/>
  <c r="AB1048" i="1" s="1"/>
  <c r="S1049" i="1"/>
  <c r="V1049" i="1" s="1"/>
  <c r="AA1049" i="1"/>
  <c r="AD1049" i="1" s="1"/>
  <c r="Z1049" i="1"/>
  <c r="AC1049" i="1" s="1"/>
  <c r="Q1051" i="1"/>
  <c r="P1051" i="1"/>
  <c r="S1050" i="1" a="1"/>
  <c r="R1050" i="1" a="1"/>
  <c r="R1050" i="1" s="1"/>
  <c r="L1050" i="1" s="1"/>
  <c r="AR1050" i="1" s="1"/>
  <c r="O1051" i="1"/>
  <c r="AP1052" i="1"/>
  <c r="AQ1051" i="1"/>
  <c r="BO148" i="1"/>
  <c r="BP147" i="1"/>
  <c r="AS1051" i="1" l="1"/>
  <c r="W1050" i="1"/>
  <c r="X1050" i="1"/>
  <c r="Y1049" i="1"/>
  <c r="AB1049" i="1" s="1"/>
  <c r="S1050" i="1"/>
  <c r="V1050" i="1" s="1"/>
  <c r="Z1050" i="1"/>
  <c r="AC1050" i="1" s="1"/>
  <c r="AA1050" i="1"/>
  <c r="AD1050" i="1" s="1"/>
  <c r="Q1052" i="1"/>
  <c r="P1052" i="1"/>
  <c r="S1051" i="1" a="1"/>
  <c r="R1051" i="1" a="1"/>
  <c r="R1051" i="1" s="1"/>
  <c r="L1051" i="1" s="1"/>
  <c r="O1052" i="1"/>
  <c r="AP1053" i="1"/>
  <c r="AQ1052" i="1"/>
  <c r="BO149" i="1"/>
  <c r="BP148" i="1"/>
  <c r="W1051" i="1" l="1"/>
  <c r="X1051" i="1"/>
  <c r="AR1051" i="1"/>
  <c r="AS1052" i="1"/>
  <c r="Y1050" i="1"/>
  <c r="AB1050" i="1" s="1"/>
  <c r="S1051" i="1"/>
  <c r="V1051" i="1" s="1"/>
  <c r="AA1051" i="1"/>
  <c r="AD1051" i="1" s="1"/>
  <c r="Z1051" i="1"/>
  <c r="AC1051" i="1" s="1"/>
  <c r="Q1053" i="1"/>
  <c r="P1053" i="1"/>
  <c r="S1052" i="1" a="1"/>
  <c r="R1052" i="1" a="1"/>
  <c r="R1052" i="1" s="1"/>
  <c r="L1052" i="1" s="1"/>
  <c r="O1053" i="1"/>
  <c r="AP1054" i="1"/>
  <c r="AQ1053" i="1"/>
  <c r="BO150" i="1"/>
  <c r="BP149" i="1"/>
  <c r="AS1053" i="1" l="1"/>
  <c r="W1052" i="1"/>
  <c r="X1052" i="1"/>
  <c r="AR1052" i="1"/>
  <c r="Y1051" i="1"/>
  <c r="AB1051" i="1" s="1"/>
  <c r="S1052" i="1"/>
  <c r="V1052" i="1" s="1"/>
  <c r="AA1052" i="1"/>
  <c r="AD1052" i="1" s="1"/>
  <c r="Z1052" i="1"/>
  <c r="AC1052" i="1" s="1"/>
  <c r="Q1054" i="1"/>
  <c r="P1054" i="1"/>
  <c r="S1053" i="1" a="1"/>
  <c r="R1053" i="1" a="1"/>
  <c r="R1053" i="1" s="1"/>
  <c r="L1053" i="1" s="1"/>
  <c r="O1054" i="1"/>
  <c r="AP1055" i="1"/>
  <c r="AQ1054" i="1"/>
  <c r="BO151" i="1"/>
  <c r="BP150" i="1"/>
  <c r="AS1054" i="1" l="1"/>
  <c r="W1053" i="1"/>
  <c r="X1053" i="1"/>
  <c r="AR1053" i="1"/>
  <c r="Y1052" i="1"/>
  <c r="AB1052" i="1" s="1"/>
  <c r="S1053" i="1"/>
  <c r="V1053" i="1" s="1"/>
  <c r="AA1053" i="1"/>
  <c r="AD1053" i="1" s="1"/>
  <c r="Z1053" i="1"/>
  <c r="AC1053" i="1" s="1"/>
  <c r="Q1055" i="1"/>
  <c r="P1055" i="1"/>
  <c r="S1054" i="1" a="1"/>
  <c r="R1054" i="1" a="1"/>
  <c r="R1054" i="1" s="1"/>
  <c r="L1054" i="1" s="1"/>
  <c r="O1055" i="1"/>
  <c r="AP1056" i="1"/>
  <c r="AQ1055" i="1"/>
  <c r="BO152" i="1"/>
  <c r="BP151" i="1"/>
  <c r="W1054" i="1" l="1"/>
  <c r="X1054" i="1"/>
  <c r="AR1054" i="1"/>
  <c r="AS1055" i="1"/>
  <c r="Y1053" i="1"/>
  <c r="AB1053" i="1" s="1"/>
  <c r="S1054" i="1"/>
  <c r="V1054" i="1" s="1"/>
  <c r="AA1054" i="1"/>
  <c r="AD1054" i="1" s="1"/>
  <c r="Z1054" i="1"/>
  <c r="AC1054" i="1" s="1"/>
  <c r="Q1056" i="1"/>
  <c r="P1056" i="1"/>
  <c r="R1055" i="1" a="1"/>
  <c r="R1055" i="1" s="1"/>
  <c r="L1055" i="1" s="1"/>
  <c r="S1055" i="1" a="1"/>
  <c r="O1056" i="1"/>
  <c r="AP1057" i="1"/>
  <c r="AQ1056" i="1"/>
  <c r="BO153" i="1"/>
  <c r="BP152" i="1"/>
  <c r="AS1056" i="1" l="1"/>
  <c r="W1055" i="1"/>
  <c r="X1055" i="1"/>
  <c r="AR1055" i="1"/>
  <c r="Y1054" i="1"/>
  <c r="AB1054" i="1" s="1"/>
  <c r="S1055" i="1"/>
  <c r="V1055" i="1" s="1"/>
  <c r="AA1055" i="1"/>
  <c r="AD1055" i="1" s="1"/>
  <c r="Z1055" i="1"/>
  <c r="AC1055" i="1" s="1"/>
  <c r="Q1057" i="1"/>
  <c r="P1057" i="1"/>
  <c r="R1056" i="1" a="1"/>
  <c r="R1056" i="1" s="1"/>
  <c r="L1056" i="1" s="1"/>
  <c r="S1056" i="1" a="1"/>
  <c r="O1057" i="1"/>
  <c r="AP1058" i="1"/>
  <c r="AQ1057" i="1"/>
  <c r="BO154" i="1"/>
  <c r="BP153" i="1"/>
  <c r="W1056" i="1" l="1"/>
  <c r="X1056" i="1"/>
  <c r="AR1056" i="1"/>
  <c r="AS1057" i="1"/>
  <c r="Y1055" i="1"/>
  <c r="AB1055" i="1" s="1"/>
  <c r="S1056" i="1"/>
  <c r="V1056" i="1" s="1"/>
  <c r="Z1056" i="1"/>
  <c r="AC1056" i="1" s="1"/>
  <c r="AA1056" i="1"/>
  <c r="AD1056" i="1" s="1"/>
  <c r="Q1058" i="1"/>
  <c r="P1058" i="1"/>
  <c r="R1057" i="1" a="1"/>
  <c r="R1057" i="1" s="1"/>
  <c r="L1057" i="1" s="1"/>
  <c r="S1057" i="1" a="1"/>
  <c r="O1058" i="1"/>
  <c r="AP1059" i="1"/>
  <c r="AQ1058" i="1"/>
  <c r="BO155" i="1"/>
  <c r="BP154" i="1"/>
  <c r="AS1058" i="1" l="1"/>
  <c r="X1057" i="1"/>
  <c r="W1057" i="1"/>
  <c r="AR1057" i="1"/>
  <c r="Y1056" i="1"/>
  <c r="AB1056" i="1" s="1"/>
  <c r="S1057" i="1"/>
  <c r="V1057" i="1" s="1"/>
  <c r="Z1057" i="1"/>
  <c r="AC1057" i="1" s="1"/>
  <c r="AA1057" i="1"/>
  <c r="AD1057" i="1" s="1"/>
  <c r="Q1059" i="1"/>
  <c r="P1059" i="1"/>
  <c r="S1058" i="1" a="1"/>
  <c r="R1058" i="1" a="1"/>
  <c r="R1058" i="1" s="1"/>
  <c r="L1058" i="1" s="1"/>
  <c r="O1059" i="1"/>
  <c r="AP1060" i="1"/>
  <c r="AQ1059" i="1"/>
  <c r="BO156" i="1"/>
  <c r="BP155" i="1"/>
  <c r="X1058" i="1" l="1"/>
  <c r="W1058" i="1"/>
  <c r="AR1058" i="1"/>
  <c r="AS1059" i="1"/>
  <c r="Y1057" i="1"/>
  <c r="AB1057" i="1" s="1"/>
  <c r="S1058" i="1"/>
  <c r="V1058" i="1" s="1"/>
  <c r="Z1058" i="1"/>
  <c r="AC1058" i="1" s="1"/>
  <c r="AA1058" i="1"/>
  <c r="AD1058" i="1" s="1"/>
  <c r="Q1060" i="1"/>
  <c r="P1060" i="1"/>
  <c r="S1059" i="1" a="1"/>
  <c r="R1059" i="1" a="1"/>
  <c r="R1059" i="1" s="1"/>
  <c r="L1059" i="1" s="1"/>
  <c r="O1060" i="1"/>
  <c r="AP1061" i="1"/>
  <c r="AQ1060" i="1"/>
  <c r="BO157" i="1"/>
  <c r="BP156" i="1"/>
  <c r="AS1060" i="1" l="1"/>
  <c r="X1059" i="1"/>
  <c r="W1059" i="1"/>
  <c r="AR1059" i="1"/>
  <c r="Y1058" i="1"/>
  <c r="AB1058" i="1" s="1"/>
  <c r="S1059" i="1"/>
  <c r="V1059" i="1" s="1"/>
  <c r="Z1059" i="1"/>
  <c r="AC1059" i="1" s="1"/>
  <c r="AA1059" i="1"/>
  <c r="AD1059" i="1" s="1"/>
  <c r="P1061" i="1"/>
  <c r="Q1061" i="1"/>
  <c r="S1060" i="1" a="1"/>
  <c r="R1060" i="1" a="1"/>
  <c r="R1060" i="1" s="1"/>
  <c r="L1060" i="1" s="1"/>
  <c r="O1061" i="1"/>
  <c r="AP1062" i="1"/>
  <c r="AQ1061" i="1"/>
  <c r="BO158" i="1"/>
  <c r="BP157" i="1"/>
  <c r="X1060" i="1" l="1"/>
  <c r="W1060" i="1"/>
  <c r="AR1060" i="1"/>
  <c r="AS1061" i="1"/>
  <c r="Y1059" i="1"/>
  <c r="AB1059" i="1" s="1"/>
  <c r="S1060" i="1"/>
  <c r="V1060" i="1" s="1"/>
  <c r="AA1060" i="1"/>
  <c r="AD1060" i="1" s="1"/>
  <c r="Z1060" i="1"/>
  <c r="AC1060" i="1" s="1"/>
  <c r="P1062" i="1"/>
  <c r="Q1062" i="1"/>
  <c r="S1061" i="1" a="1"/>
  <c r="R1061" i="1" a="1"/>
  <c r="R1061" i="1" s="1"/>
  <c r="L1061" i="1" s="1"/>
  <c r="AR1061" i="1" s="1"/>
  <c r="O1062" i="1"/>
  <c r="AP1063" i="1"/>
  <c r="AQ1062" i="1"/>
  <c r="BO159" i="1"/>
  <c r="BP158" i="1"/>
  <c r="AS1062" i="1" l="1"/>
  <c r="W1061" i="1"/>
  <c r="X1061" i="1"/>
  <c r="Y1060" i="1"/>
  <c r="AB1060" i="1" s="1"/>
  <c r="S1061" i="1"/>
  <c r="V1061" i="1" s="1"/>
  <c r="AA1061" i="1"/>
  <c r="AD1061" i="1" s="1"/>
  <c r="Z1061" i="1"/>
  <c r="AC1061" i="1" s="1"/>
  <c r="Q1063" i="1"/>
  <c r="P1063" i="1"/>
  <c r="S1062" i="1" a="1"/>
  <c r="R1062" i="1" a="1"/>
  <c r="R1062" i="1" s="1"/>
  <c r="L1062" i="1" s="1"/>
  <c r="O1063" i="1"/>
  <c r="AP1064" i="1"/>
  <c r="AQ1063" i="1"/>
  <c r="BO160" i="1"/>
  <c r="BP159" i="1"/>
  <c r="W1062" i="1" l="1"/>
  <c r="X1062" i="1"/>
  <c r="AR1062" i="1"/>
  <c r="AS1063" i="1"/>
  <c r="Y1061" i="1"/>
  <c r="AB1061" i="1" s="1"/>
  <c r="S1062" i="1"/>
  <c r="V1062" i="1" s="1"/>
  <c r="AA1062" i="1"/>
  <c r="AD1062" i="1" s="1"/>
  <c r="Z1062" i="1"/>
  <c r="AC1062" i="1" s="1"/>
  <c r="Q1064" i="1"/>
  <c r="P1064" i="1"/>
  <c r="S1063" i="1" a="1"/>
  <c r="R1063" i="1" a="1"/>
  <c r="R1063" i="1" s="1"/>
  <c r="L1063" i="1" s="1"/>
  <c r="O1064" i="1"/>
  <c r="AP1065" i="1"/>
  <c r="AQ1064" i="1"/>
  <c r="BO161" i="1"/>
  <c r="BP160" i="1"/>
  <c r="AS1064" i="1" l="1"/>
  <c r="W1063" i="1"/>
  <c r="X1063" i="1"/>
  <c r="AR1063" i="1"/>
  <c r="Y1062" i="1"/>
  <c r="AB1062" i="1" s="1"/>
  <c r="S1063" i="1"/>
  <c r="V1063" i="1" s="1"/>
  <c r="AA1063" i="1"/>
  <c r="AD1063" i="1" s="1"/>
  <c r="Z1063" i="1"/>
  <c r="AC1063" i="1" s="1"/>
  <c r="P1065" i="1"/>
  <c r="Q1065" i="1"/>
  <c r="R1064" i="1" a="1"/>
  <c r="R1064" i="1" s="1"/>
  <c r="L1064" i="1" s="1"/>
  <c r="S1064" i="1" a="1"/>
  <c r="O1065" i="1"/>
  <c r="AP1066" i="1"/>
  <c r="AQ1065" i="1"/>
  <c r="BO162" i="1"/>
  <c r="BP161" i="1"/>
  <c r="W1064" i="1" l="1"/>
  <c r="X1064" i="1"/>
  <c r="AR1064" i="1"/>
  <c r="AS1065" i="1"/>
  <c r="Y1063" i="1"/>
  <c r="AB1063" i="1" s="1"/>
  <c r="S1064" i="1"/>
  <c r="V1064" i="1" s="1"/>
  <c r="AA1064" i="1"/>
  <c r="AD1064" i="1" s="1"/>
  <c r="Z1064" i="1"/>
  <c r="AC1064" i="1" s="1"/>
  <c r="Q1066" i="1"/>
  <c r="P1066" i="1"/>
  <c r="R1065" i="1" a="1"/>
  <c r="R1065" i="1" s="1"/>
  <c r="L1065" i="1" s="1"/>
  <c r="S1065" i="1" a="1"/>
  <c r="O1066" i="1"/>
  <c r="AP1067" i="1"/>
  <c r="AQ1066" i="1"/>
  <c r="BO163" i="1"/>
  <c r="BP162" i="1"/>
  <c r="X1065" i="1" l="1"/>
  <c r="W1065" i="1"/>
  <c r="AR1065" i="1"/>
  <c r="AS1066" i="1"/>
  <c r="Y1064" i="1"/>
  <c r="AB1064" i="1" s="1"/>
  <c r="S1065" i="1"/>
  <c r="V1065" i="1" s="1"/>
  <c r="AA1065" i="1"/>
  <c r="AD1065" i="1" s="1"/>
  <c r="Z1065" i="1"/>
  <c r="AC1065" i="1" s="1"/>
  <c r="P1067" i="1"/>
  <c r="Q1067" i="1"/>
  <c r="R1066" i="1" a="1"/>
  <c r="R1066" i="1" s="1"/>
  <c r="L1066" i="1" s="1"/>
  <c r="S1066" i="1" a="1"/>
  <c r="O1067" i="1"/>
  <c r="AP1068" i="1"/>
  <c r="AQ1067" i="1"/>
  <c r="BO164" i="1"/>
  <c r="BP163" i="1"/>
  <c r="X1066" i="1" l="1"/>
  <c r="W1066" i="1"/>
  <c r="AR1066" i="1"/>
  <c r="AS1067" i="1"/>
  <c r="Y1065" i="1"/>
  <c r="AB1065" i="1" s="1"/>
  <c r="S1066" i="1"/>
  <c r="V1066" i="1" s="1"/>
  <c r="AA1066" i="1"/>
  <c r="AD1066" i="1" s="1"/>
  <c r="Z1066" i="1"/>
  <c r="AC1066" i="1" s="1"/>
  <c r="Q1068" i="1"/>
  <c r="P1068" i="1"/>
  <c r="R1067" i="1" a="1"/>
  <c r="R1067" i="1" s="1"/>
  <c r="L1067" i="1" s="1"/>
  <c r="S1067" i="1" a="1"/>
  <c r="O1068" i="1"/>
  <c r="AP1069" i="1"/>
  <c r="AQ1068" i="1"/>
  <c r="BO165" i="1"/>
  <c r="BP164" i="1"/>
  <c r="AS1068" i="1" l="1"/>
  <c r="W1067" i="1"/>
  <c r="X1067" i="1"/>
  <c r="AR1067" i="1"/>
  <c r="Y1066" i="1"/>
  <c r="AB1066" i="1" s="1"/>
  <c r="S1067" i="1"/>
  <c r="V1067" i="1" s="1"/>
  <c r="Z1067" i="1"/>
  <c r="AC1067" i="1" s="1"/>
  <c r="AA1067" i="1"/>
  <c r="AD1067" i="1" s="1"/>
  <c r="P1069" i="1"/>
  <c r="Q1069" i="1"/>
  <c r="S1068" i="1" a="1"/>
  <c r="R1068" i="1" a="1"/>
  <c r="R1068" i="1" s="1"/>
  <c r="L1068" i="1" s="1"/>
  <c r="O1069" i="1"/>
  <c r="AP1070" i="1"/>
  <c r="AQ1069" i="1"/>
  <c r="BO166" i="1"/>
  <c r="BP165" i="1"/>
  <c r="AS1069" i="1" l="1"/>
  <c r="X1068" i="1"/>
  <c r="W1068" i="1"/>
  <c r="AR1068" i="1"/>
  <c r="Y1067" i="1"/>
  <c r="AB1067" i="1" s="1"/>
  <c r="S1068" i="1"/>
  <c r="V1068" i="1" s="1"/>
  <c r="Z1068" i="1"/>
  <c r="AC1068" i="1" s="1"/>
  <c r="AA1068" i="1"/>
  <c r="AD1068" i="1" s="1"/>
  <c r="P1070" i="1"/>
  <c r="Q1070" i="1"/>
  <c r="S1069" i="1" a="1"/>
  <c r="R1069" i="1" a="1"/>
  <c r="R1069" i="1" s="1"/>
  <c r="L1069" i="1" s="1"/>
  <c r="O1070" i="1"/>
  <c r="AP1071" i="1"/>
  <c r="AQ1070" i="1"/>
  <c r="BO167" i="1"/>
  <c r="BP166" i="1"/>
  <c r="AS1070" i="1" l="1"/>
  <c r="X1069" i="1"/>
  <c r="W1069" i="1"/>
  <c r="AR1069" i="1"/>
  <c r="Y1068" i="1"/>
  <c r="AB1068" i="1" s="1"/>
  <c r="S1069" i="1"/>
  <c r="V1069" i="1" s="1"/>
  <c r="AA1069" i="1"/>
  <c r="AD1069" i="1" s="1"/>
  <c r="Z1069" i="1"/>
  <c r="AC1069" i="1" s="1"/>
  <c r="P1071" i="1"/>
  <c r="Q1071" i="1"/>
  <c r="R1070" i="1" a="1"/>
  <c r="R1070" i="1" s="1"/>
  <c r="L1070" i="1" s="1"/>
  <c r="S1070" i="1" a="1"/>
  <c r="O1071" i="1"/>
  <c r="AP1072" i="1"/>
  <c r="AQ1071" i="1"/>
  <c r="BO168" i="1"/>
  <c r="BP167" i="1"/>
  <c r="X1070" i="1" l="1"/>
  <c r="W1070" i="1"/>
  <c r="AR1070" i="1"/>
  <c r="AS1071" i="1"/>
  <c r="Y1069" i="1"/>
  <c r="AB1069" i="1" s="1"/>
  <c r="S1070" i="1"/>
  <c r="V1070" i="1" s="1"/>
  <c r="Z1070" i="1"/>
  <c r="AC1070" i="1" s="1"/>
  <c r="AA1070" i="1"/>
  <c r="AD1070" i="1" s="1"/>
  <c r="Q1072" i="1"/>
  <c r="P1072" i="1"/>
  <c r="R1071" i="1" a="1"/>
  <c r="R1071" i="1" s="1"/>
  <c r="L1071" i="1" s="1"/>
  <c r="S1071" i="1" a="1"/>
  <c r="O1072" i="1"/>
  <c r="AP1073" i="1"/>
  <c r="AQ1072" i="1"/>
  <c r="BO169" i="1"/>
  <c r="BP168" i="1"/>
  <c r="X1071" i="1" l="1"/>
  <c r="W1071" i="1"/>
  <c r="AR1071" i="1"/>
  <c r="AS1072" i="1"/>
  <c r="Y1070" i="1"/>
  <c r="AB1070" i="1" s="1"/>
  <c r="S1071" i="1"/>
  <c r="V1071" i="1" s="1"/>
  <c r="Z1071" i="1"/>
  <c r="AC1071" i="1" s="1"/>
  <c r="AA1071" i="1"/>
  <c r="AD1071" i="1" s="1"/>
  <c r="Q1073" i="1"/>
  <c r="P1073" i="1"/>
  <c r="S1072" i="1" a="1"/>
  <c r="R1072" i="1" a="1"/>
  <c r="R1072" i="1" s="1"/>
  <c r="L1072" i="1" s="1"/>
  <c r="O1073" i="1"/>
  <c r="AP1074" i="1"/>
  <c r="AQ1073" i="1"/>
  <c r="BO170" i="1"/>
  <c r="BP169" i="1"/>
  <c r="AS1073" i="1" l="1"/>
  <c r="X1072" i="1"/>
  <c r="W1072" i="1"/>
  <c r="AR1072" i="1"/>
  <c r="Y1071" i="1"/>
  <c r="AB1071" i="1" s="1"/>
  <c r="S1072" i="1"/>
  <c r="V1072" i="1" s="1"/>
  <c r="Z1072" i="1"/>
  <c r="AC1072" i="1" s="1"/>
  <c r="AA1072" i="1"/>
  <c r="AD1072" i="1" s="1"/>
  <c r="Q1074" i="1"/>
  <c r="P1074" i="1"/>
  <c r="S1073" i="1" a="1"/>
  <c r="R1073" i="1" a="1"/>
  <c r="R1073" i="1" s="1"/>
  <c r="L1073" i="1" s="1"/>
  <c r="O1074" i="1"/>
  <c r="AP1075" i="1"/>
  <c r="AQ1074" i="1"/>
  <c r="BO171" i="1"/>
  <c r="BP170" i="1"/>
  <c r="AS1074" i="1" l="1"/>
  <c r="W1073" i="1"/>
  <c r="X1073" i="1"/>
  <c r="AR1073" i="1"/>
  <c r="Y1072" i="1"/>
  <c r="AB1072" i="1" s="1"/>
  <c r="S1073" i="1"/>
  <c r="V1073" i="1" s="1"/>
  <c r="Z1073" i="1"/>
  <c r="AC1073" i="1" s="1"/>
  <c r="AA1073" i="1"/>
  <c r="AD1073" i="1" s="1"/>
  <c r="P1075" i="1"/>
  <c r="Q1075" i="1"/>
  <c r="R1074" i="1" a="1"/>
  <c r="R1074" i="1" s="1"/>
  <c r="L1074" i="1" s="1"/>
  <c r="S1074" i="1" a="1"/>
  <c r="O1075" i="1"/>
  <c r="AP1076" i="1"/>
  <c r="AQ1075" i="1"/>
  <c r="BO172" i="1"/>
  <c r="BP171" i="1"/>
  <c r="W1074" i="1" l="1"/>
  <c r="X1074" i="1"/>
  <c r="AR1074" i="1"/>
  <c r="AS1075" i="1"/>
  <c r="Y1073" i="1"/>
  <c r="AB1073" i="1" s="1"/>
  <c r="S1074" i="1"/>
  <c r="V1074" i="1" s="1"/>
  <c r="AA1074" i="1"/>
  <c r="AD1074" i="1" s="1"/>
  <c r="Z1074" i="1"/>
  <c r="AC1074" i="1" s="1"/>
  <c r="Q1076" i="1"/>
  <c r="P1076" i="1"/>
  <c r="R1075" i="1" a="1"/>
  <c r="R1075" i="1" s="1"/>
  <c r="L1075" i="1" s="1"/>
  <c r="S1075" i="1" a="1"/>
  <c r="O1076" i="1"/>
  <c r="AP1077" i="1"/>
  <c r="AQ1076" i="1"/>
  <c r="BO173" i="1"/>
  <c r="BP172" i="1"/>
  <c r="AS1076" i="1" l="1"/>
  <c r="W1075" i="1"/>
  <c r="X1075" i="1"/>
  <c r="AR1075" i="1"/>
  <c r="Y1074" i="1"/>
  <c r="AB1074" i="1" s="1"/>
  <c r="S1075" i="1"/>
  <c r="V1075" i="1" s="1"/>
  <c r="Z1075" i="1"/>
  <c r="AC1075" i="1" s="1"/>
  <c r="AA1075" i="1"/>
  <c r="AD1075" i="1" s="1"/>
  <c r="P1077" i="1"/>
  <c r="Q1077" i="1"/>
  <c r="R1076" i="1" a="1"/>
  <c r="R1076" i="1" s="1"/>
  <c r="L1076" i="1" s="1"/>
  <c r="S1076" i="1" a="1"/>
  <c r="O1077" i="1"/>
  <c r="AP1078" i="1"/>
  <c r="AQ1077" i="1"/>
  <c r="BO174" i="1"/>
  <c r="BP173" i="1"/>
  <c r="W1076" i="1" l="1"/>
  <c r="X1076" i="1"/>
  <c r="AR1076" i="1"/>
  <c r="AS1077" i="1"/>
  <c r="Y1075" i="1"/>
  <c r="AB1075" i="1" s="1"/>
  <c r="S1076" i="1"/>
  <c r="V1076" i="1" s="1"/>
  <c r="AA1076" i="1"/>
  <c r="AD1076" i="1" s="1"/>
  <c r="Z1076" i="1"/>
  <c r="AC1076" i="1" s="1"/>
  <c r="P1078" i="1"/>
  <c r="Q1078" i="1"/>
  <c r="R1077" i="1" a="1"/>
  <c r="R1077" i="1" s="1"/>
  <c r="L1077" i="1" s="1"/>
  <c r="S1077" i="1" a="1"/>
  <c r="O1078" i="1"/>
  <c r="AP1079" i="1"/>
  <c r="AQ1078" i="1"/>
  <c r="BO175" i="1"/>
  <c r="BP174" i="1"/>
  <c r="AS1078" i="1" l="1"/>
  <c r="W1077" i="1"/>
  <c r="X1077" i="1"/>
  <c r="AR1077" i="1"/>
  <c r="Y1076" i="1"/>
  <c r="AB1076" i="1" s="1"/>
  <c r="S1077" i="1"/>
  <c r="V1077" i="1" s="1"/>
  <c r="AA1077" i="1"/>
  <c r="AD1077" i="1" s="1"/>
  <c r="Z1077" i="1"/>
  <c r="AC1077" i="1" s="1"/>
  <c r="P1079" i="1"/>
  <c r="Q1079" i="1"/>
  <c r="R1078" i="1" a="1"/>
  <c r="R1078" i="1" s="1"/>
  <c r="L1078" i="1" s="1"/>
  <c r="S1078" i="1" a="1"/>
  <c r="O1079" i="1"/>
  <c r="AP1080" i="1"/>
  <c r="AQ1079" i="1"/>
  <c r="BO176" i="1"/>
  <c r="BP175" i="1"/>
  <c r="W1078" i="1" l="1"/>
  <c r="X1078" i="1"/>
  <c r="AR1078" i="1"/>
  <c r="AS1079" i="1"/>
  <c r="Y1077" i="1"/>
  <c r="AB1077" i="1" s="1"/>
  <c r="S1078" i="1"/>
  <c r="V1078" i="1" s="1"/>
  <c r="Z1078" i="1"/>
  <c r="AC1078" i="1" s="1"/>
  <c r="AA1078" i="1"/>
  <c r="AD1078" i="1" s="1"/>
  <c r="P1080" i="1"/>
  <c r="Q1080" i="1"/>
  <c r="R1079" i="1" a="1"/>
  <c r="R1079" i="1" s="1"/>
  <c r="L1079" i="1" s="1"/>
  <c r="S1079" i="1" a="1"/>
  <c r="O1080" i="1"/>
  <c r="AP1081" i="1"/>
  <c r="AQ1080" i="1"/>
  <c r="BO177" i="1"/>
  <c r="BP176" i="1"/>
  <c r="AS1080" i="1" l="1"/>
  <c r="X1079" i="1"/>
  <c r="W1079" i="1"/>
  <c r="AR1079" i="1"/>
  <c r="Y1078" i="1"/>
  <c r="AB1078" i="1" s="1"/>
  <c r="S1079" i="1"/>
  <c r="V1079" i="1" s="1"/>
  <c r="Z1079" i="1"/>
  <c r="AC1079" i="1" s="1"/>
  <c r="AA1079" i="1"/>
  <c r="AD1079" i="1" s="1"/>
  <c r="Q1081" i="1"/>
  <c r="P1081" i="1"/>
  <c r="R1080" i="1" a="1"/>
  <c r="R1080" i="1" s="1"/>
  <c r="L1080" i="1" s="1"/>
  <c r="S1080" i="1" a="1"/>
  <c r="O1081" i="1"/>
  <c r="AP1082" i="1"/>
  <c r="AQ1081" i="1"/>
  <c r="BO178" i="1"/>
  <c r="BP177" i="1"/>
  <c r="AS1081" i="1" l="1"/>
  <c r="X1080" i="1"/>
  <c r="W1080" i="1"/>
  <c r="AR1080" i="1"/>
  <c r="Y1079" i="1"/>
  <c r="AB1079" i="1" s="1"/>
  <c r="S1080" i="1"/>
  <c r="V1080" i="1" s="1"/>
  <c r="Z1080" i="1"/>
  <c r="AC1080" i="1" s="1"/>
  <c r="AA1080" i="1"/>
  <c r="AD1080" i="1" s="1"/>
  <c r="Q1082" i="1"/>
  <c r="P1082" i="1"/>
  <c r="S1081" i="1" a="1"/>
  <c r="R1081" i="1" a="1"/>
  <c r="R1081" i="1" s="1"/>
  <c r="L1081" i="1" s="1"/>
  <c r="O1082" i="1"/>
  <c r="AP1083" i="1"/>
  <c r="AQ1082" i="1"/>
  <c r="BO179" i="1"/>
  <c r="BP178" i="1"/>
  <c r="X1081" i="1" l="1"/>
  <c r="W1081" i="1"/>
  <c r="AR1081" i="1"/>
  <c r="AS1082" i="1"/>
  <c r="Y1080" i="1"/>
  <c r="AB1080" i="1" s="1"/>
  <c r="S1081" i="1"/>
  <c r="V1081" i="1" s="1"/>
  <c r="AA1081" i="1"/>
  <c r="AD1081" i="1" s="1"/>
  <c r="Z1081" i="1"/>
  <c r="AC1081" i="1" s="1"/>
  <c r="P1083" i="1"/>
  <c r="Q1083" i="1"/>
  <c r="S1082" i="1" a="1"/>
  <c r="R1082" i="1" a="1"/>
  <c r="R1082" i="1" s="1"/>
  <c r="L1082" i="1" s="1"/>
  <c r="O1083" i="1"/>
  <c r="AP1084" i="1"/>
  <c r="AQ1083" i="1"/>
  <c r="BO180" i="1"/>
  <c r="BP179" i="1"/>
  <c r="AS1083" i="1" l="1"/>
  <c r="X1082" i="1"/>
  <c r="W1082" i="1"/>
  <c r="AR1082" i="1"/>
  <c r="Y1081" i="1"/>
  <c r="AB1081" i="1" s="1"/>
  <c r="S1082" i="1"/>
  <c r="V1082" i="1" s="1"/>
  <c r="AA1082" i="1"/>
  <c r="AD1082" i="1" s="1"/>
  <c r="Z1082" i="1"/>
  <c r="AC1082" i="1" s="1"/>
  <c r="Q1084" i="1"/>
  <c r="P1084" i="1"/>
  <c r="S1083" i="1" a="1"/>
  <c r="R1083" i="1" a="1"/>
  <c r="R1083" i="1" s="1"/>
  <c r="L1083" i="1" s="1"/>
  <c r="O1084" i="1"/>
  <c r="AP1085" i="1"/>
  <c r="AQ1084" i="1"/>
  <c r="BO181" i="1"/>
  <c r="BP180" i="1"/>
  <c r="X1083" i="1" l="1"/>
  <c r="W1083" i="1"/>
  <c r="AR1083" i="1"/>
  <c r="AS1084" i="1"/>
  <c r="Y1082" i="1"/>
  <c r="AB1082" i="1" s="1"/>
  <c r="S1083" i="1"/>
  <c r="V1083" i="1" s="1"/>
  <c r="Z1083" i="1"/>
  <c r="AC1083" i="1" s="1"/>
  <c r="AA1083" i="1"/>
  <c r="AD1083" i="1" s="1"/>
  <c r="Q1085" i="1"/>
  <c r="P1085" i="1"/>
  <c r="S1084" i="1" a="1"/>
  <c r="R1084" i="1" a="1"/>
  <c r="R1084" i="1" s="1"/>
  <c r="L1084" i="1" s="1"/>
  <c r="O1085" i="1"/>
  <c r="AP1086" i="1"/>
  <c r="AQ1085" i="1"/>
  <c r="BO182" i="1"/>
  <c r="BP181" i="1"/>
  <c r="AS1085" i="1" l="1"/>
  <c r="X1084" i="1"/>
  <c r="W1084" i="1"/>
  <c r="AR1084" i="1"/>
  <c r="Y1083" i="1"/>
  <c r="AB1083" i="1" s="1"/>
  <c r="S1084" i="1"/>
  <c r="V1084" i="1" s="1"/>
  <c r="AA1084" i="1"/>
  <c r="AD1084" i="1" s="1"/>
  <c r="Z1084" i="1"/>
  <c r="AC1084" i="1" s="1"/>
  <c r="Q1086" i="1"/>
  <c r="P1086" i="1"/>
  <c r="R1085" i="1" a="1"/>
  <c r="R1085" i="1" s="1"/>
  <c r="L1085" i="1" s="1"/>
  <c r="S1085" i="1" a="1"/>
  <c r="O1086" i="1"/>
  <c r="AP1087" i="1"/>
  <c r="AQ1086" i="1"/>
  <c r="BO183" i="1"/>
  <c r="BP182" i="1"/>
  <c r="W1085" i="1" l="1"/>
  <c r="X1085" i="1"/>
  <c r="AR1085" i="1"/>
  <c r="AS1086" i="1"/>
  <c r="Y1084" i="1"/>
  <c r="AB1084" i="1" s="1"/>
  <c r="S1085" i="1"/>
  <c r="V1085" i="1" s="1"/>
  <c r="AA1085" i="1"/>
  <c r="AD1085" i="1" s="1"/>
  <c r="Z1085" i="1"/>
  <c r="AC1085" i="1" s="1"/>
  <c r="P1087" i="1"/>
  <c r="Q1087" i="1"/>
  <c r="S1086" i="1" a="1"/>
  <c r="R1086" i="1" a="1"/>
  <c r="R1086" i="1" s="1"/>
  <c r="L1086" i="1" s="1"/>
  <c r="O1087" i="1"/>
  <c r="AP1088" i="1"/>
  <c r="AQ1087" i="1"/>
  <c r="BO184" i="1"/>
  <c r="BP183" i="1"/>
  <c r="AS1087" i="1" l="1"/>
  <c r="W1086" i="1"/>
  <c r="X1086" i="1"/>
  <c r="AR1086" i="1"/>
  <c r="Y1085" i="1"/>
  <c r="AB1085" i="1" s="1"/>
  <c r="S1086" i="1"/>
  <c r="V1086" i="1" s="1"/>
  <c r="AA1086" i="1"/>
  <c r="AD1086" i="1" s="1"/>
  <c r="Z1086" i="1"/>
  <c r="AC1086" i="1" s="1"/>
  <c r="Q1088" i="1"/>
  <c r="P1088" i="1"/>
  <c r="S1087" i="1" a="1"/>
  <c r="R1087" i="1" a="1"/>
  <c r="R1087" i="1" s="1"/>
  <c r="L1087" i="1" s="1"/>
  <c r="O1088" i="1"/>
  <c r="AP1089" i="1"/>
  <c r="AQ1088" i="1"/>
  <c r="BO185" i="1"/>
  <c r="BP184" i="1"/>
  <c r="W1087" i="1" l="1"/>
  <c r="X1087" i="1"/>
  <c r="AR1087" i="1"/>
  <c r="AS1088" i="1"/>
  <c r="Y1086" i="1"/>
  <c r="AB1086" i="1" s="1"/>
  <c r="S1087" i="1"/>
  <c r="V1087" i="1" s="1"/>
  <c r="Z1087" i="1"/>
  <c r="AC1087" i="1" s="1"/>
  <c r="AA1087" i="1"/>
  <c r="AD1087" i="1" s="1"/>
  <c r="Q1089" i="1"/>
  <c r="P1089" i="1"/>
  <c r="S1088" i="1" a="1"/>
  <c r="R1088" i="1" a="1"/>
  <c r="R1088" i="1" s="1"/>
  <c r="L1088" i="1" s="1"/>
  <c r="AR1088" i="1" s="1"/>
  <c r="O1089" i="1"/>
  <c r="AP1090" i="1"/>
  <c r="AQ1089" i="1"/>
  <c r="BO186" i="1"/>
  <c r="BP185" i="1"/>
  <c r="AS1089" i="1" l="1"/>
  <c r="W1088" i="1"/>
  <c r="X1088" i="1"/>
  <c r="Y1087" i="1"/>
  <c r="AB1087" i="1" s="1"/>
  <c r="S1088" i="1"/>
  <c r="V1088" i="1" s="1"/>
  <c r="Z1088" i="1"/>
  <c r="AC1088" i="1" s="1"/>
  <c r="AA1088" i="1"/>
  <c r="AD1088" i="1" s="1"/>
  <c r="Q1090" i="1"/>
  <c r="P1090" i="1"/>
  <c r="S1089" i="1" a="1"/>
  <c r="R1089" i="1" a="1"/>
  <c r="R1089" i="1" s="1"/>
  <c r="L1089" i="1" s="1"/>
  <c r="O1090" i="1"/>
  <c r="AP1091" i="1"/>
  <c r="AQ1090" i="1"/>
  <c r="BO187" i="1"/>
  <c r="BP186" i="1"/>
  <c r="W1089" i="1" l="1"/>
  <c r="X1089" i="1"/>
  <c r="AR1089" i="1"/>
  <c r="AS1090" i="1"/>
  <c r="Y1088" i="1"/>
  <c r="AB1088" i="1" s="1"/>
  <c r="S1089" i="1"/>
  <c r="V1089" i="1" s="1"/>
  <c r="Z1089" i="1"/>
  <c r="AC1089" i="1" s="1"/>
  <c r="AA1089" i="1"/>
  <c r="AD1089" i="1" s="1"/>
  <c r="P1091" i="1"/>
  <c r="Q1091" i="1"/>
  <c r="R1090" i="1" a="1"/>
  <c r="R1090" i="1" s="1"/>
  <c r="L1090" i="1" s="1"/>
  <c r="S1090" i="1" a="1"/>
  <c r="O1091" i="1"/>
  <c r="AP1092" i="1"/>
  <c r="AQ1091" i="1"/>
  <c r="BO188" i="1"/>
  <c r="BP187" i="1"/>
  <c r="AS1091" i="1" l="1"/>
  <c r="W1090" i="1"/>
  <c r="X1090" i="1"/>
  <c r="AR1090" i="1"/>
  <c r="Y1089" i="1"/>
  <c r="AB1089" i="1" s="1"/>
  <c r="S1090" i="1"/>
  <c r="V1090" i="1" s="1"/>
  <c r="AA1090" i="1"/>
  <c r="AD1090" i="1" s="1"/>
  <c r="Z1090" i="1"/>
  <c r="AC1090" i="1" s="1"/>
  <c r="Q1092" i="1"/>
  <c r="P1092" i="1"/>
  <c r="S1091" i="1" a="1"/>
  <c r="R1091" i="1" a="1"/>
  <c r="R1091" i="1" s="1"/>
  <c r="L1091" i="1" s="1"/>
  <c r="O1092" i="1"/>
  <c r="AP1093" i="1"/>
  <c r="AQ1092" i="1"/>
  <c r="BO189" i="1"/>
  <c r="BP188" i="1"/>
  <c r="W1091" i="1" l="1"/>
  <c r="X1091" i="1"/>
  <c r="AR1091" i="1"/>
  <c r="AS1092" i="1"/>
  <c r="Y1090" i="1"/>
  <c r="AB1090" i="1" s="1"/>
  <c r="S1091" i="1"/>
  <c r="V1091" i="1" s="1"/>
  <c r="Z1091" i="1"/>
  <c r="AC1091" i="1" s="1"/>
  <c r="AA1091" i="1"/>
  <c r="AD1091" i="1" s="1"/>
  <c r="P1093" i="1"/>
  <c r="Q1093" i="1"/>
  <c r="S1092" i="1" a="1"/>
  <c r="R1092" i="1" a="1"/>
  <c r="R1092" i="1" s="1"/>
  <c r="L1092" i="1" s="1"/>
  <c r="O1093" i="1"/>
  <c r="AP1094" i="1"/>
  <c r="AQ1093" i="1"/>
  <c r="BO190" i="1"/>
  <c r="BP189" i="1"/>
  <c r="AS1093" i="1" l="1"/>
  <c r="W1092" i="1"/>
  <c r="X1092" i="1"/>
  <c r="AR1092" i="1"/>
  <c r="Y1091" i="1"/>
  <c r="AB1091" i="1" s="1"/>
  <c r="S1092" i="1"/>
  <c r="V1092" i="1" s="1"/>
  <c r="Z1092" i="1"/>
  <c r="AC1092" i="1" s="1"/>
  <c r="AA1092" i="1"/>
  <c r="AD1092" i="1" s="1"/>
  <c r="Q1094" i="1"/>
  <c r="P1094" i="1"/>
  <c r="S1093" i="1" a="1"/>
  <c r="R1093" i="1" a="1"/>
  <c r="R1093" i="1" s="1"/>
  <c r="L1093" i="1" s="1"/>
  <c r="O1094" i="1"/>
  <c r="AP1095" i="1"/>
  <c r="AQ1094" i="1"/>
  <c r="BO191" i="1"/>
  <c r="BP190" i="1"/>
  <c r="AS1094" i="1" l="1"/>
  <c r="W1093" i="1"/>
  <c r="X1093" i="1"/>
  <c r="AR1093" i="1"/>
  <c r="Y1092" i="1"/>
  <c r="AB1092" i="1" s="1"/>
  <c r="S1093" i="1"/>
  <c r="V1093" i="1" s="1"/>
  <c r="AA1093" i="1"/>
  <c r="AD1093" i="1" s="1"/>
  <c r="Z1093" i="1"/>
  <c r="AC1093" i="1" s="1"/>
  <c r="R1094" i="1" a="1"/>
  <c r="R1094" i="1" s="1"/>
  <c r="L1094" i="1" s="1"/>
  <c r="S1094" i="1" a="1"/>
  <c r="Q1095" i="1"/>
  <c r="P1095" i="1"/>
  <c r="O1095" i="1"/>
  <c r="AP1096" i="1"/>
  <c r="AQ1095" i="1"/>
  <c r="BO192" i="1"/>
  <c r="BP191" i="1"/>
  <c r="X1094" i="1" l="1"/>
  <c r="W1094" i="1"/>
  <c r="AR1094" i="1"/>
  <c r="AS1095" i="1"/>
  <c r="Y1093" i="1"/>
  <c r="AB1093" i="1" s="1"/>
  <c r="S1094" i="1"/>
  <c r="V1094" i="1" s="1"/>
  <c r="Z1094" i="1"/>
  <c r="AC1094" i="1" s="1"/>
  <c r="AA1094" i="1"/>
  <c r="AD1094" i="1" s="1"/>
  <c r="R1095" i="1" a="1"/>
  <c r="R1095" i="1" s="1"/>
  <c r="L1095" i="1" s="1"/>
  <c r="S1095" i="1" a="1"/>
  <c r="Q1096" i="1"/>
  <c r="P1096" i="1"/>
  <c r="O1096" i="1"/>
  <c r="AP1097" i="1"/>
  <c r="AQ1096" i="1"/>
  <c r="BO193" i="1"/>
  <c r="BP192" i="1"/>
  <c r="X1095" i="1" l="1"/>
  <c r="W1095" i="1"/>
  <c r="AR1095" i="1"/>
  <c r="AS1096" i="1"/>
  <c r="Y1094" i="1"/>
  <c r="AB1094" i="1" s="1"/>
  <c r="S1095" i="1"/>
  <c r="V1095" i="1" s="1"/>
  <c r="Z1095" i="1"/>
  <c r="AC1095" i="1" s="1"/>
  <c r="AA1095" i="1"/>
  <c r="AD1095" i="1" s="1"/>
  <c r="P1097" i="1"/>
  <c r="Q1097" i="1"/>
  <c r="S1096" i="1" a="1"/>
  <c r="R1096" i="1" a="1"/>
  <c r="R1096" i="1" s="1"/>
  <c r="L1096" i="1" s="1"/>
  <c r="O1097" i="1"/>
  <c r="AP1098" i="1"/>
  <c r="AQ1097" i="1"/>
  <c r="BO194" i="1"/>
  <c r="BP193" i="1"/>
  <c r="AS1097" i="1" l="1"/>
  <c r="X1096" i="1"/>
  <c r="W1096" i="1"/>
  <c r="AR1096" i="1"/>
  <c r="Y1095" i="1"/>
  <c r="AB1095" i="1" s="1"/>
  <c r="S1096" i="1"/>
  <c r="V1096" i="1" s="1"/>
  <c r="AA1096" i="1"/>
  <c r="AD1096" i="1" s="1"/>
  <c r="Z1096" i="1"/>
  <c r="AC1096" i="1" s="1"/>
  <c r="Q1098" i="1"/>
  <c r="P1098" i="1"/>
  <c r="S1097" i="1" a="1"/>
  <c r="R1097" i="1" a="1"/>
  <c r="R1097" i="1" s="1"/>
  <c r="L1097" i="1" s="1"/>
  <c r="AR1097" i="1" s="1"/>
  <c r="O1098" i="1"/>
  <c r="AP1099" i="1"/>
  <c r="AQ1098" i="1"/>
  <c r="BO195" i="1"/>
  <c r="BP194" i="1"/>
  <c r="AS1098" i="1" l="1"/>
  <c r="W1097" i="1"/>
  <c r="X1097" i="1"/>
  <c r="Y1096" i="1"/>
  <c r="AB1096" i="1" s="1"/>
  <c r="S1097" i="1"/>
  <c r="V1097" i="1" s="1"/>
  <c r="AA1097" i="1"/>
  <c r="AD1097" i="1" s="1"/>
  <c r="Z1097" i="1"/>
  <c r="AC1097" i="1" s="1"/>
  <c r="Q1099" i="1"/>
  <c r="P1099" i="1"/>
  <c r="S1098" i="1" a="1"/>
  <c r="R1098" i="1" a="1"/>
  <c r="R1098" i="1" s="1"/>
  <c r="L1098" i="1" s="1"/>
  <c r="AR1098" i="1" s="1"/>
  <c r="O1099" i="1"/>
  <c r="AP1100" i="1"/>
  <c r="AQ1099" i="1"/>
  <c r="BO196" i="1"/>
  <c r="BP195" i="1"/>
  <c r="AS1099" i="1" l="1"/>
  <c r="W1098" i="1"/>
  <c r="X1098" i="1"/>
  <c r="Y1097" i="1"/>
  <c r="AB1097" i="1" s="1"/>
  <c r="S1098" i="1"/>
  <c r="V1098" i="1" s="1"/>
  <c r="AA1098" i="1"/>
  <c r="AD1098" i="1" s="1"/>
  <c r="Z1098" i="1"/>
  <c r="AC1098" i="1" s="1"/>
  <c r="Q1100" i="1"/>
  <c r="P1100" i="1"/>
  <c r="S1099" i="1" a="1"/>
  <c r="R1099" i="1" a="1"/>
  <c r="R1099" i="1" s="1"/>
  <c r="L1099" i="1" s="1"/>
  <c r="O1100" i="1"/>
  <c r="AP1101" i="1"/>
  <c r="AQ1100" i="1"/>
  <c r="BO197" i="1"/>
  <c r="BP196" i="1"/>
  <c r="AS1100" i="1" l="1"/>
  <c r="W1099" i="1"/>
  <c r="X1099" i="1"/>
  <c r="AR1099" i="1"/>
  <c r="Y1098" i="1"/>
  <c r="AB1098" i="1" s="1"/>
  <c r="S1099" i="1"/>
  <c r="V1099" i="1" s="1"/>
  <c r="AA1099" i="1"/>
  <c r="AD1099" i="1" s="1"/>
  <c r="Z1099" i="1"/>
  <c r="AC1099" i="1" s="1"/>
  <c r="Q1101" i="1"/>
  <c r="P1101" i="1"/>
  <c r="S1100" i="1" a="1"/>
  <c r="R1100" i="1" a="1"/>
  <c r="R1100" i="1" s="1"/>
  <c r="L1100" i="1" s="1"/>
  <c r="O1101" i="1"/>
  <c r="AP1102" i="1"/>
  <c r="AQ1101" i="1"/>
  <c r="BO198" i="1"/>
  <c r="BP197" i="1"/>
  <c r="AS1101" i="1" l="1"/>
  <c r="W1100" i="1"/>
  <c r="X1100" i="1"/>
  <c r="AR1100" i="1"/>
  <c r="Y1099" i="1"/>
  <c r="AB1099" i="1" s="1"/>
  <c r="S1100" i="1"/>
  <c r="V1100" i="1" s="1"/>
  <c r="AA1100" i="1"/>
  <c r="AD1100" i="1" s="1"/>
  <c r="Z1100" i="1"/>
  <c r="AC1100" i="1" s="1"/>
  <c r="Q1102" i="1"/>
  <c r="P1102" i="1"/>
  <c r="S1101" i="1" a="1"/>
  <c r="R1101" i="1" a="1"/>
  <c r="R1101" i="1" s="1"/>
  <c r="L1101" i="1" s="1"/>
  <c r="O1102" i="1"/>
  <c r="AP1103" i="1"/>
  <c r="AQ1102" i="1"/>
  <c r="BO199" i="1"/>
  <c r="BP198" i="1"/>
  <c r="AS1102" i="1" l="1"/>
  <c r="X1101" i="1"/>
  <c r="W1101" i="1"/>
  <c r="AR1101" i="1"/>
  <c r="Y1100" i="1"/>
  <c r="AB1100" i="1" s="1"/>
  <c r="S1101" i="1"/>
  <c r="V1101" i="1" s="1"/>
  <c r="AA1101" i="1"/>
  <c r="AD1101" i="1" s="1"/>
  <c r="Z1101" i="1"/>
  <c r="AC1101" i="1" s="1"/>
  <c r="Q1103" i="1"/>
  <c r="P1103" i="1"/>
  <c r="S1102" i="1" a="1"/>
  <c r="R1102" i="1" a="1"/>
  <c r="R1102" i="1" s="1"/>
  <c r="L1102" i="1" s="1"/>
  <c r="O1103" i="1"/>
  <c r="AP1104" i="1"/>
  <c r="AQ1103" i="1"/>
  <c r="BO200" i="1"/>
  <c r="BP199" i="1"/>
  <c r="X1102" i="1" l="1"/>
  <c r="W1102" i="1"/>
  <c r="AR1102" i="1"/>
  <c r="AS1103" i="1"/>
  <c r="Y1101" i="1"/>
  <c r="AB1101" i="1" s="1"/>
  <c r="S1102" i="1"/>
  <c r="V1102" i="1" s="1"/>
  <c r="AA1102" i="1"/>
  <c r="AD1102" i="1" s="1"/>
  <c r="Z1102" i="1"/>
  <c r="AC1102" i="1" s="1"/>
  <c r="Q1104" i="1"/>
  <c r="P1104" i="1"/>
  <c r="S1103" i="1" a="1"/>
  <c r="R1103" i="1" a="1"/>
  <c r="R1103" i="1" s="1"/>
  <c r="L1103" i="1" s="1"/>
  <c r="AR1103" i="1" s="1"/>
  <c r="O1104" i="1"/>
  <c r="AP1105" i="1"/>
  <c r="AQ1104" i="1"/>
  <c r="BO201" i="1"/>
  <c r="BP200" i="1"/>
  <c r="AS1104" i="1" l="1"/>
  <c r="X1103" i="1"/>
  <c r="W1103" i="1"/>
  <c r="Y1102" i="1"/>
  <c r="AB1102" i="1" s="1"/>
  <c r="S1103" i="1"/>
  <c r="V1103" i="1" s="1"/>
  <c r="Z1103" i="1"/>
  <c r="AC1103" i="1" s="1"/>
  <c r="AA1103" i="1"/>
  <c r="AD1103" i="1" s="1"/>
  <c r="P1105" i="1"/>
  <c r="Q1105" i="1"/>
  <c r="S1104" i="1" a="1"/>
  <c r="R1104" i="1" a="1"/>
  <c r="R1104" i="1" s="1"/>
  <c r="L1104" i="1" s="1"/>
  <c r="AR1104" i="1" s="1"/>
  <c r="O1105" i="1"/>
  <c r="AP1106" i="1"/>
  <c r="AQ1105" i="1"/>
  <c r="BO202" i="1"/>
  <c r="BP201" i="1"/>
  <c r="X1104" i="1" l="1"/>
  <c r="W1104" i="1"/>
  <c r="AS1105" i="1"/>
  <c r="Y1103" i="1"/>
  <c r="AB1103" i="1" s="1"/>
  <c r="S1104" i="1"/>
  <c r="V1104" i="1" s="1"/>
  <c r="Z1104" i="1"/>
  <c r="AC1104" i="1" s="1"/>
  <c r="AA1104" i="1"/>
  <c r="AD1104" i="1" s="1"/>
  <c r="P1106" i="1"/>
  <c r="Q1106" i="1"/>
  <c r="R1105" i="1" a="1"/>
  <c r="R1105" i="1" s="1"/>
  <c r="L1105" i="1" s="1"/>
  <c r="S1105" i="1" a="1"/>
  <c r="O1106" i="1"/>
  <c r="AP1107" i="1"/>
  <c r="AQ1106" i="1"/>
  <c r="BO203" i="1"/>
  <c r="BP202" i="1"/>
  <c r="AS1106" i="1" l="1"/>
  <c r="X1105" i="1"/>
  <c r="W1105" i="1"/>
  <c r="AR1105" i="1"/>
  <c r="Y1104" i="1"/>
  <c r="AB1104" i="1" s="1"/>
  <c r="S1105" i="1"/>
  <c r="V1105" i="1" s="1"/>
  <c r="AA1105" i="1"/>
  <c r="AD1105" i="1" s="1"/>
  <c r="Z1105" i="1"/>
  <c r="AC1105" i="1" s="1"/>
  <c r="Q1107" i="1"/>
  <c r="P1107" i="1"/>
  <c r="R1106" i="1" a="1"/>
  <c r="R1106" i="1" s="1"/>
  <c r="L1106" i="1" s="1"/>
  <c r="AR1106" i="1" s="1"/>
  <c r="S1106" i="1" a="1"/>
  <c r="O1107" i="1"/>
  <c r="AP1108" i="1"/>
  <c r="AQ1107" i="1"/>
  <c r="BO204" i="1"/>
  <c r="BP203" i="1"/>
  <c r="X1106" i="1" l="1"/>
  <c r="W1106" i="1"/>
  <c r="AS1107" i="1"/>
  <c r="Y1105" i="1"/>
  <c r="AB1105" i="1" s="1"/>
  <c r="S1106" i="1"/>
  <c r="V1106" i="1" s="1"/>
  <c r="AA1106" i="1"/>
  <c r="AD1106" i="1" s="1"/>
  <c r="Z1106" i="1"/>
  <c r="AC1106" i="1" s="1"/>
  <c r="Q1108" i="1"/>
  <c r="P1108" i="1"/>
  <c r="R1107" i="1" a="1"/>
  <c r="R1107" i="1" s="1"/>
  <c r="L1107" i="1" s="1"/>
  <c r="S1107" i="1" a="1"/>
  <c r="O1108" i="1"/>
  <c r="AP1109" i="1"/>
  <c r="AQ1108" i="1"/>
  <c r="BO205" i="1"/>
  <c r="BP204" i="1"/>
  <c r="AS1108" i="1" l="1"/>
  <c r="X1107" i="1"/>
  <c r="W1107" i="1"/>
  <c r="AR1107" i="1"/>
  <c r="Y1106" i="1"/>
  <c r="AB1106" i="1" s="1"/>
  <c r="S1107" i="1"/>
  <c r="V1107" i="1" s="1"/>
  <c r="AA1107" i="1"/>
  <c r="AD1107" i="1" s="1"/>
  <c r="Z1107" i="1"/>
  <c r="AC1107" i="1" s="1"/>
  <c r="Q1109" i="1"/>
  <c r="P1109" i="1"/>
  <c r="S1108" i="1" a="1"/>
  <c r="R1108" i="1" a="1"/>
  <c r="R1108" i="1" s="1"/>
  <c r="L1108" i="1" s="1"/>
  <c r="AR1108" i="1" s="1"/>
  <c r="O1109" i="1"/>
  <c r="AP1110" i="1"/>
  <c r="AQ1109" i="1"/>
  <c r="BO206" i="1"/>
  <c r="BP205" i="1"/>
  <c r="AS1109" i="1" l="1"/>
  <c r="X1108" i="1"/>
  <c r="W1108" i="1"/>
  <c r="Y1107" i="1"/>
  <c r="AB1107" i="1" s="1"/>
  <c r="S1108" i="1"/>
  <c r="V1108" i="1" s="1"/>
  <c r="AA1108" i="1"/>
  <c r="AD1108" i="1" s="1"/>
  <c r="Z1108" i="1"/>
  <c r="AC1108" i="1" s="1"/>
  <c r="P1110" i="1"/>
  <c r="Q1110" i="1"/>
  <c r="S1109" i="1" a="1"/>
  <c r="R1109" i="1" a="1"/>
  <c r="R1109" i="1" s="1"/>
  <c r="L1109" i="1" s="1"/>
  <c r="O1110" i="1"/>
  <c r="AP1111" i="1"/>
  <c r="AQ1110" i="1"/>
  <c r="BO207" i="1"/>
  <c r="BP206" i="1"/>
  <c r="W1109" i="1" l="1"/>
  <c r="X1109" i="1"/>
  <c r="AR1109" i="1"/>
  <c r="AS1110" i="1"/>
  <c r="Y1108" i="1"/>
  <c r="AB1108" i="1" s="1"/>
  <c r="S1109" i="1"/>
  <c r="V1109" i="1" s="1"/>
  <c r="AA1109" i="1"/>
  <c r="AD1109" i="1" s="1"/>
  <c r="Z1109" i="1"/>
  <c r="AC1109" i="1" s="1"/>
  <c r="Q1111" i="1"/>
  <c r="P1111" i="1"/>
  <c r="S1110" i="1" a="1"/>
  <c r="R1110" i="1" a="1"/>
  <c r="R1110" i="1" s="1"/>
  <c r="L1110" i="1" s="1"/>
  <c r="O1111" i="1"/>
  <c r="AP1112" i="1"/>
  <c r="AQ1111" i="1"/>
  <c r="BO208" i="1"/>
  <c r="BP207" i="1"/>
  <c r="AS1111" i="1" l="1"/>
  <c r="W1110" i="1"/>
  <c r="X1110" i="1"/>
  <c r="AR1110" i="1"/>
  <c r="Y1109" i="1"/>
  <c r="AB1109" i="1" s="1"/>
  <c r="S1110" i="1"/>
  <c r="V1110" i="1" s="1"/>
  <c r="Z1110" i="1"/>
  <c r="AC1110" i="1" s="1"/>
  <c r="AA1110" i="1"/>
  <c r="AD1110" i="1" s="1"/>
  <c r="Q1112" i="1"/>
  <c r="P1112" i="1"/>
  <c r="S1111" i="1" a="1"/>
  <c r="R1111" i="1" a="1"/>
  <c r="R1111" i="1" s="1"/>
  <c r="L1111" i="1" s="1"/>
  <c r="O1112" i="1"/>
  <c r="AP1113" i="1"/>
  <c r="AQ1112" i="1"/>
  <c r="BO209" i="1"/>
  <c r="BP208" i="1"/>
  <c r="W1111" i="1" l="1"/>
  <c r="X1111" i="1"/>
  <c r="AR1111" i="1"/>
  <c r="AS1112" i="1"/>
  <c r="Y1110" i="1"/>
  <c r="AB1110" i="1" s="1"/>
  <c r="S1111" i="1"/>
  <c r="V1111" i="1" s="1"/>
  <c r="AA1111" i="1"/>
  <c r="AD1111" i="1" s="1"/>
  <c r="Z1111" i="1"/>
  <c r="AC1111" i="1" s="1"/>
  <c r="Q1113" i="1"/>
  <c r="P1113" i="1"/>
  <c r="S1112" i="1" a="1"/>
  <c r="R1112" i="1" a="1"/>
  <c r="R1112" i="1" s="1"/>
  <c r="L1112" i="1" s="1"/>
  <c r="AR1112" i="1" s="1"/>
  <c r="O1113" i="1"/>
  <c r="AP1114" i="1"/>
  <c r="AQ1113" i="1"/>
  <c r="BO210" i="1"/>
  <c r="BP209" i="1"/>
  <c r="AS1113" i="1" l="1"/>
  <c r="W1112" i="1"/>
  <c r="X1112" i="1"/>
  <c r="Y1111" i="1"/>
  <c r="AB1111" i="1" s="1"/>
  <c r="S1112" i="1"/>
  <c r="V1112" i="1" s="1"/>
  <c r="AA1112" i="1"/>
  <c r="AD1112" i="1" s="1"/>
  <c r="Z1112" i="1"/>
  <c r="AC1112" i="1" s="1"/>
  <c r="P1114" i="1"/>
  <c r="Q1114" i="1"/>
  <c r="R1113" i="1" a="1"/>
  <c r="R1113" i="1" s="1"/>
  <c r="L1113" i="1" s="1"/>
  <c r="S1113" i="1" a="1"/>
  <c r="O1114" i="1"/>
  <c r="AP1115" i="1"/>
  <c r="AQ1114" i="1"/>
  <c r="BO211" i="1"/>
  <c r="BP210" i="1"/>
  <c r="W1113" i="1" l="1"/>
  <c r="X1113" i="1"/>
  <c r="AR1113" i="1"/>
  <c r="AS1114" i="1"/>
  <c r="Y1112" i="1"/>
  <c r="AB1112" i="1" s="1"/>
  <c r="S1113" i="1"/>
  <c r="V1113" i="1" s="1"/>
  <c r="Z1113" i="1"/>
  <c r="AC1113" i="1" s="1"/>
  <c r="AA1113" i="1"/>
  <c r="AD1113" i="1" s="1"/>
  <c r="P1115" i="1"/>
  <c r="Q1115" i="1"/>
  <c r="R1114" i="1" a="1"/>
  <c r="R1114" i="1" s="1"/>
  <c r="L1114" i="1" s="1"/>
  <c r="S1114" i="1" a="1"/>
  <c r="O1115" i="1"/>
  <c r="AP1116" i="1"/>
  <c r="AQ1115" i="1"/>
  <c r="BO212" i="1"/>
  <c r="BP211" i="1"/>
  <c r="W1114" i="1" l="1"/>
  <c r="X1114" i="1"/>
  <c r="AR1114" i="1"/>
  <c r="AS1115" i="1"/>
  <c r="Y1113" i="1"/>
  <c r="AB1113" i="1" s="1"/>
  <c r="S1114" i="1"/>
  <c r="V1114" i="1" s="1"/>
  <c r="Z1114" i="1"/>
  <c r="AC1114" i="1" s="1"/>
  <c r="AA1114" i="1"/>
  <c r="AD1114" i="1" s="1"/>
  <c r="Q1116" i="1"/>
  <c r="P1116" i="1"/>
  <c r="R1115" i="1" a="1"/>
  <c r="R1115" i="1" s="1"/>
  <c r="L1115" i="1" s="1"/>
  <c r="S1115" i="1" a="1"/>
  <c r="O1116" i="1"/>
  <c r="AP1117" i="1"/>
  <c r="AQ1116" i="1"/>
  <c r="BO213" i="1"/>
  <c r="BP212" i="1"/>
  <c r="AS1116" i="1" l="1"/>
  <c r="W1115" i="1"/>
  <c r="X1115" i="1"/>
  <c r="AR1115" i="1"/>
  <c r="Y1114" i="1"/>
  <c r="AB1114" i="1" s="1"/>
  <c r="S1115" i="1"/>
  <c r="V1115" i="1" s="1"/>
  <c r="Z1115" i="1"/>
  <c r="AC1115" i="1" s="1"/>
  <c r="AA1115" i="1"/>
  <c r="AD1115" i="1" s="1"/>
  <c r="P1117" i="1"/>
  <c r="Q1117" i="1"/>
  <c r="R1116" i="1" a="1"/>
  <c r="R1116" i="1" s="1"/>
  <c r="L1116" i="1" s="1"/>
  <c r="S1116" i="1" a="1"/>
  <c r="O1117" i="1"/>
  <c r="AP1118" i="1"/>
  <c r="AQ1117" i="1"/>
  <c r="BO214" i="1"/>
  <c r="BP213" i="1"/>
  <c r="X1116" i="1" l="1"/>
  <c r="W1116" i="1"/>
  <c r="AR1116" i="1"/>
  <c r="AS1117" i="1"/>
  <c r="Y1115" i="1"/>
  <c r="AB1115" i="1" s="1"/>
  <c r="S1116" i="1"/>
  <c r="V1116" i="1" s="1"/>
  <c r="Z1116" i="1"/>
  <c r="AC1116" i="1" s="1"/>
  <c r="AA1116" i="1"/>
  <c r="AD1116" i="1" s="1"/>
  <c r="P1118" i="1"/>
  <c r="Q1118" i="1"/>
  <c r="R1117" i="1" a="1"/>
  <c r="R1117" i="1" s="1"/>
  <c r="L1117" i="1" s="1"/>
  <c r="S1117" i="1" a="1"/>
  <c r="O1118" i="1"/>
  <c r="AP1119" i="1"/>
  <c r="AQ1118" i="1"/>
  <c r="BO215" i="1"/>
  <c r="BP214" i="1"/>
  <c r="AS1118" i="1" l="1"/>
  <c r="X1117" i="1"/>
  <c r="W1117" i="1"/>
  <c r="AR1117" i="1"/>
  <c r="Y1116" i="1"/>
  <c r="AB1116" i="1" s="1"/>
  <c r="S1117" i="1"/>
  <c r="V1117" i="1" s="1"/>
  <c r="AA1117" i="1"/>
  <c r="AD1117" i="1" s="1"/>
  <c r="Z1117" i="1"/>
  <c r="AC1117" i="1" s="1"/>
  <c r="P1119" i="1"/>
  <c r="Q1119" i="1"/>
  <c r="R1118" i="1" a="1"/>
  <c r="R1118" i="1" s="1"/>
  <c r="L1118" i="1" s="1"/>
  <c r="S1118" i="1" a="1"/>
  <c r="O1119" i="1"/>
  <c r="AP1120" i="1"/>
  <c r="AQ1119" i="1"/>
  <c r="BO216" i="1"/>
  <c r="BP215" i="1"/>
  <c r="AS1119" i="1" l="1"/>
  <c r="X1118" i="1"/>
  <c r="W1118" i="1"/>
  <c r="AR1118" i="1"/>
  <c r="Y1117" i="1"/>
  <c r="AB1117" i="1" s="1"/>
  <c r="S1118" i="1"/>
  <c r="V1118" i="1" s="1"/>
  <c r="AA1118" i="1"/>
  <c r="AD1118" i="1" s="1"/>
  <c r="Z1118" i="1"/>
  <c r="AC1118" i="1" s="1"/>
  <c r="Q1120" i="1"/>
  <c r="P1120" i="1"/>
  <c r="R1119" i="1" a="1"/>
  <c r="R1119" i="1" s="1"/>
  <c r="L1119" i="1" s="1"/>
  <c r="S1119" i="1" a="1"/>
  <c r="O1120" i="1"/>
  <c r="AP1121" i="1"/>
  <c r="AQ1120" i="1"/>
  <c r="BO217" i="1"/>
  <c r="BP216" i="1"/>
  <c r="AS1120" i="1" l="1"/>
  <c r="X1119" i="1"/>
  <c r="W1119" i="1"/>
  <c r="AR1119" i="1"/>
  <c r="Y1118" i="1"/>
  <c r="AB1118" i="1" s="1"/>
  <c r="S1119" i="1"/>
  <c r="V1119" i="1" s="1"/>
  <c r="AA1119" i="1"/>
  <c r="AD1119" i="1" s="1"/>
  <c r="Z1119" i="1"/>
  <c r="AC1119" i="1" s="1"/>
  <c r="Q1121" i="1"/>
  <c r="P1121" i="1"/>
  <c r="S1120" i="1" a="1"/>
  <c r="R1120" i="1" a="1"/>
  <c r="R1120" i="1" s="1"/>
  <c r="L1120" i="1" s="1"/>
  <c r="O1121" i="1"/>
  <c r="AP1122" i="1"/>
  <c r="AQ1121" i="1"/>
  <c r="BO218" i="1"/>
  <c r="BP217" i="1"/>
  <c r="X1120" i="1" l="1"/>
  <c r="W1120" i="1"/>
  <c r="AR1120" i="1"/>
  <c r="AS1121" i="1"/>
  <c r="Y1119" i="1"/>
  <c r="AB1119" i="1" s="1"/>
  <c r="S1120" i="1"/>
  <c r="V1120" i="1" s="1"/>
  <c r="AA1120" i="1"/>
  <c r="AD1120" i="1" s="1"/>
  <c r="Z1120" i="1"/>
  <c r="AC1120" i="1" s="1"/>
  <c r="Q1122" i="1"/>
  <c r="P1122" i="1"/>
  <c r="S1121" i="1" a="1"/>
  <c r="R1121" i="1" a="1"/>
  <c r="R1121" i="1" s="1"/>
  <c r="L1121" i="1" s="1"/>
  <c r="O1122" i="1"/>
  <c r="AP1123" i="1"/>
  <c r="AQ1122" i="1"/>
  <c r="BO219" i="1"/>
  <c r="BP218" i="1"/>
  <c r="W1121" i="1" l="1"/>
  <c r="X1121" i="1"/>
  <c r="AR1121" i="1"/>
  <c r="AS1122" i="1"/>
  <c r="Y1120" i="1"/>
  <c r="AB1120" i="1" s="1"/>
  <c r="S1121" i="1"/>
  <c r="V1121" i="1" s="1"/>
  <c r="AA1121" i="1"/>
  <c r="AD1121" i="1" s="1"/>
  <c r="Z1121" i="1"/>
  <c r="AC1121" i="1" s="1"/>
  <c r="P1123" i="1"/>
  <c r="Q1123" i="1"/>
  <c r="S1122" i="1" a="1"/>
  <c r="R1122" i="1" a="1"/>
  <c r="R1122" i="1" s="1"/>
  <c r="L1122" i="1" s="1"/>
  <c r="O1123" i="1"/>
  <c r="AP1124" i="1"/>
  <c r="AQ1123" i="1"/>
  <c r="BO220" i="1"/>
  <c r="BP219" i="1"/>
  <c r="AS1123" i="1" l="1"/>
  <c r="W1122" i="1"/>
  <c r="X1122" i="1"/>
  <c r="AR1122" i="1"/>
  <c r="Y1121" i="1"/>
  <c r="AB1121" i="1" s="1"/>
  <c r="S1122" i="1"/>
  <c r="V1122" i="1" s="1"/>
  <c r="AA1122" i="1"/>
  <c r="AD1122" i="1" s="1"/>
  <c r="Z1122" i="1"/>
  <c r="AC1122" i="1" s="1"/>
  <c r="Q1124" i="1"/>
  <c r="P1124" i="1"/>
  <c r="S1123" i="1" a="1"/>
  <c r="R1123" i="1" a="1"/>
  <c r="R1123" i="1" s="1"/>
  <c r="L1123" i="1" s="1"/>
  <c r="O1124" i="1"/>
  <c r="AP1125" i="1"/>
  <c r="AQ1124" i="1"/>
  <c r="BO221" i="1"/>
  <c r="BP220" i="1"/>
  <c r="W1123" i="1" l="1"/>
  <c r="X1123" i="1"/>
  <c r="AR1123" i="1"/>
  <c r="AS1124" i="1"/>
  <c r="Y1122" i="1"/>
  <c r="AB1122" i="1" s="1"/>
  <c r="S1123" i="1"/>
  <c r="V1123" i="1" s="1"/>
  <c r="Z1123" i="1"/>
  <c r="AC1123" i="1" s="1"/>
  <c r="AA1123" i="1"/>
  <c r="AD1123" i="1" s="1"/>
  <c r="P1125" i="1"/>
  <c r="Q1125" i="1"/>
  <c r="S1124" i="1" a="1"/>
  <c r="R1124" i="1" a="1"/>
  <c r="R1124" i="1" s="1"/>
  <c r="L1124" i="1" s="1"/>
  <c r="O1125" i="1"/>
  <c r="AP1126" i="1"/>
  <c r="AQ1125" i="1"/>
  <c r="BO222" i="1"/>
  <c r="BP221" i="1"/>
  <c r="W1124" i="1" l="1"/>
  <c r="X1124" i="1"/>
  <c r="AR1124" i="1"/>
  <c r="AS1125" i="1"/>
  <c r="Y1123" i="1"/>
  <c r="AB1123" i="1" s="1"/>
  <c r="S1124" i="1"/>
  <c r="V1124" i="1" s="1"/>
  <c r="Z1124" i="1"/>
  <c r="AC1124" i="1" s="1"/>
  <c r="AA1124" i="1"/>
  <c r="AD1124" i="1" s="1"/>
  <c r="P1126" i="1"/>
  <c r="Q1126" i="1"/>
  <c r="S1125" i="1" a="1"/>
  <c r="R1125" i="1" a="1"/>
  <c r="R1125" i="1" s="1"/>
  <c r="L1125" i="1" s="1"/>
  <c r="O1126" i="1"/>
  <c r="AP1127" i="1"/>
  <c r="AQ1126" i="1"/>
  <c r="BO223" i="1"/>
  <c r="BP222" i="1"/>
  <c r="AS1126" i="1" l="1"/>
  <c r="X1125" i="1"/>
  <c r="W1125" i="1"/>
  <c r="AR1125" i="1"/>
  <c r="Y1124" i="1"/>
  <c r="AB1124" i="1" s="1"/>
  <c r="S1125" i="1"/>
  <c r="V1125" i="1" s="1"/>
  <c r="AA1125" i="1"/>
  <c r="AD1125" i="1" s="1"/>
  <c r="Z1125" i="1"/>
  <c r="AC1125" i="1" s="1"/>
  <c r="P1127" i="1"/>
  <c r="Q1127" i="1"/>
  <c r="S1126" i="1" a="1"/>
  <c r="R1126" i="1" a="1"/>
  <c r="R1126" i="1" s="1"/>
  <c r="L1126" i="1" s="1"/>
  <c r="O1127" i="1"/>
  <c r="AP1128" i="1"/>
  <c r="AQ1127" i="1"/>
  <c r="BO224" i="1"/>
  <c r="BP223" i="1"/>
  <c r="X1126" i="1" l="1"/>
  <c r="W1126" i="1"/>
  <c r="AR1126" i="1"/>
  <c r="AS1127" i="1"/>
  <c r="Y1125" i="1"/>
  <c r="AB1125" i="1" s="1"/>
  <c r="S1126" i="1"/>
  <c r="V1126" i="1" s="1"/>
  <c r="Z1126" i="1"/>
  <c r="AC1126" i="1" s="1"/>
  <c r="AA1126" i="1"/>
  <c r="AD1126" i="1" s="1"/>
  <c r="P1128" i="1"/>
  <c r="Q1128" i="1"/>
  <c r="S1127" i="1" a="1"/>
  <c r="R1127" i="1" a="1"/>
  <c r="R1127" i="1" s="1"/>
  <c r="L1127" i="1" s="1"/>
  <c r="O1128" i="1"/>
  <c r="AP1129" i="1"/>
  <c r="AQ1128" i="1"/>
  <c r="BO225" i="1"/>
  <c r="BP224" i="1"/>
  <c r="AS1128" i="1" l="1"/>
  <c r="W1127" i="1"/>
  <c r="X1127" i="1"/>
  <c r="AR1127" i="1"/>
  <c r="Y1126" i="1"/>
  <c r="AB1126" i="1" s="1"/>
  <c r="S1127" i="1"/>
  <c r="V1127" i="1" s="1"/>
  <c r="Z1127" i="1"/>
  <c r="AC1127" i="1" s="1"/>
  <c r="AA1127" i="1"/>
  <c r="AD1127" i="1" s="1"/>
  <c r="Q1129" i="1"/>
  <c r="P1129" i="1"/>
  <c r="S1128" i="1" a="1"/>
  <c r="R1128" i="1" a="1"/>
  <c r="R1128" i="1" s="1"/>
  <c r="L1128" i="1" s="1"/>
  <c r="O1129" i="1"/>
  <c r="AP1130" i="1"/>
  <c r="AQ1129" i="1"/>
  <c r="BO226" i="1"/>
  <c r="BP225" i="1"/>
  <c r="W1128" i="1" l="1"/>
  <c r="X1128" i="1"/>
  <c r="AR1128" i="1"/>
  <c r="AS1129" i="1"/>
  <c r="Y1127" i="1"/>
  <c r="AB1127" i="1" s="1"/>
  <c r="S1128" i="1"/>
  <c r="V1128" i="1" s="1"/>
  <c r="AA1128" i="1"/>
  <c r="AD1128" i="1" s="1"/>
  <c r="Z1128" i="1"/>
  <c r="AC1128" i="1" s="1"/>
  <c r="Q1130" i="1"/>
  <c r="P1130" i="1"/>
  <c r="R1129" i="1" a="1"/>
  <c r="R1129" i="1" s="1"/>
  <c r="L1129" i="1" s="1"/>
  <c r="S1129" i="1" a="1"/>
  <c r="O1130" i="1"/>
  <c r="AP1131" i="1"/>
  <c r="AQ1130" i="1"/>
  <c r="BO227" i="1"/>
  <c r="BP226" i="1"/>
  <c r="AS1130" i="1" l="1"/>
  <c r="W1129" i="1"/>
  <c r="X1129" i="1"/>
  <c r="AR1129" i="1"/>
  <c r="Y1128" i="1"/>
  <c r="AB1128" i="1" s="1"/>
  <c r="S1129" i="1"/>
  <c r="V1129" i="1" s="1"/>
  <c r="Z1129" i="1"/>
  <c r="AC1129" i="1" s="1"/>
  <c r="AA1129" i="1"/>
  <c r="AD1129" i="1" s="1"/>
  <c r="P1131" i="1"/>
  <c r="Q1131" i="1"/>
  <c r="R1130" i="1" a="1"/>
  <c r="R1130" i="1" s="1"/>
  <c r="L1130" i="1" s="1"/>
  <c r="S1130" i="1" a="1"/>
  <c r="O1131" i="1"/>
  <c r="AP1132" i="1"/>
  <c r="AQ1131" i="1"/>
  <c r="BO228" i="1"/>
  <c r="BP227" i="1"/>
  <c r="AS1131" i="1" l="1"/>
  <c r="X1130" i="1"/>
  <c r="W1130" i="1"/>
  <c r="AR1130" i="1"/>
  <c r="Y1129" i="1"/>
  <c r="AB1129" i="1" s="1"/>
  <c r="S1130" i="1"/>
  <c r="V1130" i="1" s="1"/>
  <c r="AA1130" i="1"/>
  <c r="AD1130" i="1" s="1"/>
  <c r="Z1130" i="1"/>
  <c r="AC1130" i="1" s="1"/>
  <c r="Q1132" i="1"/>
  <c r="P1132" i="1"/>
  <c r="R1131" i="1" a="1"/>
  <c r="R1131" i="1" s="1"/>
  <c r="L1131" i="1" s="1"/>
  <c r="S1131" i="1" a="1"/>
  <c r="O1132" i="1"/>
  <c r="AP1133" i="1"/>
  <c r="AQ1132" i="1"/>
  <c r="BO229" i="1"/>
  <c r="BP228" i="1"/>
  <c r="X1131" i="1" l="1"/>
  <c r="W1131" i="1"/>
  <c r="AR1131" i="1"/>
  <c r="AS1132" i="1"/>
  <c r="Y1130" i="1"/>
  <c r="AB1130" i="1" s="1"/>
  <c r="S1131" i="1"/>
  <c r="V1131" i="1" s="1"/>
  <c r="Z1131" i="1"/>
  <c r="AC1131" i="1" s="1"/>
  <c r="AA1131" i="1"/>
  <c r="AD1131" i="1" s="1"/>
  <c r="Q1133" i="1"/>
  <c r="P1133" i="1"/>
  <c r="S1132" i="1" a="1"/>
  <c r="R1132" i="1" a="1"/>
  <c r="R1132" i="1" s="1"/>
  <c r="L1132" i="1" s="1"/>
  <c r="O1133" i="1"/>
  <c r="AP1134" i="1"/>
  <c r="AQ1133" i="1"/>
  <c r="BO230" i="1"/>
  <c r="BP229" i="1"/>
  <c r="AS1133" i="1" l="1"/>
  <c r="X1132" i="1"/>
  <c r="W1132" i="1"/>
  <c r="AR1132" i="1"/>
  <c r="Y1131" i="1"/>
  <c r="AB1131" i="1" s="1"/>
  <c r="S1132" i="1"/>
  <c r="V1132" i="1" s="1"/>
  <c r="Z1132" i="1"/>
  <c r="AC1132" i="1" s="1"/>
  <c r="AA1132" i="1"/>
  <c r="AD1132" i="1" s="1"/>
  <c r="P1134" i="1"/>
  <c r="Q1134" i="1"/>
  <c r="S1133" i="1" a="1"/>
  <c r="R1133" i="1" a="1"/>
  <c r="R1133" i="1" s="1"/>
  <c r="L1133" i="1" s="1"/>
  <c r="O1134" i="1"/>
  <c r="AP1135" i="1"/>
  <c r="AQ1134" i="1"/>
  <c r="BO231" i="1"/>
  <c r="BP230" i="1"/>
  <c r="AS1134" i="1" l="1"/>
  <c r="W1133" i="1"/>
  <c r="X1133" i="1"/>
  <c r="AR1133" i="1"/>
  <c r="Y1132" i="1"/>
  <c r="AB1132" i="1" s="1"/>
  <c r="S1133" i="1"/>
  <c r="V1133" i="1" s="1"/>
  <c r="Z1133" i="1"/>
  <c r="AC1133" i="1" s="1"/>
  <c r="AA1133" i="1"/>
  <c r="AD1133" i="1" s="1"/>
  <c r="P1135" i="1"/>
  <c r="Q1135" i="1"/>
  <c r="S1134" i="1" a="1"/>
  <c r="R1134" i="1" a="1"/>
  <c r="R1134" i="1" s="1"/>
  <c r="L1134" i="1" s="1"/>
  <c r="O1135" i="1"/>
  <c r="AP1136" i="1"/>
  <c r="AQ1135" i="1"/>
  <c r="BO232" i="1"/>
  <c r="BP231" i="1"/>
  <c r="AS1135" i="1" l="1"/>
  <c r="W1134" i="1"/>
  <c r="X1134" i="1"/>
  <c r="AR1134" i="1"/>
  <c r="Y1133" i="1"/>
  <c r="AB1133" i="1" s="1"/>
  <c r="S1134" i="1"/>
  <c r="V1134" i="1" s="1"/>
  <c r="Z1134" i="1"/>
  <c r="AC1134" i="1" s="1"/>
  <c r="AA1134" i="1"/>
  <c r="AD1134" i="1" s="1"/>
  <c r="Q1136" i="1"/>
  <c r="P1136" i="1"/>
  <c r="S1135" i="1" a="1"/>
  <c r="R1135" i="1" a="1"/>
  <c r="R1135" i="1" s="1"/>
  <c r="L1135" i="1" s="1"/>
  <c r="AR1135" i="1" s="1"/>
  <c r="O1136" i="1"/>
  <c r="AP1137" i="1"/>
  <c r="AQ1136" i="1"/>
  <c r="BO233" i="1"/>
  <c r="BP232" i="1"/>
  <c r="AS1136" i="1" l="1"/>
  <c r="W1135" i="1"/>
  <c r="X1135" i="1"/>
  <c r="Y1134" i="1"/>
  <c r="AB1134" i="1" s="1"/>
  <c r="S1135" i="1"/>
  <c r="V1135" i="1" s="1"/>
  <c r="AA1135" i="1"/>
  <c r="AD1135" i="1" s="1"/>
  <c r="Z1135" i="1"/>
  <c r="AC1135" i="1" s="1"/>
  <c r="P1137" i="1"/>
  <c r="Q1137" i="1"/>
  <c r="S1136" i="1" a="1"/>
  <c r="R1136" i="1" a="1"/>
  <c r="R1136" i="1" s="1"/>
  <c r="L1136" i="1" s="1"/>
  <c r="O1137" i="1"/>
  <c r="AP1138" i="1"/>
  <c r="AQ1137" i="1"/>
  <c r="BO234" i="1"/>
  <c r="BP233" i="1"/>
  <c r="AS1137" i="1" l="1"/>
  <c r="W1136" i="1"/>
  <c r="X1136" i="1"/>
  <c r="AR1136" i="1"/>
  <c r="Y1135" i="1"/>
  <c r="AB1135" i="1" s="1"/>
  <c r="S1136" i="1"/>
  <c r="V1136" i="1" s="1"/>
  <c r="AA1136" i="1"/>
  <c r="AD1136" i="1" s="1"/>
  <c r="Z1136" i="1"/>
  <c r="AC1136" i="1" s="1"/>
  <c r="Q1138" i="1"/>
  <c r="P1138" i="1"/>
  <c r="R1137" i="1" a="1"/>
  <c r="R1137" i="1" s="1"/>
  <c r="L1137" i="1" s="1"/>
  <c r="S1137" i="1" a="1"/>
  <c r="O1138" i="1"/>
  <c r="AP1139" i="1"/>
  <c r="AQ1138" i="1"/>
  <c r="BO235" i="1"/>
  <c r="BP234" i="1"/>
  <c r="AS1138" i="1" l="1"/>
  <c r="W1137" i="1"/>
  <c r="X1137" i="1"/>
  <c r="AR1137" i="1"/>
  <c r="Y1136" i="1"/>
  <c r="AB1136" i="1" s="1"/>
  <c r="S1137" i="1"/>
  <c r="V1137" i="1" s="1"/>
  <c r="AA1137" i="1"/>
  <c r="AD1137" i="1" s="1"/>
  <c r="Z1137" i="1"/>
  <c r="AC1137" i="1" s="1"/>
  <c r="P1139" i="1"/>
  <c r="Q1139" i="1"/>
  <c r="R1138" i="1" a="1"/>
  <c r="R1138" i="1" s="1"/>
  <c r="L1138" i="1" s="1"/>
  <c r="S1138" i="1" a="1"/>
  <c r="O1139" i="1"/>
  <c r="AP1140" i="1"/>
  <c r="AQ1139" i="1"/>
  <c r="BO236" i="1"/>
  <c r="BP235" i="1"/>
  <c r="W1138" i="1" l="1"/>
  <c r="X1138" i="1"/>
  <c r="AR1138" i="1"/>
  <c r="AS1139" i="1"/>
  <c r="Y1137" i="1"/>
  <c r="AB1137" i="1" s="1"/>
  <c r="S1138" i="1"/>
  <c r="V1138" i="1" s="1"/>
  <c r="AA1138" i="1"/>
  <c r="AD1138" i="1" s="1"/>
  <c r="Z1138" i="1"/>
  <c r="AC1138" i="1" s="1"/>
  <c r="P1140" i="1"/>
  <c r="Q1140" i="1"/>
  <c r="R1139" i="1" a="1"/>
  <c r="R1139" i="1" s="1"/>
  <c r="L1139" i="1" s="1"/>
  <c r="S1139" i="1" a="1"/>
  <c r="O1140" i="1"/>
  <c r="AP1141" i="1"/>
  <c r="AQ1140" i="1"/>
  <c r="BO237" i="1"/>
  <c r="BP236" i="1"/>
  <c r="AS1140" i="1" l="1"/>
  <c r="X1139" i="1"/>
  <c r="W1139" i="1"/>
  <c r="AR1139" i="1"/>
  <c r="Y1138" i="1"/>
  <c r="AB1138" i="1" s="1"/>
  <c r="S1139" i="1"/>
  <c r="V1139" i="1" s="1"/>
  <c r="AA1139" i="1"/>
  <c r="AD1139" i="1" s="1"/>
  <c r="Z1139" i="1"/>
  <c r="AC1139" i="1" s="1"/>
  <c r="P1141" i="1"/>
  <c r="Q1141" i="1"/>
  <c r="S1140" i="1" a="1"/>
  <c r="R1140" i="1" a="1"/>
  <c r="R1140" i="1" s="1"/>
  <c r="L1140" i="1" s="1"/>
  <c r="O1141" i="1"/>
  <c r="AP1142" i="1"/>
  <c r="AQ1141" i="1"/>
  <c r="BO238" i="1"/>
  <c r="BP237" i="1"/>
  <c r="X1140" i="1" l="1"/>
  <c r="W1140" i="1"/>
  <c r="AR1140" i="1"/>
  <c r="AS1141" i="1"/>
  <c r="Y1139" i="1"/>
  <c r="AB1139" i="1" s="1"/>
  <c r="S1140" i="1"/>
  <c r="V1140" i="1" s="1"/>
  <c r="AA1140" i="1"/>
  <c r="AD1140" i="1" s="1"/>
  <c r="Z1140" i="1"/>
  <c r="AC1140" i="1" s="1"/>
  <c r="Q1142" i="1"/>
  <c r="P1142" i="1"/>
  <c r="R1141" i="1" a="1"/>
  <c r="R1141" i="1" s="1"/>
  <c r="L1141" i="1" s="1"/>
  <c r="S1141" i="1" a="1"/>
  <c r="O1142" i="1"/>
  <c r="AP1143" i="1"/>
  <c r="AQ1142" i="1"/>
  <c r="BO239" i="1"/>
  <c r="BP238" i="1"/>
  <c r="AS1142" i="1" l="1"/>
  <c r="X1141" i="1"/>
  <c r="W1141" i="1"/>
  <c r="AR1141" i="1"/>
  <c r="Y1140" i="1"/>
  <c r="AB1140" i="1" s="1"/>
  <c r="S1141" i="1"/>
  <c r="V1141" i="1" s="1"/>
  <c r="Z1141" i="1"/>
  <c r="AC1141" i="1" s="1"/>
  <c r="AA1141" i="1"/>
  <c r="AD1141" i="1" s="1"/>
  <c r="Q1143" i="1"/>
  <c r="P1143" i="1"/>
  <c r="R1142" i="1" a="1"/>
  <c r="R1142" i="1" s="1"/>
  <c r="L1142" i="1" s="1"/>
  <c r="S1142" i="1" a="1"/>
  <c r="O1143" i="1"/>
  <c r="AP1144" i="1"/>
  <c r="AQ1143" i="1"/>
  <c r="BO240" i="1"/>
  <c r="BP239" i="1"/>
  <c r="AS1143" i="1" l="1"/>
  <c r="X1142" i="1"/>
  <c r="W1142" i="1"/>
  <c r="AR1142" i="1"/>
  <c r="Y1141" i="1"/>
  <c r="AB1141" i="1" s="1"/>
  <c r="S1142" i="1"/>
  <c r="V1142" i="1" s="1"/>
  <c r="Z1142" i="1"/>
  <c r="AC1142" i="1" s="1"/>
  <c r="AA1142" i="1"/>
  <c r="AD1142" i="1" s="1"/>
  <c r="Q1144" i="1"/>
  <c r="P1144" i="1"/>
  <c r="R1143" i="1" a="1"/>
  <c r="R1143" i="1" s="1"/>
  <c r="L1143" i="1" s="1"/>
  <c r="S1143" i="1" a="1"/>
  <c r="O1144" i="1"/>
  <c r="AP1145" i="1"/>
  <c r="AQ1144" i="1"/>
  <c r="BO241" i="1"/>
  <c r="BP240" i="1"/>
  <c r="X1143" i="1" l="1"/>
  <c r="W1143" i="1"/>
  <c r="AR1143" i="1"/>
  <c r="AS1144" i="1"/>
  <c r="Y1142" i="1"/>
  <c r="AB1142" i="1" s="1"/>
  <c r="S1143" i="1"/>
  <c r="V1143" i="1" s="1"/>
  <c r="AA1143" i="1"/>
  <c r="AD1143" i="1" s="1"/>
  <c r="Z1143" i="1"/>
  <c r="AC1143" i="1" s="1"/>
  <c r="Q1145" i="1"/>
  <c r="P1145" i="1"/>
  <c r="S1144" i="1" a="1"/>
  <c r="R1144" i="1" a="1"/>
  <c r="R1144" i="1" s="1"/>
  <c r="L1144" i="1" s="1"/>
  <c r="O1145" i="1"/>
  <c r="AP1146" i="1"/>
  <c r="AQ1145" i="1"/>
  <c r="BO242" i="1"/>
  <c r="BP241" i="1"/>
  <c r="AS1145" i="1" l="1"/>
  <c r="X1144" i="1"/>
  <c r="W1144" i="1"/>
  <c r="AR1144" i="1"/>
  <c r="Y1143" i="1"/>
  <c r="AB1143" i="1" s="1"/>
  <c r="S1144" i="1"/>
  <c r="V1144" i="1" s="1"/>
  <c r="AA1144" i="1"/>
  <c r="AD1144" i="1" s="1"/>
  <c r="Z1144" i="1"/>
  <c r="AC1144" i="1" s="1"/>
  <c r="Q1146" i="1"/>
  <c r="P1146" i="1"/>
  <c r="S1145" i="1" a="1"/>
  <c r="R1145" i="1" a="1"/>
  <c r="R1145" i="1" s="1"/>
  <c r="L1145" i="1" s="1"/>
  <c r="O1146" i="1"/>
  <c r="AP1147" i="1"/>
  <c r="AQ1146" i="1"/>
  <c r="BO243" i="1"/>
  <c r="BP242" i="1"/>
  <c r="AS1146" i="1" l="1"/>
  <c r="W1145" i="1"/>
  <c r="X1145" i="1"/>
  <c r="AR1145" i="1"/>
  <c r="Y1144" i="1"/>
  <c r="AB1144" i="1" s="1"/>
  <c r="S1145" i="1"/>
  <c r="V1145" i="1" s="1"/>
  <c r="Z1145" i="1"/>
  <c r="AC1145" i="1" s="1"/>
  <c r="AA1145" i="1"/>
  <c r="AD1145" i="1" s="1"/>
  <c r="Q1147" i="1"/>
  <c r="P1147" i="1"/>
  <c r="S1146" i="1" a="1"/>
  <c r="R1146" i="1" a="1"/>
  <c r="R1146" i="1" s="1"/>
  <c r="L1146" i="1" s="1"/>
  <c r="AR1146" i="1" s="1"/>
  <c r="O1147" i="1"/>
  <c r="AP1148" i="1"/>
  <c r="AQ1147" i="1"/>
  <c r="BO244" i="1"/>
  <c r="BP243" i="1"/>
  <c r="AS1147" i="1" l="1"/>
  <c r="W1146" i="1"/>
  <c r="X1146" i="1"/>
  <c r="Y1145" i="1"/>
  <c r="AB1145" i="1" s="1"/>
  <c r="S1146" i="1"/>
  <c r="V1146" i="1" s="1"/>
  <c r="AA1146" i="1"/>
  <c r="AD1146" i="1" s="1"/>
  <c r="Z1146" i="1"/>
  <c r="AC1146" i="1" s="1"/>
  <c r="Q1148" i="1"/>
  <c r="P1148" i="1"/>
  <c r="S1147" i="1" a="1"/>
  <c r="R1147" i="1" a="1"/>
  <c r="R1147" i="1" s="1"/>
  <c r="L1147" i="1" s="1"/>
  <c r="AR1147" i="1" s="1"/>
  <c r="O1148" i="1"/>
  <c r="AP1149" i="1"/>
  <c r="AQ1148" i="1"/>
  <c r="BO245" i="1"/>
  <c r="BP244" i="1"/>
  <c r="W1147" i="1" l="1"/>
  <c r="X1147" i="1"/>
  <c r="AS1148" i="1"/>
  <c r="Y1146" i="1"/>
  <c r="AB1146" i="1" s="1"/>
  <c r="S1147" i="1"/>
  <c r="V1147" i="1" s="1"/>
  <c r="AA1147" i="1"/>
  <c r="AD1147" i="1" s="1"/>
  <c r="Z1147" i="1"/>
  <c r="AC1147" i="1" s="1"/>
  <c r="P1149" i="1"/>
  <c r="Q1149" i="1"/>
  <c r="S1148" i="1" a="1"/>
  <c r="R1148" i="1" a="1"/>
  <c r="R1148" i="1" s="1"/>
  <c r="L1148" i="1" s="1"/>
  <c r="O1149" i="1"/>
  <c r="AP1150" i="1"/>
  <c r="AQ1149" i="1"/>
  <c r="BO246" i="1"/>
  <c r="BP245" i="1"/>
  <c r="AS1149" i="1" l="1"/>
  <c r="W1148" i="1"/>
  <c r="X1148" i="1"/>
  <c r="AR1148" i="1"/>
  <c r="Y1147" i="1"/>
  <c r="AB1147" i="1" s="1"/>
  <c r="S1148" i="1"/>
  <c r="V1148" i="1" s="1"/>
  <c r="Z1148" i="1"/>
  <c r="AC1148" i="1" s="1"/>
  <c r="AA1148" i="1"/>
  <c r="AD1148" i="1" s="1"/>
  <c r="Q1150" i="1"/>
  <c r="P1150" i="1"/>
  <c r="S1149" i="1" a="1"/>
  <c r="R1149" i="1" a="1"/>
  <c r="R1149" i="1" s="1"/>
  <c r="L1149" i="1" s="1"/>
  <c r="O1150" i="1"/>
  <c r="AP1151" i="1"/>
  <c r="AQ1150" i="1"/>
  <c r="BO247" i="1"/>
  <c r="BP246" i="1"/>
  <c r="W1149" i="1" l="1"/>
  <c r="X1149" i="1"/>
  <c r="AR1149" i="1"/>
  <c r="AS1150" i="1"/>
  <c r="Y1148" i="1"/>
  <c r="AB1148" i="1" s="1"/>
  <c r="S1149" i="1"/>
  <c r="V1149" i="1" s="1"/>
  <c r="AA1149" i="1"/>
  <c r="AD1149" i="1" s="1"/>
  <c r="Z1149" i="1"/>
  <c r="AC1149" i="1" s="1"/>
  <c r="Q1151" i="1"/>
  <c r="P1151" i="1"/>
  <c r="S1150" i="1" a="1"/>
  <c r="R1150" i="1" a="1"/>
  <c r="R1150" i="1" s="1"/>
  <c r="L1150" i="1" s="1"/>
  <c r="O1151" i="1"/>
  <c r="AP1152" i="1"/>
  <c r="AQ1151" i="1"/>
  <c r="BO248" i="1"/>
  <c r="BP247" i="1"/>
  <c r="AS1151" i="1" l="1"/>
  <c r="W1150" i="1"/>
  <c r="X1150" i="1"/>
  <c r="AR1150" i="1"/>
  <c r="Y1149" i="1"/>
  <c r="AB1149" i="1" s="1"/>
  <c r="S1150" i="1"/>
  <c r="V1150" i="1" s="1"/>
  <c r="Z1150" i="1"/>
  <c r="AC1150" i="1" s="1"/>
  <c r="AA1150" i="1"/>
  <c r="AD1150" i="1" s="1"/>
  <c r="S1151" i="1" a="1"/>
  <c r="R1151" i="1" a="1"/>
  <c r="R1151" i="1" s="1"/>
  <c r="L1151" i="1" s="1"/>
  <c r="Q1152" i="1"/>
  <c r="P1152" i="1"/>
  <c r="O1152" i="1"/>
  <c r="AP1153" i="1"/>
  <c r="AQ1152" i="1"/>
  <c r="BO249" i="1"/>
  <c r="BP248" i="1"/>
  <c r="W1151" i="1" l="1"/>
  <c r="X1151" i="1"/>
  <c r="AR1151" i="1"/>
  <c r="AS1152" i="1"/>
  <c r="Y1150" i="1"/>
  <c r="AB1150" i="1" s="1"/>
  <c r="S1151" i="1"/>
  <c r="V1151" i="1" s="1"/>
  <c r="AA1151" i="1"/>
  <c r="AD1151" i="1" s="1"/>
  <c r="Z1151" i="1"/>
  <c r="AC1151" i="1" s="1"/>
  <c r="P1153" i="1"/>
  <c r="Q1153" i="1"/>
  <c r="R1152" i="1" a="1"/>
  <c r="R1152" i="1" s="1"/>
  <c r="L1152" i="1" s="1"/>
  <c r="AR1152" i="1" s="1"/>
  <c r="S1152" i="1" a="1"/>
  <c r="O1153" i="1"/>
  <c r="AP1154" i="1"/>
  <c r="AQ1153" i="1"/>
  <c r="BO250" i="1"/>
  <c r="BP249" i="1"/>
  <c r="AS1153" i="1" l="1"/>
  <c r="X1152" i="1"/>
  <c r="W1152" i="1"/>
  <c r="Y1151" i="1"/>
  <c r="AB1151" i="1" s="1"/>
  <c r="S1152" i="1"/>
  <c r="V1152" i="1" s="1"/>
  <c r="AA1152" i="1"/>
  <c r="AD1152" i="1" s="1"/>
  <c r="Z1152" i="1"/>
  <c r="AC1152" i="1" s="1"/>
  <c r="P1154" i="1"/>
  <c r="Q1154" i="1"/>
  <c r="R1153" i="1" a="1"/>
  <c r="R1153" i="1" s="1"/>
  <c r="L1153" i="1" s="1"/>
  <c r="S1153" i="1" a="1"/>
  <c r="O1154" i="1"/>
  <c r="AP1155" i="1"/>
  <c r="AQ1154" i="1"/>
  <c r="BO251" i="1"/>
  <c r="BP250" i="1"/>
  <c r="X1153" i="1" l="1"/>
  <c r="W1153" i="1"/>
  <c r="AR1153" i="1"/>
  <c r="AS1154" i="1"/>
  <c r="Y1152" i="1"/>
  <c r="AB1152" i="1" s="1"/>
  <c r="S1153" i="1"/>
  <c r="V1153" i="1" s="1"/>
  <c r="Z1153" i="1"/>
  <c r="AC1153" i="1" s="1"/>
  <c r="AA1153" i="1"/>
  <c r="AD1153" i="1" s="1"/>
  <c r="R1154" i="1" a="1"/>
  <c r="R1154" i="1" s="1"/>
  <c r="L1154" i="1" s="1"/>
  <c r="S1154" i="1" a="1"/>
  <c r="Q1155" i="1"/>
  <c r="P1155" i="1"/>
  <c r="O1155" i="1"/>
  <c r="AP1156" i="1"/>
  <c r="AQ1155" i="1"/>
  <c r="BO252" i="1"/>
  <c r="BP251" i="1"/>
  <c r="X1154" i="1" l="1"/>
  <c r="W1154" i="1"/>
  <c r="AR1154" i="1"/>
  <c r="AS1155" i="1"/>
  <c r="Y1153" i="1"/>
  <c r="AB1153" i="1" s="1"/>
  <c r="S1154" i="1"/>
  <c r="V1154" i="1" s="1"/>
  <c r="AA1154" i="1"/>
  <c r="AD1154" i="1" s="1"/>
  <c r="Z1154" i="1"/>
  <c r="AC1154" i="1" s="1"/>
  <c r="Q1156" i="1"/>
  <c r="P1156" i="1"/>
  <c r="R1155" i="1" a="1"/>
  <c r="R1155" i="1" s="1"/>
  <c r="L1155" i="1" s="1"/>
  <c r="AR1155" i="1" s="1"/>
  <c r="S1155" i="1" a="1"/>
  <c r="O1156" i="1"/>
  <c r="AP1157" i="1"/>
  <c r="AQ1156" i="1"/>
  <c r="BO253" i="1"/>
  <c r="BP252" i="1"/>
  <c r="X1155" i="1" l="1"/>
  <c r="W1155" i="1"/>
  <c r="AS1156" i="1"/>
  <c r="Y1154" i="1"/>
  <c r="AB1154" i="1" s="1"/>
  <c r="S1155" i="1"/>
  <c r="V1155" i="1" s="1"/>
  <c r="Z1155" i="1"/>
  <c r="AC1155" i="1" s="1"/>
  <c r="AA1155" i="1"/>
  <c r="AD1155" i="1" s="1"/>
  <c r="P1157" i="1"/>
  <c r="Q1157" i="1"/>
  <c r="S1156" i="1" a="1"/>
  <c r="R1156" i="1" a="1"/>
  <c r="R1156" i="1" s="1"/>
  <c r="L1156" i="1" s="1"/>
  <c r="O1157" i="1"/>
  <c r="AP1158" i="1"/>
  <c r="AQ1157" i="1"/>
  <c r="BO254" i="1"/>
  <c r="BP253" i="1"/>
  <c r="AS1157" i="1" l="1"/>
  <c r="X1156" i="1"/>
  <c r="W1156" i="1"/>
  <c r="AR1156" i="1"/>
  <c r="Y1155" i="1"/>
  <c r="AB1155" i="1" s="1"/>
  <c r="S1156" i="1"/>
  <c r="V1156" i="1" s="1"/>
  <c r="Z1156" i="1"/>
  <c r="AC1156" i="1" s="1"/>
  <c r="AA1156" i="1"/>
  <c r="AD1156" i="1" s="1"/>
  <c r="Q1158" i="1"/>
  <c r="P1158" i="1"/>
  <c r="S1157" i="1" a="1"/>
  <c r="R1157" i="1" a="1"/>
  <c r="R1157" i="1" s="1"/>
  <c r="L1157" i="1" s="1"/>
  <c r="O1158" i="1"/>
  <c r="AP1159" i="1"/>
  <c r="AQ1158" i="1"/>
  <c r="BO255" i="1"/>
  <c r="BP254" i="1"/>
  <c r="AS1158" i="1" l="1"/>
  <c r="W1157" i="1"/>
  <c r="X1157" i="1"/>
  <c r="AR1157" i="1"/>
  <c r="Y1156" i="1"/>
  <c r="AB1156" i="1" s="1"/>
  <c r="S1157" i="1"/>
  <c r="V1157" i="1" s="1"/>
  <c r="Z1157" i="1"/>
  <c r="AC1157" i="1" s="1"/>
  <c r="AA1157" i="1"/>
  <c r="AD1157" i="1" s="1"/>
  <c r="Q1159" i="1"/>
  <c r="P1159" i="1"/>
  <c r="S1158" i="1" a="1"/>
  <c r="R1158" i="1" a="1"/>
  <c r="R1158" i="1" s="1"/>
  <c r="L1158" i="1" s="1"/>
  <c r="O1159" i="1"/>
  <c r="AP1160" i="1"/>
  <c r="AQ1159" i="1"/>
  <c r="BO256" i="1"/>
  <c r="BP255" i="1"/>
  <c r="AS1159" i="1" l="1"/>
  <c r="W1158" i="1"/>
  <c r="X1158" i="1"/>
  <c r="AR1158" i="1"/>
  <c r="Y1157" i="1"/>
  <c r="AB1157" i="1" s="1"/>
  <c r="S1158" i="1"/>
  <c r="V1158" i="1" s="1"/>
  <c r="AA1158" i="1"/>
  <c r="AD1158" i="1" s="1"/>
  <c r="Z1158" i="1"/>
  <c r="AC1158" i="1" s="1"/>
  <c r="Q1160" i="1"/>
  <c r="P1160" i="1"/>
  <c r="S1159" i="1" a="1"/>
  <c r="R1159" i="1" a="1"/>
  <c r="R1159" i="1" s="1"/>
  <c r="L1159" i="1" s="1"/>
  <c r="AR1159" i="1" s="1"/>
  <c r="O1160" i="1"/>
  <c r="AP1161" i="1"/>
  <c r="AQ1160" i="1"/>
  <c r="BO257" i="1"/>
  <c r="BP256" i="1"/>
  <c r="W1159" i="1" l="1"/>
  <c r="X1159" i="1"/>
  <c r="AS1160" i="1"/>
  <c r="Y1158" i="1"/>
  <c r="AB1158" i="1" s="1"/>
  <c r="S1159" i="1"/>
  <c r="V1159" i="1" s="1"/>
  <c r="AA1159" i="1"/>
  <c r="AD1159" i="1" s="1"/>
  <c r="Z1159" i="1"/>
  <c r="AC1159" i="1" s="1"/>
  <c r="P1161" i="1"/>
  <c r="Q1161" i="1"/>
  <c r="S1160" i="1" a="1"/>
  <c r="R1160" i="1" a="1"/>
  <c r="R1160" i="1" s="1"/>
  <c r="L1160" i="1" s="1"/>
  <c r="O1161" i="1"/>
  <c r="AP1162" i="1"/>
  <c r="AQ1161" i="1"/>
  <c r="BO258" i="1"/>
  <c r="BP257" i="1"/>
  <c r="AS1161" i="1" l="1"/>
  <c r="X1160" i="1"/>
  <c r="W1160" i="1"/>
  <c r="AR1160" i="1"/>
  <c r="Y1159" i="1"/>
  <c r="AB1159" i="1" s="1"/>
  <c r="S1160" i="1"/>
  <c r="V1160" i="1" s="1"/>
  <c r="Z1160" i="1"/>
  <c r="AC1160" i="1" s="1"/>
  <c r="AA1160" i="1"/>
  <c r="AD1160" i="1" s="1"/>
  <c r="P1162" i="1"/>
  <c r="Q1162" i="1"/>
  <c r="R1161" i="1" a="1"/>
  <c r="R1161" i="1" s="1"/>
  <c r="L1161" i="1" s="1"/>
  <c r="S1161" i="1" a="1"/>
  <c r="O1162" i="1"/>
  <c r="AP1163" i="1"/>
  <c r="AQ1162" i="1"/>
  <c r="BO259" i="1"/>
  <c r="BP258" i="1"/>
  <c r="X1161" i="1" l="1"/>
  <c r="W1161" i="1"/>
  <c r="AR1161" i="1"/>
  <c r="AS1162" i="1"/>
  <c r="Y1160" i="1"/>
  <c r="AB1160" i="1" s="1"/>
  <c r="S1161" i="1"/>
  <c r="V1161" i="1" s="1"/>
  <c r="AA1161" i="1"/>
  <c r="AD1161" i="1" s="1"/>
  <c r="Z1161" i="1"/>
  <c r="AC1161" i="1" s="1"/>
  <c r="P1163" i="1"/>
  <c r="Q1163" i="1"/>
  <c r="R1162" i="1" a="1"/>
  <c r="R1162" i="1" s="1"/>
  <c r="L1162" i="1" s="1"/>
  <c r="S1162" i="1" a="1"/>
  <c r="O1163" i="1"/>
  <c r="AP1164" i="1"/>
  <c r="AQ1163" i="1"/>
  <c r="BO260" i="1"/>
  <c r="BP259" i="1"/>
  <c r="AS1163" i="1" l="1"/>
  <c r="X1162" i="1"/>
  <c r="W1162" i="1"/>
  <c r="AR1162" i="1"/>
  <c r="Y1161" i="1"/>
  <c r="AB1161" i="1" s="1"/>
  <c r="S1162" i="1"/>
  <c r="V1162" i="1" s="1"/>
  <c r="Z1162" i="1"/>
  <c r="AC1162" i="1" s="1"/>
  <c r="AA1162" i="1"/>
  <c r="AD1162" i="1" s="1"/>
  <c r="Q1164" i="1"/>
  <c r="P1164" i="1"/>
  <c r="R1163" i="1" a="1"/>
  <c r="R1163" i="1" s="1"/>
  <c r="L1163" i="1" s="1"/>
  <c r="S1163" i="1" a="1"/>
  <c r="O1164" i="1"/>
  <c r="AP1165" i="1"/>
  <c r="AQ1164" i="1"/>
  <c r="BO261" i="1"/>
  <c r="BP260" i="1"/>
  <c r="X1163" i="1" l="1"/>
  <c r="W1163" i="1"/>
  <c r="AR1163" i="1"/>
  <c r="AS1164" i="1"/>
  <c r="Y1162" i="1"/>
  <c r="AB1162" i="1" s="1"/>
  <c r="S1163" i="1"/>
  <c r="V1163" i="1" s="1"/>
  <c r="AA1163" i="1"/>
  <c r="AD1163" i="1" s="1"/>
  <c r="Z1163" i="1"/>
  <c r="AC1163" i="1" s="1"/>
  <c r="R1164" i="1" a="1"/>
  <c r="R1164" i="1" s="1"/>
  <c r="L1164" i="1" s="1"/>
  <c r="S1164" i="1" a="1"/>
  <c r="P1165" i="1"/>
  <c r="Q1165" i="1"/>
  <c r="O1165" i="1"/>
  <c r="AP1166" i="1"/>
  <c r="AQ1165" i="1"/>
  <c r="BO262" i="1"/>
  <c r="BP261" i="1"/>
  <c r="X1164" i="1" l="1"/>
  <c r="W1164" i="1"/>
  <c r="AR1164" i="1"/>
  <c r="AS1165" i="1"/>
  <c r="Y1163" i="1"/>
  <c r="AB1163" i="1" s="1"/>
  <c r="S1164" i="1"/>
  <c r="V1164" i="1" s="1"/>
  <c r="AA1164" i="1"/>
  <c r="AD1164" i="1" s="1"/>
  <c r="Z1164" i="1"/>
  <c r="AC1164" i="1" s="1"/>
  <c r="S1165" i="1" a="1"/>
  <c r="R1165" i="1" a="1"/>
  <c r="R1165" i="1" s="1"/>
  <c r="L1165" i="1" s="1"/>
  <c r="P1166" i="1"/>
  <c r="Q1166" i="1"/>
  <c r="O1166" i="1"/>
  <c r="AP1167" i="1"/>
  <c r="AQ1166" i="1"/>
  <c r="BO263" i="1"/>
  <c r="BP262" i="1"/>
  <c r="X1165" i="1" l="1"/>
  <c r="W1165" i="1"/>
  <c r="AR1165" i="1"/>
  <c r="AS1166" i="1"/>
  <c r="Y1164" i="1"/>
  <c r="AB1164" i="1" s="1"/>
  <c r="S1165" i="1"/>
  <c r="V1165" i="1" s="1"/>
  <c r="Z1165" i="1"/>
  <c r="AC1165" i="1" s="1"/>
  <c r="AA1165" i="1"/>
  <c r="AD1165" i="1" s="1"/>
  <c r="P1167" i="1"/>
  <c r="Q1167" i="1"/>
  <c r="R1166" i="1" a="1"/>
  <c r="R1166" i="1" s="1"/>
  <c r="L1166" i="1" s="1"/>
  <c r="AR1166" i="1" s="1"/>
  <c r="S1166" i="1" a="1"/>
  <c r="O1167" i="1"/>
  <c r="AP1168" i="1"/>
  <c r="AQ1167" i="1"/>
  <c r="BO264" i="1"/>
  <c r="BP263" i="1"/>
  <c r="AS1167" i="1" l="1"/>
  <c r="X1166" i="1"/>
  <c r="W1166" i="1"/>
  <c r="Y1165" i="1"/>
  <c r="AB1165" i="1" s="1"/>
  <c r="S1166" i="1"/>
  <c r="V1166" i="1" s="1"/>
  <c r="AA1166" i="1"/>
  <c r="AD1166" i="1" s="1"/>
  <c r="Z1166" i="1"/>
  <c r="AC1166" i="1" s="1"/>
  <c r="Q1168" i="1"/>
  <c r="P1168" i="1"/>
  <c r="S1167" i="1" a="1"/>
  <c r="R1167" i="1" a="1"/>
  <c r="R1167" i="1" s="1"/>
  <c r="L1167" i="1" s="1"/>
  <c r="O1168" i="1"/>
  <c r="AP1169" i="1"/>
  <c r="AQ1168" i="1"/>
  <c r="BO265" i="1"/>
  <c r="BP264" i="1"/>
  <c r="AS1168" i="1" l="1"/>
  <c r="X1167" i="1"/>
  <c r="W1167" i="1"/>
  <c r="AR1167" i="1"/>
  <c r="Y1166" i="1"/>
  <c r="AB1166" i="1" s="1"/>
  <c r="S1167" i="1"/>
  <c r="V1167" i="1" s="1"/>
  <c r="AA1167" i="1"/>
  <c r="AD1167" i="1" s="1"/>
  <c r="Z1167" i="1"/>
  <c r="AC1167" i="1" s="1"/>
  <c r="Q1169" i="1"/>
  <c r="P1169" i="1"/>
  <c r="S1168" i="1" a="1"/>
  <c r="R1168" i="1" a="1"/>
  <c r="R1168" i="1" s="1"/>
  <c r="L1168" i="1" s="1"/>
  <c r="O1169" i="1"/>
  <c r="AP1170" i="1"/>
  <c r="AQ1169" i="1"/>
  <c r="BO266" i="1"/>
  <c r="BP265" i="1"/>
  <c r="X1168" i="1" l="1"/>
  <c r="W1168" i="1"/>
  <c r="AR1168" i="1"/>
  <c r="AS1169" i="1"/>
  <c r="Y1167" i="1"/>
  <c r="AB1167" i="1" s="1"/>
  <c r="S1168" i="1"/>
  <c r="V1168" i="1" s="1"/>
  <c r="Z1168" i="1"/>
  <c r="AC1168" i="1" s="1"/>
  <c r="AA1168" i="1"/>
  <c r="AD1168" i="1" s="1"/>
  <c r="P1170" i="1"/>
  <c r="Q1170" i="1"/>
  <c r="S1169" i="1" a="1"/>
  <c r="R1169" i="1" a="1"/>
  <c r="R1169" i="1" s="1"/>
  <c r="L1169" i="1" s="1"/>
  <c r="AR1169" i="1" s="1"/>
  <c r="O1170" i="1"/>
  <c r="AP1171" i="1"/>
  <c r="AQ1170" i="1"/>
  <c r="BO267" i="1"/>
  <c r="BP266" i="1"/>
  <c r="AS1170" i="1" l="1"/>
  <c r="W1169" i="1"/>
  <c r="X1169" i="1"/>
  <c r="Y1168" i="1"/>
  <c r="AB1168" i="1" s="1"/>
  <c r="S1169" i="1"/>
  <c r="V1169" i="1" s="1"/>
  <c r="Z1169" i="1"/>
  <c r="AC1169" i="1" s="1"/>
  <c r="AA1169" i="1"/>
  <c r="AD1169" i="1" s="1"/>
  <c r="P1171" i="1"/>
  <c r="Q1171" i="1"/>
  <c r="R1170" i="1" a="1"/>
  <c r="R1170" i="1" s="1"/>
  <c r="L1170" i="1" s="1"/>
  <c r="S1170" i="1" a="1"/>
  <c r="O1171" i="1"/>
  <c r="AP1172" i="1"/>
  <c r="AQ1171" i="1"/>
  <c r="BO268" i="1"/>
  <c r="BP267" i="1"/>
  <c r="AS1171" i="1" l="1"/>
  <c r="W1170" i="1"/>
  <c r="X1170" i="1"/>
  <c r="AR1170" i="1"/>
  <c r="Y1169" i="1"/>
  <c r="AB1169" i="1" s="1"/>
  <c r="S1170" i="1"/>
  <c r="V1170" i="1" s="1"/>
  <c r="AA1170" i="1"/>
  <c r="AD1170" i="1" s="1"/>
  <c r="Z1170" i="1"/>
  <c r="AC1170" i="1" s="1"/>
  <c r="Q1172" i="1"/>
  <c r="P1172" i="1"/>
  <c r="R1171" i="1" a="1"/>
  <c r="R1171" i="1" s="1"/>
  <c r="L1171" i="1" s="1"/>
  <c r="AR1171" i="1" s="1"/>
  <c r="S1171" i="1" a="1"/>
  <c r="O1172" i="1"/>
  <c r="AP1173" i="1"/>
  <c r="AQ1172" i="1"/>
  <c r="BO269" i="1"/>
  <c r="BP268" i="1"/>
  <c r="W1171" i="1" l="1"/>
  <c r="X1171" i="1"/>
  <c r="AS1172" i="1"/>
  <c r="Y1170" i="1"/>
  <c r="AB1170" i="1" s="1"/>
  <c r="S1171" i="1"/>
  <c r="V1171" i="1" s="1"/>
  <c r="AA1171" i="1"/>
  <c r="AD1171" i="1" s="1"/>
  <c r="Z1171" i="1"/>
  <c r="AC1171" i="1" s="1"/>
  <c r="Q1173" i="1"/>
  <c r="P1173" i="1"/>
  <c r="S1172" i="1" a="1"/>
  <c r="R1172" i="1" a="1"/>
  <c r="R1172" i="1" s="1"/>
  <c r="L1172" i="1" s="1"/>
  <c r="O1173" i="1"/>
  <c r="AP1174" i="1"/>
  <c r="AQ1173" i="1"/>
  <c r="BO270" i="1"/>
  <c r="BP269" i="1"/>
  <c r="AS1173" i="1" l="1"/>
  <c r="X1172" i="1"/>
  <c r="W1172" i="1"/>
  <c r="AR1172" i="1"/>
  <c r="Y1171" i="1"/>
  <c r="AB1171" i="1" s="1"/>
  <c r="S1172" i="1"/>
  <c r="V1172" i="1" s="1"/>
  <c r="Z1172" i="1"/>
  <c r="AC1172" i="1" s="1"/>
  <c r="AA1172" i="1"/>
  <c r="AD1172" i="1" s="1"/>
  <c r="P1174" i="1"/>
  <c r="Q1174" i="1"/>
  <c r="S1173" i="1" a="1"/>
  <c r="R1173" i="1" a="1"/>
  <c r="R1173" i="1" s="1"/>
  <c r="L1173" i="1" s="1"/>
  <c r="O1174" i="1"/>
  <c r="AP1175" i="1"/>
  <c r="AQ1174" i="1"/>
  <c r="BO271" i="1"/>
  <c r="BP270" i="1"/>
  <c r="AS1174" i="1" l="1"/>
  <c r="X1173" i="1"/>
  <c r="W1173" i="1"/>
  <c r="AR1173" i="1"/>
  <c r="Y1172" i="1"/>
  <c r="AB1172" i="1" s="1"/>
  <c r="S1173" i="1"/>
  <c r="V1173" i="1" s="1"/>
  <c r="Z1173" i="1"/>
  <c r="AC1173" i="1" s="1"/>
  <c r="AA1173" i="1"/>
  <c r="AD1173" i="1" s="1"/>
  <c r="P1175" i="1"/>
  <c r="Q1175" i="1"/>
  <c r="S1174" i="1" a="1"/>
  <c r="R1174" i="1" a="1"/>
  <c r="R1174" i="1" s="1"/>
  <c r="L1174" i="1" s="1"/>
  <c r="AR1174" i="1" s="1"/>
  <c r="O1175" i="1"/>
  <c r="AP1176" i="1"/>
  <c r="AQ1175" i="1"/>
  <c r="BO272" i="1"/>
  <c r="BP271" i="1"/>
  <c r="AS1175" i="1" l="1"/>
  <c r="W1174" i="1"/>
  <c r="X1174" i="1"/>
  <c r="Y1173" i="1"/>
  <c r="AB1173" i="1" s="1"/>
  <c r="S1174" i="1"/>
  <c r="V1174" i="1" s="1"/>
  <c r="AA1174" i="1"/>
  <c r="AD1174" i="1" s="1"/>
  <c r="Z1174" i="1"/>
  <c r="AC1174" i="1" s="1"/>
  <c r="P1176" i="1"/>
  <c r="Q1176" i="1"/>
  <c r="S1175" i="1" a="1"/>
  <c r="R1175" i="1" a="1"/>
  <c r="R1175" i="1" s="1"/>
  <c r="L1175" i="1" s="1"/>
  <c r="O1176" i="1"/>
  <c r="AP1177" i="1"/>
  <c r="AQ1176" i="1"/>
  <c r="BO273" i="1"/>
  <c r="BP272" i="1"/>
  <c r="AS1176" i="1" l="1"/>
  <c r="W1175" i="1"/>
  <c r="X1175" i="1"/>
  <c r="AR1175" i="1"/>
  <c r="Y1174" i="1"/>
  <c r="AB1174" i="1" s="1"/>
  <c r="S1175" i="1"/>
  <c r="V1175" i="1" s="1"/>
  <c r="AA1175" i="1"/>
  <c r="AD1175" i="1" s="1"/>
  <c r="Z1175" i="1"/>
  <c r="AC1175" i="1" s="1"/>
  <c r="Q1177" i="1"/>
  <c r="P1177" i="1"/>
  <c r="S1176" i="1" a="1"/>
  <c r="R1176" i="1" a="1"/>
  <c r="R1176" i="1" s="1"/>
  <c r="L1176" i="1" s="1"/>
  <c r="O1177" i="1"/>
  <c r="AP1178" i="1"/>
  <c r="AQ1177" i="1"/>
  <c r="BO274" i="1"/>
  <c r="BP273" i="1"/>
  <c r="AS1177" i="1" l="1"/>
  <c r="W1176" i="1"/>
  <c r="X1176" i="1"/>
  <c r="AR1176" i="1"/>
  <c r="Y1175" i="1"/>
  <c r="AB1175" i="1" s="1"/>
  <c r="S1176" i="1"/>
  <c r="V1176" i="1" s="1"/>
  <c r="AA1176" i="1"/>
  <c r="AD1176" i="1" s="1"/>
  <c r="Z1176" i="1"/>
  <c r="AC1176" i="1" s="1"/>
  <c r="S1177" i="1" a="1"/>
  <c r="R1177" i="1" a="1"/>
  <c r="R1177" i="1" s="1"/>
  <c r="L1177" i="1" s="1"/>
  <c r="P1178" i="1"/>
  <c r="Q1178" i="1"/>
  <c r="O1178" i="1"/>
  <c r="AP1179" i="1"/>
  <c r="AQ1178" i="1"/>
  <c r="BO275" i="1"/>
  <c r="BP274" i="1"/>
  <c r="W1177" i="1" l="1"/>
  <c r="X1177" i="1"/>
  <c r="AR1177" i="1"/>
  <c r="AS1178" i="1"/>
  <c r="Y1176" i="1"/>
  <c r="AB1176" i="1" s="1"/>
  <c r="S1177" i="1"/>
  <c r="V1177" i="1" s="1"/>
  <c r="Z1177" i="1"/>
  <c r="AC1177" i="1" s="1"/>
  <c r="AA1177" i="1"/>
  <c r="AD1177" i="1" s="1"/>
  <c r="P1179" i="1"/>
  <c r="Q1179" i="1"/>
  <c r="S1178" i="1" a="1"/>
  <c r="R1178" i="1" a="1"/>
  <c r="R1178" i="1" s="1"/>
  <c r="L1178" i="1" s="1"/>
  <c r="AR1178" i="1" s="1"/>
  <c r="O1179" i="1"/>
  <c r="AP1180" i="1"/>
  <c r="AQ1179" i="1"/>
  <c r="BO276" i="1"/>
  <c r="BP275" i="1"/>
  <c r="AS1179" i="1" l="1"/>
  <c r="X1178" i="1"/>
  <c r="W1178" i="1"/>
  <c r="Y1177" i="1"/>
  <c r="AB1177" i="1" s="1"/>
  <c r="S1178" i="1"/>
  <c r="V1178" i="1" s="1"/>
  <c r="Z1178" i="1"/>
  <c r="AC1178" i="1" s="1"/>
  <c r="AA1178" i="1"/>
  <c r="AD1178" i="1" s="1"/>
  <c r="Q1180" i="1"/>
  <c r="P1180" i="1"/>
  <c r="R1179" i="1" a="1"/>
  <c r="R1179" i="1" s="1"/>
  <c r="L1179" i="1" s="1"/>
  <c r="S1179" i="1" a="1"/>
  <c r="O1180" i="1"/>
  <c r="AP1181" i="1"/>
  <c r="AQ1180" i="1"/>
  <c r="BO277" i="1"/>
  <c r="BP276" i="1"/>
  <c r="X1179" i="1" l="1"/>
  <c r="W1179" i="1"/>
  <c r="AR1179" i="1"/>
  <c r="AS1180" i="1"/>
  <c r="Y1178" i="1"/>
  <c r="AB1178" i="1" s="1"/>
  <c r="S1179" i="1"/>
  <c r="V1179" i="1" s="1"/>
  <c r="Z1179" i="1"/>
  <c r="AC1179" i="1" s="1"/>
  <c r="AA1179" i="1"/>
  <c r="AD1179" i="1" s="1"/>
  <c r="Q1181" i="1"/>
  <c r="P1181" i="1"/>
  <c r="S1180" i="1" a="1"/>
  <c r="R1180" i="1" a="1"/>
  <c r="R1180" i="1" s="1"/>
  <c r="L1180" i="1" s="1"/>
  <c r="AR1180" i="1" s="1"/>
  <c r="O1181" i="1"/>
  <c r="AP1182" i="1"/>
  <c r="AQ1181" i="1"/>
  <c r="BO278" i="1"/>
  <c r="BP277" i="1"/>
  <c r="AS1181" i="1" l="1"/>
  <c r="X1180" i="1"/>
  <c r="W1180" i="1"/>
  <c r="Y1179" i="1"/>
  <c r="AB1179" i="1" s="1"/>
  <c r="S1180" i="1"/>
  <c r="V1180" i="1" s="1"/>
  <c r="AA1180" i="1"/>
  <c r="AD1180" i="1" s="1"/>
  <c r="Z1180" i="1"/>
  <c r="AC1180" i="1" s="1"/>
  <c r="Q1182" i="1"/>
  <c r="P1182" i="1"/>
  <c r="S1181" i="1" a="1"/>
  <c r="R1181" i="1" a="1"/>
  <c r="R1181" i="1" s="1"/>
  <c r="L1181" i="1" s="1"/>
  <c r="O1182" i="1"/>
  <c r="AP1183" i="1"/>
  <c r="AQ1182" i="1"/>
  <c r="BO279" i="1"/>
  <c r="BP278" i="1"/>
  <c r="AS1182" i="1" l="1"/>
  <c r="W1181" i="1"/>
  <c r="X1181" i="1"/>
  <c r="AR1181" i="1"/>
  <c r="Y1180" i="1"/>
  <c r="AB1180" i="1" s="1"/>
  <c r="S1181" i="1"/>
  <c r="V1181" i="1" s="1"/>
  <c r="Z1181" i="1"/>
  <c r="AC1181" i="1" s="1"/>
  <c r="AA1181" i="1"/>
  <c r="AD1181" i="1" s="1"/>
  <c r="P1183" i="1"/>
  <c r="Q1183" i="1"/>
  <c r="S1182" i="1" a="1"/>
  <c r="R1182" i="1" a="1"/>
  <c r="R1182" i="1" s="1"/>
  <c r="L1182" i="1" s="1"/>
  <c r="O1183" i="1"/>
  <c r="AP1184" i="1"/>
  <c r="AQ1183" i="1"/>
  <c r="BO280" i="1"/>
  <c r="BP279" i="1"/>
  <c r="AS1183" i="1" l="1"/>
  <c r="W1182" i="1"/>
  <c r="X1182" i="1"/>
  <c r="AA1182" i="1" s="1"/>
  <c r="AD1182" i="1" s="1"/>
  <c r="AR1182" i="1"/>
  <c r="Y1181" i="1"/>
  <c r="AB1181" i="1" s="1"/>
  <c r="S1182" i="1"/>
  <c r="V1182" i="1" s="1"/>
  <c r="Z1182" i="1"/>
  <c r="AC1182" i="1" s="1"/>
  <c r="Q1184" i="1"/>
  <c r="P1184" i="1"/>
  <c r="S1183" i="1" a="1"/>
  <c r="R1183" i="1" a="1"/>
  <c r="R1183" i="1" s="1"/>
  <c r="L1183" i="1" s="1"/>
  <c r="O1184" i="1"/>
  <c r="AP1185" i="1"/>
  <c r="AQ1184" i="1"/>
  <c r="BO281" i="1"/>
  <c r="BP280" i="1"/>
  <c r="AS1184" i="1" l="1"/>
  <c r="W1183" i="1"/>
  <c r="X1183" i="1"/>
  <c r="AA1183" i="1" s="1"/>
  <c r="AD1183" i="1" s="1"/>
  <c r="AR1183" i="1"/>
  <c r="Y1182" i="1"/>
  <c r="AB1182" i="1" s="1"/>
  <c r="S1183" i="1"/>
  <c r="V1183" i="1" s="1"/>
  <c r="Z1183" i="1"/>
  <c r="AC1183" i="1" s="1"/>
  <c r="P1185" i="1"/>
  <c r="Q1185" i="1"/>
  <c r="S1184" i="1" a="1"/>
  <c r="R1184" i="1" a="1"/>
  <c r="R1184" i="1" s="1"/>
  <c r="L1184" i="1" s="1"/>
  <c r="O1185" i="1"/>
  <c r="AP1186" i="1"/>
  <c r="AQ1185" i="1"/>
  <c r="BO282" i="1"/>
  <c r="BP281" i="1"/>
  <c r="X1184" i="1" l="1"/>
  <c r="W1184" i="1"/>
  <c r="AR1184" i="1"/>
  <c r="AS1185" i="1"/>
  <c r="Y1183" i="1"/>
  <c r="AB1183" i="1" s="1"/>
  <c r="S1184" i="1"/>
  <c r="V1184" i="1" s="1"/>
  <c r="AA1184" i="1"/>
  <c r="AD1184" i="1" s="1"/>
  <c r="Z1184" i="1"/>
  <c r="AC1184" i="1" s="1"/>
  <c r="Q1186" i="1"/>
  <c r="P1186" i="1"/>
  <c r="R1185" i="1" a="1"/>
  <c r="R1185" i="1" s="1"/>
  <c r="L1185" i="1" s="1"/>
  <c r="AR1185" i="1" s="1"/>
  <c r="S1185" i="1" a="1"/>
  <c r="O1186" i="1"/>
  <c r="AP1187" i="1"/>
  <c r="AQ1186" i="1"/>
  <c r="BO283" i="1"/>
  <c r="BP282" i="1"/>
  <c r="AS1186" i="1" l="1"/>
  <c r="X1185" i="1"/>
  <c r="W1185" i="1"/>
  <c r="Y1184" i="1"/>
  <c r="AB1184" i="1" s="1"/>
  <c r="S1185" i="1"/>
  <c r="V1185" i="1" s="1"/>
  <c r="AA1185" i="1"/>
  <c r="AD1185" i="1" s="1"/>
  <c r="Z1185" i="1"/>
  <c r="AC1185" i="1" s="1"/>
  <c r="P1187" i="1"/>
  <c r="Q1187" i="1"/>
  <c r="R1186" i="1" a="1"/>
  <c r="R1186" i="1" s="1"/>
  <c r="L1186" i="1" s="1"/>
  <c r="AR1186" i="1" s="1"/>
  <c r="S1186" i="1" a="1"/>
  <c r="O1187" i="1"/>
  <c r="AP1188" i="1"/>
  <c r="AQ1187" i="1"/>
  <c r="BO284" i="1"/>
  <c r="BP283" i="1"/>
  <c r="X1186" i="1" l="1"/>
  <c r="W1186" i="1"/>
  <c r="AS1187" i="1"/>
  <c r="Y1185" i="1"/>
  <c r="AB1185" i="1" s="1"/>
  <c r="S1186" i="1"/>
  <c r="V1186" i="1" s="1"/>
  <c r="AA1186" i="1"/>
  <c r="AD1186" i="1" s="1"/>
  <c r="Z1186" i="1"/>
  <c r="AC1186" i="1" s="1"/>
  <c r="R1187" i="1" a="1"/>
  <c r="R1187" i="1" s="1"/>
  <c r="L1187" i="1" s="1"/>
  <c r="S1187" i="1" a="1"/>
  <c r="Q1188" i="1"/>
  <c r="P1188" i="1"/>
  <c r="O1188" i="1"/>
  <c r="AP1189" i="1"/>
  <c r="AQ1188" i="1"/>
  <c r="BO285" i="1"/>
  <c r="BP284" i="1"/>
  <c r="AS1188" i="1" l="1"/>
  <c r="X1187" i="1"/>
  <c r="W1187" i="1"/>
  <c r="AR1187" i="1"/>
  <c r="Y1186" i="1"/>
  <c r="AB1186" i="1" s="1"/>
  <c r="S1187" i="1"/>
  <c r="V1187" i="1" s="1"/>
  <c r="AA1187" i="1"/>
  <c r="AD1187" i="1" s="1"/>
  <c r="Z1187" i="1"/>
  <c r="AC1187" i="1" s="1"/>
  <c r="Q1189" i="1"/>
  <c r="P1189" i="1"/>
  <c r="R1188" i="1" a="1"/>
  <c r="R1188" i="1" s="1"/>
  <c r="L1188" i="1" s="1"/>
  <c r="AR1188" i="1" s="1"/>
  <c r="S1188" i="1" a="1"/>
  <c r="O1189" i="1"/>
  <c r="AP1190" i="1"/>
  <c r="AQ1189" i="1"/>
  <c r="BO286" i="1"/>
  <c r="BP285" i="1"/>
  <c r="AS1189" i="1" l="1"/>
  <c r="X1188" i="1"/>
  <c r="W1188" i="1"/>
  <c r="Y1187" i="1"/>
  <c r="AB1187" i="1" s="1"/>
  <c r="S1188" i="1"/>
  <c r="V1188" i="1" s="1"/>
  <c r="AA1188" i="1"/>
  <c r="AD1188" i="1" s="1"/>
  <c r="Z1188" i="1"/>
  <c r="AC1188" i="1" s="1"/>
  <c r="P1190" i="1"/>
  <c r="Q1190" i="1"/>
  <c r="R1189" i="1" a="1"/>
  <c r="R1189" i="1" s="1"/>
  <c r="L1189" i="1" s="1"/>
  <c r="S1189" i="1" a="1"/>
  <c r="O1190" i="1"/>
  <c r="AP1191" i="1"/>
  <c r="AQ1190" i="1"/>
  <c r="BO287" i="1"/>
  <c r="BP286" i="1"/>
  <c r="AS1190" i="1" l="1"/>
  <c r="W1189" i="1"/>
  <c r="X1189" i="1"/>
  <c r="AR1189" i="1"/>
  <c r="Y1188" i="1"/>
  <c r="AB1188" i="1" s="1"/>
  <c r="S1189" i="1"/>
  <c r="V1189" i="1" s="1"/>
  <c r="Z1189" i="1"/>
  <c r="AC1189" i="1" s="1"/>
  <c r="AA1189" i="1"/>
  <c r="AD1189" i="1" s="1"/>
  <c r="Q1191" i="1"/>
  <c r="P1191" i="1"/>
  <c r="R1190" i="1" a="1"/>
  <c r="R1190" i="1" s="1"/>
  <c r="L1190" i="1" s="1"/>
  <c r="AR1190" i="1" s="1"/>
  <c r="S1190" i="1" a="1"/>
  <c r="O1191" i="1"/>
  <c r="AP1192" i="1"/>
  <c r="AQ1191" i="1"/>
  <c r="BO288" i="1"/>
  <c r="BP287" i="1"/>
  <c r="AS1191" i="1" l="1"/>
  <c r="X1190" i="1"/>
  <c r="W1190" i="1"/>
  <c r="Y1189" i="1"/>
  <c r="AB1189" i="1" s="1"/>
  <c r="S1190" i="1"/>
  <c r="V1190" i="1" s="1"/>
  <c r="Z1190" i="1"/>
  <c r="AC1190" i="1" s="1"/>
  <c r="AA1190" i="1"/>
  <c r="AD1190" i="1" s="1"/>
  <c r="Q1192" i="1"/>
  <c r="P1192" i="1"/>
  <c r="R1191" i="1" a="1"/>
  <c r="R1191" i="1" s="1"/>
  <c r="L1191" i="1" s="1"/>
  <c r="S1191" i="1" a="1"/>
  <c r="O1192" i="1"/>
  <c r="AP1193" i="1"/>
  <c r="AQ1192" i="1"/>
  <c r="BO289" i="1"/>
  <c r="BP288" i="1"/>
  <c r="AS1192" i="1" l="1"/>
  <c r="X1191" i="1"/>
  <c r="W1191" i="1"/>
  <c r="AR1191" i="1"/>
  <c r="Y1190" i="1"/>
  <c r="AB1190" i="1" s="1"/>
  <c r="S1191" i="1"/>
  <c r="V1191" i="1" s="1"/>
  <c r="AA1191" i="1"/>
  <c r="AD1191" i="1" s="1"/>
  <c r="Z1191" i="1"/>
  <c r="AC1191" i="1" s="1"/>
  <c r="P1193" i="1"/>
  <c r="Q1193" i="1"/>
  <c r="S1192" i="1" a="1"/>
  <c r="R1192" i="1" a="1"/>
  <c r="R1192" i="1" s="1"/>
  <c r="L1192" i="1" s="1"/>
  <c r="AR1192" i="1" s="1"/>
  <c r="O1193" i="1"/>
  <c r="AP1194" i="1"/>
  <c r="AQ1193" i="1"/>
  <c r="BO290" i="1"/>
  <c r="BP289" i="1"/>
  <c r="AS1193" i="1" l="1"/>
  <c r="X1192" i="1"/>
  <c r="W1192" i="1"/>
  <c r="Y1191" i="1"/>
  <c r="AB1191" i="1" s="1"/>
  <c r="S1192" i="1"/>
  <c r="V1192" i="1" s="1"/>
  <c r="Z1192" i="1"/>
  <c r="AC1192" i="1" s="1"/>
  <c r="AA1192" i="1"/>
  <c r="AD1192" i="1" s="1"/>
  <c r="P1194" i="1"/>
  <c r="Q1194" i="1"/>
  <c r="S1193" i="1" a="1"/>
  <c r="R1193" i="1" a="1"/>
  <c r="R1193" i="1" s="1"/>
  <c r="L1193" i="1" s="1"/>
  <c r="O1194" i="1"/>
  <c r="AP1195" i="1"/>
  <c r="AQ1194" i="1"/>
  <c r="BO291" i="1"/>
  <c r="BP290" i="1"/>
  <c r="AS1194" i="1" l="1"/>
  <c r="W1193" i="1"/>
  <c r="X1193" i="1"/>
  <c r="AR1193" i="1"/>
  <c r="Y1192" i="1"/>
  <c r="AB1192" i="1" s="1"/>
  <c r="S1193" i="1"/>
  <c r="V1193" i="1" s="1"/>
  <c r="Z1193" i="1"/>
  <c r="AC1193" i="1" s="1"/>
  <c r="AA1193" i="1"/>
  <c r="AD1193" i="1" s="1"/>
  <c r="Q1195" i="1"/>
  <c r="P1195" i="1"/>
  <c r="S1194" i="1" a="1"/>
  <c r="R1194" i="1" a="1"/>
  <c r="R1194" i="1" s="1"/>
  <c r="L1194" i="1" s="1"/>
  <c r="O1195" i="1"/>
  <c r="AP1196" i="1"/>
  <c r="AQ1195" i="1"/>
  <c r="BO292" i="1"/>
  <c r="BP291" i="1"/>
  <c r="AS1195" i="1" l="1"/>
  <c r="W1194" i="1"/>
  <c r="X1194" i="1"/>
  <c r="AR1194" i="1"/>
  <c r="Y1193" i="1"/>
  <c r="AB1193" i="1" s="1"/>
  <c r="S1194" i="1"/>
  <c r="V1194" i="1" s="1"/>
  <c r="Z1194" i="1"/>
  <c r="AC1194" i="1" s="1"/>
  <c r="AA1194" i="1"/>
  <c r="AD1194" i="1" s="1"/>
  <c r="Q1196" i="1"/>
  <c r="P1196" i="1"/>
  <c r="R1195" i="1" a="1"/>
  <c r="R1195" i="1" s="1"/>
  <c r="L1195" i="1" s="1"/>
  <c r="S1195" i="1" a="1"/>
  <c r="O1196" i="1"/>
  <c r="AP1197" i="1"/>
  <c r="AQ1196" i="1"/>
  <c r="BO293" i="1"/>
  <c r="BP292" i="1"/>
  <c r="AS1196" i="1" l="1"/>
  <c r="W1195" i="1"/>
  <c r="X1195" i="1"/>
  <c r="AR1195" i="1"/>
  <c r="Y1194" i="1"/>
  <c r="AB1194" i="1" s="1"/>
  <c r="S1195" i="1"/>
  <c r="V1195" i="1" s="1"/>
  <c r="Z1195" i="1"/>
  <c r="AC1195" i="1" s="1"/>
  <c r="AA1195" i="1"/>
  <c r="AD1195" i="1" s="1"/>
  <c r="P1197" i="1"/>
  <c r="Q1197" i="1"/>
  <c r="R1196" i="1" a="1"/>
  <c r="R1196" i="1" s="1"/>
  <c r="L1196" i="1" s="1"/>
  <c r="S1196" i="1" a="1"/>
  <c r="O1197" i="1"/>
  <c r="AP1198" i="1"/>
  <c r="AQ1197" i="1"/>
  <c r="BO294" i="1"/>
  <c r="BP293" i="1"/>
  <c r="AS1197" i="1" l="1"/>
  <c r="W1196" i="1"/>
  <c r="X1196" i="1"/>
  <c r="AR1196" i="1"/>
  <c r="Y1195" i="1"/>
  <c r="AB1195" i="1" s="1"/>
  <c r="S1196" i="1"/>
  <c r="V1196" i="1" s="1"/>
  <c r="Z1196" i="1"/>
  <c r="AC1196" i="1" s="1"/>
  <c r="AA1196" i="1"/>
  <c r="AD1196" i="1" s="1"/>
  <c r="P1198" i="1"/>
  <c r="Q1198" i="1"/>
  <c r="S1197" i="1" a="1"/>
  <c r="R1197" i="1" a="1"/>
  <c r="R1197" i="1" s="1"/>
  <c r="L1197" i="1" s="1"/>
  <c r="O1198" i="1"/>
  <c r="AP1199" i="1"/>
  <c r="AQ1198" i="1"/>
  <c r="BO295" i="1"/>
  <c r="BP294" i="1"/>
  <c r="AS1198" i="1" l="1"/>
  <c r="W1197" i="1"/>
  <c r="X1197" i="1"/>
  <c r="AR1197" i="1"/>
  <c r="Y1196" i="1"/>
  <c r="AB1196" i="1" s="1"/>
  <c r="S1197" i="1"/>
  <c r="V1197" i="1" s="1"/>
  <c r="AA1197" i="1"/>
  <c r="AD1197" i="1" s="1"/>
  <c r="Z1197" i="1"/>
  <c r="AC1197" i="1" s="1"/>
  <c r="Q1199" i="1"/>
  <c r="P1199" i="1"/>
  <c r="S1198" i="1" a="1"/>
  <c r="R1198" i="1" a="1"/>
  <c r="R1198" i="1" s="1"/>
  <c r="L1198" i="1" s="1"/>
  <c r="O1199" i="1"/>
  <c r="AP1200" i="1"/>
  <c r="AQ1199" i="1"/>
  <c r="BO296" i="1"/>
  <c r="BP295" i="1"/>
  <c r="AS1199" i="1" l="1"/>
  <c r="W1198" i="1"/>
  <c r="X1198" i="1"/>
  <c r="AR1198" i="1"/>
  <c r="Y1197" i="1"/>
  <c r="AB1197" i="1" s="1"/>
  <c r="S1198" i="1"/>
  <c r="V1198" i="1" s="1"/>
  <c r="AA1198" i="1"/>
  <c r="AD1198" i="1" s="1"/>
  <c r="Z1198" i="1"/>
  <c r="AC1198" i="1" s="1"/>
  <c r="Q1200" i="1"/>
  <c r="P1200" i="1"/>
  <c r="S1199" i="1" a="1"/>
  <c r="R1199" i="1" a="1"/>
  <c r="R1199" i="1" s="1"/>
  <c r="L1199" i="1" s="1"/>
  <c r="O1200" i="1"/>
  <c r="AP1201" i="1"/>
  <c r="AQ1200" i="1"/>
  <c r="BO297" i="1"/>
  <c r="BP296" i="1"/>
  <c r="AS1200" i="1" l="1"/>
  <c r="W1199" i="1"/>
  <c r="X1199" i="1"/>
  <c r="AR1199" i="1"/>
  <c r="Y1198" i="1"/>
  <c r="AB1198" i="1" s="1"/>
  <c r="S1199" i="1"/>
  <c r="V1199" i="1" s="1"/>
  <c r="AA1199" i="1"/>
  <c r="AD1199" i="1" s="1"/>
  <c r="Z1199" i="1"/>
  <c r="AC1199" i="1" s="1"/>
  <c r="S1200" i="1" a="1"/>
  <c r="R1200" i="1" a="1"/>
  <c r="R1200" i="1" s="1"/>
  <c r="L1200" i="1" s="1"/>
  <c r="P1201" i="1"/>
  <c r="Q1201" i="1"/>
  <c r="O1201" i="1"/>
  <c r="AP1202" i="1"/>
  <c r="AQ1201" i="1"/>
  <c r="BO298" i="1"/>
  <c r="BP297" i="1"/>
  <c r="X1200" i="1" l="1"/>
  <c r="W1200" i="1"/>
  <c r="AR1200" i="1"/>
  <c r="AS1201" i="1"/>
  <c r="Y1199" i="1"/>
  <c r="AB1199" i="1" s="1"/>
  <c r="S1200" i="1"/>
  <c r="V1200" i="1" s="1"/>
  <c r="Z1200" i="1"/>
  <c r="AC1200" i="1" s="1"/>
  <c r="AA1200" i="1"/>
  <c r="AD1200" i="1" s="1"/>
  <c r="P1202" i="1"/>
  <c r="Q1202" i="1"/>
  <c r="S1201" i="1" a="1"/>
  <c r="R1201" i="1" a="1"/>
  <c r="R1201" i="1" s="1"/>
  <c r="L1201" i="1" s="1"/>
  <c r="AR1201" i="1" s="1"/>
  <c r="O1202" i="1"/>
  <c r="AP1203" i="1"/>
  <c r="AQ1202" i="1"/>
  <c r="BO299" i="1"/>
  <c r="BP298" i="1"/>
  <c r="X1201" i="1" l="1"/>
  <c r="W1201" i="1"/>
  <c r="AS1202" i="1"/>
  <c r="Y1200" i="1"/>
  <c r="AB1200" i="1" s="1"/>
  <c r="S1201" i="1"/>
  <c r="V1201" i="1" s="1"/>
  <c r="AA1201" i="1"/>
  <c r="AD1201" i="1" s="1"/>
  <c r="Z1201" i="1"/>
  <c r="AC1201" i="1" s="1"/>
  <c r="Q1203" i="1"/>
  <c r="P1203" i="1"/>
  <c r="S1202" i="1" a="1"/>
  <c r="R1202" i="1" a="1"/>
  <c r="R1202" i="1" s="1"/>
  <c r="L1202" i="1" s="1"/>
  <c r="O1203" i="1"/>
  <c r="AP1204" i="1"/>
  <c r="AQ1203" i="1"/>
  <c r="BO300" i="1"/>
  <c r="BP299" i="1"/>
  <c r="AS1203" i="1" l="1"/>
  <c r="X1202" i="1"/>
  <c r="W1202" i="1"/>
  <c r="AR1202" i="1"/>
  <c r="Y1201" i="1"/>
  <c r="AB1201" i="1" s="1"/>
  <c r="S1202" i="1"/>
  <c r="V1202" i="1" s="1"/>
  <c r="AA1202" i="1"/>
  <c r="AD1202" i="1" s="1"/>
  <c r="Z1202" i="1"/>
  <c r="AC1202" i="1" s="1"/>
  <c r="Q1204" i="1"/>
  <c r="P1204" i="1"/>
  <c r="R1203" i="1" a="1"/>
  <c r="R1203" i="1" s="1"/>
  <c r="L1203" i="1" s="1"/>
  <c r="S1203" i="1" a="1"/>
  <c r="O1204" i="1"/>
  <c r="AP1205" i="1"/>
  <c r="AQ1204" i="1"/>
  <c r="BO301" i="1"/>
  <c r="BP300" i="1"/>
  <c r="AS1204" i="1" l="1"/>
  <c r="X1203" i="1"/>
  <c r="W1203" i="1"/>
  <c r="AR1203" i="1"/>
  <c r="Y1202" i="1"/>
  <c r="AB1202" i="1" s="1"/>
  <c r="S1203" i="1"/>
  <c r="V1203" i="1" s="1"/>
  <c r="AA1203" i="1"/>
  <c r="AD1203" i="1" s="1"/>
  <c r="Z1203" i="1"/>
  <c r="AC1203" i="1" s="1"/>
  <c r="P1205" i="1"/>
  <c r="Q1205" i="1"/>
  <c r="S1204" i="1" a="1"/>
  <c r="R1204" i="1" a="1"/>
  <c r="R1204" i="1" s="1"/>
  <c r="L1204" i="1" s="1"/>
  <c r="O1205" i="1"/>
  <c r="AP1206" i="1"/>
  <c r="AQ1205" i="1"/>
  <c r="BO302" i="1"/>
  <c r="BP301" i="1"/>
  <c r="AS1205" i="1" l="1"/>
  <c r="X1204" i="1"/>
  <c r="W1204" i="1"/>
  <c r="AR1204" i="1"/>
  <c r="Y1203" i="1"/>
  <c r="AB1203" i="1" s="1"/>
  <c r="S1204" i="1"/>
  <c r="V1204" i="1" s="1"/>
  <c r="AA1204" i="1"/>
  <c r="AD1204" i="1" s="1"/>
  <c r="Z1204" i="1"/>
  <c r="AC1204" i="1" s="1"/>
  <c r="P1206" i="1"/>
  <c r="Q1206" i="1"/>
  <c r="S1205" i="1" a="1"/>
  <c r="R1205" i="1" a="1"/>
  <c r="R1205" i="1" s="1"/>
  <c r="L1205" i="1" s="1"/>
  <c r="O1206" i="1"/>
  <c r="AP1207" i="1"/>
  <c r="AQ1206" i="1"/>
  <c r="BO303" i="1"/>
  <c r="BP302" i="1"/>
  <c r="AS1206" i="1" l="1"/>
  <c r="W1205" i="1"/>
  <c r="X1205" i="1"/>
  <c r="AR1205" i="1"/>
  <c r="Y1204" i="1"/>
  <c r="AB1204" i="1" s="1"/>
  <c r="S1205" i="1"/>
  <c r="V1205" i="1" s="1"/>
  <c r="Z1205" i="1"/>
  <c r="AC1205" i="1" s="1"/>
  <c r="AA1205" i="1"/>
  <c r="AD1205" i="1" s="1"/>
  <c r="Q1207" i="1"/>
  <c r="P1207" i="1"/>
  <c r="S1206" i="1" a="1"/>
  <c r="R1206" i="1" a="1"/>
  <c r="R1206" i="1" s="1"/>
  <c r="L1206" i="1" s="1"/>
  <c r="O1207" i="1"/>
  <c r="AP1208" i="1"/>
  <c r="AQ1207" i="1"/>
  <c r="BO304" i="1"/>
  <c r="BP303" i="1"/>
  <c r="AS1207" i="1" l="1"/>
  <c r="W1206" i="1"/>
  <c r="X1206" i="1"/>
  <c r="AR1206" i="1"/>
  <c r="Y1205" i="1"/>
  <c r="AB1205" i="1" s="1"/>
  <c r="S1206" i="1"/>
  <c r="V1206" i="1" s="1"/>
  <c r="Z1206" i="1"/>
  <c r="AC1206" i="1" s="1"/>
  <c r="AA1206" i="1"/>
  <c r="AD1206" i="1" s="1"/>
  <c r="Q1208" i="1"/>
  <c r="P1208" i="1"/>
  <c r="S1207" i="1" a="1"/>
  <c r="R1207" i="1" a="1"/>
  <c r="R1207" i="1" s="1"/>
  <c r="L1207" i="1" s="1"/>
  <c r="AR1207" i="1" s="1"/>
  <c r="O1208" i="1"/>
  <c r="AP1209" i="1"/>
  <c r="AQ1208" i="1"/>
  <c r="BO305" i="1"/>
  <c r="BP304" i="1"/>
  <c r="AS1208" i="1" l="1"/>
  <c r="W1207" i="1"/>
  <c r="X1207" i="1"/>
  <c r="Y1206" i="1"/>
  <c r="AB1206" i="1" s="1"/>
  <c r="S1207" i="1"/>
  <c r="V1207" i="1" s="1"/>
  <c r="AA1207" i="1"/>
  <c r="AD1207" i="1" s="1"/>
  <c r="Z1207" i="1"/>
  <c r="AC1207" i="1" s="1"/>
  <c r="Q1209" i="1"/>
  <c r="P1209" i="1"/>
  <c r="S1208" i="1" a="1"/>
  <c r="R1208" i="1" a="1"/>
  <c r="R1208" i="1" s="1"/>
  <c r="L1208" i="1" s="1"/>
  <c r="O1209" i="1"/>
  <c r="AP1210" i="1"/>
  <c r="AQ1209" i="1"/>
  <c r="BO306" i="1"/>
  <c r="BP305" i="1"/>
  <c r="AS1209" i="1" l="1"/>
  <c r="X1208" i="1"/>
  <c r="W1208" i="1"/>
  <c r="AR1208" i="1"/>
  <c r="Y1207" i="1"/>
  <c r="AB1207" i="1" s="1"/>
  <c r="S1208" i="1"/>
  <c r="V1208" i="1" s="1"/>
  <c r="Z1208" i="1"/>
  <c r="AC1208" i="1" s="1"/>
  <c r="AA1208" i="1"/>
  <c r="AD1208" i="1" s="1"/>
  <c r="Q1210" i="1"/>
  <c r="P1210" i="1"/>
  <c r="R1209" i="1" a="1"/>
  <c r="R1209" i="1" s="1"/>
  <c r="L1209" i="1" s="1"/>
  <c r="S1209" i="1" a="1"/>
  <c r="O1210" i="1"/>
  <c r="AP1211" i="1"/>
  <c r="AQ1210" i="1"/>
  <c r="BO307" i="1"/>
  <c r="BP306" i="1"/>
  <c r="AS1210" i="1" l="1"/>
  <c r="X1209" i="1"/>
  <c r="W1209" i="1"/>
  <c r="AR1209" i="1"/>
  <c r="Y1208" i="1"/>
  <c r="AB1208" i="1" s="1"/>
  <c r="S1209" i="1"/>
  <c r="V1209" i="1" s="1"/>
  <c r="AA1209" i="1"/>
  <c r="AD1209" i="1" s="1"/>
  <c r="Z1209" i="1"/>
  <c r="AC1209" i="1" s="1"/>
  <c r="P1211" i="1"/>
  <c r="Q1211" i="1"/>
  <c r="R1210" i="1" a="1"/>
  <c r="R1210" i="1" s="1"/>
  <c r="L1210" i="1" s="1"/>
  <c r="S1210" i="1" a="1"/>
  <c r="O1211" i="1"/>
  <c r="AP1212" i="1"/>
  <c r="AQ1211" i="1"/>
  <c r="BO308" i="1"/>
  <c r="BP307" i="1"/>
  <c r="AS1211" i="1" l="1"/>
  <c r="W1210" i="1"/>
  <c r="X1210" i="1"/>
  <c r="AR1210" i="1"/>
  <c r="Y1209" i="1"/>
  <c r="AB1209" i="1" s="1"/>
  <c r="S1210" i="1"/>
  <c r="V1210" i="1" s="1"/>
  <c r="AA1210" i="1"/>
  <c r="AD1210" i="1" s="1"/>
  <c r="Z1210" i="1"/>
  <c r="AC1210" i="1" s="1"/>
  <c r="Q1212" i="1"/>
  <c r="P1212" i="1"/>
  <c r="R1211" i="1" a="1"/>
  <c r="R1211" i="1" s="1"/>
  <c r="L1211" i="1" s="1"/>
  <c r="S1211" i="1" a="1"/>
  <c r="O1212" i="1"/>
  <c r="AP1213" i="1"/>
  <c r="AQ1212" i="1"/>
  <c r="BO309" i="1"/>
  <c r="BP308" i="1"/>
  <c r="W1211" i="1" l="1"/>
  <c r="X1211" i="1"/>
  <c r="AR1211" i="1"/>
  <c r="AS1212" i="1"/>
  <c r="Y1210" i="1"/>
  <c r="AB1210" i="1" s="1"/>
  <c r="S1211" i="1"/>
  <c r="V1211" i="1" s="1"/>
  <c r="AA1211" i="1"/>
  <c r="AD1211" i="1" s="1"/>
  <c r="Z1211" i="1"/>
  <c r="AC1211" i="1" s="1"/>
  <c r="P1213" i="1"/>
  <c r="Q1213" i="1"/>
  <c r="R1212" i="1" a="1"/>
  <c r="R1212" i="1" s="1"/>
  <c r="L1212" i="1" s="1"/>
  <c r="S1212" i="1" a="1"/>
  <c r="O1213" i="1"/>
  <c r="AP1214" i="1"/>
  <c r="AQ1213" i="1"/>
  <c r="BO310" i="1"/>
  <c r="BP309" i="1"/>
  <c r="W1212" i="1" l="1"/>
  <c r="X1212" i="1"/>
  <c r="AR1212" i="1"/>
  <c r="AS1213" i="1"/>
  <c r="Y1211" i="1"/>
  <c r="AB1211" i="1" s="1"/>
  <c r="S1212" i="1"/>
  <c r="V1212" i="1" s="1"/>
  <c r="Z1212" i="1"/>
  <c r="AC1212" i="1" s="1"/>
  <c r="AA1212" i="1"/>
  <c r="AD1212" i="1" s="1"/>
  <c r="R1213" i="1" a="1"/>
  <c r="R1213" i="1" s="1"/>
  <c r="L1213" i="1" s="1"/>
  <c r="S1213" i="1" a="1"/>
  <c r="P1214" i="1"/>
  <c r="Q1214" i="1"/>
  <c r="O1214" i="1"/>
  <c r="AP1215" i="1"/>
  <c r="AQ1214" i="1"/>
  <c r="BO311" i="1"/>
  <c r="BP310" i="1"/>
  <c r="AS1214" i="1" l="1"/>
  <c r="W1213" i="1"/>
  <c r="X1213" i="1"/>
  <c r="AR1213" i="1"/>
  <c r="Y1212" i="1"/>
  <c r="AB1212" i="1" s="1"/>
  <c r="S1213" i="1"/>
  <c r="V1213" i="1" s="1"/>
  <c r="Z1213" i="1"/>
  <c r="AC1213" i="1" s="1"/>
  <c r="AA1213" i="1"/>
  <c r="AD1213" i="1" s="1"/>
  <c r="R1214" i="1" a="1"/>
  <c r="R1214" i="1" s="1"/>
  <c r="L1214" i="1" s="1"/>
  <c r="S1214" i="1" a="1"/>
  <c r="P1215" i="1"/>
  <c r="Q1215" i="1"/>
  <c r="O1215" i="1"/>
  <c r="AP1216" i="1"/>
  <c r="AQ1215" i="1"/>
  <c r="BO312" i="1"/>
  <c r="BP311" i="1"/>
  <c r="AS1215" i="1" l="1"/>
  <c r="X1214" i="1"/>
  <c r="W1214" i="1"/>
  <c r="AR1214" i="1"/>
  <c r="Y1213" i="1"/>
  <c r="AB1213" i="1" s="1"/>
  <c r="S1214" i="1"/>
  <c r="V1214" i="1" s="1"/>
  <c r="Z1214" i="1"/>
  <c r="AC1214" i="1" s="1"/>
  <c r="AA1214" i="1"/>
  <c r="AD1214" i="1" s="1"/>
  <c r="R1215" i="1" a="1"/>
  <c r="R1215" i="1" s="1"/>
  <c r="L1215" i="1" s="1"/>
  <c r="S1215" i="1" a="1"/>
  <c r="Q1216" i="1"/>
  <c r="P1216" i="1"/>
  <c r="O1216" i="1"/>
  <c r="AP1217" i="1"/>
  <c r="AQ1216" i="1"/>
  <c r="BO313" i="1"/>
  <c r="BP312" i="1"/>
  <c r="X1215" i="1" l="1"/>
  <c r="W1215" i="1"/>
  <c r="AR1215" i="1"/>
  <c r="AS1216" i="1"/>
  <c r="Y1214" i="1"/>
  <c r="AB1214" i="1" s="1"/>
  <c r="S1215" i="1"/>
  <c r="V1215" i="1" s="1"/>
  <c r="Z1215" i="1"/>
  <c r="AC1215" i="1" s="1"/>
  <c r="AA1215" i="1"/>
  <c r="AD1215" i="1" s="1"/>
  <c r="Q1217" i="1"/>
  <c r="P1217" i="1"/>
  <c r="S1216" i="1" a="1"/>
  <c r="R1216" i="1" a="1"/>
  <c r="R1216" i="1" s="1"/>
  <c r="L1216" i="1" s="1"/>
  <c r="O1217" i="1"/>
  <c r="AP1218" i="1"/>
  <c r="AQ1217" i="1"/>
  <c r="BO314" i="1"/>
  <c r="BP313" i="1"/>
  <c r="AS1217" i="1" l="1"/>
  <c r="X1216" i="1"/>
  <c r="W1216" i="1"/>
  <c r="AR1216" i="1"/>
  <c r="Y1215" i="1"/>
  <c r="AB1215" i="1" s="1"/>
  <c r="S1216" i="1"/>
  <c r="V1216" i="1" s="1"/>
  <c r="Z1216" i="1"/>
  <c r="AC1216" i="1" s="1"/>
  <c r="AA1216" i="1"/>
  <c r="AD1216" i="1" s="1"/>
  <c r="P1218" i="1"/>
  <c r="Q1218" i="1"/>
  <c r="S1217" i="1" a="1"/>
  <c r="R1217" i="1" a="1"/>
  <c r="R1217" i="1" s="1"/>
  <c r="L1217" i="1" s="1"/>
  <c r="AR1217" i="1" s="1"/>
  <c r="O1218" i="1"/>
  <c r="AP1219" i="1"/>
  <c r="AQ1218" i="1"/>
  <c r="BO315" i="1"/>
  <c r="BP314" i="1"/>
  <c r="AS1218" i="1" l="1"/>
  <c r="W1217" i="1"/>
  <c r="X1217" i="1"/>
  <c r="Y1216" i="1"/>
  <c r="AB1216" i="1" s="1"/>
  <c r="S1217" i="1"/>
  <c r="V1217" i="1" s="1"/>
  <c r="AA1217" i="1"/>
  <c r="AD1217" i="1" s="1"/>
  <c r="Z1217" i="1"/>
  <c r="AC1217" i="1" s="1"/>
  <c r="P1219" i="1"/>
  <c r="Q1219" i="1"/>
  <c r="S1218" i="1" a="1"/>
  <c r="R1218" i="1" a="1"/>
  <c r="R1218" i="1" s="1"/>
  <c r="L1218" i="1" s="1"/>
  <c r="AR1218" i="1" s="1"/>
  <c r="O1219" i="1"/>
  <c r="AP1220" i="1"/>
  <c r="AQ1219" i="1"/>
  <c r="BO316" i="1"/>
  <c r="BP315" i="1"/>
  <c r="AS1219" i="1" l="1"/>
  <c r="W1218" i="1"/>
  <c r="X1218" i="1"/>
  <c r="Y1217" i="1"/>
  <c r="AB1217" i="1" s="1"/>
  <c r="S1218" i="1"/>
  <c r="V1218" i="1" s="1"/>
  <c r="Z1218" i="1"/>
  <c r="AC1218" i="1" s="1"/>
  <c r="AA1218" i="1"/>
  <c r="AD1218" i="1" s="1"/>
  <c r="Q1220" i="1"/>
  <c r="P1220" i="1"/>
  <c r="R1219" i="1" a="1"/>
  <c r="R1219" i="1" s="1"/>
  <c r="L1219" i="1" s="1"/>
  <c r="S1219" i="1" a="1"/>
  <c r="O1220" i="1"/>
  <c r="AP1221" i="1"/>
  <c r="AQ1220" i="1"/>
  <c r="BO317" i="1"/>
  <c r="BP316" i="1"/>
  <c r="W1219" i="1" l="1"/>
  <c r="X1219" i="1"/>
  <c r="AR1219" i="1"/>
  <c r="AS1220" i="1"/>
  <c r="Y1218" i="1"/>
  <c r="AB1218" i="1" s="1"/>
  <c r="S1219" i="1"/>
  <c r="V1219" i="1" s="1"/>
  <c r="AA1219" i="1"/>
  <c r="AD1219" i="1" s="1"/>
  <c r="Z1219" i="1"/>
  <c r="AC1219" i="1" s="1"/>
  <c r="Q1221" i="1"/>
  <c r="P1221" i="1"/>
  <c r="R1220" i="1" a="1"/>
  <c r="R1220" i="1" s="1"/>
  <c r="L1220" i="1" s="1"/>
  <c r="AR1220" i="1" s="1"/>
  <c r="S1220" i="1" a="1"/>
  <c r="O1221" i="1"/>
  <c r="AP1222" i="1"/>
  <c r="AQ1221" i="1"/>
  <c r="BO318" i="1"/>
  <c r="BP317" i="1"/>
  <c r="W1220" i="1" l="1"/>
  <c r="X1220" i="1"/>
  <c r="AS1221" i="1"/>
  <c r="Y1219" i="1"/>
  <c r="AB1219" i="1" s="1"/>
  <c r="S1220" i="1"/>
  <c r="V1220" i="1" s="1"/>
  <c r="AA1220" i="1"/>
  <c r="AD1220" i="1" s="1"/>
  <c r="Z1220" i="1"/>
  <c r="AC1220" i="1" s="1"/>
  <c r="Q1222" i="1"/>
  <c r="P1222" i="1"/>
  <c r="R1221" i="1" a="1"/>
  <c r="R1221" i="1" s="1"/>
  <c r="L1221" i="1" s="1"/>
  <c r="S1221" i="1" a="1"/>
  <c r="O1222" i="1"/>
  <c r="AP1223" i="1"/>
  <c r="AQ1222" i="1"/>
  <c r="BO319" i="1"/>
  <c r="BP318" i="1"/>
  <c r="W1221" i="1" l="1"/>
  <c r="X1221" i="1"/>
  <c r="AR1221" i="1"/>
  <c r="AS1222" i="1"/>
  <c r="Y1220" i="1"/>
  <c r="AB1220" i="1" s="1"/>
  <c r="S1221" i="1"/>
  <c r="V1221" i="1" s="1"/>
  <c r="Z1221" i="1"/>
  <c r="AC1221" i="1" s="1"/>
  <c r="AA1221" i="1"/>
  <c r="AD1221" i="1" s="1"/>
  <c r="P1223" i="1"/>
  <c r="Q1223" i="1"/>
  <c r="S1222" i="1" a="1"/>
  <c r="R1222" i="1" a="1"/>
  <c r="R1222" i="1" s="1"/>
  <c r="L1222" i="1" s="1"/>
  <c r="AR1222" i="1" s="1"/>
  <c r="O1223" i="1"/>
  <c r="AP1224" i="1"/>
  <c r="AQ1223" i="1"/>
  <c r="BO320" i="1"/>
  <c r="BP319" i="1"/>
  <c r="AS1223" i="1" l="1"/>
  <c r="X1222" i="1"/>
  <c r="W1222" i="1"/>
  <c r="Y1221" i="1"/>
  <c r="AB1221" i="1" s="1"/>
  <c r="S1222" i="1"/>
  <c r="V1222" i="1" s="1"/>
  <c r="Z1222" i="1"/>
  <c r="AC1222" i="1" s="1"/>
  <c r="AA1222" i="1"/>
  <c r="AD1222" i="1" s="1"/>
  <c r="P1224" i="1"/>
  <c r="Q1224" i="1"/>
  <c r="S1223" i="1" a="1"/>
  <c r="R1223" i="1" a="1"/>
  <c r="R1223" i="1" s="1"/>
  <c r="L1223" i="1" s="1"/>
  <c r="O1224" i="1"/>
  <c r="AP1225" i="1"/>
  <c r="AQ1224" i="1"/>
  <c r="BO321" i="1"/>
  <c r="BP320" i="1"/>
  <c r="AS1224" i="1" l="1"/>
  <c r="X1223" i="1"/>
  <c r="W1223" i="1"/>
  <c r="AR1223" i="1"/>
  <c r="Y1222" i="1"/>
  <c r="AB1222" i="1" s="1"/>
  <c r="S1223" i="1"/>
  <c r="V1223" i="1" s="1"/>
  <c r="Z1223" i="1"/>
  <c r="AC1223" i="1" s="1"/>
  <c r="AA1223" i="1"/>
  <c r="AD1223" i="1" s="1"/>
  <c r="Q1225" i="1"/>
  <c r="P1225" i="1"/>
  <c r="R1224" i="1" a="1"/>
  <c r="R1224" i="1" s="1"/>
  <c r="L1224" i="1" s="1"/>
  <c r="S1224" i="1" a="1"/>
  <c r="O1225" i="1"/>
  <c r="AP1226" i="1"/>
  <c r="AQ1225" i="1"/>
  <c r="BO322" i="1"/>
  <c r="BP321" i="1"/>
  <c r="X1224" i="1" l="1"/>
  <c r="W1224" i="1"/>
  <c r="AR1224" i="1"/>
  <c r="AS1225" i="1"/>
  <c r="Y1223" i="1"/>
  <c r="AB1223" i="1" s="1"/>
  <c r="S1224" i="1"/>
  <c r="V1224" i="1" s="1"/>
  <c r="Z1224" i="1"/>
  <c r="AC1224" i="1" s="1"/>
  <c r="AA1224" i="1"/>
  <c r="AD1224" i="1" s="1"/>
  <c r="S1225" i="1" a="1"/>
  <c r="R1225" i="1" a="1"/>
  <c r="R1225" i="1" s="1"/>
  <c r="L1225" i="1" s="1"/>
  <c r="Q1226" i="1"/>
  <c r="P1226" i="1"/>
  <c r="O1226" i="1"/>
  <c r="AP1227" i="1"/>
  <c r="AQ1226" i="1"/>
  <c r="BO323" i="1"/>
  <c r="BP322" i="1"/>
  <c r="AS1226" i="1" l="1"/>
  <c r="W1225" i="1"/>
  <c r="X1225" i="1"/>
  <c r="AR1225" i="1"/>
  <c r="Y1224" i="1"/>
  <c r="AB1224" i="1" s="1"/>
  <c r="S1225" i="1"/>
  <c r="V1225" i="1" s="1"/>
  <c r="AA1225" i="1"/>
  <c r="AD1225" i="1" s="1"/>
  <c r="Z1225" i="1"/>
  <c r="AC1225" i="1" s="1"/>
  <c r="P1227" i="1"/>
  <c r="Q1227" i="1"/>
  <c r="R1226" i="1" a="1"/>
  <c r="R1226" i="1" s="1"/>
  <c r="L1226" i="1" s="1"/>
  <c r="AR1226" i="1" s="1"/>
  <c r="S1226" i="1" a="1"/>
  <c r="O1227" i="1"/>
  <c r="AP1228" i="1"/>
  <c r="AQ1227" i="1"/>
  <c r="BO324" i="1"/>
  <c r="BP323" i="1"/>
  <c r="AS1227" i="1" l="1"/>
  <c r="X1226" i="1"/>
  <c r="W1226" i="1"/>
  <c r="Y1225" i="1"/>
  <c r="AB1225" i="1" s="1"/>
  <c r="S1226" i="1"/>
  <c r="V1226" i="1" s="1"/>
  <c r="Z1226" i="1"/>
  <c r="AC1226" i="1" s="1"/>
  <c r="AA1226" i="1"/>
  <c r="AD1226" i="1" s="1"/>
  <c r="Q1228" i="1"/>
  <c r="P1228" i="1"/>
  <c r="R1227" i="1" a="1"/>
  <c r="R1227" i="1" s="1"/>
  <c r="L1227" i="1" s="1"/>
  <c r="S1227" i="1" a="1"/>
  <c r="O1228" i="1"/>
  <c r="AP1229" i="1"/>
  <c r="AQ1228" i="1"/>
  <c r="BO325" i="1"/>
  <c r="BP324" i="1"/>
  <c r="AS1228" i="1" l="1"/>
  <c r="X1227" i="1"/>
  <c r="W1227" i="1"/>
  <c r="AR1227" i="1"/>
  <c r="Y1226" i="1"/>
  <c r="AB1226" i="1" s="1"/>
  <c r="S1227" i="1"/>
  <c r="V1227" i="1" s="1"/>
  <c r="Z1227" i="1"/>
  <c r="AC1227" i="1" s="1"/>
  <c r="AA1227" i="1"/>
  <c r="AD1227" i="1" s="1"/>
  <c r="Q1229" i="1"/>
  <c r="P1229" i="1"/>
  <c r="S1228" i="1" a="1"/>
  <c r="R1228" i="1" a="1"/>
  <c r="R1228" i="1" s="1"/>
  <c r="L1228" i="1" s="1"/>
  <c r="O1229" i="1"/>
  <c r="AP1230" i="1"/>
  <c r="AQ1229" i="1"/>
  <c r="BO326" i="1"/>
  <c r="BP325" i="1"/>
  <c r="AS1229" i="1" l="1"/>
  <c r="X1228" i="1"/>
  <c r="W1228" i="1"/>
  <c r="AR1228" i="1"/>
  <c r="Y1227" i="1"/>
  <c r="AB1227" i="1" s="1"/>
  <c r="S1228" i="1"/>
  <c r="V1228" i="1" s="1"/>
  <c r="Z1228" i="1"/>
  <c r="AC1228" i="1" s="1"/>
  <c r="AA1228" i="1"/>
  <c r="AD1228" i="1" s="1"/>
  <c r="Q1230" i="1"/>
  <c r="P1230" i="1"/>
  <c r="S1229" i="1" a="1"/>
  <c r="R1229" i="1" a="1"/>
  <c r="R1229" i="1" s="1"/>
  <c r="L1229" i="1" s="1"/>
  <c r="AR1229" i="1" s="1"/>
  <c r="O1230" i="1"/>
  <c r="AP1231" i="1"/>
  <c r="AQ1230" i="1"/>
  <c r="BO327" i="1"/>
  <c r="BP326" i="1"/>
  <c r="W1229" i="1" l="1"/>
  <c r="X1229" i="1"/>
  <c r="AS1230" i="1"/>
  <c r="Y1228" i="1"/>
  <c r="AB1228" i="1" s="1"/>
  <c r="S1229" i="1"/>
  <c r="V1229" i="1" s="1"/>
  <c r="Z1229" i="1"/>
  <c r="AC1229" i="1" s="1"/>
  <c r="AA1229" i="1"/>
  <c r="AD1229" i="1" s="1"/>
  <c r="P1231" i="1"/>
  <c r="Q1231" i="1"/>
  <c r="S1230" i="1" a="1"/>
  <c r="R1230" i="1" a="1"/>
  <c r="R1230" i="1" s="1"/>
  <c r="L1230" i="1" s="1"/>
  <c r="O1231" i="1"/>
  <c r="AP1232" i="1"/>
  <c r="AQ1231" i="1"/>
  <c r="BO328" i="1"/>
  <c r="BP327" i="1"/>
  <c r="AS1231" i="1" l="1"/>
  <c r="W1230" i="1"/>
  <c r="X1230" i="1"/>
  <c r="AR1230" i="1"/>
  <c r="Y1229" i="1"/>
  <c r="AB1229" i="1" s="1"/>
  <c r="S1230" i="1"/>
  <c r="V1230" i="1" s="1"/>
  <c r="AA1230" i="1"/>
  <c r="AD1230" i="1" s="1"/>
  <c r="Z1230" i="1"/>
  <c r="AC1230" i="1" s="1"/>
  <c r="Q1232" i="1"/>
  <c r="P1232" i="1"/>
  <c r="S1231" i="1" a="1"/>
  <c r="R1231" i="1" a="1"/>
  <c r="R1231" i="1" s="1"/>
  <c r="L1231" i="1" s="1"/>
  <c r="O1232" i="1"/>
  <c r="AP1233" i="1"/>
  <c r="AQ1232" i="1"/>
  <c r="BO329" i="1"/>
  <c r="BP328" i="1"/>
  <c r="AS1232" i="1" l="1"/>
  <c r="W1231" i="1"/>
  <c r="X1231" i="1"/>
  <c r="AR1231" i="1"/>
  <c r="Y1230" i="1"/>
  <c r="AB1230" i="1" s="1"/>
  <c r="S1231" i="1"/>
  <c r="V1231" i="1" s="1"/>
  <c r="AA1231" i="1"/>
  <c r="AD1231" i="1" s="1"/>
  <c r="Z1231" i="1"/>
  <c r="AC1231" i="1" s="1"/>
  <c r="Q1233" i="1"/>
  <c r="P1233" i="1"/>
  <c r="S1232" i="1" a="1"/>
  <c r="R1232" i="1" a="1"/>
  <c r="R1232" i="1" s="1"/>
  <c r="L1232" i="1" s="1"/>
  <c r="O1233" i="1"/>
  <c r="AP1234" i="1"/>
  <c r="AQ1233" i="1"/>
  <c r="BO330" i="1"/>
  <c r="BP329" i="1"/>
  <c r="AS1233" i="1" l="1"/>
  <c r="X1232" i="1"/>
  <c r="W1232" i="1"/>
  <c r="AR1232" i="1"/>
  <c r="Y1231" i="1"/>
  <c r="AB1231" i="1" s="1"/>
  <c r="S1232" i="1"/>
  <c r="V1232" i="1" s="1"/>
  <c r="Z1232" i="1"/>
  <c r="AC1232" i="1" s="1"/>
  <c r="AA1232" i="1"/>
  <c r="AD1232" i="1" s="1"/>
  <c r="P1234" i="1"/>
  <c r="Q1234" i="1"/>
  <c r="R1233" i="1" a="1"/>
  <c r="R1233" i="1" s="1"/>
  <c r="L1233" i="1" s="1"/>
  <c r="S1233" i="1" a="1"/>
  <c r="O1234" i="1"/>
  <c r="AP1235" i="1"/>
  <c r="AQ1234" i="1"/>
  <c r="BO331" i="1"/>
  <c r="BP330" i="1"/>
  <c r="AS1234" i="1" l="1"/>
  <c r="W1233" i="1"/>
  <c r="X1233" i="1"/>
  <c r="AR1233" i="1"/>
  <c r="Y1232" i="1"/>
  <c r="AB1232" i="1" s="1"/>
  <c r="S1233" i="1"/>
  <c r="V1233" i="1" s="1"/>
  <c r="AA1233" i="1"/>
  <c r="AD1233" i="1" s="1"/>
  <c r="Z1233" i="1"/>
  <c r="AC1233" i="1" s="1"/>
  <c r="P1235" i="1"/>
  <c r="Q1235" i="1"/>
  <c r="R1234" i="1" a="1"/>
  <c r="R1234" i="1" s="1"/>
  <c r="L1234" i="1" s="1"/>
  <c r="S1234" i="1" a="1"/>
  <c r="O1235" i="1"/>
  <c r="AP1236" i="1"/>
  <c r="AQ1235" i="1"/>
  <c r="BO332" i="1"/>
  <c r="BP331" i="1"/>
  <c r="AS1235" i="1" l="1"/>
  <c r="X1234" i="1"/>
  <c r="W1234" i="1"/>
  <c r="AR1234" i="1"/>
  <c r="Y1233" i="1"/>
  <c r="AB1233" i="1" s="1"/>
  <c r="S1234" i="1"/>
  <c r="V1234" i="1" s="1"/>
  <c r="AA1234" i="1"/>
  <c r="AD1234" i="1" s="1"/>
  <c r="Z1234" i="1"/>
  <c r="AC1234" i="1" s="1"/>
  <c r="P1236" i="1"/>
  <c r="Q1236" i="1"/>
  <c r="R1235" i="1" a="1"/>
  <c r="R1235" i="1" s="1"/>
  <c r="L1235" i="1" s="1"/>
  <c r="S1235" i="1" a="1"/>
  <c r="O1236" i="1"/>
  <c r="AP1237" i="1"/>
  <c r="AQ1236" i="1"/>
  <c r="BO333" i="1"/>
  <c r="BP332" i="1"/>
  <c r="X1235" i="1" l="1"/>
  <c r="W1235" i="1"/>
  <c r="AR1235" i="1"/>
  <c r="AS1236" i="1"/>
  <c r="Y1234" i="1"/>
  <c r="AB1234" i="1" s="1"/>
  <c r="S1235" i="1"/>
  <c r="V1235" i="1" s="1"/>
  <c r="Z1235" i="1"/>
  <c r="AC1235" i="1" s="1"/>
  <c r="AA1235" i="1"/>
  <c r="AD1235" i="1" s="1"/>
  <c r="R1236" i="1" a="1"/>
  <c r="R1236" i="1" s="1"/>
  <c r="L1236" i="1" s="1"/>
  <c r="S1236" i="1" a="1"/>
  <c r="P1237" i="1"/>
  <c r="Q1237" i="1"/>
  <c r="O1237" i="1"/>
  <c r="AP1238" i="1"/>
  <c r="AQ1237" i="1"/>
  <c r="BO334" i="1"/>
  <c r="BP333" i="1"/>
  <c r="AS1237" i="1" l="1"/>
  <c r="X1236" i="1"/>
  <c r="W1236" i="1"/>
  <c r="AR1236" i="1"/>
  <c r="Y1235" i="1"/>
  <c r="AB1235" i="1" s="1"/>
  <c r="S1236" i="1"/>
  <c r="V1236" i="1" s="1"/>
  <c r="Z1236" i="1"/>
  <c r="AC1236" i="1" s="1"/>
  <c r="AA1236" i="1"/>
  <c r="AD1236" i="1" s="1"/>
  <c r="Q1238" i="1"/>
  <c r="P1238" i="1"/>
  <c r="R1237" i="1" a="1"/>
  <c r="R1237" i="1" s="1"/>
  <c r="L1237" i="1" s="1"/>
  <c r="AR1237" i="1" s="1"/>
  <c r="S1237" i="1" a="1"/>
  <c r="O1238" i="1"/>
  <c r="AP1239" i="1"/>
  <c r="AQ1238" i="1"/>
  <c r="BO335" i="1"/>
  <c r="BP334" i="1"/>
  <c r="AS1238" i="1" l="1"/>
  <c r="X1237" i="1"/>
  <c r="W1237" i="1"/>
  <c r="Y1236" i="1"/>
  <c r="AB1236" i="1" s="1"/>
  <c r="S1237" i="1"/>
  <c r="V1237" i="1" s="1"/>
  <c r="Z1237" i="1"/>
  <c r="AC1237" i="1" s="1"/>
  <c r="AA1237" i="1"/>
  <c r="AD1237" i="1" s="1"/>
  <c r="P1239" i="1"/>
  <c r="Q1239" i="1"/>
  <c r="R1238" i="1" a="1"/>
  <c r="R1238" i="1" s="1"/>
  <c r="L1238" i="1" s="1"/>
  <c r="S1238" i="1" a="1"/>
  <c r="O1239" i="1"/>
  <c r="AP1240" i="1"/>
  <c r="AQ1239" i="1"/>
  <c r="BO336" i="1"/>
  <c r="BP335" i="1"/>
  <c r="AS1239" i="1" l="1"/>
  <c r="X1238" i="1"/>
  <c r="W1238" i="1"/>
  <c r="AR1238" i="1"/>
  <c r="Y1237" i="1"/>
  <c r="AB1237" i="1" s="1"/>
  <c r="S1238" i="1"/>
  <c r="V1238" i="1" s="1"/>
  <c r="Z1238" i="1"/>
  <c r="AC1238" i="1" s="1"/>
  <c r="AA1238" i="1"/>
  <c r="AD1238" i="1" s="1"/>
  <c r="Q1240" i="1"/>
  <c r="P1240" i="1"/>
  <c r="R1239" i="1" a="1"/>
  <c r="R1239" i="1" s="1"/>
  <c r="L1239" i="1" s="1"/>
  <c r="AR1239" i="1" s="1"/>
  <c r="S1239" i="1" a="1"/>
  <c r="O1240" i="1"/>
  <c r="AP1241" i="1"/>
  <c r="AQ1240" i="1"/>
  <c r="BO337" i="1"/>
  <c r="BP336" i="1"/>
  <c r="AS1240" i="1" l="1"/>
  <c r="X1239" i="1"/>
  <c r="W1239" i="1"/>
  <c r="Y1238" i="1"/>
  <c r="AB1238" i="1" s="1"/>
  <c r="S1239" i="1"/>
  <c r="V1239" i="1" s="1"/>
  <c r="Z1239" i="1"/>
  <c r="AC1239" i="1" s="1"/>
  <c r="AA1239" i="1"/>
  <c r="AD1239" i="1" s="1"/>
  <c r="Q1241" i="1"/>
  <c r="P1241" i="1"/>
  <c r="S1240" i="1" a="1"/>
  <c r="R1240" i="1" a="1"/>
  <c r="R1240" i="1" s="1"/>
  <c r="L1240" i="1" s="1"/>
  <c r="O1241" i="1"/>
  <c r="AP1242" i="1"/>
  <c r="AQ1241" i="1"/>
  <c r="BO338" i="1"/>
  <c r="BP337" i="1"/>
  <c r="AS1241" i="1" l="1"/>
  <c r="X1240" i="1"/>
  <c r="W1240" i="1"/>
  <c r="AR1240" i="1"/>
  <c r="Y1239" i="1"/>
  <c r="AB1239" i="1" s="1"/>
  <c r="S1240" i="1"/>
  <c r="V1240" i="1" s="1"/>
  <c r="Z1240" i="1"/>
  <c r="AC1240" i="1" s="1"/>
  <c r="AA1240" i="1"/>
  <c r="AD1240" i="1" s="1"/>
  <c r="P1242" i="1"/>
  <c r="Q1242" i="1"/>
  <c r="S1241" i="1" a="1"/>
  <c r="R1241" i="1" a="1"/>
  <c r="R1241" i="1" s="1"/>
  <c r="L1241" i="1" s="1"/>
  <c r="O1242" i="1"/>
  <c r="AP1243" i="1"/>
  <c r="AQ1242" i="1"/>
  <c r="BO339" i="1"/>
  <c r="BP338" i="1"/>
  <c r="AS1242" i="1" l="1"/>
  <c r="W1241" i="1"/>
  <c r="X1241" i="1"/>
  <c r="AR1241" i="1"/>
  <c r="Y1240" i="1"/>
  <c r="AB1240" i="1" s="1"/>
  <c r="S1241" i="1"/>
  <c r="V1241" i="1" s="1"/>
  <c r="Z1241" i="1"/>
  <c r="AC1241" i="1" s="1"/>
  <c r="AA1241" i="1"/>
  <c r="AD1241" i="1" s="1"/>
  <c r="P1243" i="1"/>
  <c r="Q1243" i="1"/>
  <c r="S1242" i="1" a="1"/>
  <c r="R1242" i="1" a="1"/>
  <c r="R1242" i="1" s="1"/>
  <c r="L1242" i="1" s="1"/>
  <c r="O1243" i="1"/>
  <c r="AP1244" i="1"/>
  <c r="AQ1243" i="1"/>
  <c r="BO340" i="1"/>
  <c r="BP339" i="1"/>
  <c r="AS1243" i="1" l="1"/>
  <c r="W1242" i="1"/>
  <c r="X1242" i="1"/>
  <c r="AR1242" i="1"/>
  <c r="Y1241" i="1"/>
  <c r="AB1241" i="1" s="1"/>
  <c r="S1242" i="1"/>
  <c r="V1242" i="1" s="1"/>
  <c r="Z1242" i="1"/>
  <c r="AC1242" i="1" s="1"/>
  <c r="AA1242" i="1"/>
  <c r="AD1242" i="1" s="1"/>
  <c r="Q1244" i="1"/>
  <c r="P1244" i="1"/>
  <c r="R1243" i="1" a="1"/>
  <c r="R1243" i="1" s="1"/>
  <c r="L1243" i="1" s="1"/>
  <c r="S1243" i="1" a="1"/>
  <c r="O1244" i="1"/>
  <c r="AP1245" i="1"/>
  <c r="AQ1244" i="1"/>
  <c r="BO341" i="1"/>
  <c r="BP340" i="1"/>
  <c r="AS1244" i="1" l="1"/>
  <c r="W1243" i="1"/>
  <c r="X1243" i="1"/>
  <c r="AR1243" i="1"/>
  <c r="Y1242" i="1"/>
  <c r="AB1242" i="1" s="1"/>
  <c r="S1243" i="1"/>
  <c r="V1243" i="1" s="1"/>
  <c r="Z1243" i="1"/>
  <c r="AC1243" i="1" s="1"/>
  <c r="AA1243" i="1"/>
  <c r="AD1243" i="1" s="1"/>
  <c r="P1245" i="1"/>
  <c r="Q1245" i="1"/>
  <c r="R1244" i="1" a="1"/>
  <c r="R1244" i="1" s="1"/>
  <c r="L1244" i="1" s="1"/>
  <c r="S1244" i="1" a="1"/>
  <c r="O1245" i="1"/>
  <c r="AP1246" i="1"/>
  <c r="AQ1245" i="1"/>
  <c r="BO342" i="1"/>
  <c r="BP341" i="1"/>
  <c r="AS1245" i="1" l="1"/>
  <c r="W1244" i="1"/>
  <c r="X1244" i="1"/>
  <c r="AR1244" i="1"/>
  <c r="Y1243" i="1"/>
  <c r="AB1243" i="1" s="1"/>
  <c r="S1244" i="1"/>
  <c r="V1244" i="1" s="1"/>
  <c r="Z1244" i="1"/>
  <c r="AC1244" i="1" s="1"/>
  <c r="AA1244" i="1"/>
  <c r="AD1244" i="1" s="1"/>
  <c r="P1246" i="1"/>
  <c r="Q1246" i="1"/>
  <c r="R1245" i="1" a="1"/>
  <c r="R1245" i="1" s="1"/>
  <c r="L1245" i="1" s="1"/>
  <c r="S1245" i="1" a="1"/>
  <c r="O1246" i="1"/>
  <c r="AP1247" i="1"/>
  <c r="AQ1246" i="1"/>
  <c r="BO343" i="1"/>
  <c r="BP342" i="1"/>
  <c r="AS1246" i="1" l="1"/>
  <c r="X1245" i="1"/>
  <c r="W1245" i="1"/>
  <c r="AR1245" i="1"/>
  <c r="Y1244" i="1"/>
  <c r="AB1244" i="1" s="1"/>
  <c r="S1245" i="1"/>
  <c r="V1245" i="1" s="1"/>
  <c r="AA1245" i="1"/>
  <c r="AD1245" i="1" s="1"/>
  <c r="Z1245" i="1"/>
  <c r="AC1245" i="1" s="1"/>
  <c r="Q1247" i="1"/>
  <c r="P1247" i="1"/>
  <c r="S1246" i="1" a="1"/>
  <c r="R1246" i="1" a="1"/>
  <c r="R1246" i="1" s="1"/>
  <c r="L1246" i="1" s="1"/>
  <c r="O1247" i="1"/>
  <c r="AP1248" i="1"/>
  <c r="AQ1247" i="1"/>
  <c r="BO344" i="1"/>
  <c r="BP343" i="1"/>
  <c r="AS1247" i="1" l="1"/>
  <c r="X1246" i="1"/>
  <c r="W1246" i="1"/>
  <c r="AR1246" i="1"/>
  <c r="Y1245" i="1"/>
  <c r="AB1245" i="1" s="1"/>
  <c r="S1246" i="1"/>
  <c r="V1246" i="1" s="1"/>
  <c r="AA1246" i="1"/>
  <c r="AD1246" i="1" s="1"/>
  <c r="Z1246" i="1"/>
  <c r="AC1246" i="1" s="1"/>
  <c r="Q1248" i="1"/>
  <c r="P1248" i="1"/>
  <c r="S1247" i="1" a="1"/>
  <c r="R1247" i="1" a="1"/>
  <c r="R1247" i="1" s="1"/>
  <c r="L1247" i="1" s="1"/>
  <c r="O1248" i="1"/>
  <c r="AP1249" i="1"/>
  <c r="AQ1248" i="1"/>
  <c r="BO345" i="1"/>
  <c r="BP344" i="1"/>
  <c r="AS1248" i="1" l="1"/>
  <c r="X1247" i="1"/>
  <c r="W1247" i="1"/>
  <c r="Z1247" i="1" s="1"/>
  <c r="AC1247" i="1" s="1"/>
  <c r="AR1247" i="1"/>
  <c r="Y1246" i="1"/>
  <c r="AB1246" i="1" s="1"/>
  <c r="S1247" i="1"/>
  <c r="V1247" i="1" s="1"/>
  <c r="AA1247" i="1"/>
  <c r="AD1247" i="1" s="1"/>
  <c r="P1249" i="1"/>
  <c r="Q1249" i="1"/>
  <c r="S1248" i="1" a="1"/>
  <c r="R1248" i="1" a="1"/>
  <c r="R1248" i="1" s="1"/>
  <c r="L1248" i="1" s="1"/>
  <c r="O1249" i="1"/>
  <c r="AP1250" i="1"/>
  <c r="AQ1249" i="1"/>
  <c r="BO346" i="1"/>
  <c r="BP345" i="1"/>
  <c r="AS1249" i="1" l="1"/>
  <c r="X1248" i="1"/>
  <c r="W1248" i="1"/>
  <c r="AR1248" i="1"/>
  <c r="Y1247" i="1"/>
  <c r="AB1247" i="1" s="1"/>
  <c r="S1248" i="1"/>
  <c r="V1248" i="1" s="1"/>
  <c r="Z1248" i="1"/>
  <c r="AC1248" i="1" s="1"/>
  <c r="AA1248" i="1"/>
  <c r="AD1248" i="1" s="1"/>
  <c r="P1250" i="1"/>
  <c r="Q1250" i="1"/>
  <c r="S1249" i="1" a="1"/>
  <c r="R1249" i="1" a="1"/>
  <c r="R1249" i="1" s="1"/>
  <c r="L1249" i="1" s="1"/>
  <c r="O1250" i="1"/>
  <c r="AP1251" i="1"/>
  <c r="AQ1250" i="1"/>
  <c r="BO347" i="1"/>
  <c r="BP346" i="1"/>
  <c r="AS1250" i="1" l="1"/>
  <c r="X1249" i="1"/>
  <c r="W1249" i="1"/>
  <c r="AR1249" i="1"/>
  <c r="Y1248" i="1"/>
  <c r="AB1248" i="1" s="1"/>
  <c r="S1249" i="1"/>
  <c r="V1249" i="1" s="1"/>
  <c r="AA1249" i="1"/>
  <c r="AD1249" i="1" s="1"/>
  <c r="Z1249" i="1"/>
  <c r="AC1249" i="1" s="1"/>
  <c r="P1251" i="1"/>
  <c r="Q1251" i="1"/>
  <c r="S1250" i="1" a="1"/>
  <c r="R1250" i="1" a="1"/>
  <c r="R1250" i="1" s="1"/>
  <c r="L1250" i="1" s="1"/>
  <c r="O1251" i="1"/>
  <c r="AP1252" i="1"/>
  <c r="AQ1251" i="1"/>
  <c r="BO348" i="1"/>
  <c r="BP347" i="1"/>
  <c r="AS1251" i="1" l="1"/>
  <c r="X1250" i="1"/>
  <c r="W1250" i="1"/>
  <c r="AR1250" i="1"/>
  <c r="Y1249" i="1"/>
  <c r="AB1249" i="1" s="1"/>
  <c r="S1250" i="1"/>
  <c r="V1250" i="1" s="1"/>
  <c r="AA1250" i="1"/>
  <c r="AD1250" i="1" s="1"/>
  <c r="Z1250" i="1"/>
  <c r="AC1250" i="1" s="1"/>
  <c r="Q1252" i="1"/>
  <c r="P1252" i="1"/>
  <c r="R1251" i="1" a="1"/>
  <c r="R1251" i="1" s="1"/>
  <c r="L1251" i="1" s="1"/>
  <c r="AR1251" i="1" s="1"/>
  <c r="S1251" i="1" a="1"/>
  <c r="O1252" i="1"/>
  <c r="AP1253" i="1"/>
  <c r="AQ1252" i="1"/>
  <c r="BO349" i="1"/>
  <c r="BP348" i="1"/>
  <c r="X1251" i="1" l="1"/>
  <c r="W1251" i="1"/>
  <c r="AS1252" i="1"/>
  <c r="Y1250" i="1"/>
  <c r="AB1250" i="1" s="1"/>
  <c r="S1251" i="1"/>
  <c r="V1251" i="1" s="1"/>
  <c r="AA1251" i="1"/>
  <c r="AD1251" i="1" s="1"/>
  <c r="Z1251" i="1"/>
  <c r="AC1251" i="1" s="1"/>
  <c r="P1253" i="1"/>
  <c r="Q1253" i="1"/>
  <c r="S1252" i="1" a="1"/>
  <c r="R1252" i="1" a="1"/>
  <c r="R1252" i="1" s="1"/>
  <c r="L1252" i="1" s="1"/>
  <c r="O1253" i="1"/>
  <c r="AP1254" i="1"/>
  <c r="AQ1253" i="1"/>
  <c r="BO350" i="1"/>
  <c r="BP349" i="1"/>
  <c r="AS1253" i="1" l="1"/>
  <c r="X1252" i="1"/>
  <c r="W1252" i="1"/>
  <c r="AR1252" i="1"/>
  <c r="Y1251" i="1"/>
  <c r="AB1251" i="1" s="1"/>
  <c r="S1252" i="1"/>
  <c r="V1252" i="1" s="1"/>
  <c r="Z1252" i="1"/>
  <c r="AC1252" i="1" s="1"/>
  <c r="AA1252" i="1"/>
  <c r="AD1252" i="1" s="1"/>
  <c r="P1254" i="1"/>
  <c r="Q1254" i="1"/>
  <c r="S1253" i="1" a="1"/>
  <c r="R1253" i="1" a="1"/>
  <c r="R1253" i="1" s="1"/>
  <c r="L1253" i="1" s="1"/>
  <c r="O1254" i="1"/>
  <c r="AP1255" i="1"/>
  <c r="AQ1254" i="1"/>
  <c r="BO351" i="1"/>
  <c r="BP350" i="1"/>
  <c r="AS1254" i="1" l="1"/>
  <c r="W1253" i="1"/>
  <c r="X1253" i="1"/>
  <c r="AR1253" i="1"/>
  <c r="Y1252" i="1"/>
  <c r="AB1252" i="1" s="1"/>
  <c r="S1253" i="1"/>
  <c r="V1253" i="1" s="1"/>
  <c r="Z1253" i="1"/>
  <c r="AC1253" i="1" s="1"/>
  <c r="AA1253" i="1"/>
  <c r="AD1253" i="1" s="1"/>
  <c r="P1255" i="1"/>
  <c r="Q1255" i="1"/>
  <c r="S1254" i="1" a="1"/>
  <c r="R1254" i="1" a="1"/>
  <c r="R1254" i="1" s="1"/>
  <c r="L1254" i="1" s="1"/>
  <c r="O1255" i="1"/>
  <c r="AP1256" i="1"/>
  <c r="AQ1255" i="1"/>
  <c r="BO352" i="1"/>
  <c r="BP351" i="1"/>
  <c r="AS1255" i="1" l="1"/>
  <c r="W1254" i="1"/>
  <c r="X1254" i="1"/>
  <c r="AR1254" i="1"/>
  <c r="Y1253" i="1"/>
  <c r="AB1253" i="1" s="1"/>
  <c r="S1254" i="1"/>
  <c r="V1254" i="1" s="1"/>
  <c r="Z1254" i="1"/>
  <c r="AC1254" i="1" s="1"/>
  <c r="AA1254" i="1"/>
  <c r="AD1254" i="1" s="1"/>
  <c r="P1256" i="1"/>
  <c r="Q1256" i="1"/>
  <c r="S1255" i="1" a="1"/>
  <c r="R1255" i="1" a="1"/>
  <c r="R1255" i="1" s="1"/>
  <c r="L1255" i="1" s="1"/>
  <c r="O1256" i="1"/>
  <c r="AP1257" i="1"/>
  <c r="AQ1256" i="1"/>
  <c r="BO353" i="1"/>
  <c r="BP352" i="1"/>
  <c r="AS1256" i="1" l="1"/>
  <c r="W1255" i="1"/>
  <c r="X1255" i="1"/>
  <c r="AR1255" i="1"/>
  <c r="Y1254" i="1"/>
  <c r="AB1254" i="1" s="1"/>
  <c r="S1255" i="1"/>
  <c r="V1255" i="1" s="1"/>
  <c r="Z1255" i="1"/>
  <c r="AC1255" i="1" s="1"/>
  <c r="AA1255" i="1"/>
  <c r="AD1255" i="1" s="1"/>
  <c r="S1256" i="1" a="1"/>
  <c r="R1256" i="1" a="1"/>
  <c r="R1256" i="1" s="1"/>
  <c r="L1256" i="1" s="1"/>
  <c r="Q1257" i="1"/>
  <c r="P1257" i="1"/>
  <c r="O1257" i="1"/>
  <c r="AP1258" i="1"/>
  <c r="AQ1257" i="1"/>
  <c r="BO354" i="1"/>
  <c r="BP353" i="1"/>
  <c r="AS1257" i="1" l="1"/>
  <c r="W1256" i="1"/>
  <c r="X1256" i="1"/>
  <c r="AR1256" i="1"/>
  <c r="Y1255" i="1"/>
  <c r="AB1255" i="1" s="1"/>
  <c r="S1256" i="1"/>
  <c r="V1256" i="1" s="1"/>
  <c r="Z1256" i="1"/>
  <c r="AC1256" i="1" s="1"/>
  <c r="AA1256" i="1"/>
  <c r="AD1256" i="1" s="1"/>
  <c r="P1258" i="1"/>
  <c r="Q1258" i="1"/>
  <c r="R1257" i="1" a="1"/>
  <c r="R1257" i="1" s="1"/>
  <c r="L1257" i="1" s="1"/>
  <c r="AR1257" i="1" s="1"/>
  <c r="S1257" i="1" a="1"/>
  <c r="O1258" i="1"/>
  <c r="AP1259" i="1"/>
  <c r="AQ1258" i="1"/>
  <c r="BO355" i="1"/>
  <c r="BP354" i="1"/>
  <c r="W1257" i="1" l="1"/>
  <c r="X1257" i="1"/>
  <c r="AS1258" i="1"/>
  <c r="Y1256" i="1"/>
  <c r="AB1256" i="1" s="1"/>
  <c r="S1257" i="1"/>
  <c r="V1257" i="1" s="1"/>
  <c r="Z1257" i="1"/>
  <c r="AC1257" i="1" s="1"/>
  <c r="AA1257" i="1"/>
  <c r="AD1257" i="1" s="1"/>
  <c r="P1259" i="1"/>
  <c r="Q1259" i="1"/>
  <c r="S1258" i="1" a="1"/>
  <c r="R1258" i="1" a="1"/>
  <c r="R1258" i="1" s="1"/>
  <c r="L1258" i="1" s="1"/>
  <c r="O1259" i="1"/>
  <c r="AP1260" i="1"/>
  <c r="AQ1259" i="1"/>
  <c r="BO356" i="1"/>
  <c r="BP355" i="1"/>
  <c r="AS1259" i="1" l="1"/>
  <c r="W1258" i="1"/>
  <c r="X1258" i="1"/>
  <c r="AR1258" i="1"/>
  <c r="Y1257" i="1"/>
  <c r="AB1257" i="1" s="1"/>
  <c r="S1258" i="1"/>
  <c r="V1258" i="1" s="1"/>
  <c r="AA1258" i="1"/>
  <c r="AD1258" i="1" s="1"/>
  <c r="Z1258" i="1"/>
  <c r="AC1258" i="1" s="1"/>
  <c r="Q1260" i="1"/>
  <c r="P1260" i="1"/>
  <c r="S1259" i="1" a="1"/>
  <c r="R1259" i="1" a="1"/>
  <c r="R1259" i="1" s="1"/>
  <c r="L1259" i="1" s="1"/>
  <c r="O1260" i="1"/>
  <c r="AP1261" i="1"/>
  <c r="AQ1260" i="1"/>
  <c r="BO357" i="1"/>
  <c r="BP356" i="1"/>
  <c r="AS1260" i="1" l="1"/>
  <c r="W1259" i="1"/>
  <c r="X1259" i="1"/>
  <c r="AR1259" i="1"/>
  <c r="Y1258" i="1"/>
  <c r="AB1258" i="1" s="1"/>
  <c r="S1259" i="1"/>
  <c r="V1259" i="1" s="1"/>
  <c r="Z1259" i="1"/>
  <c r="AC1259" i="1" s="1"/>
  <c r="AA1259" i="1"/>
  <c r="AD1259" i="1" s="1"/>
  <c r="P1261" i="1"/>
  <c r="Q1261" i="1"/>
  <c r="R1260" i="1" a="1"/>
  <c r="R1260" i="1" s="1"/>
  <c r="L1260" i="1" s="1"/>
  <c r="S1260" i="1" a="1"/>
  <c r="O1261" i="1"/>
  <c r="AP1262" i="1"/>
  <c r="AQ1261" i="1"/>
  <c r="BO358" i="1"/>
  <c r="BP357" i="1"/>
  <c r="AS1261" i="1" l="1"/>
  <c r="W1260" i="1"/>
  <c r="X1260" i="1"/>
  <c r="AR1260" i="1"/>
  <c r="Y1259" i="1"/>
  <c r="AB1259" i="1" s="1"/>
  <c r="S1260" i="1"/>
  <c r="V1260" i="1" s="1"/>
  <c r="Z1260" i="1"/>
  <c r="AC1260" i="1" s="1"/>
  <c r="AA1260" i="1"/>
  <c r="AD1260" i="1" s="1"/>
  <c r="Q1262" i="1"/>
  <c r="P1262" i="1"/>
  <c r="S1261" i="1" a="1"/>
  <c r="R1261" i="1" a="1"/>
  <c r="R1261" i="1" s="1"/>
  <c r="L1261" i="1" s="1"/>
  <c r="O1262" i="1"/>
  <c r="AP1263" i="1"/>
  <c r="AQ1262" i="1"/>
  <c r="BO359" i="1"/>
  <c r="BP358" i="1"/>
  <c r="AS1262" i="1" l="1"/>
  <c r="W1261" i="1"/>
  <c r="X1261" i="1"/>
  <c r="AR1261" i="1"/>
  <c r="Y1260" i="1"/>
  <c r="AB1260" i="1" s="1"/>
  <c r="S1261" i="1"/>
  <c r="V1261" i="1" s="1"/>
  <c r="Z1261" i="1"/>
  <c r="AC1261" i="1" s="1"/>
  <c r="AA1261" i="1"/>
  <c r="AD1261" i="1" s="1"/>
  <c r="Q1263" i="1"/>
  <c r="P1263" i="1"/>
  <c r="R1262" i="1" a="1"/>
  <c r="R1262" i="1" s="1"/>
  <c r="L1262" i="1" s="1"/>
  <c r="S1262" i="1" a="1"/>
  <c r="O1263" i="1"/>
  <c r="AP1264" i="1"/>
  <c r="AQ1263" i="1"/>
  <c r="BO360" i="1"/>
  <c r="BP359" i="1"/>
  <c r="X1262" i="1" l="1"/>
  <c r="W1262" i="1"/>
  <c r="AR1262" i="1"/>
  <c r="AS1263" i="1"/>
  <c r="Y1261" i="1"/>
  <c r="AB1261" i="1" s="1"/>
  <c r="S1262" i="1"/>
  <c r="V1262" i="1" s="1"/>
  <c r="AA1262" i="1"/>
  <c r="AD1262" i="1" s="1"/>
  <c r="Z1262" i="1"/>
  <c r="AC1262" i="1" s="1"/>
  <c r="Q1264" i="1"/>
  <c r="P1264" i="1"/>
  <c r="R1263" i="1" a="1"/>
  <c r="R1263" i="1" s="1"/>
  <c r="L1263" i="1" s="1"/>
  <c r="S1263" i="1" a="1"/>
  <c r="O1264" i="1"/>
  <c r="AP1265" i="1"/>
  <c r="AQ1264" i="1"/>
  <c r="BO361" i="1"/>
  <c r="BP360" i="1"/>
  <c r="X1263" i="1" l="1"/>
  <c r="W1263" i="1"/>
  <c r="AR1263" i="1"/>
  <c r="AS1264" i="1"/>
  <c r="Y1262" i="1"/>
  <c r="AB1262" i="1" s="1"/>
  <c r="S1263" i="1"/>
  <c r="V1263" i="1" s="1"/>
  <c r="AA1263" i="1"/>
  <c r="AD1263" i="1" s="1"/>
  <c r="Z1263" i="1"/>
  <c r="AC1263" i="1" s="1"/>
  <c r="P1265" i="1"/>
  <c r="Q1265" i="1"/>
  <c r="S1264" i="1" a="1"/>
  <c r="R1264" i="1" a="1"/>
  <c r="R1264" i="1" s="1"/>
  <c r="L1264" i="1" s="1"/>
  <c r="O1265" i="1"/>
  <c r="AP1266" i="1"/>
  <c r="AQ1265" i="1"/>
  <c r="BO362" i="1"/>
  <c r="BP361" i="1"/>
  <c r="AS1265" i="1" l="1"/>
  <c r="X1264" i="1"/>
  <c r="W1264" i="1"/>
  <c r="AR1264" i="1"/>
  <c r="Y1263" i="1"/>
  <c r="AB1263" i="1" s="1"/>
  <c r="S1264" i="1"/>
  <c r="V1264" i="1" s="1"/>
  <c r="Z1264" i="1"/>
  <c r="AC1264" i="1" s="1"/>
  <c r="AA1264" i="1"/>
  <c r="AD1264" i="1" s="1"/>
  <c r="Q1266" i="1"/>
  <c r="P1266" i="1"/>
  <c r="S1265" i="1" a="1"/>
  <c r="R1265" i="1" a="1"/>
  <c r="R1265" i="1" s="1"/>
  <c r="L1265" i="1" s="1"/>
  <c r="AR1265" i="1" s="1"/>
  <c r="O1266" i="1"/>
  <c r="AP1267" i="1"/>
  <c r="AQ1266" i="1"/>
  <c r="BO363" i="1"/>
  <c r="BP362" i="1"/>
  <c r="AS1266" i="1" l="1"/>
  <c r="W1265" i="1"/>
  <c r="X1265" i="1"/>
  <c r="Y1264" i="1"/>
  <c r="AB1264" i="1" s="1"/>
  <c r="S1265" i="1"/>
  <c r="V1265" i="1" s="1"/>
  <c r="AA1265" i="1"/>
  <c r="AD1265" i="1" s="1"/>
  <c r="Z1265" i="1"/>
  <c r="AC1265" i="1" s="1"/>
  <c r="P1267" i="1"/>
  <c r="Q1267" i="1"/>
  <c r="S1266" i="1" a="1"/>
  <c r="R1266" i="1" a="1"/>
  <c r="R1266" i="1" s="1"/>
  <c r="L1266" i="1" s="1"/>
  <c r="O1267" i="1"/>
  <c r="AP1268" i="1"/>
  <c r="AQ1267" i="1"/>
  <c r="BO364" i="1"/>
  <c r="BP363" i="1"/>
  <c r="AS1267" i="1" l="1"/>
  <c r="W1266" i="1"/>
  <c r="X1266" i="1"/>
  <c r="AR1266" i="1"/>
  <c r="Y1265" i="1"/>
  <c r="AB1265" i="1" s="1"/>
  <c r="S1266" i="1"/>
  <c r="V1266" i="1" s="1"/>
  <c r="Z1266" i="1"/>
  <c r="AC1266" i="1" s="1"/>
  <c r="AA1266" i="1"/>
  <c r="AD1266" i="1" s="1"/>
  <c r="Q1268" i="1"/>
  <c r="P1268" i="1"/>
  <c r="S1267" i="1" a="1"/>
  <c r="R1267" i="1" a="1"/>
  <c r="R1267" i="1" s="1"/>
  <c r="L1267" i="1" s="1"/>
  <c r="O1268" i="1"/>
  <c r="AP1269" i="1"/>
  <c r="AQ1268" i="1"/>
  <c r="BO365" i="1"/>
  <c r="BP364" i="1"/>
  <c r="W1267" i="1" l="1"/>
  <c r="X1267" i="1"/>
  <c r="AR1267" i="1"/>
  <c r="AS1268" i="1"/>
  <c r="Y1266" i="1"/>
  <c r="AB1266" i="1" s="1"/>
  <c r="S1267" i="1"/>
  <c r="V1267" i="1" s="1"/>
  <c r="AA1267" i="1"/>
  <c r="AD1267" i="1" s="1"/>
  <c r="Z1267" i="1"/>
  <c r="AC1267" i="1" s="1"/>
  <c r="P1269" i="1"/>
  <c r="Q1269" i="1"/>
  <c r="S1268" i="1" a="1"/>
  <c r="R1268" i="1" a="1"/>
  <c r="R1268" i="1" s="1"/>
  <c r="L1268" i="1" s="1"/>
  <c r="O1269" i="1"/>
  <c r="AP1270" i="1"/>
  <c r="AQ1269" i="1"/>
  <c r="BO366" i="1"/>
  <c r="BP365" i="1"/>
  <c r="AS1269" i="1" l="1"/>
  <c r="X1268" i="1"/>
  <c r="W1268" i="1"/>
  <c r="AR1268" i="1"/>
  <c r="Y1267" i="1"/>
  <c r="AB1267" i="1" s="1"/>
  <c r="S1268" i="1"/>
  <c r="V1268" i="1" s="1"/>
  <c r="Z1268" i="1"/>
  <c r="AC1268" i="1" s="1"/>
  <c r="AA1268" i="1"/>
  <c r="AD1268" i="1" s="1"/>
  <c r="P1270" i="1"/>
  <c r="Q1270" i="1"/>
  <c r="S1269" i="1" a="1"/>
  <c r="R1269" i="1" a="1"/>
  <c r="R1269" i="1" s="1"/>
  <c r="L1269" i="1" s="1"/>
  <c r="O1270" i="1"/>
  <c r="AP1271" i="1"/>
  <c r="AQ1270" i="1"/>
  <c r="BO367" i="1"/>
  <c r="BP366" i="1"/>
  <c r="X1269" i="1" l="1"/>
  <c r="W1269" i="1"/>
  <c r="AR1269" i="1"/>
  <c r="AS1270" i="1"/>
  <c r="Y1268" i="1"/>
  <c r="AB1268" i="1" s="1"/>
  <c r="S1269" i="1"/>
  <c r="V1269" i="1" s="1"/>
  <c r="AA1269" i="1"/>
  <c r="AD1269" i="1" s="1"/>
  <c r="Z1269" i="1"/>
  <c r="AC1269" i="1" s="1"/>
  <c r="S1270" i="1" a="1"/>
  <c r="R1270" i="1" a="1"/>
  <c r="R1270" i="1" s="1"/>
  <c r="L1270" i="1" s="1"/>
  <c r="Q1271" i="1"/>
  <c r="P1271" i="1"/>
  <c r="O1271" i="1"/>
  <c r="AP1272" i="1"/>
  <c r="AQ1271" i="1"/>
  <c r="BO368" i="1"/>
  <c r="BP367" i="1"/>
  <c r="X1270" i="1" l="1"/>
  <c r="W1270" i="1"/>
  <c r="AR1270" i="1"/>
  <c r="AS1271" i="1"/>
  <c r="Y1269" i="1"/>
  <c r="AB1269" i="1" s="1"/>
  <c r="S1270" i="1"/>
  <c r="V1270" i="1" s="1"/>
  <c r="Z1270" i="1"/>
  <c r="AC1270" i="1" s="1"/>
  <c r="AA1270" i="1"/>
  <c r="AD1270" i="1" s="1"/>
  <c r="Q1272" i="1"/>
  <c r="P1272" i="1"/>
  <c r="S1271" i="1" a="1"/>
  <c r="R1271" i="1" a="1"/>
  <c r="R1271" i="1" s="1"/>
  <c r="L1271" i="1" s="1"/>
  <c r="AR1271" i="1" s="1"/>
  <c r="O1272" i="1"/>
  <c r="AP1273" i="1"/>
  <c r="AQ1272" i="1"/>
  <c r="BO369" i="1"/>
  <c r="BP368" i="1"/>
  <c r="AS1272" i="1" l="1"/>
  <c r="X1271" i="1"/>
  <c r="W1271" i="1"/>
  <c r="Y1270" i="1"/>
  <c r="AB1270" i="1" s="1"/>
  <c r="S1271" i="1"/>
  <c r="V1271" i="1" s="1"/>
  <c r="Z1271" i="1"/>
  <c r="AC1271" i="1" s="1"/>
  <c r="AA1271" i="1"/>
  <c r="AD1271" i="1" s="1"/>
  <c r="P1273" i="1"/>
  <c r="Q1273" i="1"/>
  <c r="S1272" i="1" a="1"/>
  <c r="R1272" i="1" a="1"/>
  <c r="R1272" i="1" s="1"/>
  <c r="L1272" i="1" s="1"/>
  <c r="O1273" i="1"/>
  <c r="AP1274" i="1"/>
  <c r="AQ1273" i="1"/>
  <c r="BO370" i="1"/>
  <c r="BP369" i="1"/>
  <c r="AS1273" i="1" l="1"/>
  <c r="W1272" i="1"/>
  <c r="X1272" i="1"/>
  <c r="AR1272" i="1"/>
  <c r="Y1271" i="1"/>
  <c r="AB1271" i="1" s="1"/>
  <c r="S1272" i="1"/>
  <c r="V1272" i="1" s="1"/>
  <c r="AA1272" i="1"/>
  <c r="AD1272" i="1" s="1"/>
  <c r="Z1272" i="1"/>
  <c r="AC1272" i="1" s="1"/>
  <c r="P1274" i="1"/>
  <c r="Q1274" i="1"/>
  <c r="S1273" i="1" a="1"/>
  <c r="R1273" i="1" a="1"/>
  <c r="R1273" i="1" s="1"/>
  <c r="L1273" i="1" s="1"/>
  <c r="O1274" i="1"/>
  <c r="AP1275" i="1"/>
  <c r="AQ1274" i="1"/>
  <c r="BO371" i="1"/>
  <c r="BP370" i="1"/>
  <c r="AS1274" i="1" l="1"/>
  <c r="W1273" i="1"/>
  <c r="X1273" i="1"/>
  <c r="AR1273" i="1"/>
  <c r="Y1272" i="1"/>
  <c r="AB1272" i="1" s="1"/>
  <c r="S1273" i="1"/>
  <c r="V1273" i="1" s="1"/>
  <c r="Z1273" i="1"/>
  <c r="AC1273" i="1" s="1"/>
  <c r="AA1273" i="1"/>
  <c r="AD1273" i="1" s="1"/>
  <c r="Q1275" i="1"/>
  <c r="P1275" i="1"/>
  <c r="S1274" i="1" a="1"/>
  <c r="R1274" i="1" a="1"/>
  <c r="R1274" i="1" s="1"/>
  <c r="L1274" i="1" s="1"/>
  <c r="O1275" i="1"/>
  <c r="AP1276" i="1"/>
  <c r="AQ1275" i="1"/>
  <c r="BO372" i="1"/>
  <c r="BP371" i="1"/>
  <c r="X1274" i="1" l="1"/>
  <c r="W1274" i="1"/>
  <c r="AR1274" i="1"/>
  <c r="AS1275" i="1"/>
  <c r="Y1273" i="1"/>
  <c r="AB1273" i="1" s="1"/>
  <c r="S1274" i="1"/>
  <c r="V1274" i="1" s="1"/>
  <c r="AA1274" i="1"/>
  <c r="AD1274" i="1" s="1"/>
  <c r="Z1274" i="1"/>
  <c r="AC1274" i="1" s="1"/>
  <c r="Q1276" i="1"/>
  <c r="P1276" i="1"/>
  <c r="R1275" i="1" a="1"/>
  <c r="R1275" i="1" s="1"/>
  <c r="L1275" i="1" s="1"/>
  <c r="S1275" i="1" a="1"/>
  <c r="O1276" i="1"/>
  <c r="AP1277" i="1"/>
  <c r="AQ1276" i="1"/>
  <c r="BO373" i="1"/>
  <c r="BP372" i="1"/>
  <c r="AS1276" i="1" l="1"/>
  <c r="X1275" i="1"/>
  <c r="W1275" i="1"/>
  <c r="AR1275" i="1"/>
  <c r="Y1274" i="1"/>
  <c r="AB1274" i="1" s="1"/>
  <c r="S1275" i="1"/>
  <c r="V1275" i="1" s="1"/>
  <c r="Z1275" i="1"/>
  <c r="AC1275" i="1" s="1"/>
  <c r="AA1275" i="1"/>
  <c r="AD1275" i="1" s="1"/>
  <c r="Q1277" i="1"/>
  <c r="P1277" i="1"/>
  <c r="S1276" i="1" a="1"/>
  <c r="R1276" i="1" a="1"/>
  <c r="R1276" i="1" s="1"/>
  <c r="L1276" i="1" s="1"/>
  <c r="O1277" i="1"/>
  <c r="AP1278" i="1"/>
  <c r="AQ1277" i="1"/>
  <c r="BO374" i="1"/>
  <c r="BP373" i="1"/>
  <c r="X1276" i="1" l="1"/>
  <c r="W1276" i="1"/>
  <c r="AR1276" i="1"/>
  <c r="AS1277" i="1"/>
  <c r="Y1275" i="1"/>
  <c r="AB1275" i="1" s="1"/>
  <c r="S1276" i="1"/>
  <c r="V1276" i="1" s="1"/>
  <c r="Z1276" i="1"/>
  <c r="AC1276" i="1" s="1"/>
  <c r="AA1276" i="1"/>
  <c r="AD1276" i="1" s="1"/>
  <c r="P1278" i="1"/>
  <c r="Q1278" i="1"/>
  <c r="S1277" i="1" a="1"/>
  <c r="R1277" i="1" a="1"/>
  <c r="R1277" i="1" s="1"/>
  <c r="L1277" i="1" s="1"/>
  <c r="AR1277" i="1" s="1"/>
  <c r="O1278" i="1"/>
  <c r="AP1279" i="1"/>
  <c r="AQ1278" i="1"/>
  <c r="BO375" i="1"/>
  <c r="BP374" i="1"/>
  <c r="AS1278" i="1" l="1"/>
  <c r="W1277" i="1"/>
  <c r="X1277" i="1"/>
  <c r="Y1276" i="1"/>
  <c r="AB1276" i="1" s="1"/>
  <c r="S1277" i="1"/>
  <c r="V1277" i="1" s="1"/>
  <c r="Z1277" i="1"/>
  <c r="AC1277" i="1" s="1"/>
  <c r="AA1277" i="1"/>
  <c r="AD1277" i="1" s="1"/>
  <c r="Q1279" i="1"/>
  <c r="P1279" i="1"/>
  <c r="S1278" i="1" a="1"/>
  <c r="R1278" i="1" a="1"/>
  <c r="R1278" i="1" s="1"/>
  <c r="L1278" i="1" s="1"/>
  <c r="O1279" i="1"/>
  <c r="AP1280" i="1"/>
  <c r="AQ1279" i="1"/>
  <c r="BO376" i="1"/>
  <c r="BP375" i="1"/>
  <c r="AS1279" i="1" l="1"/>
  <c r="W1278" i="1"/>
  <c r="X1278" i="1"/>
  <c r="AR1278" i="1"/>
  <c r="Y1277" i="1"/>
  <c r="AB1277" i="1" s="1"/>
  <c r="S1278" i="1"/>
  <c r="V1278" i="1" s="1"/>
  <c r="AA1278" i="1"/>
  <c r="AD1278" i="1" s="1"/>
  <c r="Z1278" i="1"/>
  <c r="AC1278" i="1" s="1"/>
  <c r="Q1280" i="1"/>
  <c r="P1280" i="1"/>
  <c r="S1279" i="1" a="1"/>
  <c r="R1279" i="1" a="1"/>
  <c r="R1279" i="1" s="1"/>
  <c r="L1279" i="1" s="1"/>
  <c r="O1280" i="1"/>
  <c r="AP1281" i="1"/>
  <c r="AQ1280" i="1"/>
  <c r="BO377" i="1"/>
  <c r="BP376" i="1"/>
  <c r="AS1280" i="1" l="1"/>
  <c r="W1279" i="1"/>
  <c r="X1279" i="1"/>
  <c r="AR1279" i="1"/>
  <c r="Y1278" i="1"/>
  <c r="AB1278" i="1" s="1"/>
  <c r="S1279" i="1"/>
  <c r="V1279" i="1" s="1"/>
  <c r="Z1279" i="1"/>
  <c r="AC1279" i="1" s="1"/>
  <c r="AA1279" i="1"/>
  <c r="AD1279" i="1" s="1"/>
  <c r="S1280" i="1" a="1"/>
  <c r="R1280" i="1" a="1"/>
  <c r="R1280" i="1" s="1"/>
  <c r="L1280" i="1" s="1"/>
  <c r="Q1281" i="1"/>
  <c r="P1281" i="1"/>
  <c r="O1281" i="1"/>
  <c r="AP1282" i="1"/>
  <c r="AQ1281" i="1"/>
  <c r="BO378" i="1"/>
  <c r="BP377" i="1"/>
  <c r="W1280" i="1" l="1"/>
  <c r="X1280" i="1"/>
  <c r="AR1280" i="1"/>
  <c r="AS1281" i="1"/>
  <c r="Y1279" i="1"/>
  <c r="AB1279" i="1" s="1"/>
  <c r="S1280" i="1"/>
  <c r="V1280" i="1" s="1"/>
  <c r="Z1280" i="1"/>
  <c r="AC1280" i="1" s="1"/>
  <c r="AA1280" i="1"/>
  <c r="AD1280" i="1" s="1"/>
  <c r="P1282" i="1"/>
  <c r="Q1282" i="1"/>
  <c r="R1281" i="1" a="1"/>
  <c r="R1281" i="1" s="1"/>
  <c r="L1281" i="1" s="1"/>
  <c r="AR1281" i="1" s="1"/>
  <c r="S1281" i="1" a="1"/>
  <c r="O1282" i="1"/>
  <c r="AP1283" i="1"/>
  <c r="AQ1282" i="1"/>
  <c r="BO379" i="1"/>
  <c r="BP378" i="1"/>
  <c r="AS1282" i="1" l="1"/>
  <c r="W1281" i="1"/>
  <c r="X1281" i="1"/>
  <c r="Y1280" i="1"/>
  <c r="AB1280" i="1" s="1"/>
  <c r="S1281" i="1"/>
  <c r="V1281" i="1" s="1"/>
  <c r="Z1281" i="1"/>
  <c r="AC1281" i="1" s="1"/>
  <c r="AA1281" i="1"/>
  <c r="AD1281" i="1" s="1"/>
  <c r="Q1283" i="1"/>
  <c r="P1283" i="1"/>
  <c r="S1282" i="1" a="1"/>
  <c r="R1282" i="1" a="1"/>
  <c r="R1282" i="1" s="1"/>
  <c r="L1282" i="1" s="1"/>
  <c r="O1283" i="1"/>
  <c r="AP1284" i="1"/>
  <c r="AQ1283" i="1"/>
  <c r="BO380" i="1"/>
  <c r="BP379" i="1"/>
  <c r="AS1283" i="1" l="1"/>
  <c r="W1282" i="1"/>
  <c r="X1282" i="1"/>
  <c r="AR1282" i="1"/>
  <c r="Y1281" i="1"/>
  <c r="AB1281" i="1" s="1"/>
  <c r="S1282" i="1"/>
  <c r="V1282" i="1" s="1"/>
  <c r="Z1282" i="1"/>
  <c r="AC1282" i="1" s="1"/>
  <c r="AA1282" i="1"/>
  <c r="AD1282" i="1" s="1"/>
  <c r="Q1284" i="1"/>
  <c r="P1284" i="1"/>
  <c r="R1283" i="1" a="1"/>
  <c r="R1283" i="1" s="1"/>
  <c r="L1283" i="1" s="1"/>
  <c r="S1283" i="1" a="1"/>
  <c r="O1284" i="1"/>
  <c r="AP1285" i="1"/>
  <c r="AQ1284" i="1"/>
  <c r="BO381" i="1"/>
  <c r="BP380" i="1"/>
  <c r="AS1284" i="1" l="1"/>
  <c r="X1283" i="1"/>
  <c r="W1283" i="1"/>
  <c r="AR1283" i="1"/>
  <c r="Y1282" i="1"/>
  <c r="AB1282" i="1" s="1"/>
  <c r="S1283" i="1"/>
  <c r="V1283" i="1" s="1"/>
  <c r="AA1283" i="1"/>
  <c r="AD1283" i="1" s="1"/>
  <c r="Z1283" i="1"/>
  <c r="AC1283" i="1" s="1"/>
  <c r="Q1285" i="1"/>
  <c r="P1285" i="1"/>
  <c r="R1284" i="1" a="1"/>
  <c r="R1284" i="1" s="1"/>
  <c r="L1284" i="1" s="1"/>
  <c r="S1284" i="1" a="1"/>
  <c r="O1285" i="1"/>
  <c r="AP1286" i="1"/>
  <c r="AQ1285" i="1"/>
  <c r="BO382" i="1"/>
  <c r="BP381" i="1"/>
  <c r="AS1285" i="1" l="1"/>
  <c r="X1284" i="1"/>
  <c r="W1284" i="1"/>
  <c r="AR1284" i="1"/>
  <c r="Y1283" i="1"/>
  <c r="AB1283" i="1" s="1"/>
  <c r="S1284" i="1"/>
  <c r="V1284" i="1" s="1"/>
  <c r="AA1284" i="1"/>
  <c r="AD1284" i="1" s="1"/>
  <c r="Z1284" i="1"/>
  <c r="AC1284" i="1" s="1"/>
  <c r="Q1286" i="1"/>
  <c r="P1286" i="1"/>
  <c r="S1285" i="1" a="1"/>
  <c r="R1285" i="1" a="1"/>
  <c r="R1285" i="1" s="1"/>
  <c r="L1285" i="1" s="1"/>
  <c r="O1286" i="1"/>
  <c r="AP1287" i="1"/>
  <c r="AQ1286" i="1"/>
  <c r="BO383" i="1"/>
  <c r="BP382" i="1"/>
  <c r="AS1286" i="1" l="1"/>
  <c r="X1285" i="1"/>
  <c r="W1285" i="1"/>
  <c r="AR1285" i="1"/>
  <c r="Y1284" i="1"/>
  <c r="AB1284" i="1" s="1"/>
  <c r="S1285" i="1"/>
  <c r="V1285" i="1" s="1"/>
  <c r="Z1285" i="1"/>
  <c r="AC1285" i="1" s="1"/>
  <c r="AA1285" i="1"/>
  <c r="AD1285" i="1" s="1"/>
  <c r="P1287" i="1"/>
  <c r="Q1287" i="1"/>
  <c r="R1286" i="1" a="1"/>
  <c r="R1286" i="1" s="1"/>
  <c r="L1286" i="1" s="1"/>
  <c r="S1286" i="1" a="1"/>
  <c r="O1287" i="1"/>
  <c r="AP1288" i="1"/>
  <c r="AQ1287" i="1"/>
  <c r="BO384" i="1"/>
  <c r="BP383" i="1"/>
  <c r="AS1287" i="1" l="1"/>
  <c r="X1286" i="1"/>
  <c r="W1286" i="1"/>
  <c r="AR1286" i="1"/>
  <c r="Y1285" i="1"/>
  <c r="AB1285" i="1" s="1"/>
  <c r="S1286" i="1"/>
  <c r="V1286" i="1" s="1"/>
  <c r="Z1286" i="1"/>
  <c r="AC1286" i="1" s="1"/>
  <c r="AA1286" i="1"/>
  <c r="AD1286" i="1" s="1"/>
  <c r="Q1288" i="1"/>
  <c r="P1288" i="1"/>
  <c r="R1287" i="1" a="1"/>
  <c r="R1287" i="1" s="1"/>
  <c r="L1287" i="1" s="1"/>
  <c r="S1287" i="1" a="1"/>
  <c r="O1288" i="1"/>
  <c r="AP1289" i="1"/>
  <c r="AQ1288" i="1"/>
  <c r="BO385" i="1"/>
  <c r="BP384" i="1"/>
  <c r="AS1288" i="1" l="1"/>
  <c r="X1287" i="1"/>
  <c r="W1287" i="1"/>
  <c r="AR1287" i="1"/>
  <c r="Y1286" i="1"/>
  <c r="AB1286" i="1" s="1"/>
  <c r="S1287" i="1"/>
  <c r="V1287" i="1" s="1"/>
  <c r="AA1287" i="1"/>
  <c r="AD1287" i="1" s="1"/>
  <c r="Z1287" i="1"/>
  <c r="AC1287" i="1" s="1"/>
  <c r="P1289" i="1"/>
  <c r="Q1289" i="1"/>
  <c r="S1288" i="1" a="1"/>
  <c r="R1288" i="1" a="1"/>
  <c r="R1288" i="1" s="1"/>
  <c r="L1288" i="1" s="1"/>
  <c r="O1289" i="1"/>
  <c r="AP1290" i="1"/>
  <c r="AQ1289" i="1"/>
  <c r="BO386" i="1"/>
  <c r="BP385" i="1"/>
  <c r="X1288" i="1" l="1"/>
  <c r="W1288" i="1"/>
  <c r="AR1288" i="1"/>
  <c r="AS1289" i="1"/>
  <c r="Y1287" i="1"/>
  <c r="AB1287" i="1" s="1"/>
  <c r="S1288" i="1"/>
  <c r="V1288" i="1" s="1"/>
  <c r="AA1288" i="1"/>
  <c r="AD1288" i="1" s="1"/>
  <c r="Z1288" i="1"/>
  <c r="AC1288" i="1" s="1"/>
  <c r="P1290" i="1"/>
  <c r="Q1290" i="1"/>
  <c r="S1289" i="1" a="1"/>
  <c r="R1289" i="1" a="1"/>
  <c r="R1289" i="1" s="1"/>
  <c r="L1289" i="1" s="1"/>
  <c r="O1290" i="1"/>
  <c r="AP1291" i="1"/>
  <c r="AQ1290" i="1"/>
  <c r="BO387" i="1"/>
  <c r="BP386" i="1"/>
  <c r="AS1290" i="1" l="1"/>
  <c r="W1289" i="1"/>
  <c r="X1289" i="1"/>
  <c r="AR1289" i="1"/>
  <c r="Y1288" i="1"/>
  <c r="AB1288" i="1" s="1"/>
  <c r="S1289" i="1"/>
  <c r="V1289" i="1" s="1"/>
  <c r="AA1289" i="1"/>
  <c r="AD1289" i="1" s="1"/>
  <c r="Z1289" i="1"/>
  <c r="AC1289" i="1" s="1"/>
  <c r="P1291" i="1"/>
  <c r="Q1291" i="1"/>
  <c r="S1290" i="1" a="1"/>
  <c r="R1290" i="1" a="1"/>
  <c r="R1290" i="1" s="1"/>
  <c r="L1290" i="1" s="1"/>
  <c r="O1291" i="1"/>
  <c r="AP1292" i="1"/>
  <c r="AQ1291" i="1"/>
  <c r="BO388" i="1"/>
  <c r="BP387" i="1"/>
  <c r="AS1291" i="1" l="1"/>
  <c r="W1290" i="1"/>
  <c r="X1290" i="1"/>
  <c r="AR1290" i="1"/>
  <c r="Y1289" i="1"/>
  <c r="AB1289" i="1" s="1"/>
  <c r="S1290" i="1"/>
  <c r="V1290" i="1" s="1"/>
  <c r="AA1290" i="1"/>
  <c r="AD1290" i="1" s="1"/>
  <c r="Z1290" i="1"/>
  <c r="AC1290" i="1" s="1"/>
  <c r="Q1292" i="1"/>
  <c r="P1292" i="1"/>
  <c r="O1292" i="1"/>
  <c r="S1291" i="1" a="1"/>
  <c r="R1291" i="1" a="1"/>
  <c r="R1291" i="1" s="1"/>
  <c r="L1291" i="1" s="1"/>
  <c r="AP1293" i="1"/>
  <c r="AQ1292" i="1"/>
  <c r="BO389" i="1"/>
  <c r="BP388" i="1"/>
  <c r="AS1292" i="1" l="1"/>
  <c r="W1291" i="1"/>
  <c r="X1291" i="1"/>
  <c r="AR1291" i="1"/>
  <c r="Y1290" i="1"/>
  <c r="AB1290" i="1" s="1"/>
  <c r="S1291" i="1"/>
  <c r="V1291" i="1" s="1"/>
  <c r="AA1291" i="1"/>
  <c r="AD1291" i="1" s="1"/>
  <c r="Z1291" i="1"/>
  <c r="AC1291" i="1" s="1"/>
  <c r="Q1293" i="1"/>
  <c r="P1293" i="1"/>
  <c r="S1292" i="1" a="1"/>
  <c r="R1292" i="1" a="1"/>
  <c r="R1292" i="1" s="1"/>
  <c r="L1292" i="1" s="1"/>
  <c r="O1293" i="1"/>
  <c r="AP1294" i="1"/>
  <c r="AQ1293" i="1"/>
  <c r="BO390" i="1"/>
  <c r="BP389" i="1"/>
  <c r="AS1293" i="1" l="1"/>
  <c r="W1292" i="1"/>
  <c r="X1292" i="1"/>
  <c r="AR1292" i="1"/>
  <c r="Y1291" i="1"/>
  <c r="AB1291" i="1" s="1"/>
  <c r="S1292" i="1"/>
  <c r="V1292" i="1" s="1"/>
  <c r="Z1292" i="1"/>
  <c r="AC1292" i="1" s="1"/>
  <c r="AA1292" i="1"/>
  <c r="AD1292" i="1" s="1"/>
  <c r="Q1294" i="1"/>
  <c r="P1294" i="1"/>
  <c r="S1293" i="1" a="1"/>
  <c r="R1293" i="1" a="1"/>
  <c r="R1293" i="1" s="1"/>
  <c r="L1293" i="1" s="1"/>
  <c r="O1294" i="1"/>
  <c r="AP1295" i="1"/>
  <c r="AQ1294" i="1"/>
  <c r="BO391" i="1"/>
  <c r="BP390" i="1"/>
  <c r="AS1294" i="1" l="1"/>
  <c r="W1293" i="1"/>
  <c r="X1293" i="1"/>
  <c r="AR1293" i="1"/>
  <c r="Y1292" i="1"/>
  <c r="AB1292" i="1" s="1"/>
  <c r="S1293" i="1"/>
  <c r="V1293" i="1" s="1"/>
  <c r="AA1293" i="1"/>
  <c r="AD1293" i="1" s="1"/>
  <c r="Z1293" i="1"/>
  <c r="AC1293" i="1" s="1"/>
  <c r="P1295" i="1"/>
  <c r="Q1295" i="1"/>
  <c r="S1294" i="1" a="1"/>
  <c r="R1294" i="1" a="1"/>
  <c r="R1294" i="1" s="1"/>
  <c r="L1294" i="1" s="1"/>
  <c r="AR1294" i="1" s="1"/>
  <c r="O1295" i="1"/>
  <c r="AP1296" i="1"/>
  <c r="AQ1295" i="1"/>
  <c r="BO392" i="1"/>
  <c r="BP391" i="1"/>
  <c r="AS1295" i="1" l="1"/>
  <c r="W1294" i="1"/>
  <c r="X1294" i="1"/>
  <c r="Y1293" i="1"/>
  <c r="AB1293" i="1" s="1"/>
  <c r="S1294" i="1"/>
  <c r="V1294" i="1" s="1"/>
  <c r="AA1294" i="1"/>
  <c r="AD1294" i="1" s="1"/>
  <c r="Z1294" i="1"/>
  <c r="AC1294" i="1" s="1"/>
  <c r="P1296" i="1"/>
  <c r="Q1296" i="1"/>
  <c r="S1295" i="1" a="1"/>
  <c r="R1295" i="1" a="1"/>
  <c r="R1295" i="1" s="1"/>
  <c r="L1295" i="1" s="1"/>
  <c r="O1296" i="1"/>
  <c r="AP1297" i="1"/>
  <c r="AQ1296" i="1"/>
  <c r="BO393" i="1"/>
  <c r="BP392" i="1"/>
  <c r="AS1296" i="1" l="1"/>
  <c r="W1295" i="1"/>
  <c r="X1295" i="1"/>
  <c r="AR1295" i="1"/>
  <c r="Y1294" i="1"/>
  <c r="AB1294" i="1" s="1"/>
  <c r="S1295" i="1"/>
  <c r="V1295" i="1" s="1"/>
  <c r="AA1295" i="1"/>
  <c r="AD1295" i="1" s="1"/>
  <c r="Z1295" i="1"/>
  <c r="AC1295" i="1" s="1"/>
  <c r="S1296" i="1" a="1"/>
  <c r="R1296" i="1" a="1"/>
  <c r="R1296" i="1" s="1"/>
  <c r="L1296" i="1" s="1"/>
  <c r="Q1297" i="1"/>
  <c r="P1297" i="1"/>
  <c r="O1297" i="1"/>
  <c r="AP1298" i="1"/>
  <c r="AQ1297" i="1"/>
  <c r="BO394" i="1"/>
  <c r="BP393" i="1"/>
  <c r="AS1297" i="1" l="1"/>
  <c r="W1296" i="1"/>
  <c r="X1296" i="1"/>
  <c r="AR1296" i="1"/>
  <c r="Y1295" i="1"/>
  <c r="AB1295" i="1" s="1"/>
  <c r="S1296" i="1"/>
  <c r="V1296" i="1" s="1"/>
  <c r="AA1296" i="1"/>
  <c r="AD1296" i="1" s="1"/>
  <c r="Z1296" i="1"/>
  <c r="AC1296" i="1" s="1"/>
  <c r="Q1298" i="1"/>
  <c r="P1298" i="1"/>
  <c r="S1297" i="1" a="1"/>
  <c r="R1297" i="1" a="1"/>
  <c r="R1297" i="1" s="1"/>
  <c r="L1297" i="1" s="1"/>
  <c r="AR1297" i="1" s="1"/>
  <c r="O1298" i="1"/>
  <c r="AP1299" i="1"/>
  <c r="AQ1298" i="1"/>
  <c r="BO395" i="1"/>
  <c r="BP394" i="1"/>
  <c r="X1297" i="1" l="1"/>
  <c r="W1297" i="1"/>
  <c r="AS1298" i="1"/>
  <c r="Y1296" i="1"/>
  <c r="AB1296" i="1" s="1"/>
  <c r="S1297" i="1"/>
  <c r="V1297" i="1" s="1"/>
  <c r="Z1297" i="1"/>
  <c r="AC1297" i="1" s="1"/>
  <c r="AA1297" i="1"/>
  <c r="AD1297" i="1" s="1"/>
  <c r="P1299" i="1"/>
  <c r="Q1299" i="1"/>
  <c r="S1298" i="1" a="1"/>
  <c r="R1298" i="1" a="1"/>
  <c r="R1298" i="1" s="1"/>
  <c r="L1298" i="1" s="1"/>
  <c r="O1299" i="1"/>
  <c r="AP1300" i="1"/>
  <c r="AQ1299" i="1"/>
  <c r="BO396" i="1"/>
  <c r="BP395" i="1"/>
  <c r="AS1299" i="1" l="1"/>
  <c r="X1298" i="1"/>
  <c r="W1298" i="1"/>
  <c r="AR1298" i="1"/>
  <c r="Y1297" i="1"/>
  <c r="AB1297" i="1" s="1"/>
  <c r="S1298" i="1"/>
  <c r="V1298" i="1" s="1"/>
  <c r="AA1298" i="1"/>
  <c r="AD1298" i="1" s="1"/>
  <c r="Z1298" i="1"/>
  <c r="AC1298" i="1" s="1"/>
  <c r="P1300" i="1"/>
  <c r="Q1300" i="1"/>
  <c r="R1299" i="1" a="1"/>
  <c r="R1299" i="1" s="1"/>
  <c r="L1299" i="1" s="1"/>
  <c r="S1299" i="1" a="1"/>
  <c r="O1300" i="1"/>
  <c r="AP1301" i="1"/>
  <c r="AQ1300" i="1"/>
  <c r="BO397" i="1"/>
  <c r="BP396" i="1"/>
  <c r="X1299" i="1" l="1"/>
  <c r="W1299" i="1"/>
  <c r="AR1299" i="1"/>
  <c r="AS1300" i="1"/>
  <c r="Y1298" i="1"/>
  <c r="AB1298" i="1" s="1"/>
  <c r="S1299" i="1"/>
  <c r="V1299" i="1" s="1"/>
  <c r="AA1299" i="1"/>
  <c r="AD1299" i="1" s="1"/>
  <c r="Z1299" i="1"/>
  <c r="AC1299" i="1" s="1"/>
  <c r="P1301" i="1"/>
  <c r="Q1301" i="1"/>
  <c r="S1300" i="1" a="1"/>
  <c r="R1300" i="1" a="1"/>
  <c r="R1300" i="1" s="1"/>
  <c r="L1300" i="1" s="1"/>
  <c r="O1301" i="1"/>
  <c r="AP1302" i="1"/>
  <c r="AQ1301" i="1"/>
  <c r="BO398" i="1"/>
  <c r="BP397" i="1"/>
  <c r="AS1301" i="1" l="1"/>
  <c r="X1300" i="1"/>
  <c r="W1300" i="1"/>
  <c r="AR1300" i="1"/>
  <c r="Y1299" i="1"/>
  <c r="AB1299" i="1" s="1"/>
  <c r="S1300" i="1"/>
  <c r="V1300" i="1" s="1"/>
  <c r="Z1300" i="1"/>
  <c r="AC1300" i="1" s="1"/>
  <c r="AA1300" i="1"/>
  <c r="AD1300" i="1" s="1"/>
  <c r="P1302" i="1"/>
  <c r="Q1302" i="1"/>
  <c r="S1301" i="1" a="1"/>
  <c r="R1301" i="1" a="1"/>
  <c r="R1301" i="1" s="1"/>
  <c r="L1301" i="1" s="1"/>
  <c r="O1302" i="1"/>
  <c r="AP1303" i="1"/>
  <c r="AQ1302" i="1"/>
  <c r="BO399" i="1"/>
  <c r="BP398" i="1"/>
  <c r="AS1302" i="1" l="1"/>
  <c r="W1301" i="1"/>
  <c r="X1301" i="1"/>
  <c r="AR1301" i="1"/>
  <c r="Y1300" i="1"/>
  <c r="AB1300" i="1" s="1"/>
  <c r="S1301" i="1"/>
  <c r="V1301" i="1" s="1"/>
  <c r="Z1301" i="1"/>
  <c r="AC1301" i="1" s="1"/>
  <c r="AA1301" i="1"/>
  <c r="AD1301" i="1" s="1"/>
  <c r="P1303" i="1"/>
  <c r="Q1303" i="1"/>
  <c r="S1302" i="1" a="1"/>
  <c r="R1302" i="1" a="1"/>
  <c r="R1302" i="1" s="1"/>
  <c r="L1302" i="1" s="1"/>
  <c r="AR1302" i="1" s="1"/>
  <c r="O1303" i="1"/>
  <c r="AP1304" i="1"/>
  <c r="AQ1303" i="1"/>
  <c r="BO400" i="1"/>
  <c r="BP399" i="1"/>
  <c r="AS1303" i="1" l="1"/>
  <c r="W1302" i="1"/>
  <c r="X1302" i="1"/>
  <c r="Y1301" i="1"/>
  <c r="AB1301" i="1" s="1"/>
  <c r="S1302" i="1"/>
  <c r="V1302" i="1" s="1"/>
  <c r="Z1302" i="1"/>
  <c r="AC1302" i="1" s="1"/>
  <c r="AA1302" i="1"/>
  <c r="AD1302" i="1" s="1"/>
  <c r="Q1304" i="1"/>
  <c r="P1304" i="1"/>
  <c r="S1303" i="1" a="1"/>
  <c r="R1303" i="1" a="1"/>
  <c r="R1303" i="1" s="1"/>
  <c r="L1303" i="1" s="1"/>
  <c r="O1304" i="1"/>
  <c r="AP1305" i="1"/>
  <c r="AQ1304" i="1"/>
  <c r="BO401" i="1"/>
  <c r="BP400" i="1"/>
  <c r="AS1304" i="1" l="1"/>
  <c r="W1303" i="1"/>
  <c r="X1303" i="1"/>
  <c r="AR1303" i="1"/>
  <c r="Y1302" i="1"/>
  <c r="AB1302" i="1" s="1"/>
  <c r="S1303" i="1"/>
  <c r="V1303" i="1" s="1"/>
  <c r="AA1303" i="1"/>
  <c r="AD1303" i="1" s="1"/>
  <c r="Z1303" i="1"/>
  <c r="AC1303" i="1" s="1"/>
  <c r="P1305" i="1"/>
  <c r="Q1305" i="1"/>
  <c r="S1304" i="1" a="1"/>
  <c r="R1304" i="1" a="1"/>
  <c r="R1304" i="1" s="1"/>
  <c r="L1304" i="1" s="1"/>
  <c r="O1305" i="1"/>
  <c r="AP1306" i="1"/>
  <c r="AQ1305" i="1"/>
  <c r="BO402" i="1"/>
  <c r="BP401" i="1"/>
  <c r="AS1305" i="1" l="1"/>
  <c r="W1304" i="1"/>
  <c r="X1304" i="1"/>
  <c r="AR1304" i="1"/>
  <c r="Y1303" i="1"/>
  <c r="AB1303" i="1" s="1"/>
  <c r="S1304" i="1"/>
  <c r="V1304" i="1" s="1"/>
  <c r="AA1304" i="1"/>
  <c r="AD1304" i="1" s="1"/>
  <c r="Z1304" i="1"/>
  <c r="AC1304" i="1" s="1"/>
  <c r="P1306" i="1"/>
  <c r="Q1306" i="1"/>
  <c r="S1305" i="1" a="1"/>
  <c r="R1305" i="1" a="1"/>
  <c r="R1305" i="1" s="1"/>
  <c r="L1305" i="1" s="1"/>
  <c r="O1306" i="1"/>
  <c r="AP1307" i="1"/>
  <c r="AQ1306" i="1"/>
  <c r="BO403" i="1"/>
  <c r="BP402" i="1"/>
  <c r="AS1306" i="1" l="1"/>
  <c r="X1305" i="1"/>
  <c r="W1305" i="1"/>
  <c r="AR1305" i="1"/>
  <c r="Y1304" i="1"/>
  <c r="AB1304" i="1" s="1"/>
  <c r="S1305" i="1"/>
  <c r="V1305" i="1" s="1"/>
  <c r="Z1305" i="1"/>
  <c r="AC1305" i="1" s="1"/>
  <c r="AA1305" i="1"/>
  <c r="AD1305" i="1" s="1"/>
  <c r="P1307" i="1"/>
  <c r="Q1307" i="1"/>
  <c r="R1306" i="1" a="1"/>
  <c r="R1306" i="1" s="1"/>
  <c r="L1306" i="1" s="1"/>
  <c r="S1306" i="1" a="1"/>
  <c r="O1307" i="1"/>
  <c r="AP1308" i="1"/>
  <c r="AQ1307" i="1"/>
  <c r="BO404" i="1"/>
  <c r="BP403" i="1"/>
  <c r="X1306" i="1" l="1"/>
  <c r="W1306" i="1"/>
  <c r="AR1306" i="1"/>
  <c r="AS1307" i="1"/>
  <c r="Y1305" i="1"/>
  <c r="AB1305" i="1" s="1"/>
  <c r="S1306" i="1"/>
  <c r="V1306" i="1" s="1"/>
  <c r="AA1306" i="1"/>
  <c r="AD1306" i="1" s="1"/>
  <c r="Z1306" i="1"/>
  <c r="AC1306" i="1" s="1"/>
  <c r="Q1308" i="1"/>
  <c r="P1308" i="1"/>
  <c r="S1307" i="1" a="1"/>
  <c r="R1307" i="1" a="1"/>
  <c r="R1307" i="1" s="1"/>
  <c r="L1307" i="1" s="1"/>
  <c r="O1308" i="1"/>
  <c r="AP1309" i="1"/>
  <c r="AQ1308" i="1"/>
  <c r="BO405" i="1"/>
  <c r="BP404" i="1"/>
  <c r="AS1308" i="1" l="1"/>
  <c r="X1307" i="1"/>
  <c r="W1307" i="1"/>
  <c r="AR1307" i="1"/>
  <c r="Y1306" i="1"/>
  <c r="AB1306" i="1" s="1"/>
  <c r="S1307" i="1"/>
  <c r="V1307" i="1" s="1"/>
  <c r="AA1307" i="1"/>
  <c r="AD1307" i="1" s="1"/>
  <c r="Z1307" i="1"/>
  <c r="AC1307" i="1" s="1"/>
  <c r="Q1309" i="1"/>
  <c r="P1309" i="1"/>
  <c r="R1308" i="1" a="1"/>
  <c r="R1308" i="1" s="1"/>
  <c r="L1308" i="1" s="1"/>
  <c r="S1308" i="1" a="1"/>
  <c r="O1309" i="1"/>
  <c r="AP1310" i="1"/>
  <c r="AQ1309" i="1"/>
  <c r="BO406" i="1"/>
  <c r="BP405" i="1"/>
  <c r="AS1309" i="1" l="1"/>
  <c r="X1308" i="1"/>
  <c r="W1308" i="1"/>
  <c r="AR1308" i="1"/>
  <c r="Y1307" i="1"/>
  <c r="AB1307" i="1" s="1"/>
  <c r="S1308" i="1"/>
  <c r="V1308" i="1" s="1"/>
  <c r="AA1308" i="1"/>
  <c r="AD1308" i="1" s="1"/>
  <c r="Z1308" i="1"/>
  <c r="AC1308" i="1" s="1"/>
  <c r="P1310" i="1"/>
  <c r="Q1310" i="1"/>
  <c r="S1309" i="1" a="1"/>
  <c r="R1309" i="1" a="1"/>
  <c r="R1309" i="1" s="1"/>
  <c r="L1309" i="1" s="1"/>
  <c r="O1310" i="1"/>
  <c r="AP1311" i="1"/>
  <c r="AQ1310" i="1"/>
  <c r="BO407" i="1"/>
  <c r="BP406" i="1"/>
  <c r="AS1310" i="1" l="1"/>
  <c r="X1309" i="1"/>
  <c r="W1309" i="1"/>
  <c r="AR1309" i="1"/>
  <c r="Y1308" i="1"/>
  <c r="AB1308" i="1" s="1"/>
  <c r="S1309" i="1"/>
  <c r="V1309" i="1" s="1"/>
  <c r="Z1309" i="1"/>
  <c r="AC1309" i="1" s="1"/>
  <c r="AA1309" i="1"/>
  <c r="AD1309" i="1" s="1"/>
  <c r="Q1311" i="1"/>
  <c r="P1311" i="1"/>
  <c r="R1310" i="1" a="1"/>
  <c r="R1310" i="1" s="1"/>
  <c r="L1310" i="1" s="1"/>
  <c r="AR1310" i="1" s="1"/>
  <c r="S1310" i="1" a="1"/>
  <c r="O1311" i="1"/>
  <c r="AP1312" i="1"/>
  <c r="AQ1311" i="1"/>
  <c r="BO408" i="1"/>
  <c r="BP407" i="1"/>
  <c r="X1310" i="1" l="1"/>
  <c r="W1310" i="1"/>
  <c r="AS1311" i="1"/>
  <c r="Y1309" i="1"/>
  <c r="AB1309" i="1" s="1"/>
  <c r="S1310" i="1"/>
  <c r="V1310" i="1" s="1"/>
  <c r="AA1310" i="1"/>
  <c r="AD1310" i="1" s="1"/>
  <c r="Z1310" i="1"/>
  <c r="AC1310" i="1" s="1"/>
  <c r="Q1312" i="1"/>
  <c r="P1312" i="1"/>
  <c r="R1311" i="1" a="1"/>
  <c r="R1311" i="1" s="1"/>
  <c r="L1311" i="1" s="1"/>
  <c r="S1311" i="1" a="1"/>
  <c r="O1312" i="1"/>
  <c r="AP1313" i="1"/>
  <c r="AQ1312" i="1"/>
  <c r="BO409" i="1"/>
  <c r="BP408" i="1"/>
  <c r="AS1312" i="1" l="1"/>
  <c r="X1311" i="1"/>
  <c r="W1311" i="1"/>
  <c r="AR1311" i="1"/>
  <c r="Y1310" i="1"/>
  <c r="AB1310" i="1" s="1"/>
  <c r="S1311" i="1"/>
  <c r="V1311" i="1" s="1"/>
  <c r="AA1311" i="1"/>
  <c r="AD1311" i="1" s="1"/>
  <c r="Z1311" i="1"/>
  <c r="AC1311" i="1" s="1"/>
  <c r="P1313" i="1"/>
  <c r="Q1313" i="1"/>
  <c r="S1312" i="1" a="1"/>
  <c r="R1312" i="1" a="1"/>
  <c r="R1312" i="1" s="1"/>
  <c r="L1312" i="1" s="1"/>
  <c r="O1313" i="1"/>
  <c r="AP1314" i="1"/>
  <c r="AQ1313" i="1"/>
  <c r="BO410" i="1"/>
  <c r="BP409" i="1"/>
  <c r="AS1313" i="1" l="1"/>
  <c r="X1312" i="1"/>
  <c r="W1312" i="1"/>
  <c r="AR1312" i="1"/>
  <c r="Y1311" i="1"/>
  <c r="AB1311" i="1" s="1"/>
  <c r="S1312" i="1"/>
  <c r="V1312" i="1" s="1"/>
  <c r="AA1312" i="1"/>
  <c r="AD1312" i="1" s="1"/>
  <c r="Z1312" i="1"/>
  <c r="AC1312" i="1" s="1"/>
  <c r="P1314" i="1"/>
  <c r="Q1314" i="1"/>
  <c r="S1313" i="1" a="1"/>
  <c r="R1313" i="1" a="1"/>
  <c r="R1313" i="1" s="1"/>
  <c r="L1313" i="1" s="1"/>
  <c r="O1314" i="1"/>
  <c r="AP1315" i="1"/>
  <c r="AQ1314" i="1"/>
  <c r="BO411" i="1"/>
  <c r="BP410" i="1"/>
  <c r="AS1314" i="1" l="1"/>
  <c r="W1313" i="1"/>
  <c r="X1313" i="1"/>
  <c r="AR1313" i="1"/>
  <c r="Y1312" i="1"/>
  <c r="AB1312" i="1" s="1"/>
  <c r="S1313" i="1"/>
  <c r="V1313" i="1" s="1"/>
  <c r="Z1313" i="1"/>
  <c r="AC1313" i="1" s="1"/>
  <c r="AA1313" i="1"/>
  <c r="AD1313" i="1" s="1"/>
  <c r="Q1315" i="1"/>
  <c r="P1315" i="1"/>
  <c r="S1314" i="1" a="1"/>
  <c r="R1314" i="1" a="1"/>
  <c r="R1314" i="1" s="1"/>
  <c r="L1314" i="1" s="1"/>
  <c r="O1315" i="1"/>
  <c r="AP1316" i="1"/>
  <c r="AQ1315" i="1"/>
  <c r="BO412" i="1"/>
  <c r="BP411" i="1"/>
  <c r="AS1315" i="1" l="1"/>
  <c r="W1314" i="1"/>
  <c r="X1314" i="1"/>
  <c r="AR1314" i="1"/>
  <c r="Y1313" i="1"/>
  <c r="AB1313" i="1" s="1"/>
  <c r="S1314" i="1"/>
  <c r="V1314" i="1" s="1"/>
  <c r="Z1314" i="1"/>
  <c r="AC1314" i="1" s="1"/>
  <c r="AA1314" i="1"/>
  <c r="AD1314" i="1" s="1"/>
  <c r="Q1316" i="1"/>
  <c r="P1316" i="1"/>
  <c r="S1315" i="1" a="1"/>
  <c r="R1315" i="1" a="1"/>
  <c r="R1315" i="1" s="1"/>
  <c r="L1315" i="1" s="1"/>
  <c r="O1316" i="1"/>
  <c r="AP1317" i="1"/>
  <c r="AQ1316" i="1"/>
  <c r="BO413" i="1"/>
  <c r="BP412" i="1"/>
  <c r="AS1316" i="1" l="1"/>
  <c r="W1315" i="1"/>
  <c r="X1315" i="1"/>
  <c r="AR1315" i="1"/>
  <c r="Y1314" i="1"/>
  <c r="AB1314" i="1" s="1"/>
  <c r="S1315" i="1"/>
  <c r="V1315" i="1" s="1"/>
  <c r="Z1315" i="1"/>
  <c r="AC1315" i="1" s="1"/>
  <c r="AA1315" i="1"/>
  <c r="AD1315" i="1" s="1"/>
  <c r="P1317" i="1"/>
  <c r="Q1317" i="1"/>
  <c r="S1316" i="1" a="1"/>
  <c r="R1316" i="1" a="1"/>
  <c r="R1316" i="1" s="1"/>
  <c r="L1316" i="1" s="1"/>
  <c r="AR1316" i="1" s="1"/>
  <c r="O1317" i="1"/>
  <c r="AP1318" i="1"/>
  <c r="AQ1317" i="1"/>
  <c r="BO414" i="1"/>
  <c r="BP413" i="1"/>
  <c r="AS1317" i="1" l="1"/>
  <c r="X1316" i="1"/>
  <c r="W1316" i="1"/>
  <c r="Y1315" i="1"/>
  <c r="AB1315" i="1" s="1"/>
  <c r="S1316" i="1"/>
  <c r="V1316" i="1" s="1"/>
  <c r="Z1316" i="1"/>
  <c r="AC1316" i="1" s="1"/>
  <c r="AA1316" i="1"/>
  <c r="AD1316" i="1" s="1"/>
  <c r="Q1318" i="1"/>
  <c r="P1318" i="1"/>
  <c r="S1317" i="1" a="1"/>
  <c r="R1317" i="1" a="1"/>
  <c r="R1317" i="1" s="1"/>
  <c r="L1317" i="1" s="1"/>
  <c r="O1318" i="1"/>
  <c r="AP1319" i="1"/>
  <c r="AQ1318" i="1"/>
  <c r="BO415" i="1"/>
  <c r="BP414" i="1"/>
  <c r="AS1318" i="1" l="1"/>
  <c r="X1317" i="1"/>
  <c r="W1317" i="1"/>
  <c r="AR1317" i="1"/>
  <c r="Y1316" i="1"/>
  <c r="AB1316" i="1" s="1"/>
  <c r="S1317" i="1"/>
  <c r="V1317" i="1" s="1"/>
  <c r="AA1317" i="1"/>
  <c r="AD1317" i="1" s="1"/>
  <c r="Z1317" i="1"/>
  <c r="AC1317" i="1" s="1"/>
  <c r="Q1319" i="1"/>
  <c r="P1319" i="1"/>
  <c r="S1318" i="1" a="1"/>
  <c r="R1318" i="1" a="1"/>
  <c r="R1318" i="1" s="1"/>
  <c r="L1318" i="1" s="1"/>
  <c r="O1319" i="1"/>
  <c r="AP1320" i="1"/>
  <c r="AQ1319" i="1"/>
  <c r="BO416" i="1"/>
  <c r="BP415" i="1"/>
  <c r="AS1319" i="1" l="1"/>
  <c r="X1318" i="1"/>
  <c r="W1318" i="1"/>
  <c r="AR1318" i="1"/>
  <c r="Y1317" i="1"/>
  <c r="AB1317" i="1" s="1"/>
  <c r="S1318" i="1"/>
  <c r="V1318" i="1" s="1"/>
  <c r="AA1318" i="1"/>
  <c r="AD1318" i="1" s="1"/>
  <c r="Z1318" i="1"/>
  <c r="AC1318" i="1" s="1"/>
  <c r="Q1320" i="1"/>
  <c r="P1320" i="1"/>
  <c r="S1319" i="1" a="1"/>
  <c r="R1319" i="1" a="1"/>
  <c r="R1319" i="1" s="1"/>
  <c r="L1319" i="1" s="1"/>
  <c r="O1320" i="1"/>
  <c r="AP1321" i="1"/>
  <c r="AQ1320" i="1"/>
  <c r="BO417" i="1"/>
  <c r="BP416" i="1"/>
  <c r="AS1320" i="1" l="1"/>
  <c r="X1319" i="1"/>
  <c r="W1319" i="1"/>
  <c r="AR1319" i="1"/>
  <c r="Y1318" i="1"/>
  <c r="AB1318" i="1" s="1"/>
  <c r="S1319" i="1"/>
  <c r="V1319" i="1" s="1"/>
  <c r="AA1319" i="1"/>
  <c r="AD1319" i="1" s="1"/>
  <c r="Z1319" i="1"/>
  <c r="AC1319" i="1" s="1"/>
  <c r="S1320" i="1" a="1"/>
  <c r="R1320" i="1" a="1"/>
  <c r="R1320" i="1" s="1"/>
  <c r="L1320" i="1" s="1"/>
  <c r="P1321" i="1"/>
  <c r="Q1321" i="1"/>
  <c r="O1321" i="1"/>
  <c r="AP1322" i="1"/>
  <c r="AQ1321" i="1"/>
  <c r="BO418" i="1"/>
  <c r="BP417" i="1"/>
  <c r="X1320" i="1" l="1"/>
  <c r="W1320" i="1"/>
  <c r="AR1320" i="1"/>
  <c r="AS1321" i="1"/>
  <c r="Y1319" i="1"/>
  <c r="AB1319" i="1" s="1"/>
  <c r="S1320" i="1"/>
  <c r="V1320" i="1" s="1"/>
  <c r="AA1320" i="1"/>
  <c r="AD1320" i="1" s="1"/>
  <c r="Z1320" i="1"/>
  <c r="AC1320" i="1" s="1"/>
  <c r="Q1322" i="1"/>
  <c r="P1322" i="1"/>
  <c r="S1321" i="1" a="1"/>
  <c r="R1321" i="1" a="1"/>
  <c r="R1321" i="1" s="1"/>
  <c r="L1321" i="1" s="1"/>
  <c r="O1322" i="1"/>
  <c r="AP1323" i="1"/>
  <c r="AQ1322" i="1"/>
  <c r="BO419" i="1"/>
  <c r="BP418" i="1"/>
  <c r="AS1322" i="1" l="1"/>
  <c r="W1321" i="1"/>
  <c r="X1321" i="1"/>
  <c r="AR1321" i="1"/>
  <c r="Y1320" i="1"/>
  <c r="AB1320" i="1" s="1"/>
  <c r="S1321" i="1"/>
  <c r="V1321" i="1" s="1"/>
  <c r="Z1321" i="1"/>
  <c r="AC1321" i="1" s="1"/>
  <c r="AA1321" i="1"/>
  <c r="AD1321" i="1" s="1"/>
  <c r="Q1323" i="1"/>
  <c r="P1323" i="1"/>
  <c r="S1322" i="1" a="1"/>
  <c r="R1322" i="1" a="1"/>
  <c r="R1322" i="1" s="1"/>
  <c r="L1322" i="1" s="1"/>
  <c r="AR1322" i="1" s="1"/>
  <c r="O1323" i="1"/>
  <c r="AP1324" i="1"/>
  <c r="AQ1323" i="1"/>
  <c r="BO420" i="1"/>
  <c r="BP419" i="1"/>
  <c r="AS1323" i="1" l="1"/>
  <c r="X1322" i="1"/>
  <c r="W1322" i="1"/>
  <c r="Y1321" i="1"/>
  <c r="AB1321" i="1" s="1"/>
  <c r="S1322" i="1"/>
  <c r="V1322" i="1" s="1"/>
  <c r="Z1322" i="1"/>
  <c r="AC1322" i="1" s="1"/>
  <c r="AA1322" i="1"/>
  <c r="AD1322" i="1" s="1"/>
  <c r="Q1324" i="1"/>
  <c r="P1324" i="1"/>
  <c r="R1323" i="1" a="1"/>
  <c r="R1323" i="1" s="1"/>
  <c r="L1323" i="1" s="1"/>
  <c r="S1323" i="1" a="1"/>
  <c r="O1324" i="1"/>
  <c r="AP1325" i="1"/>
  <c r="AQ1324" i="1"/>
  <c r="BO421" i="1"/>
  <c r="BP420" i="1"/>
  <c r="AS1324" i="1" l="1"/>
  <c r="X1323" i="1"/>
  <c r="W1323" i="1"/>
  <c r="AR1323" i="1"/>
  <c r="Y1322" i="1"/>
  <c r="AB1322" i="1" s="1"/>
  <c r="S1323" i="1"/>
  <c r="V1323" i="1" s="1"/>
  <c r="AA1323" i="1"/>
  <c r="AD1323" i="1" s="1"/>
  <c r="Z1323" i="1"/>
  <c r="AC1323" i="1" s="1"/>
  <c r="P1325" i="1"/>
  <c r="Q1325" i="1"/>
  <c r="S1324" i="1" a="1"/>
  <c r="R1324" i="1" a="1"/>
  <c r="R1324" i="1" s="1"/>
  <c r="L1324" i="1" s="1"/>
  <c r="O1325" i="1"/>
  <c r="AP1326" i="1"/>
  <c r="AQ1325" i="1"/>
  <c r="BO422" i="1"/>
  <c r="BP421" i="1"/>
  <c r="AS1325" i="1" l="1"/>
  <c r="X1324" i="1"/>
  <c r="W1324" i="1"/>
  <c r="AR1324" i="1"/>
  <c r="Y1323" i="1"/>
  <c r="AB1323" i="1" s="1"/>
  <c r="S1324" i="1"/>
  <c r="V1324" i="1" s="1"/>
  <c r="Z1324" i="1"/>
  <c r="AC1324" i="1" s="1"/>
  <c r="AA1324" i="1"/>
  <c r="AD1324" i="1" s="1"/>
  <c r="Q1326" i="1"/>
  <c r="P1326" i="1"/>
  <c r="S1325" i="1" a="1"/>
  <c r="R1325" i="1" a="1"/>
  <c r="R1325" i="1" s="1"/>
  <c r="L1325" i="1" s="1"/>
  <c r="O1326" i="1"/>
  <c r="AP1327" i="1"/>
  <c r="AQ1326" i="1"/>
  <c r="BO423" i="1"/>
  <c r="BP422" i="1"/>
  <c r="AS1326" i="1" l="1"/>
  <c r="W1325" i="1"/>
  <c r="X1325" i="1"/>
  <c r="AR1325" i="1"/>
  <c r="Y1324" i="1"/>
  <c r="AB1324" i="1" s="1"/>
  <c r="S1325" i="1"/>
  <c r="V1325" i="1" s="1"/>
  <c r="Z1325" i="1"/>
  <c r="AC1325" i="1" s="1"/>
  <c r="AA1325" i="1"/>
  <c r="AD1325" i="1" s="1"/>
  <c r="Q1327" i="1"/>
  <c r="P1327" i="1"/>
  <c r="S1326" i="1" a="1"/>
  <c r="R1326" i="1" a="1"/>
  <c r="R1326" i="1" s="1"/>
  <c r="L1326" i="1" s="1"/>
  <c r="O1327" i="1"/>
  <c r="AP1328" i="1"/>
  <c r="AQ1327" i="1"/>
  <c r="BO424" i="1"/>
  <c r="BP423" i="1"/>
  <c r="AS1327" i="1" l="1"/>
  <c r="W1326" i="1"/>
  <c r="X1326" i="1"/>
  <c r="AR1326" i="1"/>
  <c r="Y1325" i="1"/>
  <c r="AB1325" i="1" s="1"/>
  <c r="S1326" i="1"/>
  <c r="V1326" i="1" s="1"/>
  <c r="AA1326" i="1"/>
  <c r="AD1326" i="1" s="1"/>
  <c r="Z1326" i="1"/>
  <c r="AC1326" i="1" s="1"/>
  <c r="Q1328" i="1"/>
  <c r="P1328" i="1"/>
  <c r="S1327" i="1" a="1"/>
  <c r="R1327" i="1" a="1"/>
  <c r="R1327" i="1" s="1"/>
  <c r="L1327" i="1" s="1"/>
  <c r="O1328" i="1"/>
  <c r="AP1329" i="1"/>
  <c r="AQ1328" i="1"/>
  <c r="BO425" i="1"/>
  <c r="BP424" i="1"/>
  <c r="AS1328" i="1" l="1"/>
  <c r="W1327" i="1"/>
  <c r="X1327" i="1"/>
  <c r="AR1327" i="1"/>
  <c r="Y1326" i="1"/>
  <c r="AB1326" i="1" s="1"/>
  <c r="S1327" i="1"/>
  <c r="V1327" i="1" s="1"/>
  <c r="AA1327" i="1"/>
  <c r="AD1327" i="1" s="1"/>
  <c r="Z1327" i="1"/>
  <c r="AC1327" i="1" s="1"/>
  <c r="Q1329" i="1"/>
  <c r="P1329" i="1"/>
  <c r="S1328" i="1" a="1"/>
  <c r="R1328" i="1" a="1"/>
  <c r="R1328" i="1" s="1"/>
  <c r="L1328" i="1" s="1"/>
  <c r="AR1328" i="1" s="1"/>
  <c r="O1329" i="1"/>
  <c r="AP1330" i="1"/>
  <c r="AQ1329" i="1"/>
  <c r="BO426" i="1"/>
  <c r="BP425" i="1"/>
  <c r="AS1329" i="1" l="1"/>
  <c r="X1328" i="1"/>
  <c r="W1328" i="1"/>
  <c r="Y1327" i="1"/>
  <c r="AB1327" i="1" s="1"/>
  <c r="S1328" i="1"/>
  <c r="V1328" i="1" s="1"/>
  <c r="AA1328" i="1"/>
  <c r="AD1328" i="1" s="1"/>
  <c r="Z1328" i="1"/>
  <c r="AC1328" i="1" s="1"/>
  <c r="Q1330" i="1"/>
  <c r="P1330" i="1"/>
  <c r="S1329" i="1" a="1"/>
  <c r="R1329" i="1" a="1"/>
  <c r="R1329" i="1" s="1"/>
  <c r="L1329" i="1" s="1"/>
  <c r="O1330" i="1"/>
  <c r="AP1331" i="1"/>
  <c r="AQ1330" i="1"/>
  <c r="BO427" i="1"/>
  <c r="BP426" i="1"/>
  <c r="AS1330" i="1" l="1"/>
  <c r="X1329" i="1"/>
  <c r="W1329" i="1"/>
  <c r="AR1329" i="1"/>
  <c r="Y1328" i="1"/>
  <c r="AB1328" i="1" s="1"/>
  <c r="S1329" i="1"/>
  <c r="V1329" i="1" s="1"/>
  <c r="AA1329" i="1"/>
  <c r="AD1329" i="1" s="1"/>
  <c r="Z1329" i="1"/>
  <c r="AC1329" i="1" s="1"/>
  <c r="Q1331" i="1"/>
  <c r="P1331" i="1"/>
  <c r="R1330" i="1" a="1"/>
  <c r="R1330" i="1" s="1"/>
  <c r="L1330" i="1" s="1"/>
  <c r="S1330" i="1" a="1"/>
  <c r="O1331" i="1"/>
  <c r="AP1332" i="1"/>
  <c r="AQ1331" i="1"/>
  <c r="BO428" i="1"/>
  <c r="BP427" i="1"/>
  <c r="AS1331" i="1" l="1"/>
  <c r="X1330" i="1"/>
  <c r="W1330" i="1"/>
  <c r="AR1330" i="1"/>
  <c r="Y1329" i="1"/>
  <c r="AB1329" i="1" s="1"/>
  <c r="S1330" i="1"/>
  <c r="V1330" i="1" s="1"/>
  <c r="AA1330" i="1"/>
  <c r="AD1330" i="1" s="1"/>
  <c r="Z1330" i="1"/>
  <c r="AC1330" i="1" s="1"/>
  <c r="Q1332" i="1"/>
  <c r="P1332" i="1"/>
  <c r="R1331" i="1" a="1"/>
  <c r="R1331" i="1" s="1"/>
  <c r="L1331" i="1" s="1"/>
  <c r="S1331" i="1" a="1"/>
  <c r="O1332" i="1"/>
  <c r="AP1333" i="1"/>
  <c r="AQ1332" i="1"/>
  <c r="BO429" i="1"/>
  <c r="BP428" i="1"/>
  <c r="X1331" i="1" l="1"/>
  <c r="W1331" i="1"/>
  <c r="AR1331" i="1"/>
  <c r="AS1332" i="1"/>
  <c r="Y1330" i="1"/>
  <c r="AB1330" i="1" s="1"/>
  <c r="S1331" i="1"/>
  <c r="V1331" i="1" s="1"/>
  <c r="AA1331" i="1"/>
  <c r="AD1331" i="1" s="1"/>
  <c r="Z1331" i="1"/>
  <c r="AC1331" i="1" s="1"/>
  <c r="Q1333" i="1"/>
  <c r="P1333" i="1"/>
  <c r="S1332" i="1" a="1"/>
  <c r="R1332" i="1" a="1"/>
  <c r="R1332" i="1" s="1"/>
  <c r="L1332" i="1" s="1"/>
  <c r="O1333" i="1"/>
  <c r="AP1334" i="1"/>
  <c r="AQ1333" i="1"/>
  <c r="BO430" i="1"/>
  <c r="BP429" i="1"/>
  <c r="X1332" i="1" l="1"/>
  <c r="W1332" i="1"/>
  <c r="AR1332" i="1"/>
  <c r="AS1333" i="1"/>
  <c r="Y1331" i="1"/>
  <c r="AB1331" i="1" s="1"/>
  <c r="S1332" i="1"/>
  <c r="V1332" i="1" s="1"/>
  <c r="AA1332" i="1"/>
  <c r="AD1332" i="1" s="1"/>
  <c r="Z1332" i="1"/>
  <c r="AC1332" i="1" s="1"/>
  <c r="S1333" i="1" a="1"/>
  <c r="R1333" i="1" a="1"/>
  <c r="R1333" i="1" s="1"/>
  <c r="L1333" i="1" s="1"/>
  <c r="P1334" i="1"/>
  <c r="Q1334" i="1"/>
  <c r="O1334" i="1"/>
  <c r="AP1335" i="1"/>
  <c r="AQ1334" i="1"/>
  <c r="BO431" i="1"/>
  <c r="BP430" i="1"/>
  <c r="AS1334" i="1" l="1"/>
  <c r="W1333" i="1"/>
  <c r="X1333" i="1"/>
  <c r="AR1333" i="1"/>
  <c r="Y1332" i="1"/>
  <c r="AB1332" i="1" s="1"/>
  <c r="S1333" i="1"/>
  <c r="V1333" i="1" s="1"/>
  <c r="AA1333" i="1"/>
  <c r="AD1333" i="1" s="1"/>
  <c r="Z1333" i="1"/>
  <c r="AC1333" i="1" s="1"/>
  <c r="P1335" i="1"/>
  <c r="Q1335" i="1"/>
  <c r="R1334" i="1" a="1"/>
  <c r="R1334" i="1" s="1"/>
  <c r="L1334" i="1" s="1"/>
  <c r="S1334" i="1" a="1"/>
  <c r="O1335" i="1"/>
  <c r="AP1336" i="1"/>
  <c r="AQ1335" i="1"/>
  <c r="BO432" i="1"/>
  <c r="BP431" i="1"/>
  <c r="X1334" i="1" l="1"/>
  <c r="W1334" i="1"/>
  <c r="AR1334" i="1"/>
  <c r="AS1335" i="1"/>
  <c r="Y1333" i="1"/>
  <c r="AB1333" i="1" s="1"/>
  <c r="S1334" i="1"/>
  <c r="V1334" i="1" s="1"/>
  <c r="AA1334" i="1"/>
  <c r="AD1334" i="1" s="1"/>
  <c r="Z1334" i="1"/>
  <c r="AC1334" i="1" s="1"/>
  <c r="Q1336" i="1"/>
  <c r="P1336" i="1"/>
  <c r="R1335" i="1" a="1"/>
  <c r="R1335" i="1" s="1"/>
  <c r="L1335" i="1" s="1"/>
  <c r="S1335" i="1" a="1"/>
  <c r="O1336" i="1"/>
  <c r="AP1337" i="1"/>
  <c r="AQ1336" i="1"/>
  <c r="BO433" i="1"/>
  <c r="BP432" i="1"/>
  <c r="X1335" i="1" l="1"/>
  <c r="W1335" i="1"/>
  <c r="AR1335" i="1"/>
  <c r="AS1336" i="1"/>
  <c r="Y1334" i="1"/>
  <c r="AB1334" i="1" s="1"/>
  <c r="S1335" i="1"/>
  <c r="V1335" i="1" s="1"/>
  <c r="Z1335" i="1"/>
  <c r="AC1335" i="1" s="1"/>
  <c r="AA1335" i="1"/>
  <c r="AD1335" i="1" s="1"/>
  <c r="P1337" i="1"/>
  <c r="Q1337" i="1"/>
  <c r="S1336" i="1" a="1"/>
  <c r="R1336" i="1" a="1"/>
  <c r="R1336" i="1" s="1"/>
  <c r="L1336" i="1" s="1"/>
  <c r="O1337" i="1"/>
  <c r="AP1338" i="1"/>
  <c r="AQ1337" i="1"/>
  <c r="BO434" i="1"/>
  <c r="BP433" i="1"/>
  <c r="X1336" i="1" l="1"/>
  <c r="W1336" i="1"/>
  <c r="AR1336" i="1"/>
  <c r="AS1337" i="1"/>
  <c r="Y1335" i="1"/>
  <c r="AB1335" i="1" s="1"/>
  <c r="S1336" i="1"/>
  <c r="V1336" i="1" s="1"/>
  <c r="Z1336" i="1"/>
  <c r="AC1336" i="1" s="1"/>
  <c r="AA1336" i="1"/>
  <c r="AD1336" i="1" s="1"/>
  <c r="P1338" i="1"/>
  <c r="Q1338" i="1"/>
  <c r="S1337" i="1" a="1"/>
  <c r="R1337" i="1" a="1"/>
  <c r="R1337" i="1" s="1"/>
  <c r="L1337" i="1" s="1"/>
  <c r="O1338" i="1"/>
  <c r="AP1339" i="1"/>
  <c r="AQ1338" i="1"/>
  <c r="BO435" i="1"/>
  <c r="BP434" i="1"/>
  <c r="AS1338" i="1" l="1"/>
  <c r="W1337" i="1"/>
  <c r="X1337" i="1"/>
  <c r="AR1337" i="1"/>
  <c r="Y1336" i="1"/>
  <c r="AB1336" i="1" s="1"/>
  <c r="S1337" i="1"/>
  <c r="V1337" i="1" s="1"/>
  <c r="AA1337" i="1"/>
  <c r="AD1337" i="1" s="1"/>
  <c r="Z1337" i="1"/>
  <c r="AC1337" i="1" s="1"/>
  <c r="P1339" i="1"/>
  <c r="Q1339" i="1"/>
  <c r="S1338" i="1" a="1"/>
  <c r="R1338" i="1" a="1"/>
  <c r="R1338" i="1" s="1"/>
  <c r="L1338" i="1" s="1"/>
  <c r="O1339" i="1"/>
  <c r="AP1340" i="1"/>
  <c r="AQ1339" i="1"/>
  <c r="BO436" i="1"/>
  <c r="BP435" i="1"/>
  <c r="AS1339" i="1" l="1"/>
  <c r="W1338" i="1"/>
  <c r="X1338" i="1"/>
  <c r="AR1338" i="1"/>
  <c r="Y1337" i="1"/>
  <c r="AB1337" i="1" s="1"/>
  <c r="S1338" i="1"/>
  <c r="V1338" i="1" s="1"/>
  <c r="Z1338" i="1"/>
  <c r="AC1338" i="1" s="1"/>
  <c r="AA1338" i="1"/>
  <c r="AD1338" i="1" s="1"/>
  <c r="Q1340" i="1"/>
  <c r="P1340" i="1"/>
  <c r="S1339" i="1" a="1"/>
  <c r="R1339" i="1" a="1"/>
  <c r="R1339" i="1" s="1"/>
  <c r="L1339" i="1" s="1"/>
  <c r="O1340" i="1"/>
  <c r="AP1341" i="1"/>
  <c r="AQ1340" i="1"/>
  <c r="BO437" i="1"/>
  <c r="BP436" i="1"/>
  <c r="AS1340" i="1" l="1"/>
  <c r="W1339" i="1"/>
  <c r="X1339" i="1"/>
  <c r="AR1339" i="1"/>
  <c r="Y1338" i="1"/>
  <c r="AB1338" i="1" s="1"/>
  <c r="S1339" i="1"/>
  <c r="V1339" i="1" s="1"/>
  <c r="AA1339" i="1"/>
  <c r="AD1339" i="1" s="1"/>
  <c r="Z1339" i="1"/>
  <c r="AC1339" i="1" s="1"/>
  <c r="P1341" i="1"/>
  <c r="Q1341" i="1"/>
  <c r="S1340" i="1" a="1"/>
  <c r="R1340" i="1" a="1"/>
  <c r="R1340" i="1" s="1"/>
  <c r="L1340" i="1" s="1"/>
  <c r="O1341" i="1"/>
  <c r="AP1342" i="1"/>
  <c r="AQ1341" i="1"/>
  <c r="BO438" i="1"/>
  <c r="BP437" i="1"/>
  <c r="AS1341" i="1" l="1"/>
  <c r="W1340" i="1"/>
  <c r="X1340" i="1"/>
  <c r="AR1340" i="1"/>
  <c r="Y1339" i="1"/>
  <c r="AB1339" i="1" s="1"/>
  <c r="S1340" i="1"/>
  <c r="V1340" i="1" s="1"/>
  <c r="AA1340" i="1"/>
  <c r="AD1340" i="1" s="1"/>
  <c r="Z1340" i="1"/>
  <c r="AC1340" i="1" s="1"/>
  <c r="Q1342" i="1"/>
  <c r="P1342" i="1"/>
  <c r="S1341" i="1" a="1"/>
  <c r="R1341" i="1" a="1"/>
  <c r="R1341" i="1" s="1"/>
  <c r="L1341" i="1" s="1"/>
  <c r="AR1341" i="1" s="1"/>
  <c r="O1342" i="1"/>
  <c r="AP1343" i="1"/>
  <c r="AQ1342" i="1"/>
  <c r="BO439" i="1"/>
  <c r="BP438" i="1"/>
  <c r="AS1342" i="1" l="1"/>
  <c r="W1341" i="1"/>
  <c r="X1341" i="1"/>
  <c r="Y1340" i="1"/>
  <c r="AB1340" i="1" s="1"/>
  <c r="S1341" i="1"/>
  <c r="V1341" i="1" s="1"/>
  <c r="AA1341" i="1"/>
  <c r="AD1341" i="1" s="1"/>
  <c r="Z1341" i="1"/>
  <c r="AC1341" i="1" s="1"/>
  <c r="S1342" i="1" a="1"/>
  <c r="R1342" i="1" a="1"/>
  <c r="R1342" i="1" s="1"/>
  <c r="L1342" i="1" s="1"/>
  <c r="P1343" i="1"/>
  <c r="Q1343" i="1"/>
  <c r="O1343" i="1"/>
  <c r="AP1344" i="1"/>
  <c r="AQ1343" i="1"/>
  <c r="BO440" i="1"/>
  <c r="BP439" i="1"/>
  <c r="AS1343" i="1" l="1"/>
  <c r="W1342" i="1"/>
  <c r="X1342" i="1"/>
  <c r="AR1342" i="1"/>
  <c r="Y1341" i="1"/>
  <c r="AB1341" i="1" s="1"/>
  <c r="S1342" i="1"/>
  <c r="V1342" i="1" s="1"/>
  <c r="Z1342" i="1"/>
  <c r="AC1342" i="1" s="1"/>
  <c r="AA1342" i="1"/>
  <c r="AD1342" i="1" s="1"/>
  <c r="P1344" i="1"/>
  <c r="Q1344" i="1"/>
  <c r="S1343" i="1" a="1"/>
  <c r="R1343" i="1" a="1"/>
  <c r="R1343" i="1" s="1"/>
  <c r="L1343" i="1" s="1"/>
  <c r="AR1343" i="1" s="1"/>
  <c r="O1344" i="1"/>
  <c r="AP1345" i="1"/>
  <c r="AQ1344" i="1"/>
  <c r="BO441" i="1"/>
  <c r="BP440" i="1"/>
  <c r="W1343" i="1" l="1"/>
  <c r="X1343" i="1"/>
  <c r="AS1344" i="1"/>
  <c r="Y1342" i="1"/>
  <c r="AB1342" i="1" s="1"/>
  <c r="S1343" i="1"/>
  <c r="V1343" i="1" s="1"/>
  <c r="AA1343" i="1"/>
  <c r="AD1343" i="1" s="1"/>
  <c r="Z1343" i="1"/>
  <c r="AC1343" i="1" s="1"/>
  <c r="Q1345" i="1"/>
  <c r="P1345" i="1"/>
  <c r="S1344" i="1" a="1"/>
  <c r="R1344" i="1" a="1"/>
  <c r="R1344" i="1" s="1"/>
  <c r="L1344" i="1" s="1"/>
  <c r="O1345" i="1"/>
  <c r="AP1346" i="1"/>
  <c r="AQ1345" i="1"/>
  <c r="BO442" i="1"/>
  <c r="BP441" i="1"/>
  <c r="AS1345" i="1" l="1"/>
  <c r="X1344" i="1"/>
  <c r="W1344" i="1"/>
  <c r="AR1344" i="1"/>
  <c r="Y1343" i="1"/>
  <c r="AB1343" i="1" s="1"/>
  <c r="S1344" i="1"/>
  <c r="V1344" i="1" s="1"/>
  <c r="AA1344" i="1"/>
  <c r="AD1344" i="1" s="1"/>
  <c r="Z1344" i="1"/>
  <c r="AC1344" i="1" s="1"/>
  <c r="Q1346" i="1"/>
  <c r="P1346" i="1"/>
  <c r="S1345" i="1" a="1"/>
  <c r="R1345" i="1" a="1"/>
  <c r="R1345" i="1" s="1"/>
  <c r="L1345" i="1" s="1"/>
  <c r="O1346" i="1"/>
  <c r="AP1347" i="1"/>
  <c r="AQ1346" i="1"/>
  <c r="BO443" i="1"/>
  <c r="BP442" i="1"/>
  <c r="AS1346" i="1" l="1"/>
  <c r="X1345" i="1"/>
  <c r="W1345" i="1"/>
  <c r="AR1345" i="1"/>
  <c r="Y1344" i="1"/>
  <c r="AB1344" i="1" s="1"/>
  <c r="S1345" i="1"/>
  <c r="V1345" i="1" s="1"/>
  <c r="AA1345" i="1"/>
  <c r="AD1345" i="1" s="1"/>
  <c r="Z1345" i="1"/>
  <c r="AC1345" i="1" s="1"/>
  <c r="P1347" i="1"/>
  <c r="Q1347" i="1"/>
  <c r="S1346" i="1" a="1"/>
  <c r="R1346" i="1" a="1"/>
  <c r="R1346" i="1" s="1"/>
  <c r="L1346" i="1" s="1"/>
  <c r="O1347" i="1"/>
  <c r="AP1348" i="1"/>
  <c r="AQ1347" i="1"/>
  <c r="BO444" i="1"/>
  <c r="BP443" i="1"/>
  <c r="AS1347" i="1" l="1"/>
  <c r="X1346" i="1"/>
  <c r="W1346" i="1"/>
  <c r="AR1346" i="1"/>
  <c r="Y1345" i="1"/>
  <c r="AB1345" i="1" s="1"/>
  <c r="S1346" i="1"/>
  <c r="V1346" i="1" s="1"/>
  <c r="AA1346" i="1"/>
  <c r="AD1346" i="1" s="1"/>
  <c r="Z1346" i="1"/>
  <c r="AC1346" i="1" s="1"/>
  <c r="P1348" i="1"/>
  <c r="Q1348" i="1"/>
  <c r="R1347" i="1" a="1"/>
  <c r="R1347" i="1" s="1"/>
  <c r="L1347" i="1" s="1"/>
  <c r="S1347" i="1" a="1"/>
  <c r="O1348" i="1"/>
  <c r="AP1349" i="1"/>
  <c r="AQ1348" i="1"/>
  <c r="BO445" i="1"/>
  <c r="BP444" i="1"/>
  <c r="AS1348" i="1" l="1"/>
  <c r="X1347" i="1"/>
  <c r="W1347" i="1"/>
  <c r="AR1347" i="1"/>
  <c r="Y1346" i="1"/>
  <c r="AB1346" i="1" s="1"/>
  <c r="S1347" i="1"/>
  <c r="V1347" i="1" s="1"/>
  <c r="AA1347" i="1"/>
  <c r="AD1347" i="1" s="1"/>
  <c r="Z1347" i="1"/>
  <c r="AC1347" i="1" s="1"/>
  <c r="Q1349" i="1"/>
  <c r="P1349" i="1"/>
  <c r="S1348" i="1" a="1"/>
  <c r="R1348" i="1" a="1"/>
  <c r="R1348" i="1" s="1"/>
  <c r="L1348" i="1" s="1"/>
  <c r="O1349" i="1"/>
  <c r="AP1350" i="1"/>
  <c r="AQ1349" i="1"/>
  <c r="BO446" i="1"/>
  <c r="BP445" i="1"/>
  <c r="AS1349" i="1" l="1"/>
  <c r="X1348" i="1"/>
  <c r="W1348" i="1"/>
  <c r="AR1348" i="1"/>
  <c r="Y1347" i="1"/>
  <c r="AB1347" i="1" s="1"/>
  <c r="S1348" i="1"/>
  <c r="V1348" i="1" s="1"/>
  <c r="AA1348" i="1"/>
  <c r="AD1348" i="1" s="1"/>
  <c r="Z1348" i="1"/>
  <c r="AC1348" i="1" s="1"/>
  <c r="Q1350" i="1"/>
  <c r="P1350" i="1"/>
  <c r="S1349" i="1" a="1"/>
  <c r="R1349" i="1" a="1"/>
  <c r="R1349" i="1" s="1"/>
  <c r="L1349" i="1" s="1"/>
  <c r="O1350" i="1"/>
  <c r="AP1351" i="1"/>
  <c r="AQ1350" i="1"/>
  <c r="BO447" i="1"/>
  <c r="BP446" i="1"/>
  <c r="AS1350" i="1" l="1"/>
  <c r="W1349" i="1"/>
  <c r="X1349" i="1"/>
  <c r="AR1349" i="1"/>
  <c r="Y1348" i="1"/>
  <c r="AB1348" i="1" s="1"/>
  <c r="S1349" i="1"/>
  <c r="V1349" i="1" s="1"/>
  <c r="Z1349" i="1"/>
  <c r="AC1349" i="1" s="1"/>
  <c r="AA1349" i="1"/>
  <c r="AD1349" i="1" s="1"/>
  <c r="Q1351" i="1"/>
  <c r="P1351" i="1"/>
  <c r="S1350" i="1" a="1"/>
  <c r="R1350" i="1" a="1"/>
  <c r="R1350" i="1" s="1"/>
  <c r="L1350" i="1" s="1"/>
  <c r="AR1350" i="1" s="1"/>
  <c r="O1351" i="1"/>
  <c r="AP1352" i="1"/>
  <c r="AQ1351" i="1"/>
  <c r="BO448" i="1"/>
  <c r="BP447" i="1"/>
  <c r="W1350" i="1" l="1"/>
  <c r="X1350" i="1"/>
  <c r="AS1351" i="1"/>
  <c r="Y1349" i="1"/>
  <c r="AB1349" i="1" s="1"/>
  <c r="S1350" i="1"/>
  <c r="V1350" i="1" s="1"/>
  <c r="AA1350" i="1"/>
  <c r="AD1350" i="1" s="1"/>
  <c r="Z1350" i="1"/>
  <c r="AC1350" i="1" s="1"/>
  <c r="P1352" i="1"/>
  <c r="Q1352" i="1"/>
  <c r="S1351" i="1" a="1"/>
  <c r="R1351" i="1" a="1"/>
  <c r="R1351" i="1" s="1"/>
  <c r="L1351" i="1" s="1"/>
  <c r="O1352" i="1"/>
  <c r="AP1353" i="1"/>
  <c r="AQ1352" i="1"/>
  <c r="BO449" i="1"/>
  <c r="BP448" i="1"/>
  <c r="AS1352" i="1" l="1"/>
  <c r="X1351" i="1"/>
  <c r="W1351" i="1"/>
  <c r="AR1351" i="1"/>
  <c r="Y1350" i="1"/>
  <c r="AB1350" i="1" s="1"/>
  <c r="S1351" i="1"/>
  <c r="V1351" i="1" s="1"/>
  <c r="AA1351" i="1"/>
  <c r="AD1351" i="1" s="1"/>
  <c r="Z1351" i="1"/>
  <c r="AC1351" i="1" s="1"/>
  <c r="S1352" i="1" a="1"/>
  <c r="R1352" i="1" a="1"/>
  <c r="R1352" i="1" s="1"/>
  <c r="L1352" i="1" s="1"/>
  <c r="Q1353" i="1"/>
  <c r="P1353" i="1"/>
  <c r="O1353" i="1"/>
  <c r="AP1354" i="1"/>
  <c r="AQ1353" i="1"/>
  <c r="BO450" i="1"/>
  <c r="BP449" i="1"/>
  <c r="AS1353" i="1" l="1"/>
  <c r="W1352" i="1"/>
  <c r="X1352" i="1"/>
  <c r="AR1352" i="1"/>
  <c r="Y1351" i="1"/>
  <c r="AB1351" i="1" s="1"/>
  <c r="S1352" i="1"/>
  <c r="V1352" i="1" s="1"/>
  <c r="AA1352" i="1"/>
  <c r="AD1352" i="1" s="1"/>
  <c r="Z1352" i="1"/>
  <c r="AC1352" i="1" s="1"/>
  <c r="Q1354" i="1"/>
  <c r="P1354" i="1"/>
  <c r="S1353" i="1" a="1"/>
  <c r="R1353" i="1" a="1"/>
  <c r="R1353" i="1" s="1"/>
  <c r="L1353" i="1" s="1"/>
  <c r="AR1353" i="1" s="1"/>
  <c r="O1354" i="1"/>
  <c r="AP1355" i="1"/>
  <c r="AQ1354" i="1"/>
  <c r="BO451" i="1"/>
  <c r="BP450" i="1"/>
  <c r="AS1354" i="1" l="1"/>
  <c r="W1353" i="1"/>
  <c r="X1353" i="1"/>
  <c r="Y1352" i="1"/>
  <c r="AB1352" i="1" s="1"/>
  <c r="S1353" i="1"/>
  <c r="V1353" i="1" s="1"/>
  <c r="AA1353" i="1"/>
  <c r="AD1353" i="1" s="1"/>
  <c r="Z1353" i="1"/>
  <c r="AC1353" i="1" s="1"/>
  <c r="Q1355" i="1"/>
  <c r="P1355" i="1"/>
  <c r="R1354" i="1" a="1"/>
  <c r="R1354" i="1" s="1"/>
  <c r="L1354" i="1" s="1"/>
  <c r="S1354" i="1" a="1"/>
  <c r="O1355" i="1"/>
  <c r="AP1356" i="1"/>
  <c r="AQ1355" i="1"/>
  <c r="BO452" i="1"/>
  <c r="BP451" i="1"/>
  <c r="AS1355" i="1" l="1"/>
  <c r="W1354" i="1"/>
  <c r="X1354" i="1"/>
  <c r="AR1354" i="1"/>
  <c r="Y1353" i="1"/>
  <c r="AB1353" i="1" s="1"/>
  <c r="S1354" i="1"/>
  <c r="V1354" i="1" s="1"/>
  <c r="AA1354" i="1"/>
  <c r="AD1354" i="1" s="1"/>
  <c r="Z1354" i="1"/>
  <c r="AC1354" i="1" s="1"/>
  <c r="P1356" i="1"/>
  <c r="Q1356" i="1"/>
  <c r="S1355" i="1" a="1"/>
  <c r="R1355" i="1" a="1"/>
  <c r="R1355" i="1" s="1"/>
  <c r="L1355" i="1" s="1"/>
  <c r="O1356" i="1"/>
  <c r="AP1357" i="1"/>
  <c r="AQ1356" i="1"/>
  <c r="BO453" i="1"/>
  <c r="BP452" i="1"/>
  <c r="AS1356" i="1" l="1"/>
  <c r="W1355" i="1"/>
  <c r="X1355" i="1"/>
  <c r="AR1355" i="1"/>
  <c r="Y1354" i="1"/>
  <c r="AB1354" i="1" s="1"/>
  <c r="S1355" i="1"/>
  <c r="V1355" i="1" s="1"/>
  <c r="Z1355" i="1"/>
  <c r="AC1355" i="1" s="1"/>
  <c r="AA1355" i="1"/>
  <c r="AD1355" i="1" s="1"/>
  <c r="Q1357" i="1"/>
  <c r="P1357" i="1"/>
  <c r="R1356" i="1" a="1"/>
  <c r="R1356" i="1" s="1"/>
  <c r="L1356" i="1" s="1"/>
  <c r="S1356" i="1" a="1"/>
  <c r="O1357" i="1"/>
  <c r="AP1358" i="1"/>
  <c r="AQ1357" i="1"/>
  <c r="BO454" i="1"/>
  <c r="BP453" i="1"/>
  <c r="W1356" i="1" l="1"/>
  <c r="X1356" i="1"/>
  <c r="AR1356" i="1"/>
  <c r="AS1357" i="1"/>
  <c r="Y1355" i="1"/>
  <c r="AB1355" i="1" s="1"/>
  <c r="S1356" i="1"/>
  <c r="V1356" i="1" s="1"/>
  <c r="AA1356" i="1"/>
  <c r="AD1356" i="1" s="1"/>
  <c r="Z1356" i="1"/>
  <c r="AC1356" i="1" s="1"/>
  <c r="R1357" i="1" a="1"/>
  <c r="R1357" i="1" s="1"/>
  <c r="L1357" i="1" s="1"/>
  <c r="S1357" i="1" a="1"/>
  <c r="Q1358" i="1"/>
  <c r="P1358" i="1"/>
  <c r="O1358" i="1"/>
  <c r="AP1359" i="1"/>
  <c r="AQ1358" i="1"/>
  <c r="BO455" i="1"/>
  <c r="BP454" i="1"/>
  <c r="AS1358" i="1" l="1"/>
  <c r="W1357" i="1"/>
  <c r="X1357" i="1"/>
  <c r="AR1357" i="1"/>
  <c r="Y1356" i="1"/>
  <c r="AB1356" i="1" s="1"/>
  <c r="S1357" i="1"/>
  <c r="V1357" i="1" s="1"/>
  <c r="AA1357" i="1"/>
  <c r="AD1357" i="1" s="1"/>
  <c r="Z1357" i="1"/>
  <c r="AC1357" i="1" s="1"/>
  <c r="Q1359" i="1"/>
  <c r="P1359" i="1"/>
  <c r="S1358" i="1" a="1"/>
  <c r="R1358" i="1" a="1"/>
  <c r="R1358" i="1" s="1"/>
  <c r="L1358" i="1" s="1"/>
  <c r="AR1358" i="1" s="1"/>
  <c r="O1359" i="1"/>
  <c r="AP1360" i="1"/>
  <c r="AQ1359" i="1"/>
  <c r="BO456" i="1"/>
  <c r="BP455" i="1"/>
  <c r="AS1359" i="1" l="1"/>
  <c r="W1358" i="1"/>
  <c r="X1358" i="1"/>
  <c r="Y1357" i="1"/>
  <c r="AB1357" i="1" s="1"/>
  <c r="S1358" i="1"/>
  <c r="V1358" i="1" s="1"/>
  <c r="AA1358" i="1"/>
  <c r="AD1358" i="1" s="1"/>
  <c r="Z1358" i="1"/>
  <c r="AC1358" i="1" s="1"/>
  <c r="P1360" i="1"/>
  <c r="Q1360" i="1"/>
  <c r="S1359" i="1" a="1"/>
  <c r="R1359" i="1" a="1"/>
  <c r="R1359" i="1" s="1"/>
  <c r="L1359" i="1" s="1"/>
  <c r="O1360" i="1"/>
  <c r="AP1361" i="1"/>
  <c r="AQ1360" i="1"/>
  <c r="BO457" i="1"/>
  <c r="BP456" i="1"/>
  <c r="AS1360" i="1" l="1"/>
  <c r="X1359" i="1"/>
  <c r="W1359" i="1"/>
  <c r="AR1359" i="1"/>
  <c r="Y1358" i="1"/>
  <c r="AB1358" i="1" s="1"/>
  <c r="S1359" i="1"/>
  <c r="V1359" i="1" s="1"/>
  <c r="AA1359" i="1"/>
  <c r="AD1359" i="1" s="1"/>
  <c r="Z1359" i="1"/>
  <c r="AC1359" i="1" s="1"/>
  <c r="P1361" i="1"/>
  <c r="Q1361" i="1"/>
  <c r="S1360" i="1" a="1"/>
  <c r="R1360" i="1" a="1"/>
  <c r="R1360" i="1" s="1"/>
  <c r="L1360" i="1" s="1"/>
  <c r="O1361" i="1"/>
  <c r="AP1362" i="1"/>
  <c r="AQ1361" i="1"/>
  <c r="BO458" i="1"/>
  <c r="BP457" i="1"/>
  <c r="AS1361" i="1" l="1"/>
  <c r="X1360" i="1"/>
  <c r="W1360" i="1"/>
  <c r="AR1360" i="1"/>
  <c r="Y1359" i="1"/>
  <c r="AB1359" i="1" s="1"/>
  <c r="S1360" i="1"/>
  <c r="V1360" i="1" s="1"/>
  <c r="Z1360" i="1"/>
  <c r="AC1360" i="1" s="1"/>
  <c r="AA1360" i="1"/>
  <c r="AD1360" i="1" s="1"/>
  <c r="P1362" i="1"/>
  <c r="Q1362" i="1"/>
  <c r="S1361" i="1" a="1"/>
  <c r="R1361" i="1" a="1"/>
  <c r="R1361" i="1" s="1"/>
  <c r="L1361" i="1" s="1"/>
  <c r="O1362" i="1"/>
  <c r="AP1363" i="1"/>
  <c r="AQ1362" i="1"/>
  <c r="BO459" i="1"/>
  <c r="BP458" i="1"/>
  <c r="AS1362" i="1" l="1"/>
  <c r="X1361" i="1"/>
  <c r="W1361" i="1"/>
  <c r="AR1361" i="1"/>
  <c r="Y1360" i="1"/>
  <c r="AB1360" i="1" s="1"/>
  <c r="S1361" i="1"/>
  <c r="V1361" i="1" s="1"/>
  <c r="Z1361" i="1"/>
  <c r="AC1361" i="1" s="1"/>
  <c r="AA1361" i="1"/>
  <c r="AD1361" i="1" s="1"/>
  <c r="Q1363" i="1"/>
  <c r="P1363" i="1"/>
  <c r="S1362" i="1" a="1"/>
  <c r="R1362" i="1" a="1"/>
  <c r="R1362" i="1" s="1"/>
  <c r="L1362" i="1" s="1"/>
  <c r="O1363" i="1"/>
  <c r="AP1364" i="1"/>
  <c r="AQ1363" i="1"/>
  <c r="BO460" i="1"/>
  <c r="BP459" i="1"/>
  <c r="AS1363" i="1" l="1"/>
  <c r="X1362" i="1"/>
  <c r="W1362" i="1"/>
  <c r="AR1362" i="1"/>
  <c r="Y1361" i="1"/>
  <c r="AB1361" i="1" s="1"/>
  <c r="S1362" i="1"/>
  <c r="V1362" i="1" s="1"/>
  <c r="Z1362" i="1"/>
  <c r="AC1362" i="1" s="1"/>
  <c r="AA1362" i="1"/>
  <c r="AD1362" i="1" s="1"/>
  <c r="P1364" i="1"/>
  <c r="Q1364" i="1"/>
  <c r="S1363" i="1" a="1"/>
  <c r="R1363" i="1" a="1"/>
  <c r="R1363" i="1" s="1"/>
  <c r="L1363" i="1" s="1"/>
  <c r="AR1363" i="1" s="1"/>
  <c r="O1364" i="1"/>
  <c r="AP1365" i="1"/>
  <c r="AQ1364" i="1"/>
  <c r="BO461" i="1"/>
  <c r="BP460" i="1"/>
  <c r="AS1364" i="1" l="1"/>
  <c r="X1363" i="1"/>
  <c r="W1363" i="1"/>
  <c r="Y1362" i="1"/>
  <c r="AB1362" i="1" s="1"/>
  <c r="S1363" i="1"/>
  <c r="V1363" i="1" s="1"/>
  <c r="AA1363" i="1"/>
  <c r="AD1363" i="1" s="1"/>
  <c r="Z1363" i="1"/>
  <c r="AC1363" i="1" s="1"/>
  <c r="Q1365" i="1"/>
  <c r="P1365" i="1"/>
  <c r="S1364" i="1" a="1"/>
  <c r="R1364" i="1" a="1"/>
  <c r="R1364" i="1" s="1"/>
  <c r="L1364" i="1" s="1"/>
  <c r="O1365" i="1"/>
  <c r="AP1366" i="1"/>
  <c r="AQ1365" i="1"/>
  <c r="BO462" i="1"/>
  <c r="BP461" i="1"/>
  <c r="AS1365" i="1" l="1"/>
  <c r="W1364" i="1"/>
  <c r="X1364" i="1"/>
  <c r="AR1364" i="1"/>
  <c r="Y1363" i="1"/>
  <c r="AB1363" i="1" s="1"/>
  <c r="S1364" i="1"/>
  <c r="V1364" i="1" s="1"/>
  <c r="AA1364" i="1"/>
  <c r="AD1364" i="1" s="1"/>
  <c r="Z1364" i="1"/>
  <c r="AC1364" i="1" s="1"/>
  <c r="Q1366" i="1"/>
  <c r="P1366" i="1"/>
  <c r="S1365" i="1" a="1"/>
  <c r="R1365" i="1" a="1"/>
  <c r="R1365" i="1" s="1"/>
  <c r="L1365" i="1" s="1"/>
  <c r="O1366" i="1"/>
  <c r="AP1367" i="1"/>
  <c r="AQ1366" i="1"/>
  <c r="BO463" i="1"/>
  <c r="BP462" i="1"/>
  <c r="AS1366" i="1" l="1"/>
  <c r="X1365" i="1"/>
  <c r="W1365" i="1"/>
  <c r="AR1365" i="1"/>
  <c r="Y1364" i="1"/>
  <c r="AB1364" i="1" s="1"/>
  <c r="S1365" i="1"/>
  <c r="V1365" i="1" s="1"/>
  <c r="Z1365" i="1"/>
  <c r="AC1365" i="1" s="1"/>
  <c r="AA1365" i="1"/>
  <c r="AD1365" i="1" s="1"/>
  <c r="Q1367" i="1"/>
  <c r="P1367" i="1"/>
  <c r="S1366" i="1" a="1"/>
  <c r="R1366" i="1" a="1"/>
  <c r="R1366" i="1" s="1"/>
  <c r="L1366" i="1" s="1"/>
  <c r="AR1366" i="1" s="1"/>
  <c r="O1367" i="1"/>
  <c r="AP1368" i="1"/>
  <c r="AQ1367" i="1"/>
  <c r="BO464" i="1"/>
  <c r="BP463" i="1"/>
  <c r="AS1367" i="1" l="1"/>
  <c r="X1366" i="1"/>
  <c r="W1366" i="1"/>
  <c r="Y1365" i="1"/>
  <c r="AB1365" i="1" s="1"/>
  <c r="S1366" i="1"/>
  <c r="V1366" i="1" s="1"/>
  <c r="Z1366" i="1"/>
  <c r="AC1366" i="1" s="1"/>
  <c r="AA1366" i="1"/>
  <c r="AD1366" i="1" s="1"/>
  <c r="P1368" i="1"/>
  <c r="Q1368" i="1"/>
  <c r="S1367" i="1" a="1"/>
  <c r="R1367" i="1" a="1"/>
  <c r="R1367" i="1" s="1"/>
  <c r="L1367" i="1" s="1"/>
  <c r="O1368" i="1"/>
  <c r="AP1369" i="1"/>
  <c r="AQ1368" i="1"/>
  <c r="BO465" i="1"/>
  <c r="BP464" i="1"/>
  <c r="AS1368" i="1" l="1"/>
  <c r="X1367" i="1"/>
  <c r="W1367" i="1"/>
  <c r="AR1367" i="1"/>
  <c r="Y1366" i="1"/>
  <c r="AB1366" i="1" s="1"/>
  <c r="S1367" i="1"/>
  <c r="V1367" i="1" s="1"/>
  <c r="Z1367" i="1"/>
  <c r="AC1367" i="1" s="1"/>
  <c r="AA1367" i="1"/>
  <c r="AD1367" i="1" s="1"/>
  <c r="Q1369" i="1"/>
  <c r="P1369" i="1"/>
  <c r="R1368" i="1" a="1"/>
  <c r="R1368" i="1" s="1"/>
  <c r="L1368" i="1" s="1"/>
  <c r="S1368" i="1" a="1"/>
  <c r="O1369" i="1"/>
  <c r="AP1370" i="1"/>
  <c r="AQ1369" i="1"/>
  <c r="BO466" i="1"/>
  <c r="BP465" i="1"/>
  <c r="X1368" i="1" l="1"/>
  <c r="W1368" i="1"/>
  <c r="AR1368" i="1"/>
  <c r="AS1369" i="1"/>
  <c r="Y1367" i="1"/>
  <c r="AB1367" i="1" s="1"/>
  <c r="S1368" i="1"/>
  <c r="V1368" i="1" s="1"/>
  <c r="Z1368" i="1"/>
  <c r="AC1368" i="1" s="1"/>
  <c r="AA1368" i="1"/>
  <c r="AD1368" i="1" s="1"/>
  <c r="Q1370" i="1"/>
  <c r="P1370" i="1"/>
  <c r="R1369" i="1" a="1"/>
  <c r="R1369" i="1" s="1"/>
  <c r="L1369" i="1" s="1"/>
  <c r="S1369" i="1" a="1"/>
  <c r="O1370" i="1"/>
  <c r="AP1371" i="1"/>
  <c r="AQ1370" i="1"/>
  <c r="BO467" i="1"/>
  <c r="BP466" i="1"/>
  <c r="X1369" i="1" l="1"/>
  <c r="W1369" i="1"/>
  <c r="AR1369" i="1"/>
  <c r="AS1370" i="1"/>
  <c r="Y1368" i="1"/>
  <c r="AB1368" i="1" s="1"/>
  <c r="S1369" i="1"/>
  <c r="V1369" i="1" s="1"/>
  <c r="AA1369" i="1"/>
  <c r="AD1369" i="1" s="1"/>
  <c r="Z1369" i="1"/>
  <c r="AC1369" i="1" s="1"/>
  <c r="Q1371" i="1"/>
  <c r="P1371" i="1"/>
  <c r="R1370" i="1" a="1"/>
  <c r="R1370" i="1" s="1"/>
  <c r="L1370" i="1" s="1"/>
  <c r="S1370" i="1" a="1"/>
  <c r="O1371" i="1"/>
  <c r="AP1372" i="1"/>
  <c r="AQ1371" i="1"/>
  <c r="BO468" i="1"/>
  <c r="BP467" i="1"/>
  <c r="AS1371" i="1" l="1"/>
  <c r="X1370" i="1"/>
  <c r="W1370" i="1"/>
  <c r="AR1370" i="1"/>
  <c r="Y1369" i="1"/>
  <c r="AB1369" i="1" s="1"/>
  <c r="S1370" i="1"/>
  <c r="V1370" i="1" s="1"/>
  <c r="AA1370" i="1"/>
  <c r="AD1370" i="1" s="1"/>
  <c r="Z1370" i="1"/>
  <c r="AC1370" i="1" s="1"/>
  <c r="Q1372" i="1"/>
  <c r="P1372" i="1"/>
  <c r="R1371" i="1" a="1"/>
  <c r="R1371" i="1" s="1"/>
  <c r="L1371" i="1" s="1"/>
  <c r="S1371" i="1" a="1"/>
  <c r="O1372" i="1"/>
  <c r="AP1373" i="1"/>
  <c r="AQ1372" i="1"/>
  <c r="BO469" i="1"/>
  <c r="BP468" i="1"/>
  <c r="X1371" i="1" l="1"/>
  <c r="W1371" i="1"/>
  <c r="AR1371" i="1"/>
  <c r="AS1372" i="1"/>
  <c r="Y1370" i="1"/>
  <c r="AB1370" i="1" s="1"/>
  <c r="S1371" i="1"/>
  <c r="V1371" i="1" s="1"/>
  <c r="AA1371" i="1"/>
  <c r="AD1371" i="1" s="1"/>
  <c r="Z1371" i="1"/>
  <c r="AC1371" i="1" s="1"/>
  <c r="Q1373" i="1"/>
  <c r="P1373" i="1"/>
  <c r="S1372" i="1" a="1"/>
  <c r="R1372" i="1" a="1"/>
  <c r="R1372" i="1" s="1"/>
  <c r="L1372" i="1" s="1"/>
  <c r="O1373" i="1"/>
  <c r="AP1374" i="1"/>
  <c r="AQ1373" i="1"/>
  <c r="BO470" i="1"/>
  <c r="BP469" i="1"/>
  <c r="AS1373" i="1" l="1"/>
  <c r="X1372" i="1"/>
  <c r="W1372" i="1"/>
  <c r="AR1372" i="1"/>
  <c r="Y1371" i="1"/>
  <c r="AB1371" i="1" s="1"/>
  <c r="S1372" i="1"/>
  <c r="V1372" i="1" s="1"/>
  <c r="Z1372" i="1"/>
  <c r="AC1372" i="1" s="1"/>
  <c r="AA1372" i="1"/>
  <c r="AD1372" i="1" s="1"/>
  <c r="Q1374" i="1"/>
  <c r="P1374" i="1"/>
  <c r="S1373" i="1" a="1"/>
  <c r="R1373" i="1" a="1"/>
  <c r="R1373" i="1" s="1"/>
  <c r="L1373" i="1" s="1"/>
  <c r="AR1373" i="1" s="1"/>
  <c r="O1374" i="1"/>
  <c r="AP1375" i="1"/>
  <c r="AQ1374" i="1"/>
  <c r="BO471" i="1"/>
  <c r="BP470" i="1"/>
  <c r="X1373" i="1" l="1"/>
  <c r="W1373" i="1"/>
  <c r="AS1374" i="1"/>
  <c r="Y1372" i="1"/>
  <c r="AB1372" i="1" s="1"/>
  <c r="S1373" i="1"/>
  <c r="V1373" i="1" s="1"/>
  <c r="Z1373" i="1"/>
  <c r="AC1373" i="1" s="1"/>
  <c r="AA1373" i="1"/>
  <c r="AD1373" i="1" s="1"/>
  <c r="Q1375" i="1"/>
  <c r="P1375" i="1"/>
  <c r="S1374" i="1" a="1"/>
  <c r="R1374" i="1" a="1"/>
  <c r="R1374" i="1" s="1"/>
  <c r="L1374" i="1" s="1"/>
  <c r="O1375" i="1"/>
  <c r="AP1376" i="1"/>
  <c r="AQ1375" i="1"/>
  <c r="BO472" i="1"/>
  <c r="BP471" i="1"/>
  <c r="AS1375" i="1" l="1"/>
  <c r="X1374" i="1"/>
  <c r="W1374" i="1"/>
  <c r="AR1374" i="1"/>
  <c r="Y1373" i="1"/>
  <c r="AB1373" i="1" s="1"/>
  <c r="S1374" i="1"/>
  <c r="V1374" i="1" s="1"/>
  <c r="Z1374" i="1"/>
  <c r="AC1374" i="1" s="1"/>
  <c r="AA1374" i="1"/>
  <c r="AD1374" i="1" s="1"/>
  <c r="P1376" i="1"/>
  <c r="Q1376" i="1"/>
  <c r="S1375" i="1" a="1"/>
  <c r="R1375" i="1" a="1"/>
  <c r="R1375" i="1" s="1"/>
  <c r="L1375" i="1" s="1"/>
  <c r="O1376" i="1"/>
  <c r="AP1377" i="1"/>
  <c r="AQ1376" i="1"/>
  <c r="BO473" i="1"/>
  <c r="BP472" i="1"/>
  <c r="AS1376" i="1" l="1"/>
  <c r="W1375" i="1"/>
  <c r="X1375" i="1"/>
  <c r="AR1375" i="1"/>
  <c r="Y1374" i="1"/>
  <c r="AB1374" i="1" s="1"/>
  <c r="S1375" i="1"/>
  <c r="V1375" i="1" s="1"/>
  <c r="AA1375" i="1"/>
  <c r="AD1375" i="1" s="1"/>
  <c r="Z1375" i="1"/>
  <c r="AC1375" i="1" s="1"/>
  <c r="Q1377" i="1"/>
  <c r="P1377" i="1"/>
  <c r="S1376" i="1" a="1"/>
  <c r="R1376" i="1" a="1"/>
  <c r="R1376" i="1" s="1"/>
  <c r="L1376" i="1" s="1"/>
  <c r="O1377" i="1"/>
  <c r="AP1378" i="1"/>
  <c r="AQ1377" i="1"/>
  <c r="BO474" i="1"/>
  <c r="BP473" i="1"/>
  <c r="AS1377" i="1" l="1"/>
  <c r="W1376" i="1"/>
  <c r="X1376" i="1"/>
  <c r="AR1376" i="1"/>
  <c r="Y1375" i="1"/>
  <c r="AB1375" i="1" s="1"/>
  <c r="S1376" i="1"/>
  <c r="V1376" i="1" s="1"/>
  <c r="Z1376" i="1"/>
  <c r="AC1376" i="1" s="1"/>
  <c r="AA1376" i="1"/>
  <c r="AD1376" i="1" s="1"/>
  <c r="Q1378" i="1"/>
  <c r="P1378" i="1"/>
  <c r="S1377" i="1" a="1"/>
  <c r="R1377" i="1" a="1"/>
  <c r="R1377" i="1" s="1"/>
  <c r="L1377" i="1" s="1"/>
  <c r="O1378" i="1"/>
  <c r="AP1379" i="1"/>
  <c r="AQ1378" i="1"/>
  <c r="BO475" i="1"/>
  <c r="BP474" i="1"/>
  <c r="AS1378" i="1" l="1"/>
  <c r="W1377" i="1"/>
  <c r="X1377" i="1"/>
  <c r="AR1377" i="1"/>
  <c r="Y1376" i="1"/>
  <c r="AB1376" i="1" s="1"/>
  <c r="S1377" i="1"/>
  <c r="V1377" i="1" s="1"/>
  <c r="AA1377" i="1"/>
  <c r="AD1377" i="1" s="1"/>
  <c r="Z1377" i="1"/>
  <c r="AC1377" i="1" s="1"/>
  <c r="Q1379" i="1"/>
  <c r="P1379" i="1"/>
  <c r="R1378" i="1" a="1"/>
  <c r="R1378" i="1" s="1"/>
  <c r="L1378" i="1" s="1"/>
  <c r="S1378" i="1" a="1"/>
  <c r="O1379" i="1"/>
  <c r="AP1380" i="1"/>
  <c r="AQ1379" i="1"/>
  <c r="BO476" i="1"/>
  <c r="BP475" i="1"/>
  <c r="AS1379" i="1" l="1"/>
  <c r="W1378" i="1"/>
  <c r="X1378" i="1"/>
  <c r="AR1378" i="1"/>
  <c r="Y1377" i="1"/>
  <c r="AB1377" i="1" s="1"/>
  <c r="S1378" i="1"/>
  <c r="V1378" i="1" s="1"/>
  <c r="AA1378" i="1"/>
  <c r="AD1378" i="1" s="1"/>
  <c r="Z1378" i="1"/>
  <c r="AC1378" i="1" s="1"/>
  <c r="Q1380" i="1"/>
  <c r="P1380" i="1"/>
  <c r="R1379" i="1" a="1"/>
  <c r="R1379" i="1" s="1"/>
  <c r="L1379" i="1" s="1"/>
  <c r="S1379" i="1" a="1"/>
  <c r="O1380" i="1"/>
  <c r="AP1381" i="1"/>
  <c r="AQ1380" i="1"/>
  <c r="BO477" i="1"/>
  <c r="BP476" i="1"/>
  <c r="AS1380" i="1" l="1"/>
  <c r="W1379" i="1"/>
  <c r="X1379" i="1"/>
  <c r="AR1379" i="1"/>
  <c r="Y1378" i="1"/>
  <c r="AB1378" i="1" s="1"/>
  <c r="S1379" i="1"/>
  <c r="V1379" i="1" s="1"/>
  <c r="Z1379" i="1"/>
  <c r="AC1379" i="1" s="1"/>
  <c r="AA1379" i="1"/>
  <c r="AD1379" i="1" s="1"/>
  <c r="Q1381" i="1"/>
  <c r="P1381" i="1"/>
  <c r="S1380" i="1" a="1"/>
  <c r="R1380" i="1" a="1"/>
  <c r="R1380" i="1" s="1"/>
  <c r="L1380" i="1" s="1"/>
  <c r="O1381" i="1"/>
  <c r="AP1382" i="1"/>
  <c r="AQ1381" i="1"/>
  <c r="BO478" i="1"/>
  <c r="BP477" i="1"/>
  <c r="AS1381" i="1" l="1"/>
  <c r="W1380" i="1"/>
  <c r="X1380" i="1"/>
  <c r="AR1380" i="1"/>
  <c r="Y1379" i="1"/>
  <c r="AB1379" i="1" s="1"/>
  <c r="S1380" i="1"/>
  <c r="V1380" i="1" s="1"/>
  <c r="Z1380" i="1"/>
  <c r="AC1380" i="1" s="1"/>
  <c r="AA1380" i="1"/>
  <c r="AD1380" i="1" s="1"/>
  <c r="P1382" i="1"/>
  <c r="Q1382" i="1"/>
  <c r="S1381" i="1" a="1"/>
  <c r="R1381" i="1" a="1"/>
  <c r="R1381" i="1" s="1"/>
  <c r="L1381" i="1" s="1"/>
  <c r="O1382" i="1"/>
  <c r="AP1383" i="1"/>
  <c r="AQ1382" i="1"/>
  <c r="BO479" i="1"/>
  <c r="BP478" i="1"/>
  <c r="AS1382" i="1" l="1"/>
  <c r="X1381" i="1"/>
  <c r="W1381" i="1"/>
  <c r="AR1381" i="1"/>
  <c r="Y1380" i="1"/>
  <c r="AB1380" i="1" s="1"/>
  <c r="S1381" i="1"/>
  <c r="V1381" i="1" s="1"/>
  <c r="AA1381" i="1"/>
  <c r="AD1381" i="1" s="1"/>
  <c r="Z1381" i="1"/>
  <c r="AC1381" i="1" s="1"/>
  <c r="P1383" i="1"/>
  <c r="Q1383" i="1"/>
  <c r="S1382" i="1" a="1"/>
  <c r="R1382" i="1" a="1"/>
  <c r="R1382" i="1" s="1"/>
  <c r="L1382" i="1" s="1"/>
  <c r="O1383" i="1"/>
  <c r="AP1384" i="1"/>
  <c r="AQ1383" i="1"/>
  <c r="BO480" i="1"/>
  <c r="BP479" i="1"/>
  <c r="AS1383" i="1" l="1"/>
  <c r="X1382" i="1"/>
  <c r="W1382" i="1"/>
  <c r="AR1382" i="1"/>
  <c r="Y1381" i="1"/>
  <c r="AB1381" i="1" s="1"/>
  <c r="S1382" i="1"/>
  <c r="V1382" i="1" s="1"/>
  <c r="AA1382" i="1"/>
  <c r="AD1382" i="1" s="1"/>
  <c r="Z1382" i="1"/>
  <c r="AC1382" i="1" s="1"/>
  <c r="Q1384" i="1"/>
  <c r="P1384" i="1"/>
  <c r="S1383" i="1" a="1"/>
  <c r="R1383" i="1" a="1"/>
  <c r="R1383" i="1" s="1"/>
  <c r="L1383" i="1" s="1"/>
  <c r="O1384" i="1"/>
  <c r="AP1385" i="1"/>
  <c r="AQ1384" i="1"/>
  <c r="BO481" i="1"/>
  <c r="BP480" i="1"/>
  <c r="AS1384" i="1" l="1"/>
  <c r="X1383" i="1"/>
  <c r="W1383" i="1"/>
  <c r="AR1383" i="1"/>
  <c r="Y1382" i="1"/>
  <c r="AB1382" i="1" s="1"/>
  <c r="S1383" i="1"/>
  <c r="V1383" i="1" s="1"/>
  <c r="Z1383" i="1"/>
  <c r="AC1383" i="1" s="1"/>
  <c r="AA1383" i="1"/>
  <c r="AD1383" i="1" s="1"/>
  <c r="Q1385" i="1"/>
  <c r="P1385" i="1"/>
  <c r="S1384" i="1" a="1"/>
  <c r="R1384" i="1" a="1"/>
  <c r="R1384" i="1" s="1"/>
  <c r="L1384" i="1" s="1"/>
  <c r="O1385" i="1"/>
  <c r="AP1386" i="1"/>
  <c r="AQ1385" i="1"/>
  <c r="BO482" i="1"/>
  <c r="BP481" i="1"/>
  <c r="AS1385" i="1" l="1"/>
  <c r="X1384" i="1"/>
  <c r="W1384" i="1"/>
  <c r="AR1384" i="1"/>
  <c r="Y1383" i="1"/>
  <c r="AB1383" i="1" s="1"/>
  <c r="S1384" i="1"/>
  <c r="V1384" i="1" s="1"/>
  <c r="Z1384" i="1"/>
  <c r="AC1384" i="1" s="1"/>
  <c r="AA1384" i="1"/>
  <c r="AD1384" i="1" s="1"/>
  <c r="Q1386" i="1"/>
  <c r="P1386" i="1"/>
  <c r="S1385" i="1" a="1"/>
  <c r="R1385" i="1" a="1"/>
  <c r="R1385" i="1" s="1"/>
  <c r="L1385" i="1" s="1"/>
  <c r="O1386" i="1"/>
  <c r="AP1387" i="1"/>
  <c r="AQ1386" i="1"/>
  <c r="BO483" i="1"/>
  <c r="BP482" i="1"/>
  <c r="AS1386" i="1" l="1"/>
  <c r="X1385" i="1"/>
  <c r="W1385" i="1"/>
  <c r="AR1385" i="1"/>
  <c r="Y1384" i="1"/>
  <c r="AB1384" i="1" s="1"/>
  <c r="S1385" i="1"/>
  <c r="V1385" i="1" s="1"/>
  <c r="AA1385" i="1"/>
  <c r="AD1385" i="1" s="1"/>
  <c r="Z1385" i="1"/>
  <c r="AC1385" i="1" s="1"/>
  <c r="P1387" i="1"/>
  <c r="Q1387" i="1"/>
  <c r="S1386" i="1" a="1"/>
  <c r="R1386" i="1" a="1"/>
  <c r="R1386" i="1" s="1"/>
  <c r="L1386" i="1" s="1"/>
  <c r="O1387" i="1"/>
  <c r="AP1388" i="1"/>
  <c r="AQ1387" i="1"/>
  <c r="BO484" i="1"/>
  <c r="BP483" i="1"/>
  <c r="AS1387" i="1" l="1"/>
  <c r="X1386" i="1"/>
  <c r="W1386" i="1"/>
  <c r="AR1386" i="1"/>
  <c r="Y1385" i="1"/>
  <c r="AB1385" i="1" s="1"/>
  <c r="S1386" i="1"/>
  <c r="V1386" i="1" s="1"/>
  <c r="AA1386" i="1"/>
  <c r="AD1386" i="1" s="1"/>
  <c r="Z1386" i="1"/>
  <c r="AC1386" i="1" s="1"/>
  <c r="Q1388" i="1"/>
  <c r="P1388" i="1"/>
  <c r="S1387" i="1" a="1"/>
  <c r="R1387" i="1" a="1"/>
  <c r="R1387" i="1" s="1"/>
  <c r="L1387" i="1" s="1"/>
  <c r="O1388" i="1"/>
  <c r="AP1389" i="1"/>
  <c r="AQ1388" i="1"/>
  <c r="BO485" i="1"/>
  <c r="BP484" i="1"/>
  <c r="AS1388" i="1" l="1"/>
  <c r="X1387" i="1"/>
  <c r="W1387" i="1"/>
  <c r="AR1387" i="1"/>
  <c r="Y1386" i="1"/>
  <c r="AB1386" i="1" s="1"/>
  <c r="S1387" i="1"/>
  <c r="V1387" i="1" s="1"/>
  <c r="AA1387" i="1"/>
  <c r="AD1387" i="1" s="1"/>
  <c r="Z1387" i="1"/>
  <c r="AC1387" i="1" s="1"/>
  <c r="P1389" i="1"/>
  <c r="Q1389" i="1"/>
  <c r="S1388" i="1" a="1"/>
  <c r="R1388" i="1" a="1"/>
  <c r="R1388" i="1" s="1"/>
  <c r="L1388" i="1" s="1"/>
  <c r="AR1388" i="1" s="1"/>
  <c r="O1389" i="1"/>
  <c r="AP1390" i="1"/>
  <c r="AQ1389" i="1"/>
  <c r="BO486" i="1"/>
  <c r="BP485" i="1"/>
  <c r="W1388" i="1" l="1"/>
  <c r="Z1388" i="1" s="1"/>
  <c r="AC1388" i="1" s="1"/>
  <c r="X1388" i="1"/>
  <c r="AS1389" i="1"/>
  <c r="Y1387" i="1"/>
  <c r="AB1387" i="1" s="1"/>
  <c r="S1388" i="1"/>
  <c r="V1388" i="1" s="1"/>
  <c r="AA1388" i="1"/>
  <c r="AD1388" i="1" s="1"/>
  <c r="P1390" i="1"/>
  <c r="Q1390" i="1"/>
  <c r="S1389" i="1" a="1"/>
  <c r="R1389" i="1" a="1"/>
  <c r="R1389" i="1" s="1"/>
  <c r="L1389" i="1" s="1"/>
  <c r="O1390" i="1"/>
  <c r="AP1391" i="1"/>
  <c r="AQ1390" i="1"/>
  <c r="BO487" i="1"/>
  <c r="BP486" i="1"/>
  <c r="AS1390" i="1" l="1"/>
  <c r="W1389" i="1"/>
  <c r="X1389" i="1"/>
  <c r="AR1389" i="1"/>
  <c r="Y1388" i="1"/>
  <c r="AB1388" i="1" s="1"/>
  <c r="S1389" i="1"/>
  <c r="V1389" i="1" s="1"/>
  <c r="Z1389" i="1"/>
  <c r="AC1389" i="1" s="1"/>
  <c r="AA1389" i="1"/>
  <c r="AD1389" i="1" s="1"/>
  <c r="P1391" i="1"/>
  <c r="Q1391" i="1"/>
  <c r="S1390" i="1" a="1"/>
  <c r="R1390" i="1" a="1"/>
  <c r="R1390" i="1" s="1"/>
  <c r="L1390" i="1" s="1"/>
  <c r="O1391" i="1"/>
  <c r="AP1392" i="1"/>
  <c r="AQ1391" i="1"/>
  <c r="BO488" i="1"/>
  <c r="BP487" i="1"/>
  <c r="AS1391" i="1" l="1"/>
  <c r="W1390" i="1"/>
  <c r="X1390" i="1"/>
  <c r="AR1390" i="1"/>
  <c r="Y1389" i="1"/>
  <c r="AB1389" i="1" s="1"/>
  <c r="S1390" i="1"/>
  <c r="V1390" i="1" s="1"/>
  <c r="Z1390" i="1"/>
  <c r="AC1390" i="1" s="1"/>
  <c r="AA1390" i="1"/>
  <c r="AD1390" i="1" s="1"/>
  <c r="P1392" i="1"/>
  <c r="Q1392" i="1"/>
  <c r="S1391" i="1" a="1"/>
  <c r="R1391" i="1" a="1"/>
  <c r="R1391" i="1" s="1"/>
  <c r="L1391" i="1" s="1"/>
  <c r="O1392" i="1"/>
  <c r="AP1393" i="1"/>
  <c r="AQ1392" i="1"/>
  <c r="BO489" i="1"/>
  <c r="BP488" i="1"/>
  <c r="AS1392" i="1" l="1"/>
  <c r="W1391" i="1"/>
  <c r="X1391" i="1"/>
  <c r="AR1391" i="1"/>
  <c r="Y1390" i="1"/>
  <c r="AB1390" i="1" s="1"/>
  <c r="S1391" i="1"/>
  <c r="V1391" i="1" s="1"/>
  <c r="Z1391" i="1"/>
  <c r="AC1391" i="1" s="1"/>
  <c r="AA1391" i="1"/>
  <c r="AD1391" i="1" s="1"/>
  <c r="P1393" i="1"/>
  <c r="Q1393" i="1"/>
  <c r="S1392" i="1" a="1"/>
  <c r="R1392" i="1" a="1"/>
  <c r="R1392" i="1" s="1"/>
  <c r="L1392" i="1" s="1"/>
  <c r="O1393" i="1"/>
  <c r="AP1394" i="1"/>
  <c r="AQ1393" i="1"/>
  <c r="BO490" i="1"/>
  <c r="BP489" i="1"/>
  <c r="AS1393" i="1" l="1"/>
  <c r="X1392" i="1"/>
  <c r="W1392" i="1"/>
  <c r="AR1392" i="1"/>
  <c r="Y1391" i="1"/>
  <c r="AB1391" i="1" s="1"/>
  <c r="S1392" i="1"/>
  <c r="V1392" i="1" s="1"/>
  <c r="Z1392" i="1"/>
  <c r="AC1392" i="1" s="1"/>
  <c r="AA1392" i="1"/>
  <c r="AD1392" i="1" s="1"/>
  <c r="Q1394" i="1"/>
  <c r="P1394" i="1"/>
  <c r="S1393" i="1" a="1"/>
  <c r="R1393" i="1" a="1"/>
  <c r="R1393" i="1" s="1"/>
  <c r="L1393" i="1" s="1"/>
  <c r="O1394" i="1"/>
  <c r="AP1395" i="1"/>
  <c r="AQ1394" i="1"/>
  <c r="BO491" i="1"/>
  <c r="BP490" i="1"/>
  <c r="AS1394" i="1" l="1"/>
  <c r="X1393" i="1"/>
  <c r="W1393" i="1"/>
  <c r="AR1393" i="1"/>
  <c r="Y1392" i="1"/>
  <c r="AB1392" i="1" s="1"/>
  <c r="S1393" i="1"/>
  <c r="V1393" i="1" s="1"/>
  <c r="AA1393" i="1"/>
  <c r="AD1393" i="1" s="1"/>
  <c r="Z1393" i="1"/>
  <c r="AC1393" i="1" s="1"/>
  <c r="P1395" i="1"/>
  <c r="Q1395" i="1"/>
  <c r="S1394" i="1" a="1"/>
  <c r="R1394" i="1" a="1"/>
  <c r="R1394" i="1" s="1"/>
  <c r="L1394" i="1" s="1"/>
  <c r="AR1394" i="1" s="1"/>
  <c r="O1395" i="1"/>
  <c r="AP1396" i="1"/>
  <c r="AQ1395" i="1"/>
  <c r="BO492" i="1"/>
  <c r="BP491" i="1"/>
  <c r="AS1395" i="1" l="1"/>
  <c r="X1394" i="1"/>
  <c r="W1394" i="1"/>
  <c r="Y1393" i="1"/>
  <c r="AB1393" i="1" s="1"/>
  <c r="S1394" i="1"/>
  <c r="V1394" i="1" s="1"/>
  <c r="Z1394" i="1"/>
  <c r="AC1394" i="1" s="1"/>
  <c r="AA1394" i="1"/>
  <c r="AD1394" i="1" s="1"/>
  <c r="P1396" i="1"/>
  <c r="Q1396" i="1"/>
  <c r="R1395" i="1" a="1"/>
  <c r="R1395" i="1" s="1"/>
  <c r="L1395" i="1" s="1"/>
  <c r="S1395" i="1" a="1"/>
  <c r="O1396" i="1"/>
  <c r="AP1397" i="1"/>
  <c r="AQ1396" i="1"/>
  <c r="BO493" i="1"/>
  <c r="BP492" i="1"/>
  <c r="X1395" i="1" l="1"/>
  <c r="W1395" i="1"/>
  <c r="AR1395" i="1"/>
  <c r="AS1396" i="1"/>
  <c r="Y1394" i="1"/>
  <c r="AB1394" i="1" s="1"/>
  <c r="S1395" i="1"/>
  <c r="V1395" i="1" s="1"/>
  <c r="AA1395" i="1"/>
  <c r="AD1395" i="1" s="1"/>
  <c r="Z1395" i="1"/>
  <c r="AC1395" i="1" s="1"/>
  <c r="P1397" i="1"/>
  <c r="Q1397" i="1"/>
  <c r="S1396" i="1" a="1"/>
  <c r="R1396" i="1" a="1"/>
  <c r="R1396" i="1" s="1"/>
  <c r="L1396" i="1" s="1"/>
  <c r="AR1396" i="1" s="1"/>
  <c r="O1397" i="1"/>
  <c r="AP1398" i="1"/>
  <c r="AQ1397" i="1"/>
  <c r="BO494" i="1"/>
  <c r="BP493" i="1"/>
  <c r="AS1397" i="1" l="1"/>
  <c r="X1396" i="1"/>
  <c r="W1396" i="1"/>
  <c r="Y1395" i="1"/>
  <c r="AB1395" i="1" s="1"/>
  <c r="S1396" i="1"/>
  <c r="V1396" i="1" s="1"/>
  <c r="Z1396" i="1"/>
  <c r="AC1396" i="1" s="1"/>
  <c r="AA1396" i="1"/>
  <c r="AD1396" i="1" s="1"/>
  <c r="Q1398" i="1"/>
  <c r="P1398" i="1"/>
  <c r="S1397" i="1" a="1"/>
  <c r="R1397" i="1" a="1"/>
  <c r="R1397" i="1" s="1"/>
  <c r="L1397" i="1" s="1"/>
  <c r="O1398" i="1"/>
  <c r="AP1399" i="1"/>
  <c r="AQ1398" i="1"/>
  <c r="BO495" i="1"/>
  <c r="BP494" i="1"/>
  <c r="AS1398" i="1" l="1"/>
  <c r="X1397" i="1"/>
  <c r="W1397" i="1"/>
  <c r="AR1397" i="1"/>
  <c r="Y1396" i="1"/>
  <c r="AB1396" i="1" s="1"/>
  <c r="S1397" i="1"/>
  <c r="V1397" i="1" s="1"/>
  <c r="Z1397" i="1"/>
  <c r="AC1397" i="1" s="1"/>
  <c r="AA1397" i="1"/>
  <c r="AD1397" i="1" s="1"/>
  <c r="P1399" i="1"/>
  <c r="Q1399" i="1"/>
  <c r="S1398" i="1" a="1"/>
  <c r="R1398" i="1" a="1"/>
  <c r="R1398" i="1" s="1"/>
  <c r="L1398" i="1" s="1"/>
  <c r="O1399" i="1"/>
  <c r="AP1400" i="1"/>
  <c r="AQ1399" i="1"/>
  <c r="BO496" i="1"/>
  <c r="BP495" i="1"/>
  <c r="AS1399" i="1" l="1"/>
  <c r="X1398" i="1"/>
  <c r="W1398" i="1"/>
  <c r="AR1398" i="1"/>
  <c r="Y1397" i="1"/>
  <c r="AB1397" i="1" s="1"/>
  <c r="S1398" i="1"/>
  <c r="V1398" i="1" s="1"/>
  <c r="Z1398" i="1"/>
  <c r="AC1398" i="1" s="1"/>
  <c r="AA1398" i="1"/>
  <c r="AD1398" i="1" s="1"/>
  <c r="P1400" i="1"/>
  <c r="Q1400" i="1"/>
  <c r="S1399" i="1" a="1"/>
  <c r="R1399" i="1" a="1"/>
  <c r="R1399" i="1" s="1"/>
  <c r="L1399" i="1" s="1"/>
  <c r="AR1399" i="1" s="1"/>
  <c r="O1400" i="1"/>
  <c r="AP1401" i="1"/>
  <c r="AQ1400" i="1"/>
  <c r="BO497" i="1"/>
  <c r="BP496" i="1"/>
  <c r="AS1400" i="1" l="1"/>
  <c r="X1399" i="1"/>
  <c r="W1399" i="1"/>
  <c r="Y1398" i="1"/>
  <c r="AB1398" i="1" s="1"/>
  <c r="S1399" i="1"/>
  <c r="V1399" i="1" s="1"/>
  <c r="AA1399" i="1"/>
  <c r="AD1399" i="1" s="1"/>
  <c r="Z1399" i="1"/>
  <c r="AC1399" i="1" s="1"/>
  <c r="Q1401" i="1"/>
  <c r="P1401" i="1"/>
  <c r="S1400" i="1" a="1"/>
  <c r="R1400" i="1" a="1"/>
  <c r="R1400" i="1" s="1"/>
  <c r="L1400" i="1" s="1"/>
  <c r="O1401" i="1"/>
  <c r="AP1402" i="1"/>
  <c r="AQ1401" i="1"/>
  <c r="BO498" i="1"/>
  <c r="BP497" i="1"/>
  <c r="AS1401" i="1" l="1"/>
  <c r="W1400" i="1"/>
  <c r="X1400" i="1"/>
  <c r="AR1400" i="1"/>
  <c r="Y1399" i="1"/>
  <c r="AB1399" i="1" s="1"/>
  <c r="S1400" i="1"/>
  <c r="V1400" i="1" s="1"/>
  <c r="AA1400" i="1"/>
  <c r="AD1400" i="1" s="1"/>
  <c r="Z1400" i="1"/>
  <c r="AC1400" i="1" s="1"/>
  <c r="Q1402" i="1"/>
  <c r="P1402" i="1"/>
  <c r="R1401" i="1" a="1"/>
  <c r="R1401" i="1" s="1"/>
  <c r="L1401" i="1" s="1"/>
  <c r="S1401" i="1" a="1"/>
  <c r="O1402" i="1"/>
  <c r="AP1403" i="1"/>
  <c r="AQ1402" i="1"/>
  <c r="BO499" i="1"/>
  <c r="BP498" i="1"/>
  <c r="AS1402" i="1" l="1"/>
  <c r="X1401" i="1"/>
  <c r="W1401" i="1"/>
  <c r="AR1401" i="1"/>
  <c r="Y1400" i="1"/>
  <c r="AB1400" i="1" s="1"/>
  <c r="S1401" i="1"/>
  <c r="V1401" i="1" s="1"/>
  <c r="AA1401" i="1"/>
  <c r="AD1401" i="1" s="1"/>
  <c r="Z1401" i="1"/>
  <c r="AC1401" i="1" s="1"/>
  <c r="Q1403" i="1"/>
  <c r="P1403" i="1"/>
  <c r="S1402" i="1" a="1"/>
  <c r="R1402" i="1" a="1"/>
  <c r="R1402" i="1" s="1"/>
  <c r="L1402" i="1" s="1"/>
  <c r="O1403" i="1"/>
  <c r="AP1404" i="1"/>
  <c r="AQ1403" i="1"/>
  <c r="BO500" i="1"/>
  <c r="BP499" i="1"/>
  <c r="AS1403" i="1" l="1"/>
  <c r="X1402" i="1"/>
  <c r="W1402" i="1"/>
  <c r="AR1402" i="1"/>
  <c r="Y1401" i="1"/>
  <c r="AB1401" i="1" s="1"/>
  <c r="S1402" i="1"/>
  <c r="V1402" i="1" s="1"/>
  <c r="AA1402" i="1"/>
  <c r="AD1402" i="1" s="1"/>
  <c r="Z1402" i="1"/>
  <c r="AC1402" i="1" s="1"/>
  <c r="Q1404" i="1"/>
  <c r="P1404" i="1"/>
  <c r="S1403" i="1" a="1"/>
  <c r="R1403" i="1" a="1"/>
  <c r="R1403" i="1" s="1"/>
  <c r="L1403" i="1" s="1"/>
  <c r="O1404" i="1"/>
  <c r="AP1405" i="1"/>
  <c r="AQ1404" i="1"/>
  <c r="BO501" i="1"/>
  <c r="BP500" i="1"/>
  <c r="X1403" i="1" l="1"/>
  <c r="W1403" i="1"/>
  <c r="AR1403" i="1"/>
  <c r="AS1404" i="1"/>
  <c r="Y1402" i="1"/>
  <c r="AB1402" i="1" s="1"/>
  <c r="S1403" i="1"/>
  <c r="V1403" i="1" s="1"/>
  <c r="AA1403" i="1"/>
  <c r="AD1403" i="1" s="1"/>
  <c r="Z1403" i="1"/>
  <c r="AC1403" i="1" s="1"/>
  <c r="Q1405" i="1"/>
  <c r="P1405" i="1"/>
  <c r="S1404" i="1" a="1"/>
  <c r="R1404" i="1" a="1"/>
  <c r="R1404" i="1" s="1"/>
  <c r="L1404" i="1" s="1"/>
  <c r="O1405" i="1"/>
  <c r="AP1406" i="1"/>
  <c r="AQ1405" i="1"/>
  <c r="BO502" i="1"/>
  <c r="BP501" i="1"/>
  <c r="AS1405" i="1" l="1"/>
  <c r="X1404" i="1"/>
  <c r="W1404" i="1"/>
  <c r="AR1404" i="1"/>
  <c r="Y1403" i="1"/>
  <c r="AB1403" i="1" s="1"/>
  <c r="S1404" i="1"/>
  <c r="V1404" i="1" s="1"/>
  <c r="Z1404" i="1"/>
  <c r="AC1404" i="1" s="1"/>
  <c r="AA1404" i="1"/>
  <c r="AD1404" i="1" s="1"/>
  <c r="Q1406" i="1"/>
  <c r="P1406" i="1"/>
  <c r="S1405" i="1" a="1"/>
  <c r="R1405" i="1" a="1"/>
  <c r="R1405" i="1" s="1"/>
  <c r="L1405" i="1" s="1"/>
  <c r="O1406" i="1"/>
  <c r="AP1407" i="1"/>
  <c r="AQ1406" i="1"/>
  <c r="BO503" i="1"/>
  <c r="BP502" i="1"/>
  <c r="X1405" i="1" l="1"/>
  <c r="W1405" i="1"/>
  <c r="AR1405" i="1"/>
  <c r="AS1406" i="1"/>
  <c r="Y1404" i="1"/>
  <c r="AB1404" i="1" s="1"/>
  <c r="S1405" i="1"/>
  <c r="V1405" i="1" s="1"/>
  <c r="Z1405" i="1"/>
  <c r="AC1405" i="1" s="1"/>
  <c r="AA1405" i="1"/>
  <c r="AD1405" i="1" s="1"/>
  <c r="Q1407" i="1"/>
  <c r="P1407" i="1"/>
  <c r="S1406" i="1" a="1"/>
  <c r="R1406" i="1" a="1"/>
  <c r="R1406" i="1" s="1"/>
  <c r="L1406" i="1" s="1"/>
  <c r="O1407" i="1"/>
  <c r="AP1408" i="1"/>
  <c r="AQ1407" i="1"/>
  <c r="BO504" i="1"/>
  <c r="BP503" i="1"/>
  <c r="AS1407" i="1" l="1"/>
  <c r="X1406" i="1"/>
  <c r="W1406" i="1"/>
  <c r="AR1406" i="1"/>
  <c r="Y1405" i="1"/>
  <c r="AB1405" i="1" s="1"/>
  <c r="S1406" i="1"/>
  <c r="V1406" i="1" s="1"/>
  <c r="Z1406" i="1"/>
  <c r="AC1406" i="1" s="1"/>
  <c r="AA1406" i="1"/>
  <c r="AD1406" i="1" s="1"/>
  <c r="P1408" i="1"/>
  <c r="Q1408" i="1"/>
  <c r="S1407" i="1" a="1"/>
  <c r="R1407" i="1" a="1"/>
  <c r="R1407" i="1" s="1"/>
  <c r="L1407" i="1" s="1"/>
  <c r="O1408" i="1"/>
  <c r="AP1409" i="1"/>
  <c r="AQ1408" i="1"/>
  <c r="BO505" i="1"/>
  <c r="BP504" i="1"/>
  <c r="AS1408" i="1" l="1"/>
  <c r="X1407" i="1"/>
  <c r="W1407" i="1"/>
  <c r="AR1407" i="1"/>
  <c r="Y1406" i="1"/>
  <c r="AB1406" i="1" s="1"/>
  <c r="S1407" i="1"/>
  <c r="V1407" i="1" s="1"/>
  <c r="AA1407" i="1"/>
  <c r="AD1407" i="1" s="1"/>
  <c r="Z1407" i="1"/>
  <c r="AC1407" i="1" s="1"/>
  <c r="Q1409" i="1"/>
  <c r="P1409" i="1"/>
  <c r="S1408" i="1" a="1"/>
  <c r="R1408" i="1" a="1"/>
  <c r="R1408" i="1" s="1"/>
  <c r="L1408" i="1" s="1"/>
  <c r="O1409" i="1"/>
  <c r="AP1410" i="1"/>
  <c r="AQ1409" i="1"/>
  <c r="BO506" i="1"/>
  <c r="BP505" i="1"/>
  <c r="AS1409" i="1" l="1"/>
  <c r="X1408" i="1"/>
  <c r="W1408" i="1"/>
  <c r="AR1408" i="1"/>
  <c r="Y1407" i="1"/>
  <c r="AB1407" i="1" s="1"/>
  <c r="S1408" i="1"/>
  <c r="V1408" i="1" s="1"/>
  <c r="Z1408" i="1"/>
  <c r="AC1408" i="1" s="1"/>
  <c r="AA1408" i="1"/>
  <c r="AD1408" i="1" s="1"/>
  <c r="Q1410" i="1"/>
  <c r="P1410" i="1"/>
  <c r="S1409" i="1" a="1"/>
  <c r="R1409" i="1" a="1"/>
  <c r="R1409" i="1" s="1"/>
  <c r="L1409" i="1" s="1"/>
  <c r="O1410" i="1"/>
  <c r="AP1411" i="1"/>
  <c r="AQ1410" i="1"/>
  <c r="BO507" i="1"/>
  <c r="BP506" i="1"/>
  <c r="AS1410" i="1" l="1"/>
  <c r="X1409" i="1"/>
  <c r="W1409" i="1"/>
  <c r="AR1409" i="1"/>
  <c r="Y1408" i="1"/>
  <c r="AB1408" i="1" s="1"/>
  <c r="S1409" i="1"/>
  <c r="V1409" i="1" s="1"/>
  <c r="Z1409" i="1"/>
  <c r="AC1409" i="1" s="1"/>
  <c r="AA1409" i="1"/>
  <c r="AD1409" i="1" s="1"/>
  <c r="P1411" i="1"/>
  <c r="Q1411" i="1"/>
  <c r="S1410" i="1" a="1"/>
  <c r="R1410" i="1" a="1"/>
  <c r="R1410" i="1" s="1"/>
  <c r="L1410" i="1" s="1"/>
  <c r="O1411" i="1"/>
  <c r="AP1412" i="1"/>
  <c r="AQ1411" i="1"/>
  <c r="BO508" i="1"/>
  <c r="BP507" i="1"/>
  <c r="AS1411" i="1" l="1"/>
  <c r="X1410" i="1"/>
  <c r="W1410" i="1"/>
  <c r="AR1410" i="1"/>
  <c r="Y1409" i="1"/>
  <c r="AB1409" i="1" s="1"/>
  <c r="S1410" i="1"/>
  <c r="V1410" i="1" s="1"/>
  <c r="Z1410" i="1"/>
  <c r="AC1410" i="1" s="1"/>
  <c r="AA1410" i="1"/>
  <c r="AD1410" i="1" s="1"/>
  <c r="Q1412" i="1"/>
  <c r="P1412" i="1"/>
  <c r="S1411" i="1" a="1"/>
  <c r="R1411" i="1" a="1"/>
  <c r="R1411" i="1" s="1"/>
  <c r="L1411" i="1" s="1"/>
  <c r="O1412" i="1"/>
  <c r="AP1413" i="1"/>
  <c r="AQ1412" i="1"/>
  <c r="BO509" i="1"/>
  <c r="BP508" i="1"/>
  <c r="W1411" i="1" l="1"/>
  <c r="X1411" i="1"/>
  <c r="AR1411" i="1"/>
  <c r="AS1412" i="1"/>
  <c r="Y1410" i="1"/>
  <c r="AB1410" i="1" s="1"/>
  <c r="S1411" i="1"/>
  <c r="V1411" i="1" s="1"/>
  <c r="Z1411" i="1"/>
  <c r="AC1411" i="1" s="1"/>
  <c r="AA1411" i="1"/>
  <c r="AD1411" i="1" s="1"/>
  <c r="P1413" i="1"/>
  <c r="Q1413" i="1"/>
  <c r="S1412" i="1" a="1"/>
  <c r="R1412" i="1" a="1"/>
  <c r="R1412" i="1" s="1"/>
  <c r="L1412" i="1" s="1"/>
  <c r="O1413" i="1"/>
  <c r="AP1414" i="1"/>
  <c r="AQ1413" i="1"/>
  <c r="BO510" i="1"/>
  <c r="BP509" i="1"/>
  <c r="AS1413" i="1" l="1"/>
  <c r="W1412" i="1"/>
  <c r="X1412" i="1"/>
  <c r="AR1412" i="1"/>
  <c r="Y1411" i="1"/>
  <c r="AB1411" i="1" s="1"/>
  <c r="S1412" i="1"/>
  <c r="V1412" i="1" s="1"/>
  <c r="AA1412" i="1"/>
  <c r="AD1412" i="1" s="1"/>
  <c r="Z1412" i="1"/>
  <c r="AC1412" i="1" s="1"/>
  <c r="P1414" i="1"/>
  <c r="Q1414" i="1"/>
  <c r="S1413" i="1" a="1"/>
  <c r="R1413" i="1" a="1"/>
  <c r="R1413" i="1" s="1"/>
  <c r="L1413" i="1" s="1"/>
  <c r="AR1413" i="1" s="1"/>
  <c r="O1414" i="1"/>
  <c r="AP1415" i="1"/>
  <c r="AQ1414" i="1"/>
  <c r="BO511" i="1"/>
  <c r="BP510" i="1"/>
  <c r="AS1414" i="1" l="1"/>
  <c r="W1413" i="1"/>
  <c r="X1413" i="1"/>
  <c r="Y1412" i="1"/>
  <c r="AB1412" i="1" s="1"/>
  <c r="S1413" i="1"/>
  <c r="V1413" i="1" s="1"/>
  <c r="AA1413" i="1"/>
  <c r="AD1413" i="1" s="1"/>
  <c r="Z1413" i="1"/>
  <c r="AC1413" i="1" s="1"/>
  <c r="P1415" i="1"/>
  <c r="Q1415" i="1"/>
  <c r="S1414" i="1" a="1"/>
  <c r="R1414" i="1" a="1"/>
  <c r="R1414" i="1" s="1"/>
  <c r="L1414" i="1" s="1"/>
  <c r="O1415" i="1"/>
  <c r="AP1416" i="1"/>
  <c r="AQ1415" i="1"/>
  <c r="BO512" i="1"/>
  <c r="BP511" i="1"/>
  <c r="AS1415" i="1" l="1"/>
  <c r="W1414" i="1"/>
  <c r="X1414" i="1"/>
  <c r="AR1414" i="1"/>
  <c r="Y1413" i="1"/>
  <c r="AB1413" i="1" s="1"/>
  <c r="S1414" i="1"/>
  <c r="V1414" i="1" s="1"/>
  <c r="AA1414" i="1"/>
  <c r="AD1414" i="1" s="1"/>
  <c r="Z1414" i="1"/>
  <c r="AC1414" i="1" s="1"/>
  <c r="Q1416" i="1"/>
  <c r="P1416" i="1"/>
  <c r="S1415" i="1" a="1"/>
  <c r="R1415" i="1" a="1"/>
  <c r="R1415" i="1" s="1"/>
  <c r="L1415" i="1" s="1"/>
  <c r="O1416" i="1"/>
  <c r="AP1417" i="1"/>
  <c r="AQ1416" i="1"/>
  <c r="BO513" i="1"/>
  <c r="BP512" i="1"/>
  <c r="AS1416" i="1" l="1"/>
  <c r="W1415" i="1"/>
  <c r="X1415" i="1"/>
  <c r="AR1415" i="1"/>
  <c r="Y1414" i="1"/>
  <c r="AB1414" i="1" s="1"/>
  <c r="S1415" i="1"/>
  <c r="V1415" i="1" s="1"/>
  <c r="AA1415" i="1"/>
  <c r="AD1415" i="1" s="1"/>
  <c r="Z1415" i="1"/>
  <c r="AC1415" i="1" s="1"/>
  <c r="P1417" i="1"/>
  <c r="Q1417" i="1"/>
  <c r="S1416" i="1" a="1"/>
  <c r="R1416" i="1" a="1"/>
  <c r="R1416" i="1" s="1"/>
  <c r="L1416" i="1" s="1"/>
  <c r="O1417" i="1"/>
  <c r="AP1418" i="1"/>
  <c r="AQ1417" i="1"/>
  <c r="BO514" i="1"/>
  <c r="BP513" i="1"/>
  <c r="X1416" i="1" l="1"/>
  <c r="W1416" i="1"/>
  <c r="AR1416" i="1"/>
  <c r="AS1417" i="1"/>
  <c r="Y1415" i="1"/>
  <c r="AB1415" i="1" s="1"/>
  <c r="S1416" i="1"/>
  <c r="V1416" i="1" s="1"/>
  <c r="AA1416" i="1"/>
  <c r="AD1416" i="1" s="1"/>
  <c r="Z1416" i="1"/>
  <c r="AC1416" i="1" s="1"/>
  <c r="P1418" i="1"/>
  <c r="Q1418" i="1"/>
  <c r="S1417" i="1" a="1"/>
  <c r="R1417" i="1" a="1"/>
  <c r="R1417" i="1" s="1"/>
  <c r="L1417" i="1" s="1"/>
  <c r="O1418" i="1"/>
  <c r="AP1419" i="1"/>
  <c r="AQ1418" i="1"/>
  <c r="BO515" i="1"/>
  <c r="BP514" i="1"/>
  <c r="AS1418" i="1" l="1"/>
  <c r="X1417" i="1"/>
  <c r="W1417" i="1"/>
  <c r="AR1417" i="1"/>
  <c r="Y1416" i="1"/>
  <c r="AB1416" i="1" s="1"/>
  <c r="S1417" i="1"/>
  <c r="V1417" i="1" s="1"/>
  <c r="Z1417" i="1"/>
  <c r="AC1417" i="1" s="1"/>
  <c r="AA1417" i="1"/>
  <c r="AD1417" i="1" s="1"/>
  <c r="Q1419" i="1"/>
  <c r="P1419" i="1"/>
  <c r="S1418" i="1" a="1"/>
  <c r="R1418" i="1" a="1"/>
  <c r="R1418" i="1" s="1"/>
  <c r="L1418" i="1" s="1"/>
  <c r="O1419" i="1"/>
  <c r="AP1420" i="1"/>
  <c r="AQ1419" i="1"/>
  <c r="BO516" i="1"/>
  <c r="BP515" i="1"/>
  <c r="AS1419" i="1" l="1"/>
  <c r="X1418" i="1"/>
  <c r="W1418" i="1"/>
  <c r="AR1418" i="1"/>
  <c r="Y1417" i="1"/>
  <c r="AB1417" i="1" s="1"/>
  <c r="S1418" i="1"/>
  <c r="V1418" i="1" s="1"/>
  <c r="Z1418" i="1"/>
  <c r="AC1418" i="1" s="1"/>
  <c r="AA1418" i="1"/>
  <c r="AD1418" i="1" s="1"/>
  <c r="P1420" i="1"/>
  <c r="Q1420" i="1"/>
  <c r="S1419" i="1" a="1"/>
  <c r="R1419" i="1" a="1"/>
  <c r="R1419" i="1" s="1"/>
  <c r="L1419" i="1" s="1"/>
  <c r="AR1419" i="1" s="1"/>
  <c r="O1420" i="1"/>
  <c r="AP1421" i="1"/>
  <c r="AQ1420" i="1"/>
  <c r="BO517" i="1"/>
  <c r="BP516" i="1"/>
  <c r="AS1420" i="1" l="1"/>
  <c r="X1419" i="1"/>
  <c r="W1419" i="1"/>
  <c r="Y1418" i="1"/>
  <c r="AB1418" i="1" s="1"/>
  <c r="S1419" i="1"/>
  <c r="V1419" i="1" s="1"/>
  <c r="Z1419" i="1"/>
  <c r="AC1419" i="1" s="1"/>
  <c r="AA1419" i="1"/>
  <c r="AD1419" i="1" s="1"/>
  <c r="Q1421" i="1"/>
  <c r="P1421" i="1"/>
  <c r="S1420" i="1" a="1"/>
  <c r="R1420" i="1" a="1"/>
  <c r="R1420" i="1" s="1"/>
  <c r="L1420" i="1" s="1"/>
  <c r="O1421" i="1"/>
  <c r="AP1422" i="1"/>
  <c r="AQ1421" i="1"/>
  <c r="BO518" i="1"/>
  <c r="BP517" i="1"/>
  <c r="AS1421" i="1" l="1"/>
  <c r="X1420" i="1"/>
  <c r="W1420" i="1"/>
  <c r="AR1420" i="1"/>
  <c r="Y1419" i="1"/>
  <c r="AB1419" i="1" s="1"/>
  <c r="S1420" i="1"/>
  <c r="V1420" i="1" s="1"/>
  <c r="Z1420" i="1"/>
  <c r="AC1420" i="1" s="1"/>
  <c r="AA1420" i="1"/>
  <c r="AD1420" i="1" s="1"/>
  <c r="P1422" i="1"/>
  <c r="Q1422" i="1"/>
  <c r="S1421" i="1" a="1"/>
  <c r="R1421" i="1" a="1"/>
  <c r="R1421" i="1" s="1"/>
  <c r="L1421" i="1" s="1"/>
  <c r="O1422" i="1"/>
  <c r="AP1423" i="1"/>
  <c r="AQ1422" i="1"/>
  <c r="BO519" i="1"/>
  <c r="BP518" i="1"/>
  <c r="AS1422" i="1" l="1"/>
  <c r="X1421" i="1"/>
  <c r="W1421" i="1"/>
  <c r="AR1421" i="1"/>
  <c r="Y1420" i="1"/>
  <c r="AB1420" i="1" s="1"/>
  <c r="S1421" i="1"/>
  <c r="V1421" i="1" s="1"/>
  <c r="AA1421" i="1"/>
  <c r="AD1421" i="1" s="1"/>
  <c r="Z1421" i="1"/>
  <c r="AC1421" i="1" s="1"/>
  <c r="Q1423" i="1"/>
  <c r="P1423" i="1"/>
  <c r="S1422" i="1" a="1"/>
  <c r="R1422" i="1" a="1"/>
  <c r="R1422" i="1" s="1"/>
  <c r="L1422" i="1" s="1"/>
  <c r="AR1422" i="1" s="1"/>
  <c r="O1423" i="1"/>
  <c r="AP1424" i="1"/>
  <c r="AQ1423" i="1"/>
  <c r="BO520" i="1"/>
  <c r="BP519" i="1"/>
  <c r="AS1423" i="1" l="1"/>
  <c r="AU914" i="1" s="1"/>
  <c r="X1422" i="1"/>
  <c r="W1422" i="1"/>
  <c r="Y1421" i="1"/>
  <c r="AB1421" i="1" s="1"/>
  <c r="S1422" i="1"/>
  <c r="V1422" i="1" s="1"/>
  <c r="AA1422" i="1"/>
  <c r="AD1422" i="1" s="1"/>
  <c r="Z1422" i="1"/>
  <c r="AC1422" i="1" s="1"/>
  <c r="Q1424" i="1"/>
  <c r="P1424" i="1"/>
  <c r="S1423" i="1" a="1"/>
  <c r="R1423" i="1" a="1"/>
  <c r="R1423" i="1" s="1"/>
  <c r="L1423" i="1" s="1"/>
  <c r="O1424" i="1"/>
  <c r="AP1425" i="1"/>
  <c r="AQ1424" i="1"/>
  <c r="BO521" i="1"/>
  <c r="BP520" i="1"/>
  <c r="AS1424" i="1" l="1"/>
  <c r="X1423" i="1"/>
  <c r="W1423" i="1"/>
  <c r="AR1423" i="1"/>
  <c r="AV914" i="1" s="1"/>
  <c r="Y1422" i="1"/>
  <c r="AB1422" i="1" s="1"/>
  <c r="S1423" i="1"/>
  <c r="V1423" i="1" s="1"/>
  <c r="AA1423" i="1"/>
  <c r="AD1423" i="1" s="1"/>
  <c r="Z1423" i="1"/>
  <c r="AC1423" i="1" s="1"/>
  <c r="P1425" i="1"/>
  <c r="Q1425" i="1"/>
  <c r="S1424" i="1" a="1"/>
  <c r="R1424" i="1" a="1"/>
  <c r="R1424" i="1" s="1"/>
  <c r="L1424" i="1" s="1"/>
  <c r="O1425" i="1"/>
  <c r="AP1426" i="1"/>
  <c r="AQ1425" i="1"/>
  <c r="BO522" i="1"/>
  <c r="BP521" i="1"/>
  <c r="AS1425" i="1" l="1"/>
  <c r="W1424" i="1"/>
  <c r="X1424" i="1"/>
  <c r="AR1424" i="1"/>
  <c r="Y1423" i="1"/>
  <c r="AB1423" i="1" s="1"/>
  <c r="S1424" i="1"/>
  <c r="V1424" i="1" s="1"/>
  <c r="AA1424" i="1"/>
  <c r="AD1424" i="1" s="1"/>
  <c r="Z1424" i="1"/>
  <c r="AC1424" i="1" s="1"/>
  <c r="Q1426" i="1"/>
  <c r="P1426" i="1"/>
  <c r="S1425" i="1" a="1"/>
  <c r="R1425" i="1" a="1"/>
  <c r="R1425" i="1" s="1"/>
  <c r="L1425" i="1" s="1"/>
  <c r="O1426" i="1"/>
  <c r="AP1427" i="1"/>
  <c r="AQ1426" i="1"/>
  <c r="BO523" i="1"/>
  <c r="BP522" i="1"/>
  <c r="AS1426" i="1" l="1"/>
  <c r="X1425" i="1"/>
  <c r="W1425" i="1"/>
  <c r="AR1425" i="1"/>
  <c r="Y1424" i="1"/>
  <c r="AB1424" i="1" s="1"/>
  <c r="S1425" i="1"/>
  <c r="V1425" i="1" s="1"/>
  <c r="Z1425" i="1"/>
  <c r="AC1425" i="1" s="1"/>
  <c r="AA1425" i="1"/>
  <c r="AD1425" i="1" s="1"/>
  <c r="Q1427" i="1"/>
  <c r="P1427" i="1"/>
  <c r="S1426" i="1" a="1"/>
  <c r="R1426" i="1" a="1"/>
  <c r="R1426" i="1" s="1"/>
  <c r="L1426" i="1" s="1"/>
  <c r="O1427" i="1"/>
  <c r="AP1428" i="1"/>
  <c r="AQ1427" i="1"/>
  <c r="BO524" i="1"/>
  <c r="BP523" i="1"/>
  <c r="AS1427" i="1" l="1"/>
  <c r="W1426" i="1"/>
  <c r="X1426" i="1"/>
  <c r="AR1426" i="1"/>
  <c r="Y1425" i="1"/>
  <c r="AB1425" i="1" s="1"/>
  <c r="S1426" i="1"/>
  <c r="V1426" i="1" s="1"/>
  <c r="Z1426" i="1"/>
  <c r="AC1426" i="1" s="1"/>
  <c r="AA1426" i="1"/>
  <c r="AD1426" i="1" s="1"/>
  <c r="Q1428" i="1"/>
  <c r="P1428" i="1"/>
  <c r="R1427" i="1" a="1"/>
  <c r="R1427" i="1" s="1"/>
  <c r="L1427" i="1" s="1"/>
  <c r="AR1427" i="1" s="1"/>
  <c r="S1427" i="1" a="1"/>
  <c r="O1428" i="1"/>
  <c r="AP1429" i="1"/>
  <c r="AQ1428" i="1"/>
  <c r="BO525" i="1"/>
  <c r="BP524" i="1"/>
  <c r="AS1428" i="1" l="1"/>
  <c r="W1427" i="1"/>
  <c r="X1427" i="1"/>
  <c r="Y1426" i="1"/>
  <c r="AB1426" i="1" s="1"/>
  <c r="S1427" i="1"/>
  <c r="V1427" i="1" s="1"/>
  <c r="AA1427" i="1"/>
  <c r="AD1427" i="1" s="1"/>
  <c r="Z1427" i="1"/>
  <c r="AC1427" i="1" s="1"/>
  <c r="Q1429" i="1"/>
  <c r="P1429" i="1"/>
  <c r="R1428" i="1" a="1"/>
  <c r="R1428" i="1" s="1"/>
  <c r="L1428" i="1" s="1"/>
  <c r="S1428" i="1" a="1"/>
  <c r="O1429" i="1"/>
  <c r="AP1430" i="1"/>
  <c r="AQ1429" i="1"/>
  <c r="BO526" i="1"/>
  <c r="BP525" i="1"/>
  <c r="AS1429" i="1" l="1"/>
  <c r="X1428" i="1"/>
  <c r="W1428" i="1"/>
  <c r="AR1428" i="1"/>
  <c r="Y1427" i="1"/>
  <c r="AB1427" i="1" s="1"/>
  <c r="S1428" i="1"/>
  <c r="V1428" i="1" s="1"/>
  <c r="AA1428" i="1"/>
  <c r="AD1428" i="1" s="1"/>
  <c r="Z1428" i="1"/>
  <c r="AC1428" i="1" s="1"/>
  <c r="P1430" i="1"/>
  <c r="Q1430" i="1"/>
  <c r="R1429" i="1" a="1"/>
  <c r="R1429" i="1" s="1"/>
  <c r="L1429" i="1" s="1"/>
  <c r="S1429" i="1" a="1"/>
  <c r="O1430" i="1"/>
  <c r="AP1431" i="1"/>
  <c r="AQ1430" i="1"/>
  <c r="BO527" i="1"/>
  <c r="BP526" i="1"/>
  <c r="AW914" i="1" l="1"/>
  <c r="X1429" i="1"/>
  <c r="W1429" i="1"/>
  <c r="AR1429" i="1"/>
  <c r="AS1430" i="1"/>
  <c r="Y1428" i="1"/>
  <c r="AB1428" i="1" s="1"/>
  <c r="S1429" i="1"/>
  <c r="V1429" i="1" s="1"/>
  <c r="AA1429" i="1"/>
  <c r="AD1429" i="1" s="1"/>
  <c r="Z1429" i="1"/>
  <c r="AC1429" i="1" s="1"/>
  <c r="P1431" i="1"/>
  <c r="Q1431" i="1"/>
  <c r="R1430" i="1" a="1"/>
  <c r="R1430" i="1" s="1"/>
  <c r="L1430" i="1" s="1"/>
  <c r="S1430" i="1" a="1"/>
  <c r="O1431" i="1"/>
  <c r="AP1432" i="1"/>
  <c r="AQ1431" i="1"/>
  <c r="BO528" i="1"/>
  <c r="BP527" i="1"/>
  <c r="X1430" i="1" l="1"/>
  <c r="W1430" i="1"/>
  <c r="AR1430" i="1"/>
  <c r="AS1431" i="1"/>
  <c r="Y1429" i="1"/>
  <c r="AB1429" i="1" s="1"/>
  <c r="S1430" i="1"/>
  <c r="V1430" i="1" s="1"/>
  <c r="Z1430" i="1"/>
  <c r="AC1430" i="1" s="1"/>
  <c r="AA1430" i="1"/>
  <c r="AD1430" i="1" s="1"/>
  <c r="Q1432" i="1"/>
  <c r="P1432" i="1"/>
  <c r="S1431" i="1" a="1"/>
  <c r="R1431" i="1" a="1"/>
  <c r="R1431" i="1" s="1"/>
  <c r="L1431" i="1" s="1"/>
  <c r="O1432" i="1"/>
  <c r="AP1433" i="1"/>
  <c r="AQ1432" i="1"/>
  <c r="BO529" i="1"/>
  <c r="BP528" i="1"/>
  <c r="AS1432" i="1" l="1"/>
  <c r="X1431" i="1"/>
  <c r="W1431" i="1"/>
  <c r="AR1431" i="1"/>
  <c r="Y1430" i="1"/>
  <c r="AB1430" i="1" s="1"/>
  <c r="S1431" i="1"/>
  <c r="V1431" i="1" s="1"/>
  <c r="Z1431" i="1"/>
  <c r="AC1431" i="1" s="1"/>
  <c r="AA1431" i="1"/>
  <c r="AD1431" i="1" s="1"/>
  <c r="P1433" i="1"/>
  <c r="Q1433" i="1"/>
  <c r="S1432" i="1" a="1"/>
  <c r="R1432" i="1" a="1"/>
  <c r="R1432" i="1" s="1"/>
  <c r="L1432" i="1" s="1"/>
  <c r="AR1432" i="1" s="1"/>
  <c r="O1433" i="1"/>
  <c r="AP1434" i="1"/>
  <c r="AQ1433" i="1"/>
  <c r="BO530" i="1"/>
  <c r="BP529" i="1"/>
  <c r="AS1433" i="1" l="1"/>
  <c r="X1432" i="1"/>
  <c r="W1432" i="1"/>
  <c r="Y1431" i="1"/>
  <c r="AB1431" i="1" s="1"/>
  <c r="S1432" i="1"/>
  <c r="V1432" i="1" s="1"/>
  <c r="AA1432" i="1"/>
  <c r="AD1432" i="1" s="1"/>
  <c r="Z1432" i="1"/>
  <c r="AC1432" i="1" s="1"/>
  <c r="P1434" i="1"/>
  <c r="Q1434" i="1"/>
  <c r="S1433" i="1" a="1"/>
  <c r="R1433" i="1" a="1"/>
  <c r="R1433" i="1" s="1"/>
  <c r="L1433" i="1" s="1"/>
  <c r="O1434" i="1"/>
  <c r="AP1435" i="1"/>
  <c r="AQ1434" i="1"/>
  <c r="BO531" i="1"/>
  <c r="BP530" i="1"/>
  <c r="AS1434" i="1" l="1"/>
  <c r="X1433" i="1"/>
  <c r="W1433" i="1"/>
  <c r="AR1433" i="1"/>
  <c r="Y1432" i="1"/>
  <c r="AB1432" i="1" s="1"/>
  <c r="S1433" i="1"/>
  <c r="V1433" i="1" s="1"/>
  <c r="Z1433" i="1"/>
  <c r="AC1433" i="1" s="1"/>
  <c r="AA1433" i="1"/>
  <c r="AD1433" i="1" s="1"/>
  <c r="P1435" i="1"/>
  <c r="Q1435" i="1"/>
  <c r="S1434" i="1" a="1"/>
  <c r="R1434" i="1" a="1"/>
  <c r="R1434" i="1" s="1"/>
  <c r="L1434" i="1" s="1"/>
  <c r="O1435" i="1"/>
  <c r="AP1436" i="1"/>
  <c r="AQ1435" i="1"/>
  <c r="BO532" i="1"/>
  <c r="BP531" i="1"/>
  <c r="AS1435" i="1" l="1"/>
  <c r="X1434" i="1"/>
  <c r="W1434" i="1"/>
  <c r="AR1434" i="1"/>
  <c r="Y1433" i="1"/>
  <c r="AB1433" i="1" s="1"/>
  <c r="S1434" i="1"/>
  <c r="V1434" i="1" s="1"/>
  <c r="Z1434" i="1"/>
  <c r="AC1434" i="1" s="1"/>
  <c r="AA1434" i="1"/>
  <c r="AD1434" i="1" s="1"/>
  <c r="Q1436" i="1"/>
  <c r="P1436" i="1"/>
  <c r="S1435" i="1" a="1"/>
  <c r="R1435" i="1" a="1"/>
  <c r="R1435" i="1" s="1"/>
  <c r="L1435" i="1" s="1"/>
  <c r="O1436" i="1"/>
  <c r="AP1437" i="1"/>
  <c r="AQ1436" i="1"/>
  <c r="BO533" i="1"/>
  <c r="BP532" i="1"/>
  <c r="AS1436" i="1" l="1"/>
  <c r="X1435" i="1"/>
  <c r="W1435" i="1"/>
  <c r="AR1435" i="1"/>
  <c r="Y1434" i="1"/>
  <c r="AB1434" i="1" s="1"/>
  <c r="S1435" i="1"/>
  <c r="V1435" i="1" s="1"/>
  <c r="Z1435" i="1"/>
  <c r="AC1435" i="1" s="1"/>
  <c r="AA1435" i="1"/>
  <c r="AD1435" i="1" s="1"/>
  <c r="Q1437" i="1"/>
  <c r="P1437" i="1"/>
  <c r="S1436" i="1" a="1"/>
  <c r="R1436" i="1" a="1"/>
  <c r="R1436" i="1" s="1"/>
  <c r="L1436" i="1" s="1"/>
  <c r="AR1436" i="1" s="1"/>
  <c r="O1437" i="1"/>
  <c r="AP1438" i="1"/>
  <c r="AQ1437" i="1"/>
  <c r="BO534" i="1"/>
  <c r="BP533" i="1"/>
  <c r="AS1437" i="1" l="1"/>
  <c r="W1436" i="1"/>
  <c r="X1436" i="1"/>
  <c r="Y1435" i="1"/>
  <c r="AB1435" i="1" s="1"/>
  <c r="S1436" i="1"/>
  <c r="V1436" i="1" s="1"/>
  <c r="Z1436" i="1"/>
  <c r="AC1436" i="1" s="1"/>
  <c r="AA1436" i="1"/>
  <c r="AD1436" i="1" s="1"/>
  <c r="Q1438" i="1"/>
  <c r="P1438" i="1"/>
  <c r="R1437" i="1" a="1"/>
  <c r="R1437" i="1" s="1"/>
  <c r="L1437" i="1" s="1"/>
  <c r="S1437" i="1" a="1"/>
  <c r="O1438" i="1"/>
  <c r="AP1439" i="1"/>
  <c r="AQ1438" i="1"/>
  <c r="BO535" i="1"/>
  <c r="BP534" i="1"/>
  <c r="AS1438" i="1" l="1"/>
  <c r="X1437" i="1"/>
  <c r="W1437" i="1"/>
  <c r="AR1437" i="1"/>
  <c r="Y1436" i="1"/>
  <c r="AB1436" i="1" s="1"/>
  <c r="S1437" i="1"/>
  <c r="V1437" i="1" s="1"/>
  <c r="Z1437" i="1"/>
  <c r="AC1437" i="1" s="1"/>
  <c r="AA1437" i="1"/>
  <c r="AD1437" i="1" s="1"/>
  <c r="P1439" i="1"/>
  <c r="Q1439" i="1"/>
  <c r="R1438" i="1" a="1"/>
  <c r="R1438" i="1" s="1"/>
  <c r="L1438" i="1" s="1"/>
  <c r="AR1438" i="1" s="1"/>
  <c r="S1438" i="1" a="1"/>
  <c r="O1439" i="1"/>
  <c r="AP1440" i="1"/>
  <c r="AQ1439" i="1"/>
  <c r="BO536" i="1"/>
  <c r="BP535" i="1"/>
  <c r="X1438" i="1" l="1"/>
  <c r="W1438" i="1"/>
  <c r="AS1439" i="1"/>
  <c r="Y1437" i="1"/>
  <c r="AB1437" i="1" s="1"/>
  <c r="S1438" i="1"/>
  <c r="V1438" i="1" s="1"/>
  <c r="Z1438" i="1"/>
  <c r="AC1438" i="1" s="1"/>
  <c r="AA1438" i="1"/>
  <c r="AD1438" i="1" s="1"/>
  <c r="P1440" i="1"/>
  <c r="Q1440" i="1"/>
  <c r="R1439" i="1" a="1"/>
  <c r="R1439" i="1" s="1"/>
  <c r="L1439" i="1" s="1"/>
  <c r="S1439" i="1" a="1"/>
  <c r="O1440" i="1"/>
  <c r="AP1441" i="1"/>
  <c r="AQ1440" i="1"/>
  <c r="BO537" i="1"/>
  <c r="BP536" i="1"/>
  <c r="X1439" i="1" l="1"/>
  <c r="W1439" i="1"/>
  <c r="AR1439" i="1"/>
  <c r="AS1440" i="1"/>
  <c r="Y1438" i="1"/>
  <c r="AB1438" i="1" s="1"/>
  <c r="S1439" i="1"/>
  <c r="V1439" i="1" s="1"/>
  <c r="AA1439" i="1"/>
  <c r="AD1439" i="1" s="1"/>
  <c r="Z1439" i="1"/>
  <c r="AC1439" i="1" s="1"/>
  <c r="R1440" i="1" a="1"/>
  <c r="R1440" i="1" s="1"/>
  <c r="L1440" i="1" s="1"/>
  <c r="S1440" i="1" a="1"/>
  <c r="Q1441" i="1"/>
  <c r="P1441" i="1"/>
  <c r="O1441" i="1"/>
  <c r="AP1442" i="1"/>
  <c r="AQ1441" i="1"/>
  <c r="BO538" i="1"/>
  <c r="BP537" i="1"/>
  <c r="AS1441" i="1" l="1"/>
  <c r="X1440" i="1"/>
  <c r="W1440" i="1"/>
  <c r="AR1440" i="1"/>
  <c r="Y1439" i="1"/>
  <c r="AB1439" i="1" s="1"/>
  <c r="S1440" i="1"/>
  <c r="V1440" i="1" s="1"/>
  <c r="AA1440" i="1"/>
  <c r="AD1440" i="1" s="1"/>
  <c r="Z1440" i="1"/>
  <c r="AC1440" i="1" s="1"/>
  <c r="P1442" i="1"/>
  <c r="Q1442" i="1"/>
  <c r="S1441" i="1" a="1"/>
  <c r="R1441" i="1" a="1"/>
  <c r="R1441" i="1" s="1"/>
  <c r="L1441" i="1" s="1"/>
  <c r="AR1441" i="1" s="1"/>
  <c r="O1442" i="1"/>
  <c r="AP1443" i="1"/>
  <c r="AQ1442" i="1"/>
  <c r="BO539" i="1"/>
  <c r="BP538" i="1"/>
  <c r="AS1442" i="1" l="1"/>
  <c r="X1441" i="1"/>
  <c r="W1441" i="1"/>
  <c r="Y1440" i="1"/>
  <c r="AB1440" i="1" s="1"/>
  <c r="S1441" i="1"/>
  <c r="V1441" i="1" s="1"/>
  <c r="Z1441" i="1"/>
  <c r="AC1441" i="1" s="1"/>
  <c r="AA1441" i="1"/>
  <c r="AD1441" i="1" s="1"/>
  <c r="P1443" i="1"/>
  <c r="Q1443" i="1"/>
  <c r="S1442" i="1" a="1"/>
  <c r="R1442" i="1" a="1"/>
  <c r="R1442" i="1" s="1"/>
  <c r="L1442" i="1" s="1"/>
  <c r="O1443" i="1"/>
  <c r="AP1444" i="1"/>
  <c r="AQ1443" i="1"/>
  <c r="BO540" i="1"/>
  <c r="BP539" i="1"/>
  <c r="AS1443" i="1" l="1"/>
  <c r="X1442" i="1"/>
  <c r="W1442" i="1"/>
  <c r="AR1442" i="1"/>
  <c r="Y1441" i="1"/>
  <c r="AB1441" i="1" s="1"/>
  <c r="S1442" i="1"/>
  <c r="V1442" i="1" s="1"/>
  <c r="Z1442" i="1"/>
  <c r="AC1442" i="1" s="1"/>
  <c r="AA1442" i="1"/>
  <c r="AD1442" i="1" s="1"/>
  <c r="P1444" i="1"/>
  <c r="Q1444" i="1"/>
  <c r="S1443" i="1" a="1"/>
  <c r="R1443" i="1" a="1"/>
  <c r="R1443" i="1" s="1"/>
  <c r="L1443" i="1" s="1"/>
  <c r="O1444" i="1"/>
  <c r="AP1445" i="1"/>
  <c r="AQ1444" i="1"/>
  <c r="BO541" i="1"/>
  <c r="BP540" i="1"/>
  <c r="AS1444" i="1" l="1"/>
  <c r="X1443" i="1"/>
  <c r="W1443" i="1"/>
  <c r="AR1443" i="1"/>
  <c r="Y1442" i="1"/>
  <c r="AB1442" i="1" s="1"/>
  <c r="S1443" i="1"/>
  <c r="V1443" i="1" s="1"/>
  <c r="AA1443" i="1"/>
  <c r="AD1443" i="1" s="1"/>
  <c r="Z1443" i="1"/>
  <c r="AC1443" i="1" s="1"/>
  <c r="Q1445" i="1"/>
  <c r="P1445" i="1"/>
  <c r="S1444" i="1" a="1"/>
  <c r="R1444" i="1" a="1"/>
  <c r="R1444" i="1" s="1"/>
  <c r="L1444" i="1" s="1"/>
  <c r="O1445" i="1"/>
  <c r="AP1446" i="1"/>
  <c r="AQ1445" i="1"/>
  <c r="BO542" i="1"/>
  <c r="BP541" i="1"/>
  <c r="X1444" i="1" l="1"/>
  <c r="W1444" i="1"/>
  <c r="AR1444" i="1"/>
  <c r="AS1445" i="1"/>
  <c r="Y1443" i="1"/>
  <c r="AB1443" i="1" s="1"/>
  <c r="S1444" i="1"/>
  <c r="V1444" i="1" s="1"/>
  <c r="Z1444" i="1"/>
  <c r="AC1444" i="1" s="1"/>
  <c r="AA1444" i="1"/>
  <c r="AD1444" i="1" s="1"/>
  <c r="Q1446" i="1"/>
  <c r="P1446" i="1"/>
  <c r="S1445" i="1" a="1"/>
  <c r="R1445" i="1" a="1"/>
  <c r="R1445" i="1" s="1"/>
  <c r="L1445" i="1" s="1"/>
  <c r="O1446" i="1"/>
  <c r="AP1447" i="1"/>
  <c r="AQ1446" i="1"/>
  <c r="BO543" i="1"/>
  <c r="BP542" i="1"/>
  <c r="AS1446" i="1" l="1"/>
  <c r="X1445" i="1"/>
  <c r="W1445" i="1"/>
  <c r="AR1445" i="1"/>
  <c r="Y1444" i="1"/>
  <c r="AB1444" i="1" s="1"/>
  <c r="S1445" i="1"/>
  <c r="V1445" i="1" s="1"/>
  <c r="Z1445" i="1"/>
  <c r="AC1445" i="1" s="1"/>
  <c r="AA1445" i="1"/>
  <c r="AD1445" i="1" s="1"/>
  <c r="Q1447" i="1"/>
  <c r="P1447" i="1"/>
  <c r="S1446" i="1" a="1"/>
  <c r="R1446" i="1" a="1"/>
  <c r="R1446" i="1" s="1"/>
  <c r="L1446" i="1" s="1"/>
  <c r="O1447" i="1"/>
  <c r="AP1448" i="1"/>
  <c r="AQ1447" i="1"/>
  <c r="BO544" i="1"/>
  <c r="BP543" i="1"/>
  <c r="AS1447" i="1" l="1"/>
  <c r="X1446" i="1"/>
  <c r="W1446" i="1"/>
  <c r="AR1446" i="1"/>
  <c r="Y1445" i="1"/>
  <c r="AB1445" i="1" s="1"/>
  <c r="S1446" i="1"/>
  <c r="V1446" i="1" s="1"/>
  <c r="AA1446" i="1"/>
  <c r="AD1446" i="1" s="1"/>
  <c r="Z1446" i="1"/>
  <c r="AC1446" i="1" s="1"/>
  <c r="P1448" i="1"/>
  <c r="Q1448" i="1"/>
  <c r="S1447" i="1" a="1"/>
  <c r="R1447" i="1" a="1"/>
  <c r="R1447" i="1" s="1"/>
  <c r="L1447" i="1" s="1"/>
  <c r="AR1447" i="1" s="1"/>
  <c r="O1448" i="1"/>
  <c r="AP1449" i="1"/>
  <c r="AQ1448" i="1"/>
  <c r="BO545" i="1"/>
  <c r="BP544" i="1"/>
  <c r="AS1448" i="1" l="1"/>
  <c r="W1447" i="1"/>
  <c r="X1447" i="1"/>
  <c r="Y1446" i="1"/>
  <c r="AB1446" i="1" s="1"/>
  <c r="S1447" i="1"/>
  <c r="V1447" i="1" s="1"/>
  <c r="Z1447" i="1"/>
  <c r="AC1447" i="1" s="1"/>
  <c r="AA1447" i="1"/>
  <c r="AD1447" i="1" s="1"/>
  <c r="P1449" i="1"/>
  <c r="Q1449" i="1"/>
  <c r="S1448" i="1" a="1"/>
  <c r="R1448" i="1" a="1"/>
  <c r="R1448" i="1" s="1"/>
  <c r="L1448" i="1" s="1"/>
  <c r="O1449" i="1"/>
  <c r="AP1450" i="1"/>
  <c r="AQ1449" i="1"/>
  <c r="BO546" i="1"/>
  <c r="BP545" i="1"/>
  <c r="AS1449" i="1" l="1"/>
  <c r="W1448" i="1"/>
  <c r="X1448" i="1"/>
  <c r="AR1448" i="1"/>
  <c r="Y1447" i="1"/>
  <c r="AB1447" i="1" s="1"/>
  <c r="S1448" i="1"/>
  <c r="V1448" i="1" s="1"/>
  <c r="AA1448" i="1"/>
  <c r="AD1448" i="1" s="1"/>
  <c r="Z1448" i="1"/>
  <c r="AC1448" i="1" s="1"/>
  <c r="P1450" i="1"/>
  <c r="Q1450" i="1"/>
  <c r="S1449" i="1" a="1"/>
  <c r="R1449" i="1" a="1"/>
  <c r="R1449" i="1" s="1"/>
  <c r="L1449" i="1" s="1"/>
  <c r="O1450" i="1"/>
  <c r="AP1451" i="1"/>
  <c r="AQ1450" i="1"/>
  <c r="BO547" i="1"/>
  <c r="BP546" i="1"/>
  <c r="AS1450" i="1" l="1"/>
  <c r="X1449" i="1"/>
  <c r="W1449" i="1"/>
  <c r="AR1449" i="1"/>
  <c r="Y1448" i="1"/>
  <c r="AB1448" i="1" s="1"/>
  <c r="S1449" i="1"/>
  <c r="V1449" i="1" s="1"/>
  <c r="AA1449" i="1"/>
  <c r="AD1449" i="1" s="1"/>
  <c r="Z1449" i="1"/>
  <c r="AC1449" i="1" s="1"/>
  <c r="Q1451" i="1"/>
  <c r="P1451" i="1"/>
  <c r="S1450" i="1" a="1"/>
  <c r="R1450" i="1" a="1"/>
  <c r="R1450" i="1" s="1"/>
  <c r="L1450" i="1" s="1"/>
  <c r="O1451" i="1"/>
  <c r="AP1452" i="1"/>
  <c r="AQ1451" i="1"/>
  <c r="BO548" i="1"/>
  <c r="BP547" i="1"/>
  <c r="W1450" i="1" l="1"/>
  <c r="X1450" i="1"/>
  <c r="AR1450" i="1"/>
  <c r="AS1451" i="1"/>
  <c r="Y1449" i="1"/>
  <c r="AB1449" i="1" s="1"/>
  <c r="S1450" i="1"/>
  <c r="V1450" i="1" s="1"/>
  <c r="Z1450" i="1"/>
  <c r="AC1450" i="1" s="1"/>
  <c r="AA1450" i="1"/>
  <c r="AD1450" i="1" s="1"/>
  <c r="Q1452" i="1"/>
  <c r="P1452" i="1"/>
  <c r="S1451" i="1" a="1"/>
  <c r="R1451" i="1" a="1"/>
  <c r="R1451" i="1" s="1"/>
  <c r="L1451" i="1" s="1"/>
  <c r="O1452" i="1"/>
  <c r="AP1453" i="1"/>
  <c r="AQ1452" i="1"/>
  <c r="BO549" i="1"/>
  <c r="BP548" i="1"/>
  <c r="AS1452" i="1" l="1"/>
  <c r="W1451" i="1"/>
  <c r="X1451" i="1"/>
  <c r="AR1451" i="1"/>
  <c r="Y1450" i="1"/>
  <c r="AB1450" i="1" s="1"/>
  <c r="S1451" i="1"/>
  <c r="V1451" i="1" s="1"/>
  <c r="AA1451" i="1"/>
  <c r="AD1451" i="1" s="1"/>
  <c r="Z1451" i="1"/>
  <c r="AC1451" i="1" s="1"/>
  <c r="P1453" i="1"/>
  <c r="Q1453" i="1"/>
  <c r="R1452" i="1" a="1"/>
  <c r="R1452" i="1" s="1"/>
  <c r="L1452" i="1" s="1"/>
  <c r="S1452" i="1" a="1"/>
  <c r="O1453" i="1"/>
  <c r="AP1454" i="1"/>
  <c r="AQ1453" i="1"/>
  <c r="BO550" i="1"/>
  <c r="BP549" i="1"/>
  <c r="AS1453" i="1" l="1"/>
  <c r="X1452" i="1"/>
  <c r="W1452" i="1"/>
  <c r="AR1452" i="1"/>
  <c r="Y1451" i="1"/>
  <c r="AB1451" i="1" s="1"/>
  <c r="S1452" i="1"/>
  <c r="V1452" i="1" s="1"/>
  <c r="AA1452" i="1"/>
  <c r="AD1452" i="1" s="1"/>
  <c r="Z1452" i="1"/>
  <c r="AC1452" i="1" s="1"/>
  <c r="P1454" i="1"/>
  <c r="Q1454" i="1"/>
  <c r="R1453" i="1" a="1"/>
  <c r="R1453" i="1" s="1"/>
  <c r="L1453" i="1" s="1"/>
  <c r="S1453" i="1" a="1"/>
  <c r="O1454" i="1"/>
  <c r="AP1455" i="1"/>
  <c r="AQ1454" i="1"/>
  <c r="BO551" i="1"/>
  <c r="BP550" i="1"/>
  <c r="X1453" i="1" l="1"/>
  <c r="W1453" i="1"/>
  <c r="AR1453" i="1"/>
  <c r="AS1454" i="1"/>
  <c r="Y1452" i="1"/>
  <c r="AB1452" i="1" s="1"/>
  <c r="S1453" i="1"/>
  <c r="V1453" i="1" s="1"/>
  <c r="AA1453" i="1"/>
  <c r="AD1453" i="1" s="1"/>
  <c r="Z1453" i="1"/>
  <c r="AC1453" i="1" s="1"/>
  <c r="P1455" i="1"/>
  <c r="Q1455" i="1"/>
  <c r="R1454" i="1" a="1"/>
  <c r="R1454" i="1" s="1"/>
  <c r="L1454" i="1" s="1"/>
  <c r="S1454" i="1" a="1"/>
  <c r="O1455" i="1"/>
  <c r="AP1456" i="1"/>
  <c r="AQ1455" i="1"/>
  <c r="BO552" i="1"/>
  <c r="BP551" i="1"/>
  <c r="AS1455" i="1" l="1"/>
  <c r="X1454" i="1"/>
  <c r="W1454" i="1"/>
  <c r="AR1454" i="1"/>
  <c r="Y1453" i="1"/>
  <c r="AB1453" i="1" s="1"/>
  <c r="S1454" i="1"/>
  <c r="V1454" i="1" s="1"/>
  <c r="Z1454" i="1"/>
  <c r="AC1454" i="1" s="1"/>
  <c r="AA1454" i="1"/>
  <c r="AD1454" i="1" s="1"/>
  <c r="Q1456" i="1"/>
  <c r="P1456" i="1"/>
  <c r="R1455" i="1" a="1"/>
  <c r="R1455" i="1" s="1"/>
  <c r="L1455" i="1" s="1"/>
  <c r="S1455" i="1" a="1"/>
  <c r="O1456" i="1"/>
  <c r="AP1457" i="1"/>
  <c r="AQ1456" i="1"/>
  <c r="BO553" i="1"/>
  <c r="BP552" i="1"/>
  <c r="X1455" i="1" l="1"/>
  <c r="W1455" i="1"/>
  <c r="AR1455" i="1"/>
  <c r="AS1456" i="1"/>
  <c r="Y1454" i="1"/>
  <c r="AB1454" i="1" s="1"/>
  <c r="S1455" i="1"/>
  <c r="V1455" i="1" s="1"/>
  <c r="Z1455" i="1"/>
  <c r="AC1455" i="1" s="1"/>
  <c r="AA1455" i="1"/>
  <c r="AD1455" i="1" s="1"/>
  <c r="P1457" i="1"/>
  <c r="Q1457" i="1"/>
  <c r="S1456" i="1" a="1"/>
  <c r="R1456" i="1" a="1"/>
  <c r="R1456" i="1" s="1"/>
  <c r="L1456" i="1" s="1"/>
  <c r="O1457" i="1"/>
  <c r="AP1458" i="1"/>
  <c r="AQ1457" i="1"/>
  <c r="BO554" i="1"/>
  <c r="BP553" i="1"/>
  <c r="AS1457" i="1" l="1"/>
  <c r="X1456" i="1"/>
  <c r="W1456" i="1"/>
  <c r="AR1456" i="1"/>
  <c r="Y1455" i="1"/>
  <c r="AB1455" i="1" s="1"/>
  <c r="S1456" i="1"/>
  <c r="V1456" i="1" s="1"/>
  <c r="Z1456" i="1"/>
  <c r="AC1456" i="1" s="1"/>
  <c r="AA1456" i="1"/>
  <c r="AD1456" i="1" s="1"/>
  <c r="P1458" i="1"/>
  <c r="Q1458" i="1"/>
  <c r="S1457" i="1" a="1"/>
  <c r="R1457" i="1" a="1"/>
  <c r="R1457" i="1" s="1"/>
  <c r="L1457" i="1" s="1"/>
  <c r="O1458" i="1"/>
  <c r="AP1459" i="1"/>
  <c r="AQ1458" i="1"/>
  <c r="BO555" i="1"/>
  <c r="BP554" i="1"/>
  <c r="X1457" i="1" l="1"/>
  <c r="W1457" i="1"/>
  <c r="AR1457" i="1"/>
  <c r="AS1458" i="1"/>
  <c r="Y1456" i="1"/>
  <c r="AB1456" i="1" s="1"/>
  <c r="S1457" i="1"/>
  <c r="V1457" i="1" s="1"/>
  <c r="AA1457" i="1"/>
  <c r="AD1457" i="1" s="1"/>
  <c r="Z1457" i="1"/>
  <c r="AC1457" i="1" s="1"/>
  <c r="Q1459" i="1"/>
  <c r="P1459" i="1"/>
  <c r="S1458" i="1" a="1"/>
  <c r="R1458" i="1" a="1"/>
  <c r="R1458" i="1" s="1"/>
  <c r="L1458" i="1" s="1"/>
  <c r="O1459" i="1"/>
  <c r="AP1460" i="1"/>
  <c r="AQ1459" i="1"/>
  <c r="BO556" i="1"/>
  <c r="BP555" i="1"/>
  <c r="AS1459" i="1" l="1"/>
  <c r="X1458" i="1"/>
  <c r="W1458" i="1"/>
  <c r="AR1458" i="1"/>
  <c r="Y1457" i="1"/>
  <c r="AB1457" i="1" s="1"/>
  <c r="S1458" i="1"/>
  <c r="V1458" i="1" s="1"/>
  <c r="Z1458" i="1"/>
  <c r="AC1458" i="1" s="1"/>
  <c r="AA1458" i="1"/>
  <c r="AD1458" i="1" s="1"/>
  <c r="S1459" i="1" a="1"/>
  <c r="R1459" i="1" a="1"/>
  <c r="R1459" i="1" s="1"/>
  <c r="L1459" i="1" s="1"/>
  <c r="Q1460" i="1"/>
  <c r="P1460" i="1"/>
  <c r="O1460" i="1"/>
  <c r="AP1461" i="1"/>
  <c r="AQ1460" i="1"/>
  <c r="BO557" i="1"/>
  <c r="BP556" i="1"/>
  <c r="AS1460" i="1" l="1"/>
  <c r="X1459" i="1"/>
  <c r="W1459" i="1"/>
  <c r="AR1459" i="1"/>
  <c r="Y1458" i="1"/>
  <c r="AB1458" i="1" s="1"/>
  <c r="S1459" i="1"/>
  <c r="V1459" i="1" s="1"/>
  <c r="Z1459" i="1"/>
  <c r="AC1459" i="1" s="1"/>
  <c r="AA1459" i="1"/>
  <c r="AD1459" i="1" s="1"/>
  <c r="S1460" i="1" a="1"/>
  <c r="R1460" i="1" a="1"/>
  <c r="R1460" i="1" s="1"/>
  <c r="L1460" i="1" s="1"/>
  <c r="P1461" i="1"/>
  <c r="Q1461" i="1"/>
  <c r="O1461" i="1"/>
  <c r="AP1462" i="1"/>
  <c r="AQ1461" i="1"/>
  <c r="BO558" i="1"/>
  <c r="BP557" i="1"/>
  <c r="AS1461" i="1" l="1"/>
  <c r="W1460" i="1"/>
  <c r="X1460" i="1"/>
  <c r="AR1460" i="1"/>
  <c r="Y1459" i="1"/>
  <c r="AB1459" i="1" s="1"/>
  <c r="S1460" i="1"/>
  <c r="V1460" i="1" s="1"/>
  <c r="AA1460" i="1"/>
  <c r="AD1460" i="1" s="1"/>
  <c r="Z1460" i="1"/>
  <c r="AC1460" i="1" s="1"/>
  <c r="R1461" i="1" a="1"/>
  <c r="R1461" i="1" s="1"/>
  <c r="L1461" i="1" s="1"/>
  <c r="S1461" i="1" a="1"/>
  <c r="Q1462" i="1"/>
  <c r="P1462" i="1"/>
  <c r="O1462" i="1"/>
  <c r="AP1463" i="1"/>
  <c r="AQ1462" i="1"/>
  <c r="BO559" i="1"/>
  <c r="BP558" i="1"/>
  <c r="AS1462" i="1" l="1"/>
  <c r="X1461" i="1"/>
  <c r="W1461" i="1"/>
  <c r="AR1461" i="1"/>
  <c r="Y1460" i="1"/>
  <c r="AB1460" i="1" s="1"/>
  <c r="S1461" i="1"/>
  <c r="V1461" i="1" s="1"/>
  <c r="Z1461" i="1"/>
  <c r="AC1461" i="1" s="1"/>
  <c r="AA1461" i="1"/>
  <c r="AD1461" i="1" s="1"/>
  <c r="R1462" i="1" a="1"/>
  <c r="R1462" i="1" s="1"/>
  <c r="L1462" i="1" s="1"/>
  <c r="S1462" i="1" a="1"/>
  <c r="Q1463" i="1"/>
  <c r="P1463" i="1"/>
  <c r="O1463" i="1"/>
  <c r="AP1464" i="1"/>
  <c r="AQ1463" i="1"/>
  <c r="BO560" i="1"/>
  <c r="BP559" i="1"/>
  <c r="X1462" i="1" l="1"/>
  <c r="W1462" i="1"/>
  <c r="AR1462" i="1"/>
  <c r="AS1463" i="1"/>
  <c r="Y1461" i="1"/>
  <c r="AB1461" i="1" s="1"/>
  <c r="S1462" i="1"/>
  <c r="V1462" i="1" s="1"/>
  <c r="AA1462" i="1"/>
  <c r="AD1462" i="1" s="1"/>
  <c r="Z1462" i="1"/>
  <c r="AC1462" i="1" s="1"/>
  <c r="P1464" i="1"/>
  <c r="Q1464" i="1"/>
  <c r="S1463" i="1" a="1"/>
  <c r="R1463" i="1" a="1"/>
  <c r="R1463" i="1" s="1"/>
  <c r="L1463" i="1" s="1"/>
  <c r="AR1463" i="1" s="1"/>
  <c r="O1464" i="1"/>
  <c r="AP1465" i="1"/>
  <c r="AQ1464" i="1"/>
  <c r="BO561" i="1"/>
  <c r="BP560" i="1"/>
  <c r="AS1464" i="1" l="1"/>
  <c r="W1463" i="1"/>
  <c r="X1463" i="1"/>
  <c r="Y1462" i="1"/>
  <c r="AB1462" i="1" s="1"/>
  <c r="S1463" i="1"/>
  <c r="V1463" i="1" s="1"/>
  <c r="AA1463" i="1"/>
  <c r="AD1463" i="1" s="1"/>
  <c r="Z1463" i="1"/>
  <c r="AC1463" i="1" s="1"/>
  <c r="Q1465" i="1"/>
  <c r="P1465" i="1"/>
  <c r="S1464" i="1" a="1"/>
  <c r="R1464" i="1" a="1"/>
  <c r="R1464" i="1" s="1"/>
  <c r="L1464" i="1" s="1"/>
  <c r="O1465" i="1"/>
  <c r="AP1466" i="1"/>
  <c r="AQ1465" i="1"/>
  <c r="BO562" i="1"/>
  <c r="BP561" i="1"/>
  <c r="AS1465" i="1" l="1"/>
  <c r="X1464" i="1"/>
  <c r="W1464" i="1"/>
  <c r="AR1464" i="1"/>
  <c r="Y1463" i="1"/>
  <c r="AB1463" i="1" s="1"/>
  <c r="S1464" i="1"/>
  <c r="V1464" i="1" s="1"/>
  <c r="AA1464" i="1"/>
  <c r="AD1464" i="1" s="1"/>
  <c r="Z1464" i="1"/>
  <c r="AC1464" i="1" s="1"/>
  <c r="P1466" i="1"/>
  <c r="Q1466" i="1"/>
  <c r="S1465" i="1" a="1"/>
  <c r="R1465" i="1" a="1"/>
  <c r="R1465" i="1" s="1"/>
  <c r="L1465" i="1" s="1"/>
  <c r="O1466" i="1"/>
  <c r="AP1467" i="1"/>
  <c r="AQ1466" i="1"/>
  <c r="BO563" i="1"/>
  <c r="BP562" i="1"/>
  <c r="AS1466" i="1" l="1"/>
  <c r="X1465" i="1"/>
  <c r="W1465" i="1"/>
  <c r="AR1465" i="1"/>
  <c r="Y1464" i="1"/>
  <c r="AB1464" i="1" s="1"/>
  <c r="S1465" i="1"/>
  <c r="V1465" i="1" s="1"/>
  <c r="AA1465" i="1"/>
  <c r="AD1465" i="1" s="1"/>
  <c r="Z1465" i="1"/>
  <c r="AC1465" i="1" s="1"/>
  <c r="S1466" i="1" a="1"/>
  <c r="R1466" i="1" a="1"/>
  <c r="R1466" i="1" s="1"/>
  <c r="L1466" i="1" s="1"/>
  <c r="P1467" i="1"/>
  <c r="Q1467" i="1"/>
  <c r="O1467" i="1"/>
  <c r="AP1468" i="1"/>
  <c r="AQ1467" i="1"/>
  <c r="BO564" i="1"/>
  <c r="BP563" i="1"/>
  <c r="AS1467" i="1" l="1"/>
  <c r="X1466" i="1"/>
  <c r="W1466" i="1"/>
  <c r="AR1466" i="1"/>
  <c r="Y1465" i="1"/>
  <c r="AB1465" i="1" s="1"/>
  <c r="S1467" i="1" a="1"/>
  <c r="S1467" i="1" s="1"/>
  <c r="S1466" i="1"/>
  <c r="V1466" i="1" s="1"/>
  <c r="AA1466" i="1"/>
  <c r="AD1466" i="1" s="1"/>
  <c r="Z1466" i="1"/>
  <c r="AC1466" i="1" s="1"/>
  <c r="P1468" i="1"/>
  <c r="Q1468" i="1"/>
  <c r="R1467" i="1" a="1"/>
  <c r="R1467" i="1" s="1"/>
  <c r="L1467" i="1" s="1"/>
  <c r="O1468" i="1"/>
  <c r="AP1469" i="1"/>
  <c r="AQ1468" i="1"/>
  <c r="BO565" i="1"/>
  <c r="BP564" i="1"/>
  <c r="AS1468" i="1" l="1"/>
  <c r="X1467" i="1"/>
  <c r="W1467" i="1"/>
  <c r="V1467" i="1"/>
  <c r="AR1467" i="1"/>
  <c r="AA1467" i="1"/>
  <c r="AD1467" i="1" s="1"/>
  <c r="Y1466" i="1"/>
  <c r="AB1466" i="1" s="1"/>
  <c r="Y1467" i="1"/>
  <c r="AB1467" i="1" s="1"/>
  <c r="Z1467" i="1"/>
  <c r="AC1467" i="1" s="1"/>
  <c r="Q1469" i="1"/>
  <c r="P1469" i="1"/>
  <c r="S1468" i="1" a="1"/>
  <c r="R1468" i="1" a="1"/>
  <c r="R1468" i="1" s="1"/>
  <c r="L1468" i="1" s="1"/>
  <c r="AR1468" i="1" s="1"/>
  <c r="O1469" i="1"/>
  <c r="R1469" i="1" s="1" a="1"/>
  <c r="R1469" i="1" s="1"/>
  <c r="AP1470" i="1"/>
  <c r="AQ1469" i="1"/>
  <c r="BO566" i="1"/>
  <c r="BP565" i="1"/>
  <c r="BZ8" i="1" l="1"/>
  <c r="CA8" i="1"/>
  <c r="AS1469" i="1"/>
  <c r="X1468" i="1"/>
  <c r="W1468" i="1"/>
  <c r="S1468" i="1"/>
  <c r="V1468" i="1" s="1"/>
  <c r="Z1468" i="1"/>
  <c r="AC1468" i="1" s="1"/>
  <c r="AA1468" i="1"/>
  <c r="AD1468" i="1" s="1"/>
  <c r="Q1470" i="1"/>
  <c r="P1470" i="1"/>
  <c r="S1469" i="1" a="1"/>
  <c r="L1469" i="1"/>
  <c r="AR1469" i="1" s="1"/>
  <c r="AV913" i="1" s="1"/>
  <c r="AQ1470" i="1"/>
  <c r="O1470" i="1"/>
  <c r="BO567" i="1"/>
  <c r="BP566" i="1"/>
  <c r="R1470" i="1" l="1" a="1"/>
  <c r="R1470" i="1" s="1"/>
  <c r="L1470" i="1" s="1"/>
  <c r="AS1470" i="1"/>
  <c r="AU913" i="1" s="1"/>
  <c r="AW913" i="1" s="1"/>
  <c r="X1469" i="1"/>
  <c r="W1469" i="1"/>
  <c r="Y1468" i="1"/>
  <c r="AB1468" i="1" s="1"/>
  <c r="S1469" i="1"/>
  <c r="V1469" i="1" s="1"/>
  <c r="AA1469" i="1"/>
  <c r="AD1469" i="1" s="1"/>
  <c r="Z1469" i="1"/>
  <c r="AC1469" i="1" s="1"/>
  <c r="S1470" i="1" a="1"/>
  <c r="BO568" i="1"/>
  <c r="BP567" i="1"/>
  <c r="X1470" i="1" l="1"/>
  <c r="W1470" i="1"/>
  <c r="Z1470" i="1" s="1"/>
  <c r="AC1470" i="1" s="1"/>
  <c r="AR1470" i="1"/>
  <c r="Y1469" i="1"/>
  <c r="AB1469" i="1" s="1"/>
  <c r="S1470" i="1"/>
  <c r="V1470" i="1" s="1"/>
  <c r="AA1470" i="1"/>
  <c r="AD1470" i="1" s="1"/>
  <c r="BO569" i="1"/>
  <c r="BP568" i="1"/>
  <c r="Y1470" i="1" l="1"/>
  <c r="AB1470" i="1" s="1"/>
  <c r="BO570" i="1"/>
  <c r="BP569" i="1"/>
  <c r="BO571" i="1" l="1"/>
  <c r="BP570" i="1"/>
  <c r="BO572" i="1" l="1"/>
  <c r="BP571" i="1"/>
  <c r="BO573" i="1" l="1"/>
  <c r="BP572" i="1"/>
  <c r="BO574" i="1" l="1"/>
  <c r="BP573" i="1"/>
  <c r="BO575" i="1" l="1"/>
  <c r="BP574" i="1"/>
  <c r="BO576" i="1" l="1"/>
  <c r="BP575" i="1"/>
  <c r="BO577" i="1" l="1"/>
  <c r="BP576" i="1"/>
  <c r="BO578" i="1" l="1"/>
  <c r="BP577" i="1"/>
  <c r="BO579" i="1" l="1"/>
  <c r="BP578" i="1"/>
  <c r="BO580" i="1" l="1"/>
  <c r="BP579" i="1"/>
  <c r="BO581" i="1" l="1"/>
  <c r="BP580" i="1"/>
  <c r="BO582" i="1" l="1"/>
  <c r="BP581" i="1"/>
  <c r="BO583" i="1" l="1"/>
  <c r="BP582" i="1"/>
  <c r="BO584" i="1" l="1"/>
  <c r="BP583" i="1"/>
  <c r="BO585" i="1" l="1"/>
  <c r="BP584" i="1"/>
  <c r="BO586" i="1" l="1"/>
  <c r="BP585" i="1"/>
  <c r="BO587" i="1" l="1"/>
  <c r="BP586" i="1"/>
  <c r="BO588" i="1" l="1"/>
  <c r="BP587" i="1"/>
  <c r="BO589" i="1" l="1"/>
  <c r="BP588" i="1"/>
  <c r="BO590" i="1" l="1"/>
  <c r="BP589" i="1"/>
  <c r="BO591" i="1" l="1"/>
  <c r="BP590" i="1"/>
  <c r="BO592" i="1" l="1"/>
  <c r="BP591" i="1"/>
  <c r="BO593" i="1" l="1"/>
  <c r="BP592" i="1"/>
  <c r="BO594" i="1" l="1"/>
  <c r="BP593" i="1"/>
  <c r="BO595" i="1" l="1"/>
  <c r="BP594" i="1"/>
  <c r="BO596" i="1" l="1"/>
  <c r="BP595" i="1"/>
  <c r="BO597" i="1" l="1"/>
  <c r="BP596" i="1"/>
  <c r="BO598" i="1" l="1"/>
  <c r="BP597" i="1"/>
  <c r="BO599" i="1" l="1"/>
  <c r="BP598" i="1"/>
  <c r="BO600" i="1" l="1"/>
  <c r="BP599" i="1"/>
  <c r="BO601" i="1" l="1"/>
  <c r="BP600" i="1"/>
  <c r="BO602" i="1" l="1"/>
  <c r="BP601" i="1"/>
  <c r="BO603" i="1" l="1"/>
  <c r="BP602" i="1"/>
  <c r="BO604" i="1" l="1"/>
  <c r="BP603" i="1"/>
  <c r="BO605" i="1" l="1"/>
  <c r="BP604" i="1"/>
  <c r="BO606" i="1" l="1"/>
  <c r="BP605" i="1"/>
  <c r="BO607" i="1" l="1"/>
  <c r="BP606" i="1"/>
  <c r="BO608" i="1" l="1"/>
  <c r="BP607" i="1"/>
  <c r="BO609" i="1" l="1"/>
  <c r="BP608" i="1"/>
  <c r="BO610" i="1" l="1"/>
  <c r="BP609" i="1"/>
  <c r="BO611" i="1" l="1"/>
  <c r="BP610" i="1"/>
  <c r="BO612" i="1" l="1"/>
  <c r="BP611" i="1"/>
  <c r="BO613" i="1" l="1"/>
  <c r="BP612" i="1"/>
  <c r="BO614" i="1" l="1"/>
  <c r="BP613" i="1"/>
  <c r="BO615" i="1" l="1"/>
  <c r="BP614" i="1"/>
  <c r="BO616" i="1" l="1"/>
  <c r="BP615" i="1"/>
  <c r="BO617" i="1" l="1"/>
  <c r="BP616" i="1"/>
  <c r="BO618" i="1" l="1"/>
  <c r="BP617" i="1"/>
  <c r="BO619" i="1" l="1"/>
  <c r="BP618" i="1"/>
  <c r="BO620" i="1" l="1"/>
  <c r="BP619" i="1"/>
  <c r="BO621" i="1" l="1"/>
  <c r="BP620" i="1"/>
  <c r="BO622" i="1" l="1"/>
  <c r="BP621" i="1"/>
  <c r="BO623" i="1" l="1"/>
  <c r="BP622" i="1"/>
  <c r="BO624" i="1" l="1"/>
  <c r="BP623" i="1"/>
  <c r="BO625" i="1" l="1"/>
  <c r="BP624" i="1"/>
  <c r="BO626" i="1" l="1"/>
  <c r="BP625" i="1"/>
  <c r="BO627" i="1" l="1"/>
  <c r="BP626" i="1"/>
  <c r="BO628" i="1" l="1"/>
  <c r="BP627" i="1"/>
  <c r="BO629" i="1" l="1"/>
  <c r="BP628" i="1"/>
  <c r="BO630" i="1" l="1"/>
  <c r="BP629" i="1"/>
  <c r="BO631" i="1" l="1"/>
  <c r="BP630" i="1"/>
  <c r="BO632" i="1" l="1"/>
  <c r="BP631" i="1"/>
  <c r="BO633" i="1" l="1"/>
  <c r="BP632" i="1"/>
  <c r="BO634" i="1" l="1"/>
  <c r="BP633" i="1"/>
  <c r="BO635" i="1" l="1"/>
  <c r="BP634" i="1"/>
  <c r="BO636" i="1" l="1"/>
  <c r="BP635" i="1"/>
  <c r="BO637" i="1" l="1"/>
  <c r="BP636" i="1"/>
  <c r="BO638" i="1" l="1"/>
  <c r="BP637" i="1"/>
  <c r="BO639" i="1" l="1"/>
  <c r="BP638" i="1"/>
  <c r="BO640" i="1" l="1"/>
  <c r="BP639" i="1"/>
  <c r="BO641" i="1" l="1"/>
  <c r="BP640" i="1"/>
  <c r="BO642" i="1" l="1"/>
  <c r="BP641" i="1"/>
  <c r="BO643" i="1" l="1"/>
  <c r="BP642" i="1"/>
  <c r="BO644" i="1" l="1"/>
  <c r="BP643" i="1"/>
  <c r="BO645" i="1" l="1"/>
  <c r="BP644" i="1"/>
  <c r="BO646" i="1" l="1"/>
  <c r="BP645" i="1"/>
  <c r="BO647" i="1" l="1"/>
  <c r="BP646" i="1"/>
  <c r="BO648" i="1" l="1"/>
  <c r="BP647" i="1"/>
  <c r="BO649" i="1" l="1"/>
  <c r="BP648" i="1"/>
  <c r="BO650" i="1" l="1"/>
  <c r="BP649" i="1"/>
  <c r="BO651" i="1" l="1"/>
  <c r="BP650" i="1"/>
  <c r="BO652" i="1" l="1"/>
  <c r="BP651" i="1"/>
  <c r="BO653" i="1" l="1"/>
  <c r="BP652" i="1"/>
  <c r="BO654" i="1" l="1"/>
  <c r="BP653" i="1"/>
  <c r="BO655" i="1" l="1"/>
  <c r="BP654" i="1"/>
  <c r="BO656" i="1" l="1"/>
  <c r="BP655" i="1"/>
  <c r="BO657" i="1" l="1"/>
  <c r="BP656" i="1"/>
  <c r="BO658" i="1" l="1"/>
  <c r="BP657" i="1"/>
  <c r="BO659" i="1" l="1"/>
  <c r="BP658" i="1"/>
  <c r="BO660" i="1" l="1"/>
  <c r="BP659" i="1"/>
  <c r="BO661" i="1" l="1"/>
  <c r="BP660" i="1"/>
  <c r="BO662" i="1" l="1"/>
  <c r="BP661" i="1"/>
  <c r="BO663" i="1" l="1"/>
  <c r="BP662" i="1"/>
  <c r="BO664" i="1" l="1"/>
  <c r="BP663" i="1"/>
  <c r="BO665" i="1" l="1"/>
  <c r="BP664" i="1"/>
  <c r="BO666" i="1" l="1"/>
  <c r="BP665" i="1"/>
  <c r="BO667" i="1" l="1"/>
  <c r="BP666" i="1"/>
  <c r="BO668" i="1" l="1"/>
  <c r="BP667" i="1"/>
  <c r="BO669" i="1" l="1"/>
  <c r="BP668" i="1"/>
  <c r="BO670" i="1" l="1"/>
  <c r="BP669" i="1"/>
  <c r="BO671" i="1" l="1"/>
  <c r="BP670" i="1"/>
  <c r="BO672" i="1" l="1"/>
  <c r="BP671" i="1"/>
  <c r="BO673" i="1" l="1"/>
  <c r="BP672" i="1"/>
  <c r="BO674" i="1" l="1"/>
  <c r="BP673" i="1"/>
  <c r="BO675" i="1" l="1"/>
  <c r="BP674" i="1"/>
  <c r="BO676" i="1" l="1"/>
  <c r="BP675" i="1"/>
  <c r="BO677" i="1" l="1"/>
  <c r="BP676" i="1"/>
  <c r="BO678" i="1" l="1"/>
  <c r="BP677" i="1"/>
  <c r="BO679" i="1" l="1"/>
  <c r="BP678" i="1"/>
  <c r="BO680" i="1" l="1"/>
  <c r="BP679" i="1"/>
  <c r="BO681" i="1" l="1"/>
  <c r="BP680" i="1"/>
  <c r="BO682" i="1" l="1"/>
  <c r="BP681" i="1"/>
  <c r="BO683" i="1" l="1"/>
  <c r="BP682" i="1"/>
  <c r="BO684" i="1" l="1"/>
  <c r="BP683" i="1"/>
  <c r="BO685" i="1" l="1"/>
  <c r="BP684" i="1"/>
  <c r="BO686" i="1" l="1"/>
  <c r="BP685" i="1"/>
  <c r="BO687" i="1" l="1"/>
  <c r="BP686" i="1"/>
  <c r="BO688" i="1" l="1"/>
  <c r="BP687" i="1"/>
  <c r="BO689" i="1" l="1"/>
  <c r="BP688" i="1"/>
  <c r="BO690" i="1" l="1"/>
  <c r="BP689" i="1"/>
  <c r="BO691" i="1" l="1"/>
  <c r="BP690" i="1"/>
  <c r="BO692" i="1" l="1"/>
  <c r="BP691" i="1"/>
  <c r="BO693" i="1" l="1"/>
  <c r="BP692" i="1"/>
  <c r="BO694" i="1" l="1"/>
  <c r="BP693" i="1"/>
  <c r="BO695" i="1" l="1"/>
  <c r="BP694" i="1"/>
  <c r="BO696" i="1" l="1"/>
  <c r="BP695" i="1"/>
  <c r="BO697" i="1" l="1"/>
  <c r="BP696" i="1"/>
  <c r="BO698" i="1" l="1"/>
  <c r="BP697" i="1"/>
  <c r="BO699" i="1" l="1"/>
  <c r="BP698" i="1"/>
  <c r="BO700" i="1" l="1"/>
  <c r="BP699" i="1"/>
  <c r="BO701" i="1" l="1"/>
  <c r="BP700" i="1"/>
  <c r="BO702" i="1" l="1"/>
  <c r="BP701" i="1"/>
  <c r="BO703" i="1" l="1"/>
  <c r="BP702" i="1"/>
  <c r="BO704" i="1" l="1"/>
  <c r="BP703" i="1"/>
  <c r="BO705" i="1" l="1"/>
  <c r="BP704" i="1"/>
  <c r="BO706" i="1" l="1"/>
  <c r="BP705" i="1"/>
  <c r="BO707" i="1" l="1"/>
  <c r="BP706" i="1"/>
  <c r="BO708" i="1" l="1"/>
  <c r="BP707" i="1"/>
  <c r="BO709" i="1" l="1"/>
  <c r="BP708" i="1"/>
  <c r="BO710" i="1" l="1"/>
  <c r="BP709" i="1"/>
  <c r="BO711" i="1" l="1"/>
  <c r="BP710" i="1"/>
  <c r="BO712" i="1" l="1"/>
  <c r="BP711" i="1"/>
  <c r="BO713" i="1" l="1"/>
  <c r="BP712" i="1"/>
  <c r="BO714" i="1" l="1"/>
  <c r="BP713" i="1"/>
  <c r="BO715" i="1" l="1"/>
  <c r="BP714" i="1"/>
  <c r="BO716" i="1" l="1"/>
  <c r="BP715" i="1"/>
  <c r="BO717" i="1" l="1"/>
  <c r="BP716" i="1"/>
  <c r="BO718" i="1" l="1"/>
  <c r="BP717" i="1"/>
  <c r="BO719" i="1" l="1"/>
  <c r="BP718" i="1"/>
  <c r="BO720" i="1" l="1"/>
  <c r="BP719" i="1"/>
  <c r="BO721" i="1" l="1"/>
  <c r="BP720" i="1"/>
  <c r="BO722" i="1" l="1"/>
  <c r="BP721" i="1"/>
  <c r="BO723" i="1" l="1"/>
  <c r="BP722" i="1"/>
  <c r="BO724" i="1" l="1"/>
  <c r="BP723" i="1"/>
  <c r="BO725" i="1" l="1"/>
  <c r="BP724" i="1"/>
  <c r="BO726" i="1" l="1"/>
  <c r="BP725" i="1"/>
  <c r="BO727" i="1" l="1"/>
  <c r="BP726" i="1"/>
  <c r="BO728" i="1" l="1"/>
  <c r="BP727" i="1"/>
  <c r="BO729" i="1" l="1"/>
  <c r="BP728" i="1"/>
  <c r="BO730" i="1" l="1"/>
  <c r="BP729" i="1"/>
  <c r="BO731" i="1" l="1"/>
  <c r="BP730" i="1"/>
  <c r="BO732" i="1" l="1"/>
  <c r="BP731" i="1"/>
  <c r="BO733" i="1" l="1"/>
  <c r="BP732" i="1"/>
  <c r="BO734" i="1" l="1"/>
  <c r="BP733" i="1"/>
  <c r="BO735" i="1" l="1"/>
  <c r="BP734" i="1"/>
  <c r="BO736" i="1" l="1"/>
  <c r="BP735" i="1"/>
  <c r="BO737" i="1" l="1"/>
  <c r="BP736" i="1"/>
  <c r="BO738" i="1" l="1"/>
  <c r="BP737" i="1"/>
  <c r="BO739" i="1" l="1"/>
  <c r="BP738" i="1"/>
  <c r="BO740" i="1" l="1"/>
  <c r="BP739" i="1"/>
  <c r="BO741" i="1" l="1"/>
  <c r="BP740" i="1"/>
  <c r="BO742" i="1" l="1"/>
  <c r="BP741" i="1"/>
  <c r="BO743" i="1" l="1"/>
  <c r="BP742" i="1"/>
  <c r="BO744" i="1" l="1"/>
  <c r="BP743" i="1"/>
  <c r="BO745" i="1" l="1"/>
  <c r="BP744" i="1"/>
  <c r="BO746" i="1" l="1"/>
  <c r="BP745" i="1"/>
  <c r="BO747" i="1" l="1"/>
  <c r="BP746" i="1"/>
  <c r="BO748" i="1" l="1"/>
  <c r="BP747" i="1"/>
  <c r="BO749" i="1" l="1"/>
  <c r="BP748" i="1"/>
  <c r="BO750" i="1" l="1"/>
  <c r="BP749" i="1"/>
  <c r="BO751" i="1" l="1"/>
  <c r="BP750" i="1"/>
  <c r="BO752" i="1" l="1"/>
  <c r="BP751" i="1"/>
  <c r="BO753" i="1" l="1"/>
  <c r="BP752" i="1"/>
  <c r="BO754" i="1" l="1"/>
  <c r="BP753" i="1"/>
  <c r="BO755" i="1" l="1"/>
  <c r="BP754" i="1"/>
  <c r="BO756" i="1" l="1"/>
  <c r="BP755" i="1"/>
  <c r="BO757" i="1" l="1"/>
  <c r="BP756" i="1"/>
  <c r="BO758" i="1" l="1"/>
  <c r="BP757" i="1"/>
  <c r="BO759" i="1" l="1"/>
  <c r="BP758" i="1"/>
  <c r="BO760" i="1" l="1"/>
  <c r="BP759" i="1"/>
  <c r="BO761" i="1" l="1"/>
  <c r="BP760" i="1"/>
  <c r="BO762" i="1" l="1"/>
  <c r="BP761" i="1"/>
  <c r="BO763" i="1" l="1"/>
  <c r="BP762" i="1"/>
  <c r="BO764" i="1" l="1"/>
  <c r="BP763" i="1"/>
  <c r="BO765" i="1" l="1"/>
  <c r="BP764" i="1"/>
  <c r="BO766" i="1" l="1"/>
  <c r="BP765" i="1"/>
  <c r="BO767" i="1" l="1"/>
  <c r="BP766" i="1"/>
  <c r="BO768" i="1" l="1"/>
  <c r="BP767" i="1"/>
  <c r="BO769" i="1" l="1"/>
  <c r="BP768" i="1"/>
  <c r="BO770" i="1" l="1"/>
  <c r="BP769" i="1"/>
  <c r="BO771" i="1" l="1"/>
  <c r="BP770" i="1"/>
  <c r="BO772" i="1" l="1"/>
  <c r="BP771" i="1"/>
  <c r="BO773" i="1" l="1"/>
  <c r="BP772" i="1"/>
  <c r="BO774" i="1" l="1"/>
  <c r="BP773" i="1"/>
  <c r="BO775" i="1" l="1"/>
  <c r="BP774" i="1"/>
  <c r="BO776" i="1" l="1"/>
  <c r="BP775" i="1"/>
  <c r="BO777" i="1" l="1"/>
  <c r="BP776" i="1"/>
  <c r="BO778" i="1" l="1"/>
  <c r="BP777" i="1"/>
  <c r="BO779" i="1" l="1"/>
  <c r="BP778" i="1"/>
  <c r="BO780" i="1" l="1"/>
  <c r="BP779" i="1"/>
  <c r="BO781" i="1" l="1"/>
  <c r="BP780" i="1"/>
  <c r="BO782" i="1" l="1"/>
  <c r="BP781" i="1"/>
  <c r="BO783" i="1" l="1"/>
  <c r="BP782" i="1"/>
  <c r="BO784" i="1" l="1"/>
  <c r="BP783" i="1"/>
  <c r="BO785" i="1" l="1"/>
  <c r="BP784" i="1"/>
  <c r="BO786" i="1" l="1"/>
  <c r="BP785" i="1"/>
  <c r="BO787" i="1" l="1"/>
  <c r="BP786" i="1"/>
  <c r="BO788" i="1" l="1"/>
  <c r="BP787" i="1"/>
  <c r="BO789" i="1" l="1"/>
  <c r="BP788" i="1"/>
  <c r="BO790" i="1" l="1"/>
  <c r="BP789" i="1"/>
  <c r="BO791" i="1" l="1"/>
  <c r="BP790" i="1"/>
  <c r="BO792" i="1" l="1"/>
  <c r="BP791" i="1"/>
  <c r="BO793" i="1" l="1"/>
  <c r="BP792" i="1"/>
  <c r="BO794" i="1" l="1"/>
  <c r="BP793" i="1"/>
  <c r="BO795" i="1" l="1"/>
  <c r="BP794" i="1"/>
  <c r="BO796" i="1" l="1"/>
  <c r="BP795" i="1"/>
  <c r="BO797" i="1" l="1"/>
  <c r="BP796" i="1"/>
  <c r="BO798" i="1" l="1"/>
  <c r="BP797" i="1"/>
  <c r="BO799" i="1" l="1"/>
  <c r="BP798" i="1"/>
  <c r="BO800" i="1" l="1"/>
  <c r="BP799" i="1"/>
  <c r="BO801" i="1" l="1"/>
  <c r="BP800" i="1"/>
  <c r="BO802" i="1" l="1"/>
  <c r="BP801" i="1"/>
  <c r="BO803" i="1" l="1"/>
  <c r="BP802" i="1"/>
  <c r="BO804" i="1" l="1"/>
  <c r="BP803" i="1"/>
  <c r="BO805" i="1" l="1"/>
  <c r="BP804" i="1"/>
  <c r="BO806" i="1" l="1"/>
  <c r="BP805" i="1"/>
  <c r="BO807" i="1" l="1"/>
  <c r="BP806" i="1"/>
  <c r="BO808" i="1" l="1"/>
  <c r="BP807" i="1"/>
  <c r="BO809" i="1" l="1"/>
  <c r="BP808" i="1"/>
  <c r="BO810" i="1" l="1"/>
  <c r="BP809" i="1"/>
  <c r="BO811" i="1" l="1"/>
  <c r="BP810" i="1"/>
  <c r="BO812" i="1" l="1"/>
  <c r="BP811" i="1"/>
  <c r="BO813" i="1" l="1"/>
  <c r="BP812" i="1"/>
  <c r="BO814" i="1" l="1"/>
  <c r="BP813" i="1"/>
  <c r="BO815" i="1" l="1"/>
  <c r="BP814" i="1"/>
  <c r="BO816" i="1" l="1"/>
  <c r="BP815" i="1"/>
  <c r="BO817" i="1" l="1"/>
  <c r="BP816" i="1"/>
  <c r="BO818" i="1" l="1"/>
  <c r="BP817" i="1"/>
  <c r="BO819" i="1" l="1"/>
  <c r="BP818" i="1"/>
  <c r="BO820" i="1" l="1"/>
  <c r="BP819" i="1"/>
  <c r="BO821" i="1" l="1"/>
  <c r="BP820" i="1"/>
  <c r="BO822" i="1" l="1"/>
  <c r="BP821" i="1"/>
  <c r="BO823" i="1" l="1"/>
  <c r="BP822" i="1"/>
  <c r="BO824" i="1" l="1"/>
  <c r="BP823" i="1"/>
  <c r="BO825" i="1" l="1"/>
  <c r="BP824" i="1"/>
  <c r="BO826" i="1" l="1"/>
  <c r="BP825" i="1"/>
  <c r="BO827" i="1" l="1"/>
  <c r="BP826" i="1"/>
  <c r="BO828" i="1" l="1"/>
  <c r="BP827" i="1"/>
  <c r="BO829" i="1" l="1"/>
  <c r="BP828" i="1"/>
  <c r="BO830" i="1" l="1"/>
  <c r="BP829" i="1"/>
  <c r="BO831" i="1" l="1"/>
  <c r="BP830" i="1"/>
  <c r="BO832" i="1" l="1"/>
  <c r="BP831" i="1"/>
  <c r="BO833" i="1" l="1"/>
  <c r="BP832" i="1"/>
  <c r="BO834" i="1" l="1"/>
  <c r="BP833" i="1"/>
  <c r="BO835" i="1" l="1"/>
  <c r="BP834" i="1"/>
  <c r="BO836" i="1" l="1"/>
  <c r="BP835" i="1"/>
  <c r="BO837" i="1" l="1"/>
  <c r="BP836" i="1"/>
  <c r="BO838" i="1" l="1"/>
  <c r="BP837" i="1"/>
  <c r="BO839" i="1" l="1"/>
  <c r="BP838" i="1"/>
  <c r="BO840" i="1" l="1"/>
  <c r="BP839" i="1"/>
  <c r="BO841" i="1" l="1"/>
  <c r="BP840" i="1"/>
  <c r="BO842" i="1" l="1"/>
  <c r="BP841" i="1"/>
  <c r="BO843" i="1" l="1"/>
  <c r="BP842" i="1"/>
  <c r="BO844" i="1" l="1"/>
  <c r="BP843" i="1"/>
  <c r="BO845" i="1" l="1"/>
  <c r="BP844" i="1"/>
  <c r="BO846" i="1" l="1"/>
  <c r="BP845" i="1"/>
  <c r="BO847" i="1" l="1"/>
  <c r="BP846" i="1"/>
  <c r="BO848" i="1" l="1"/>
  <c r="BP847" i="1"/>
  <c r="BO849" i="1" l="1"/>
  <c r="BP848" i="1"/>
  <c r="BO850" i="1" l="1"/>
  <c r="BP849" i="1"/>
  <c r="BO851" i="1" l="1"/>
  <c r="BP850" i="1"/>
  <c r="BO852" i="1" l="1"/>
  <c r="BP851" i="1"/>
  <c r="BO853" i="1" l="1"/>
  <c r="BP852" i="1"/>
  <c r="BO854" i="1" l="1"/>
  <c r="BP853" i="1"/>
  <c r="BO855" i="1" l="1"/>
  <c r="BP854" i="1"/>
  <c r="BO856" i="1" l="1"/>
  <c r="BP855" i="1"/>
  <c r="BO857" i="1" l="1"/>
  <c r="BP856" i="1"/>
  <c r="BO858" i="1" l="1"/>
  <c r="BP857" i="1"/>
  <c r="BO859" i="1" l="1"/>
  <c r="BP858" i="1"/>
  <c r="BO860" i="1" l="1"/>
  <c r="BP859" i="1"/>
  <c r="BO861" i="1" l="1"/>
  <c r="BP860" i="1"/>
  <c r="BO862" i="1" l="1"/>
  <c r="BP861" i="1"/>
  <c r="BO863" i="1" l="1"/>
  <c r="BP862" i="1"/>
  <c r="BO864" i="1" l="1"/>
  <c r="BP863" i="1"/>
  <c r="BO865" i="1" l="1"/>
  <c r="BP864" i="1"/>
  <c r="BO866" i="1" l="1"/>
  <c r="BP865" i="1"/>
  <c r="BO867" i="1" l="1"/>
  <c r="BP866" i="1"/>
  <c r="BO868" i="1" l="1"/>
  <c r="BP867" i="1"/>
  <c r="BO869" i="1" l="1"/>
  <c r="BP868" i="1"/>
  <c r="BO870" i="1" l="1"/>
  <c r="BP869" i="1"/>
  <c r="BO871" i="1" l="1"/>
  <c r="BP870" i="1"/>
  <c r="BO872" i="1" l="1"/>
  <c r="BP871" i="1"/>
  <c r="BO873" i="1" l="1"/>
  <c r="BP872" i="1"/>
  <c r="BO874" i="1" l="1"/>
  <c r="BP873" i="1"/>
  <c r="BO875" i="1" l="1"/>
  <c r="BP874" i="1"/>
  <c r="BO876" i="1" l="1"/>
  <c r="BP875" i="1"/>
  <c r="BO877" i="1" l="1"/>
  <c r="BP876" i="1"/>
  <c r="BO878" i="1" l="1"/>
  <c r="BP877" i="1"/>
  <c r="BO879" i="1" l="1"/>
  <c r="BP878" i="1"/>
  <c r="BO880" i="1" l="1"/>
  <c r="BP879" i="1"/>
  <c r="BO881" i="1" l="1"/>
  <c r="BP880" i="1"/>
  <c r="BO882" i="1" l="1"/>
  <c r="BP881" i="1"/>
  <c r="BO883" i="1" l="1"/>
  <c r="BP882" i="1"/>
  <c r="BO884" i="1" l="1"/>
  <c r="BP883" i="1"/>
  <c r="BO885" i="1" l="1"/>
  <c r="BP884" i="1"/>
  <c r="BO886" i="1" l="1"/>
  <c r="BP885" i="1"/>
  <c r="BO887" i="1" l="1"/>
  <c r="BP886" i="1"/>
  <c r="BO888" i="1" l="1"/>
  <c r="BP887" i="1"/>
  <c r="BO889" i="1" l="1"/>
  <c r="BP888" i="1"/>
  <c r="BO890" i="1" l="1"/>
  <c r="BP889" i="1"/>
  <c r="BO891" i="1" l="1"/>
  <c r="BP890" i="1"/>
  <c r="BO892" i="1" l="1"/>
  <c r="BP891" i="1"/>
  <c r="BO893" i="1" l="1"/>
  <c r="BP892" i="1"/>
  <c r="BO894" i="1" l="1"/>
  <c r="BP893" i="1"/>
  <c r="BO895" i="1" l="1"/>
  <c r="BP894" i="1"/>
  <c r="BO896" i="1" l="1"/>
  <c r="BP895" i="1"/>
  <c r="BO897" i="1" l="1"/>
  <c r="BP896" i="1"/>
  <c r="BO898" i="1" l="1"/>
  <c r="BP897" i="1"/>
  <c r="BO899" i="1" l="1"/>
  <c r="BP898" i="1"/>
  <c r="BO900" i="1" l="1"/>
  <c r="BP899" i="1"/>
  <c r="BO901" i="1" l="1"/>
  <c r="BP900" i="1"/>
  <c r="BO902" i="1" l="1"/>
  <c r="BP901" i="1"/>
  <c r="BO903" i="1" l="1"/>
  <c r="BP902" i="1"/>
  <c r="BO904" i="1" l="1"/>
  <c r="BP903" i="1"/>
  <c r="BO905" i="1" l="1"/>
  <c r="BP904" i="1"/>
  <c r="BO906" i="1" l="1"/>
  <c r="BP905" i="1"/>
  <c r="BO907" i="1" l="1"/>
  <c r="BP906" i="1"/>
  <c r="BO908" i="1" l="1"/>
  <c r="BP907" i="1"/>
  <c r="BO909" i="1" l="1"/>
  <c r="BP908" i="1"/>
  <c r="BO910" i="1" l="1"/>
  <c r="BP909" i="1"/>
  <c r="BO911" i="1" l="1"/>
  <c r="BP910" i="1"/>
  <c r="BO912" i="1" l="1"/>
  <c r="BP911" i="1"/>
  <c r="BO913" i="1" l="1"/>
  <c r="BP912" i="1"/>
  <c r="BO914" i="1" l="1"/>
  <c r="BP913" i="1"/>
  <c r="BO915" i="1" l="1"/>
  <c r="BP914" i="1"/>
  <c r="BO916" i="1" l="1"/>
  <c r="BP915" i="1"/>
  <c r="BO917" i="1" l="1"/>
  <c r="BP916" i="1"/>
  <c r="BO918" i="1" l="1"/>
  <c r="BP917" i="1"/>
  <c r="BO919" i="1" l="1"/>
  <c r="BP918" i="1"/>
  <c r="BO920" i="1" l="1"/>
  <c r="BP919" i="1"/>
  <c r="BO921" i="1" l="1"/>
  <c r="BP920" i="1"/>
  <c r="BO922" i="1" l="1"/>
  <c r="BP921" i="1"/>
  <c r="BO923" i="1" l="1"/>
  <c r="BP922" i="1"/>
  <c r="BO924" i="1" l="1"/>
  <c r="BP923" i="1"/>
  <c r="BO925" i="1" l="1"/>
  <c r="BP924" i="1"/>
  <c r="BO926" i="1" l="1"/>
  <c r="BP925" i="1"/>
  <c r="BO927" i="1" l="1"/>
  <c r="BP926" i="1"/>
  <c r="BO928" i="1" l="1"/>
  <c r="BP927" i="1"/>
  <c r="BO929" i="1" l="1"/>
  <c r="BP928" i="1"/>
  <c r="BO930" i="1" l="1"/>
  <c r="BP929" i="1"/>
  <c r="BO931" i="1" l="1"/>
  <c r="BP930" i="1"/>
  <c r="BO932" i="1" l="1"/>
  <c r="BP931" i="1"/>
  <c r="BO933" i="1" l="1"/>
  <c r="BP932" i="1"/>
  <c r="BO934" i="1" l="1"/>
  <c r="BP933" i="1"/>
  <c r="BO935" i="1" l="1"/>
  <c r="BP934" i="1"/>
  <c r="BO936" i="1" l="1"/>
  <c r="BP935" i="1"/>
  <c r="BO937" i="1" l="1"/>
  <c r="BP936" i="1"/>
  <c r="BO938" i="1" l="1"/>
  <c r="BP937" i="1"/>
  <c r="BO939" i="1" l="1"/>
  <c r="BP938" i="1"/>
  <c r="BO940" i="1" l="1"/>
  <c r="BP939" i="1"/>
  <c r="BO941" i="1" l="1"/>
  <c r="BP940" i="1"/>
  <c r="BO942" i="1" l="1"/>
  <c r="BP941" i="1"/>
  <c r="BO943" i="1" l="1"/>
  <c r="BP942" i="1"/>
  <c r="BO944" i="1" l="1"/>
  <c r="BP943" i="1"/>
  <c r="BO945" i="1" l="1"/>
  <c r="BP944" i="1"/>
  <c r="BO946" i="1" l="1"/>
  <c r="BP945" i="1"/>
  <c r="BO947" i="1" l="1"/>
  <c r="BP946" i="1"/>
  <c r="BO948" i="1" l="1"/>
  <c r="BP947" i="1"/>
  <c r="BO949" i="1" l="1"/>
  <c r="BP948" i="1"/>
  <c r="BO950" i="1" l="1"/>
  <c r="BP949" i="1"/>
  <c r="BO951" i="1" l="1"/>
  <c r="BP950" i="1"/>
  <c r="BO952" i="1" l="1"/>
  <c r="BP951" i="1"/>
  <c r="BO953" i="1" l="1"/>
  <c r="BP952" i="1"/>
  <c r="BO954" i="1" l="1"/>
  <c r="BP953" i="1"/>
  <c r="BO955" i="1" l="1"/>
  <c r="BP954" i="1"/>
  <c r="BO956" i="1" l="1"/>
  <c r="BP955" i="1"/>
  <c r="BO957" i="1" l="1"/>
  <c r="BP956" i="1"/>
  <c r="BO958" i="1" l="1"/>
  <c r="BP957" i="1"/>
  <c r="BO959" i="1" l="1"/>
  <c r="BP958" i="1"/>
  <c r="BO960" i="1" l="1"/>
  <c r="BP959" i="1"/>
  <c r="BO961" i="1" l="1"/>
  <c r="BP960" i="1"/>
  <c r="BO962" i="1" l="1"/>
  <c r="BP961" i="1"/>
  <c r="BO963" i="1" l="1"/>
  <c r="BP962" i="1"/>
  <c r="BO964" i="1" l="1"/>
  <c r="BP963" i="1"/>
  <c r="BO965" i="1" l="1"/>
  <c r="BP964" i="1"/>
  <c r="BO966" i="1" l="1"/>
  <c r="BP965" i="1"/>
  <c r="BO967" i="1" l="1"/>
  <c r="BP966" i="1"/>
  <c r="BO968" i="1" l="1"/>
  <c r="BP967" i="1"/>
  <c r="BO969" i="1" l="1"/>
  <c r="BP968" i="1"/>
  <c r="BO970" i="1" l="1"/>
  <c r="BP969" i="1"/>
  <c r="BO971" i="1" l="1"/>
  <c r="BP970" i="1"/>
  <c r="BO972" i="1" l="1"/>
  <c r="BP971" i="1"/>
  <c r="BO973" i="1" l="1"/>
  <c r="BP972" i="1"/>
  <c r="BO974" i="1" l="1"/>
  <c r="BP973" i="1"/>
  <c r="BO975" i="1" l="1"/>
  <c r="BP974" i="1"/>
  <c r="BO976" i="1" l="1"/>
  <c r="BP975" i="1"/>
  <c r="BO977" i="1" l="1"/>
  <c r="BP976" i="1"/>
  <c r="BO978" i="1" l="1"/>
  <c r="BP977" i="1"/>
  <c r="BO979" i="1" l="1"/>
  <c r="BP978" i="1"/>
  <c r="BO980" i="1" l="1"/>
  <c r="BP979" i="1"/>
  <c r="BO981" i="1" l="1"/>
  <c r="BP980" i="1"/>
  <c r="BO982" i="1" l="1"/>
  <c r="BP981" i="1"/>
  <c r="BO983" i="1" l="1"/>
  <c r="BP982" i="1"/>
  <c r="BO984" i="1" l="1"/>
  <c r="BP983" i="1"/>
  <c r="BO985" i="1" l="1"/>
  <c r="BP984" i="1"/>
  <c r="BO986" i="1" l="1"/>
  <c r="BP985" i="1"/>
  <c r="BO987" i="1" l="1"/>
  <c r="BP986" i="1"/>
  <c r="BO988" i="1" l="1"/>
  <c r="BP987" i="1"/>
  <c r="BO989" i="1" l="1"/>
  <c r="BP988" i="1"/>
  <c r="BO990" i="1" l="1"/>
  <c r="BP989" i="1"/>
  <c r="BO991" i="1" l="1"/>
  <c r="BP990" i="1"/>
  <c r="BO992" i="1" l="1"/>
  <c r="BP991" i="1"/>
  <c r="BO993" i="1" l="1"/>
  <c r="BP992" i="1"/>
  <c r="BO994" i="1" l="1"/>
  <c r="BP993" i="1"/>
  <c r="BO995" i="1" l="1"/>
  <c r="BP994" i="1"/>
  <c r="BO996" i="1" l="1"/>
  <c r="BP995" i="1"/>
  <c r="BO997" i="1" l="1"/>
  <c r="BP996" i="1"/>
  <c r="BO998" i="1" l="1"/>
  <c r="BP997" i="1"/>
  <c r="BO999" i="1" l="1"/>
  <c r="BP998" i="1"/>
  <c r="BO1000" i="1" l="1"/>
  <c r="BP999" i="1"/>
  <c r="BO1001" i="1" l="1"/>
  <c r="BP1000" i="1"/>
  <c r="BO1002" i="1" l="1"/>
  <c r="BP1001" i="1"/>
  <c r="BO1003" i="1" l="1"/>
  <c r="BP1002" i="1"/>
  <c r="BO1004" i="1" l="1"/>
  <c r="BP1003" i="1"/>
  <c r="BO1005" i="1" l="1"/>
  <c r="BP1004" i="1"/>
  <c r="BO1006" i="1" l="1"/>
  <c r="BP1005" i="1"/>
  <c r="BO1007" i="1" l="1"/>
  <c r="BP1006" i="1"/>
  <c r="BO1008" i="1" l="1"/>
  <c r="BP1007" i="1"/>
  <c r="BO1009" i="1" l="1"/>
  <c r="BP1008" i="1"/>
  <c r="BO1010" i="1" l="1"/>
  <c r="BP1009" i="1"/>
  <c r="BO1011" i="1" l="1"/>
  <c r="BP1010" i="1"/>
  <c r="BO1012" i="1" l="1"/>
  <c r="BP1011" i="1"/>
  <c r="BO1013" i="1" l="1"/>
  <c r="BP1012" i="1"/>
  <c r="BO1014" i="1" l="1"/>
  <c r="BP1013" i="1"/>
  <c r="BO1015" i="1" l="1"/>
  <c r="BP1014" i="1"/>
  <c r="BO1016" i="1" l="1"/>
  <c r="BP1015" i="1"/>
  <c r="BO1017" i="1" l="1"/>
  <c r="BP1016" i="1"/>
  <c r="BO1018" i="1" l="1"/>
  <c r="BP1017" i="1"/>
  <c r="BO1019" i="1" l="1"/>
  <c r="BP1018" i="1"/>
  <c r="BO1020" i="1" l="1"/>
  <c r="BP1019" i="1"/>
  <c r="BO1021" i="1" l="1"/>
  <c r="BP1020" i="1"/>
  <c r="BO1022" i="1" l="1"/>
  <c r="BP1021" i="1"/>
  <c r="BO1023" i="1" l="1"/>
  <c r="BP1022" i="1"/>
  <c r="BO1024" i="1" l="1"/>
  <c r="BP1023" i="1"/>
  <c r="BO1025" i="1" l="1"/>
  <c r="BP1024" i="1"/>
  <c r="BO1026" i="1" l="1"/>
  <c r="BP1025" i="1"/>
  <c r="BO1027" i="1" l="1"/>
  <c r="BP1026" i="1"/>
  <c r="BO1028" i="1" l="1"/>
  <c r="BP1027" i="1"/>
  <c r="BO1029" i="1" l="1"/>
  <c r="BP1028" i="1"/>
  <c r="BO1030" i="1" l="1"/>
  <c r="BP1029" i="1"/>
  <c r="BO1031" i="1" l="1"/>
  <c r="BP1030" i="1"/>
  <c r="BO1032" i="1" l="1"/>
  <c r="BP1031" i="1"/>
  <c r="BO1033" i="1" l="1"/>
  <c r="BP1032" i="1"/>
  <c r="BO1034" i="1" l="1"/>
  <c r="BP1033" i="1"/>
  <c r="BO1035" i="1" l="1"/>
  <c r="BP1034" i="1"/>
  <c r="BO1036" i="1" l="1"/>
  <c r="BP1035" i="1"/>
  <c r="BO1037" i="1" l="1"/>
  <c r="BP1036" i="1"/>
  <c r="BO1038" i="1" l="1"/>
  <c r="BP1037" i="1"/>
  <c r="BO1039" i="1" l="1"/>
  <c r="BP1038" i="1"/>
  <c r="BO1040" i="1" l="1"/>
  <c r="BP1039" i="1"/>
  <c r="BO1041" i="1" l="1"/>
  <c r="BP1040" i="1"/>
  <c r="BO1042" i="1" l="1"/>
  <c r="BP1041" i="1"/>
  <c r="BO1043" i="1" l="1"/>
  <c r="BP1042" i="1"/>
  <c r="BO1044" i="1" l="1"/>
  <c r="BP1043" i="1"/>
  <c r="BO1045" i="1" l="1"/>
  <c r="BP1044" i="1"/>
  <c r="BO1046" i="1" l="1"/>
  <c r="BP1045" i="1"/>
  <c r="BO1047" i="1" l="1"/>
  <c r="BP1046" i="1"/>
  <c r="BO1048" i="1" l="1"/>
  <c r="BP1047" i="1"/>
  <c r="BO1049" i="1" l="1"/>
  <c r="BP1048" i="1"/>
  <c r="BO1050" i="1" l="1"/>
  <c r="BP1049" i="1"/>
  <c r="BO1051" i="1" l="1"/>
  <c r="BP1050" i="1"/>
  <c r="BO1052" i="1" l="1"/>
  <c r="BP1051" i="1"/>
  <c r="BO1053" i="1" l="1"/>
  <c r="BP1052" i="1"/>
  <c r="BO1054" i="1" l="1"/>
  <c r="BP1053" i="1"/>
  <c r="BO1055" i="1" l="1"/>
  <c r="BP1054" i="1"/>
  <c r="BO1056" i="1" l="1"/>
  <c r="BP1055" i="1"/>
  <c r="BO1057" i="1" l="1"/>
  <c r="BP1056" i="1"/>
  <c r="BO1058" i="1" l="1"/>
  <c r="BP1057" i="1"/>
  <c r="BO1059" i="1" l="1"/>
  <c r="BP1058" i="1"/>
  <c r="BO1060" i="1" l="1"/>
  <c r="BP1059" i="1"/>
  <c r="BO1061" i="1" l="1"/>
  <c r="BP1060" i="1"/>
  <c r="BO1062" i="1" l="1"/>
  <c r="BP1061" i="1"/>
  <c r="BO1063" i="1" l="1"/>
  <c r="BP1062" i="1"/>
  <c r="BO1064" i="1" l="1"/>
  <c r="BP1063" i="1"/>
  <c r="BO1065" i="1" l="1"/>
  <c r="BP1064" i="1"/>
  <c r="BO1066" i="1" l="1"/>
  <c r="BP1065" i="1"/>
  <c r="BO1067" i="1" l="1"/>
  <c r="BP1066" i="1"/>
  <c r="BO1068" i="1" l="1"/>
  <c r="BP1067" i="1"/>
  <c r="BO1069" i="1" l="1"/>
  <c r="BP1068" i="1"/>
  <c r="BO1070" i="1" l="1"/>
  <c r="BP1069" i="1"/>
  <c r="BO1071" i="1" l="1"/>
  <c r="BP1070" i="1"/>
  <c r="BO1072" i="1" l="1"/>
  <c r="BP1071" i="1"/>
  <c r="BO1073" i="1" l="1"/>
  <c r="BP1072" i="1"/>
  <c r="BO1074" i="1" l="1"/>
  <c r="BP1073" i="1"/>
  <c r="BO1075" i="1" l="1"/>
  <c r="BP1074" i="1"/>
  <c r="BO1076" i="1" l="1"/>
  <c r="BP1075" i="1"/>
  <c r="BO1077" i="1" l="1"/>
  <c r="BP1076" i="1"/>
  <c r="BO1078" i="1" l="1"/>
  <c r="BP1077" i="1"/>
  <c r="BO1079" i="1" l="1"/>
  <c r="BP1078" i="1"/>
  <c r="BO1080" i="1" l="1"/>
  <c r="BP1079" i="1"/>
  <c r="BO1081" i="1" l="1"/>
  <c r="BP1080" i="1"/>
  <c r="BO1082" i="1" l="1"/>
  <c r="BP1081" i="1"/>
  <c r="BO1083" i="1" l="1"/>
  <c r="BP1082" i="1"/>
  <c r="BO1084" i="1" l="1"/>
  <c r="BP1083" i="1"/>
  <c r="BO1085" i="1" l="1"/>
  <c r="BP1084" i="1"/>
  <c r="BO1086" i="1" l="1"/>
  <c r="BP1085" i="1"/>
  <c r="BO1087" i="1" l="1"/>
  <c r="BP1086" i="1"/>
  <c r="BO1088" i="1" l="1"/>
  <c r="BP1087" i="1"/>
  <c r="BO1089" i="1" l="1"/>
  <c r="BP1088" i="1"/>
  <c r="BO1090" i="1" l="1"/>
  <c r="BP1089" i="1"/>
  <c r="BO1091" i="1" l="1"/>
  <c r="BP1090" i="1"/>
  <c r="BO1092" i="1" l="1"/>
  <c r="BP1091" i="1"/>
  <c r="BO1093" i="1" l="1"/>
  <c r="BP1092" i="1"/>
  <c r="BO1094" i="1" l="1"/>
  <c r="BP1093" i="1"/>
  <c r="BO1095" i="1" l="1"/>
  <c r="BP1094" i="1"/>
  <c r="BO1096" i="1" l="1"/>
  <c r="BP1095" i="1"/>
  <c r="BO1097" i="1" l="1"/>
  <c r="BP1096" i="1"/>
  <c r="BO1098" i="1" l="1"/>
  <c r="BP1097" i="1"/>
  <c r="BO1099" i="1" l="1"/>
  <c r="BP1098" i="1"/>
  <c r="BO1100" i="1" l="1"/>
  <c r="BP1099" i="1"/>
  <c r="BO1101" i="1" l="1"/>
  <c r="BP1100" i="1"/>
  <c r="BO1102" i="1" l="1"/>
  <c r="BP1101" i="1"/>
  <c r="BO1103" i="1" l="1"/>
  <c r="BP1102" i="1"/>
  <c r="BO1104" i="1" l="1"/>
  <c r="BP1103" i="1"/>
  <c r="BO1105" i="1" l="1"/>
  <c r="BP1104" i="1"/>
  <c r="BO1106" i="1" l="1"/>
  <c r="BP1105" i="1"/>
  <c r="BO1107" i="1" l="1"/>
  <c r="BP1106" i="1"/>
  <c r="BO1108" i="1" l="1"/>
  <c r="BP1107" i="1"/>
  <c r="BO1109" i="1" l="1"/>
  <c r="BP1108" i="1"/>
  <c r="BO1110" i="1" l="1"/>
  <c r="BP1109" i="1"/>
  <c r="BO1111" i="1" l="1"/>
  <c r="BP1110" i="1"/>
  <c r="BO1112" i="1" l="1"/>
  <c r="BP1111" i="1"/>
  <c r="BO1113" i="1" l="1"/>
  <c r="BP1112" i="1"/>
  <c r="BO1114" i="1" l="1"/>
  <c r="BP1113" i="1"/>
  <c r="BO1115" i="1" l="1"/>
  <c r="BP1114" i="1"/>
  <c r="BO1116" i="1" l="1"/>
  <c r="BP1115" i="1"/>
  <c r="BO1117" i="1" l="1"/>
  <c r="BP1116" i="1"/>
  <c r="BO1118" i="1" l="1"/>
  <c r="BP1117" i="1"/>
  <c r="BO1119" i="1" l="1"/>
  <c r="BP1118" i="1"/>
  <c r="BO1120" i="1" l="1"/>
  <c r="BP1119" i="1"/>
  <c r="BO1121" i="1" l="1"/>
  <c r="BP1120" i="1"/>
  <c r="BO1122" i="1" l="1"/>
  <c r="BP1121" i="1"/>
  <c r="BO1123" i="1" l="1"/>
  <c r="BP1122" i="1"/>
  <c r="BO1124" i="1" l="1"/>
  <c r="BP1123" i="1"/>
  <c r="BO1125" i="1" l="1"/>
  <c r="BP1124" i="1"/>
  <c r="BO1126" i="1" l="1"/>
  <c r="BP1125" i="1"/>
  <c r="BO1127" i="1" l="1"/>
  <c r="BP1126" i="1"/>
  <c r="BO1128" i="1" l="1"/>
  <c r="BP1127" i="1"/>
  <c r="BO1129" i="1" l="1"/>
  <c r="BP1128" i="1"/>
  <c r="BO1130" i="1" l="1"/>
  <c r="BP1129" i="1"/>
  <c r="BO1131" i="1" l="1"/>
  <c r="BP1130" i="1"/>
  <c r="BO1132" i="1" l="1"/>
  <c r="BP1131" i="1"/>
  <c r="BO1133" i="1" l="1"/>
  <c r="BP1132" i="1"/>
  <c r="BO1134" i="1" l="1"/>
  <c r="BP1133" i="1"/>
  <c r="BO1135" i="1" l="1"/>
  <c r="BP1134" i="1"/>
  <c r="BO1136" i="1" l="1"/>
  <c r="BP1135" i="1"/>
  <c r="BO1137" i="1" l="1"/>
  <c r="BP1136" i="1"/>
  <c r="BO1138" i="1" l="1"/>
  <c r="BP1137" i="1"/>
  <c r="BO1139" i="1" l="1"/>
  <c r="BP1138" i="1"/>
  <c r="BO1140" i="1" l="1"/>
  <c r="BP1139" i="1"/>
  <c r="BO1141" i="1" l="1"/>
  <c r="BP1140" i="1"/>
  <c r="BO1142" i="1" l="1"/>
  <c r="BP1141" i="1"/>
  <c r="BO1143" i="1" l="1"/>
  <c r="BP1142" i="1"/>
  <c r="BO1144" i="1" l="1"/>
  <c r="BP1143" i="1"/>
  <c r="BO1145" i="1" l="1"/>
  <c r="BP1144" i="1"/>
  <c r="BO1146" i="1" l="1"/>
  <c r="BP1145" i="1"/>
  <c r="BO1147" i="1" l="1"/>
  <c r="BP1146" i="1"/>
  <c r="BO1148" i="1" l="1"/>
  <c r="BP1147" i="1"/>
  <c r="BO1149" i="1" l="1"/>
  <c r="BP1148" i="1"/>
  <c r="BO1150" i="1" l="1"/>
  <c r="BP1149" i="1"/>
  <c r="BO1151" i="1" l="1"/>
  <c r="BP1150" i="1"/>
  <c r="BO1152" i="1" l="1"/>
  <c r="BP1151" i="1"/>
  <c r="BO1153" i="1" l="1"/>
  <c r="BP1152" i="1"/>
  <c r="BO1154" i="1" l="1"/>
  <c r="BP1153" i="1"/>
  <c r="BO1155" i="1" l="1"/>
  <c r="BP1154" i="1"/>
  <c r="BO1156" i="1" l="1"/>
  <c r="BP1155" i="1"/>
  <c r="BO1157" i="1" l="1"/>
  <c r="BP1156" i="1"/>
  <c r="BO1158" i="1" l="1"/>
  <c r="BP1157" i="1"/>
  <c r="BO1159" i="1" l="1"/>
  <c r="BP1158" i="1"/>
  <c r="BO1160" i="1" l="1"/>
  <c r="BP1159" i="1"/>
  <c r="BO1161" i="1" l="1"/>
  <c r="BP1160" i="1"/>
  <c r="BO1162" i="1" l="1"/>
  <c r="BP1161" i="1"/>
  <c r="BO1163" i="1" l="1"/>
  <c r="BP1162" i="1"/>
  <c r="BO1164" i="1" l="1"/>
  <c r="BP1163" i="1"/>
  <c r="BO1165" i="1" l="1"/>
  <c r="BP1164" i="1"/>
  <c r="BO1166" i="1" l="1"/>
  <c r="BP1165" i="1"/>
  <c r="BO1167" i="1" l="1"/>
  <c r="BP1166" i="1"/>
  <c r="BO1168" i="1" l="1"/>
  <c r="BP1167" i="1"/>
  <c r="BO1169" i="1" l="1"/>
  <c r="BP1168" i="1"/>
  <c r="BO1170" i="1" l="1"/>
  <c r="BP1169" i="1"/>
  <c r="BO1171" i="1" l="1"/>
  <c r="BP1170" i="1"/>
  <c r="BO1172" i="1" l="1"/>
  <c r="BP1171" i="1"/>
  <c r="BO1173" i="1" l="1"/>
  <c r="BP1172" i="1"/>
  <c r="BO1174" i="1" l="1"/>
  <c r="BP1173" i="1"/>
  <c r="BO1175" i="1" l="1"/>
  <c r="BP1174" i="1"/>
  <c r="BO1176" i="1" l="1"/>
  <c r="BP1175" i="1"/>
  <c r="BO1177" i="1" l="1"/>
  <c r="BP1176" i="1"/>
  <c r="BO1178" i="1" l="1"/>
  <c r="BP1177" i="1"/>
  <c r="BO1179" i="1" l="1"/>
  <c r="BP1178" i="1"/>
  <c r="BO1180" i="1" l="1"/>
  <c r="BP1179" i="1"/>
  <c r="BO1181" i="1" l="1"/>
  <c r="BP1180" i="1"/>
  <c r="BO1182" i="1" l="1"/>
  <c r="BP1181" i="1"/>
  <c r="BO1183" i="1" l="1"/>
  <c r="BP1182" i="1"/>
  <c r="BO1184" i="1" l="1"/>
  <c r="BP1183" i="1"/>
  <c r="BO1185" i="1" l="1"/>
  <c r="BP1184" i="1"/>
  <c r="BO1186" i="1" l="1"/>
  <c r="BP1185" i="1"/>
  <c r="BO1187" i="1" l="1"/>
  <c r="BP1186" i="1"/>
  <c r="BO1188" i="1" l="1"/>
  <c r="BP1187" i="1"/>
  <c r="BO1189" i="1" l="1"/>
  <c r="BP1188" i="1"/>
  <c r="BO1190" i="1" l="1"/>
  <c r="BP1189" i="1"/>
  <c r="BO1191" i="1" l="1"/>
  <c r="BP1190" i="1"/>
  <c r="BO1192" i="1" l="1"/>
  <c r="BP1191" i="1"/>
  <c r="BO1193" i="1" l="1"/>
  <c r="BP1192" i="1"/>
  <c r="BO1194" i="1" l="1"/>
  <c r="BP1193" i="1"/>
  <c r="BO1195" i="1" l="1"/>
  <c r="BP1194" i="1"/>
  <c r="BO1196" i="1" l="1"/>
  <c r="BP1195" i="1"/>
  <c r="BO1197" i="1" l="1"/>
  <c r="BP1196" i="1"/>
  <c r="BO1198" i="1" l="1"/>
  <c r="BP1197" i="1"/>
  <c r="BO1199" i="1" l="1"/>
  <c r="BP1198" i="1"/>
  <c r="BO1200" i="1" l="1"/>
  <c r="BP1199" i="1"/>
  <c r="BO1201" i="1" l="1"/>
  <c r="BP1200" i="1"/>
  <c r="BO1202" i="1" l="1"/>
  <c r="BP1201" i="1"/>
  <c r="BO1203" i="1" l="1"/>
  <c r="BP1202" i="1"/>
  <c r="BO1204" i="1" l="1"/>
  <c r="BP1203" i="1"/>
  <c r="BO1205" i="1" l="1"/>
  <c r="BP1204" i="1"/>
  <c r="BO1206" i="1" l="1"/>
  <c r="BP1205" i="1"/>
  <c r="BO1207" i="1" l="1"/>
  <c r="BP1206" i="1"/>
  <c r="BO1208" i="1" l="1"/>
  <c r="BP1207" i="1"/>
  <c r="BO1209" i="1" l="1"/>
  <c r="BP1208" i="1"/>
  <c r="BO1210" i="1" l="1"/>
  <c r="BP1209" i="1"/>
  <c r="BO1211" i="1" l="1"/>
  <c r="BP1210" i="1"/>
  <c r="BO1212" i="1" l="1"/>
  <c r="BP1211" i="1"/>
  <c r="BO1213" i="1" l="1"/>
  <c r="BP1212" i="1"/>
  <c r="BO1214" i="1" l="1"/>
  <c r="BP1213" i="1"/>
  <c r="BO1215" i="1" l="1"/>
  <c r="BP1214" i="1"/>
  <c r="BO1216" i="1" l="1"/>
  <c r="BP1215" i="1"/>
  <c r="BO1217" i="1" l="1"/>
  <c r="BP1216" i="1"/>
  <c r="BO1218" i="1" l="1"/>
  <c r="BP1217" i="1"/>
  <c r="BO1219" i="1" l="1"/>
  <c r="BP1218" i="1"/>
  <c r="BO1220" i="1" l="1"/>
  <c r="BP1219" i="1"/>
  <c r="BO1221" i="1" l="1"/>
  <c r="BP1220" i="1"/>
  <c r="BO1222" i="1" l="1"/>
  <c r="BP1221" i="1"/>
  <c r="BO1223" i="1" l="1"/>
  <c r="BP1222" i="1"/>
  <c r="BO1224" i="1" l="1"/>
  <c r="BP1223" i="1"/>
  <c r="BO1225" i="1" l="1"/>
  <c r="BP1224" i="1"/>
  <c r="BO1226" i="1" l="1"/>
  <c r="BP1225" i="1"/>
  <c r="BO1227" i="1" l="1"/>
  <c r="BP1226" i="1"/>
  <c r="BO1228" i="1" l="1"/>
  <c r="BP1227" i="1"/>
  <c r="BO1229" i="1" l="1"/>
  <c r="BP1228" i="1"/>
  <c r="BO1230" i="1" l="1"/>
  <c r="BP1229" i="1"/>
  <c r="BO1231" i="1" l="1"/>
  <c r="BP1230" i="1"/>
  <c r="BO1232" i="1" l="1"/>
  <c r="BP1231" i="1"/>
  <c r="BO1233" i="1" l="1"/>
  <c r="BP1232" i="1"/>
  <c r="BO1234" i="1" l="1"/>
  <c r="BP1233" i="1"/>
  <c r="BO1235" i="1" l="1"/>
  <c r="BP1234" i="1"/>
  <c r="BO1236" i="1" l="1"/>
  <c r="BP1235" i="1"/>
  <c r="BO1237" i="1" l="1"/>
  <c r="BP1236" i="1"/>
  <c r="BO1238" i="1" l="1"/>
  <c r="BP1237" i="1"/>
  <c r="BO1239" i="1" l="1"/>
  <c r="BP1238" i="1"/>
  <c r="BO1240" i="1" l="1"/>
  <c r="BP1239" i="1"/>
  <c r="BO1241" i="1" l="1"/>
  <c r="BP1240" i="1"/>
  <c r="BO1242" i="1" l="1"/>
  <c r="BP1241" i="1"/>
  <c r="BO1243" i="1" l="1"/>
  <c r="BP1242" i="1"/>
  <c r="BO1244" i="1" l="1"/>
  <c r="BP1243" i="1"/>
  <c r="BO1245" i="1" l="1"/>
  <c r="BP1244" i="1"/>
  <c r="BO1246" i="1" l="1"/>
  <c r="BP1245" i="1"/>
  <c r="BO1247" i="1" l="1"/>
  <c r="BP1246" i="1"/>
  <c r="BO1248" i="1" l="1"/>
  <c r="BP1247" i="1"/>
  <c r="BO1249" i="1" l="1"/>
  <c r="BP1248" i="1"/>
  <c r="BO1250" i="1" l="1"/>
  <c r="BP1249" i="1"/>
  <c r="BO1251" i="1" l="1"/>
  <c r="BP1250" i="1"/>
  <c r="BO1252" i="1" l="1"/>
  <c r="BP1251" i="1"/>
  <c r="BO1253" i="1" l="1"/>
  <c r="BP1252" i="1"/>
  <c r="BO1254" i="1" l="1"/>
  <c r="BP1253" i="1"/>
  <c r="BO1255" i="1" l="1"/>
  <c r="BP1254" i="1"/>
  <c r="BO1256" i="1" l="1"/>
  <c r="BP1255" i="1"/>
  <c r="BO1257" i="1" l="1"/>
  <c r="BP1256" i="1"/>
  <c r="BO1258" i="1" l="1"/>
  <c r="BP1257" i="1"/>
  <c r="BO1259" i="1" l="1"/>
  <c r="BP1258" i="1"/>
  <c r="BO1260" i="1" l="1"/>
  <c r="BP1259" i="1"/>
  <c r="BO1261" i="1" l="1"/>
  <c r="BP1260" i="1"/>
  <c r="BO1262" i="1" l="1"/>
  <c r="BP1261" i="1"/>
  <c r="BO1263" i="1" l="1"/>
  <c r="BP1262" i="1"/>
  <c r="BO1264" i="1" l="1"/>
  <c r="BP1263" i="1"/>
  <c r="BO1265" i="1" l="1"/>
  <c r="BP1264" i="1"/>
  <c r="BO1266" i="1" l="1"/>
  <c r="BP1265" i="1"/>
  <c r="BO1267" i="1" l="1"/>
  <c r="BP1266" i="1"/>
  <c r="BO1268" i="1" l="1"/>
  <c r="BP1267" i="1"/>
  <c r="BO1269" i="1" l="1"/>
  <c r="BP1268" i="1"/>
  <c r="BO1270" i="1" l="1"/>
  <c r="BP1269" i="1"/>
  <c r="BO1271" i="1" l="1"/>
  <c r="BP1270" i="1"/>
  <c r="BO1272" i="1" l="1"/>
  <c r="BP1271" i="1"/>
  <c r="BO1273" i="1" l="1"/>
  <c r="BP1272" i="1"/>
  <c r="BO1274" i="1" l="1"/>
  <c r="BP1273" i="1"/>
  <c r="BO1275" i="1" l="1"/>
  <c r="BP1274" i="1"/>
  <c r="BO1276" i="1" l="1"/>
  <c r="BP1275" i="1"/>
  <c r="BO1277" i="1" l="1"/>
  <c r="BP1276" i="1"/>
  <c r="BO1278" i="1" l="1"/>
  <c r="BP1277" i="1"/>
  <c r="BO1279" i="1" l="1"/>
  <c r="BP1278" i="1"/>
  <c r="BO1280" i="1" l="1"/>
  <c r="BP1279" i="1"/>
  <c r="BO1281" i="1" l="1"/>
  <c r="BP1280" i="1"/>
  <c r="BO1282" i="1" l="1"/>
  <c r="BP1281" i="1"/>
  <c r="BO1283" i="1" l="1"/>
  <c r="BP1282" i="1"/>
  <c r="BO1284" i="1" l="1"/>
  <c r="BP1283" i="1"/>
  <c r="BO1285" i="1" l="1"/>
  <c r="BP1284" i="1"/>
  <c r="BO1286" i="1" l="1"/>
  <c r="BP1285" i="1"/>
  <c r="BO1287" i="1" l="1"/>
  <c r="BP1286" i="1"/>
  <c r="BO1288" i="1" l="1"/>
  <c r="BP1287" i="1"/>
  <c r="BO1289" i="1" l="1"/>
  <c r="BP1288" i="1"/>
  <c r="BO1290" i="1" l="1"/>
  <c r="BP1289" i="1"/>
  <c r="BO1291" i="1" l="1"/>
  <c r="BP1290" i="1"/>
  <c r="BO1292" i="1" l="1"/>
  <c r="BP1291" i="1"/>
  <c r="BO1293" i="1" l="1"/>
  <c r="BP1292" i="1"/>
  <c r="BO1294" i="1" l="1"/>
  <c r="BP1293" i="1"/>
  <c r="BO1295" i="1" l="1"/>
  <c r="BP1294" i="1"/>
  <c r="BO1296" i="1" l="1"/>
  <c r="BP1295" i="1"/>
  <c r="BO1297" i="1" l="1"/>
  <c r="BP1296" i="1"/>
  <c r="BO1298" i="1" l="1"/>
  <c r="BP1297" i="1"/>
  <c r="BO1299" i="1" l="1"/>
  <c r="BP1298" i="1"/>
  <c r="BO1300" i="1" l="1"/>
  <c r="BP1299" i="1"/>
  <c r="BO1301" i="1" l="1"/>
  <c r="BP1300" i="1"/>
  <c r="BO1302" i="1" l="1"/>
  <c r="BP1301" i="1"/>
  <c r="BO1303" i="1" l="1"/>
  <c r="BP1302" i="1"/>
  <c r="BO1304" i="1" l="1"/>
  <c r="BP1303" i="1"/>
  <c r="BO1305" i="1" l="1"/>
  <c r="BP1304" i="1"/>
  <c r="BO1306" i="1" l="1"/>
  <c r="BP1305" i="1"/>
  <c r="BO1307" i="1" l="1"/>
  <c r="BP1306" i="1"/>
  <c r="BO1308" i="1" l="1"/>
  <c r="BP1307" i="1"/>
  <c r="BO1309" i="1" l="1"/>
  <c r="BP1308" i="1"/>
  <c r="BO1310" i="1" l="1"/>
  <c r="BP1309" i="1"/>
  <c r="BO1311" i="1" l="1"/>
  <c r="BP1310" i="1"/>
  <c r="BO1312" i="1" l="1"/>
  <c r="BP1311" i="1"/>
  <c r="BO1313" i="1" l="1"/>
  <c r="BP1312" i="1"/>
  <c r="BO1314" i="1" l="1"/>
  <c r="BP1313" i="1"/>
  <c r="BO1315" i="1" l="1"/>
  <c r="BP1314" i="1"/>
  <c r="BO1316" i="1" l="1"/>
  <c r="BP1315" i="1"/>
  <c r="BO1317" i="1" l="1"/>
  <c r="BP1316" i="1"/>
  <c r="BO1318" i="1" l="1"/>
  <c r="BP1317" i="1"/>
  <c r="BO1319" i="1" l="1"/>
  <c r="BP1318" i="1"/>
  <c r="BO1320" i="1" l="1"/>
  <c r="BP1319" i="1"/>
  <c r="BO1321" i="1" l="1"/>
  <c r="BP1320" i="1"/>
  <c r="BO1322" i="1" l="1"/>
  <c r="BP1321" i="1"/>
  <c r="BO1323" i="1" l="1"/>
  <c r="BP1322" i="1"/>
  <c r="BO1324" i="1" l="1"/>
  <c r="BP1323" i="1"/>
  <c r="BO1325" i="1" l="1"/>
  <c r="BP1324" i="1"/>
  <c r="BO1326" i="1" l="1"/>
  <c r="BP1325" i="1"/>
  <c r="BO1327" i="1" l="1"/>
  <c r="BP1326" i="1"/>
  <c r="BO1328" i="1" l="1"/>
  <c r="BP1327" i="1"/>
  <c r="BO1329" i="1" l="1"/>
  <c r="BP1328" i="1"/>
  <c r="BO1330" i="1" l="1"/>
  <c r="BP1329" i="1"/>
  <c r="BO1331" i="1" l="1"/>
  <c r="BP1330" i="1"/>
  <c r="BO1332" i="1" l="1"/>
  <c r="BP1331" i="1"/>
  <c r="BO1333" i="1" l="1"/>
  <c r="BP1332" i="1"/>
  <c r="BO1334" i="1" l="1"/>
  <c r="BP1333" i="1"/>
  <c r="BO1335" i="1" l="1"/>
  <c r="BP1334" i="1"/>
  <c r="BO1336" i="1" l="1"/>
  <c r="BP1335" i="1"/>
  <c r="BO1337" i="1" l="1"/>
  <c r="BP1336" i="1"/>
  <c r="BO1338" i="1" l="1"/>
  <c r="BP1337" i="1"/>
  <c r="BO1339" i="1" l="1"/>
  <c r="BP1338" i="1"/>
  <c r="BO1340" i="1" l="1"/>
  <c r="BP1339" i="1"/>
  <c r="BO1341" i="1" l="1"/>
  <c r="BP1340" i="1"/>
  <c r="BO1342" i="1" l="1"/>
  <c r="BP1341" i="1"/>
  <c r="BO1343" i="1" l="1"/>
  <c r="BP1342" i="1"/>
  <c r="BO1344" i="1" l="1"/>
  <c r="BP1343" i="1"/>
  <c r="BO1345" i="1" l="1"/>
  <c r="BP1344" i="1"/>
  <c r="BO1346" i="1" l="1"/>
  <c r="BP1345" i="1"/>
  <c r="BO1347" i="1" l="1"/>
  <c r="BP1346" i="1"/>
  <c r="BO1348" i="1" l="1"/>
  <c r="BP1347" i="1"/>
  <c r="BO1349" i="1" l="1"/>
  <c r="BP1348" i="1"/>
  <c r="BO1350" i="1" l="1"/>
  <c r="BP1349" i="1"/>
  <c r="BO1351" i="1" l="1"/>
  <c r="BP1350" i="1"/>
  <c r="BO1352" i="1" l="1"/>
  <c r="BP1351" i="1"/>
  <c r="BO1353" i="1" l="1"/>
  <c r="BP1352" i="1"/>
  <c r="BO1354" i="1" l="1"/>
  <c r="BP1353" i="1"/>
  <c r="BO1355" i="1" l="1"/>
  <c r="BP1354" i="1"/>
  <c r="BO1356" i="1" l="1"/>
  <c r="BP1355" i="1"/>
  <c r="BO1357" i="1" l="1"/>
  <c r="BP1356" i="1"/>
  <c r="BO1358" i="1" l="1"/>
  <c r="BP1357" i="1"/>
  <c r="BO1359" i="1" l="1"/>
  <c r="BP1358" i="1"/>
  <c r="BO1360" i="1" l="1"/>
  <c r="BP1359" i="1"/>
  <c r="BO1361" i="1" l="1"/>
  <c r="BP1360" i="1"/>
  <c r="BO1362" i="1" l="1"/>
  <c r="BP1361" i="1"/>
  <c r="BO1363" i="1" l="1"/>
  <c r="BP1362" i="1"/>
  <c r="BO1364" i="1" l="1"/>
  <c r="BP1363" i="1"/>
  <c r="BO1365" i="1" l="1"/>
  <c r="BP1364" i="1"/>
  <c r="BO1366" i="1" l="1"/>
  <c r="BP1365" i="1"/>
  <c r="BO1367" i="1" l="1"/>
  <c r="BP1366" i="1"/>
  <c r="BO1368" i="1" l="1"/>
  <c r="BP1367" i="1"/>
  <c r="BO1369" i="1" l="1"/>
  <c r="BP1368" i="1"/>
  <c r="BO1370" i="1" l="1"/>
  <c r="BP1369" i="1"/>
  <c r="BO1371" i="1" l="1"/>
  <c r="BP1370" i="1"/>
  <c r="BO1372" i="1" l="1"/>
  <c r="BP1371" i="1"/>
  <c r="BO1373" i="1" l="1"/>
  <c r="BP1372" i="1"/>
  <c r="BO1374" i="1" l="1"/>
  <c r="BP1373" i="1"/>
  <c r="BO1375" i="1" l="1"/>
  <c r="BP1374" i="1"/>
  <c r="BO1376" i="1" l="1"/>
  <c r="BP1375" i="1"/>
  <c r="BO1377" i="1" l="1"/>
  <c r="BP1376" i="1"/>
  <c r="BO1378" i="1" l="1"/>
  <c r="BP1377" i="1"/>
  <c r="BO1379" i="1" l="1"/>
  <c r="BP1378" i="1"/>
  <c r="BO1380" i="1" l="1"/>
  <c r="BP1379" i="1"/>
  <c r="BO1381" i="1" l="1"/>
  <c r="BP1380" i="1"/>
  <c r="BO1382" i="1" l="1"/>
  <c r="BP1381" i="1"/>
  <c r="BO1383" i="1" l="1"/>
  <c r="BP1382" i="1"/>
  <c r="BO1384" i="1" l="1"/>
  <c r="BP1383" i="1"/>
  <c r="BO1385" i="1" l="1"/>
  <c r="BP1384" i="1"/>
  <c r="BO1386" i="1" l="1"/>
  <c r="BP1385" i="1"/>
  <c r="BO1387" i="1" l="1"/>
  <c r="BP1386" i="1"/>
  <c r="BO1388" i="1" l="1"/>
  <c r="BP1387" i="1"/>
  <c r="BO1389" i="1" l="1"/>
  <c r="BP1388" i="1"/>
  <c r="BO1390" i="1" l="1"/>
  <c r="BP1389" i="1"/>
  <c r="BO1391" i="1" l="1"/>
  <c r="BP1390" i="1"/>
  <c r="BO1392" i="1" l="1"/>
  <c r="BP1391" i="1"/>
  <c r="BO1393" i="1" l="1"/>
  <c r="BP1392" i="1"/>
  <c r="BO1394" i="1" l="1"/>
  <c r="BP1393" i="1"/>
  <c r="BO1395" i="1" l="1"/>
  <c r="BP1394" i="1"/>
  <c r="BO1396" i="1" l="1"/>
  <c r="BP1395" i="1"/>
  <c r="BO1397" i="1" l="1"/>
  <c r="BP1396" i="1"/>
  <c r="BO1398" i="1" l="1"/>
  <c r="BP1397" i="1"/>
  <c r="BO1399" i="1" l="1"/>
  <c r="BP1398" i="1"/>
  <c r="BO1400" i="1" l="1"/>
  <c r="BP1399" i="1"/>
  <c r="BO1401" i="1" l="1"/>
  <c r="BP1400" i="1"/>
  <c r="BO1402" i="1" l="1"/>
  <c r="BP1401" i="1"/>
  <c r="BO1403" i="1" l="1"/>
  <c r="BP1402" i="1"/>
  <c r="BO1404" i="1" l="1"/>
  <c r="BP1403" i="1"/>
  <c r="BO1405" i="1" l="1"/>
  <c r="BP1404" i="1"/>
  <c r="BO1406" i="1" l="1"/>
  <c r="BP1405" i="1"/>
  <c r="BO1407" i="1" l="1"/>
  <c r="BP1406" i="1"/>
  <c r="BO1408" i="1" l="1"/>
  <c r="BP1407" i="1"/>
  <c r="BO1409" i="1" l="1"/>
  <c r="BP1408" i="1"/>
  <c r="BO1410" i="1" l="1"/>
  <c r="BP1409" i="1"/>
  <c r="BO1411" i="1" l="1"/>
  <c r="BP1410" i="1"/>
  <c r="BO1412" i="1" l="1"/>
  <c r="BP1411" i="1"/>
  <c r="BO1413" i="1" l="1"/>
  <c r="BP1412" i="1"/>
  <c r="BO1414" i="1" l="1"/>
  <c r="BP1413" i="1"/>
  <c r="BO1415" i="1" l="1"/>
  <c r="BP1414" i="1"/>
  <c r="BO1416" i="1" l="1"/>
  <c r="BP1415" i="1"/>
  <c r="BO1417" i="1" l="1"/>
  <c r="BP1416" i="1"/>
  <c r="BO1418" i="1" l="1"/>
  <c r="BP1417" i="1"/>
  <c r="BO1419" i="1" l="1"/>
  <c r="BP1418" i="1"/>
  <c r="BO1420" i="1" l="1"/>
  <c r="BP1419" i="1"/>
  <c r="BO1421" i="1" l="1"/>
  <c r="BP1420" i="1"/>
  <c r="BO1422" i="1" l="1"/>
  <c r="BP1421" i="1"/>
  <c r="BO1423" i="1" l="1"/>
  <c r="BP1422" i="1"/>
  <c r="BO1424" i="1" l="1"/>
  <c r="BP1423" i="1"/>
  <c r="BO1425" i="1" l="1"/>
  <c r="BP1424" i="1"/>
  <c r="BO1426" i="1" l="1"/>
  <c r="BP1425" i="1"/>
  <c r="BO1427" i="1" l="1"/>
  <c r="BP1426" i="1"/>
  <c r="BO1428" i="1" l="1"/>
  <c r="BP1427" i="1"/>
  <c r="BO1429" i="1" l="1"/>
  <c r="BP1428" i="1"/>
  <c r="BO1430" i="1" l="1"/>
  <c r="BP1429" i="1"/>
  <c r="BO1431" i="1" l="1"/>
  <c r="BP1430" i="1"/>
  <c r="BO1432" i="1" l="1"/>
  <c r="BP1431" i="1"/>
  <c r="BO1433" i="1" l="1"/>
  <c r="BP1432" i="1"/>
  <c r="BO1434" i="1" l="1"/>
  <c r="BP1433" i="1"/>
  <c r="BO1435" i="1" l="1"/>
  <c r="BP1434" i="1"/>
  <c r="BO1436" i="1" l="1"/>
  <c r="BP1435" i="1"/>
  <c r="BO1437" i="1" l="1"/>
  <c r="BP1436" i="1"/>
  <c r="BO1438" i="1" l="1"/>
  <c r="BP1437" i="1"/>
  <c r="BO1439" i="1" l="1"/>
  <c r="BP1438" i="1"/>
  <c r="BO1440" i="1" l="1"/>
  <c r="BP1439" i="1"/>
  <c r="BO1441" i="1" l="1"/>
  <c r="BP1440" i="1"/>
  <c r="BO1442" i="1" l="1"/>
  <c r="BP1441" i="1"/>
  <c r="BO1443" i="1" l="1"/>
  <c r="BP1442" i="1"/>
  <c r="BO1444" i="1" l="1"/>
  <c r="BP1443" i="1"/>
  <c r="BO1445" i="1" l="1"/>
  <c r="BP1444" i="1"/>
  <c r="BO1446" i="1" l="1"/>
  <c r="BP1445" i="1"/>
  <c r="BO1447" i="1" l="1"/>
  <c r="BP1446" i="1"/>
  <c r="BO1448" i="1" l="1"/>
  <c r="BP1447" i="1"/>
  <c r="BO1449" i="1" l="1"/>
  <c r="BP1448" i="1"/>
  <c r="BO1450" i="1" l="1"/>
  <c r="BP1449" i="1"/>
  <c r="BO1451" i="1" l="1"/>
  <c r="BP1450" i="1"/>
  <c r="BO1452" i="1" l="1"/>
  <c r="BP1451" i="1"/>
  <c r="BO1453" i="1" l="1"/>
  <c r="BP1452" i="1"/>
  <c r="BO1454" i="1" l="1"/>
  <c r="BP1453" i="1"/>
  <c r="BO1455" i="1" l="1"/>
  <c r="BP1454" i="1"/>
  <c r="BO1456" i="1" l="1"/>
  <c r="BP1455" i="1"/>
  <c r="BO1457" i="1" l="1"/>
  <c r="BP1456" i="1"/>
  <c r="BO1458" i="1" l="1"/>
  <c r="BP1457" i="1"/>
  <c r="BO1459" i="1" l="1"/>
  <c r="BP1458" i="1"/>
  <c r="BO1460" i="1" l="1"/>
  <c r="BP1459" i="1"/>
  <c r="BO1461" i="1" l="1"/>
  <c r="BP1460" i="1"/>
  <c r="BO1462" i="1" l="1"/>
  <c r="BP1461" i="1"/>
  <c r="BO1463" i="1" l="1"/>
  <c r="BP1462" i="1"/>
  <c r="BO1464" i="1" l="1"/>
  <c r="BP1463" i="1"/>
  <c r="BO1465" i="1" l="1"/>
  <c r="BP1464" i="1"/>
  <c r="BO1466" i="1" l="1"/>
  <c r="BP1465" i="1"/>
  <c r="BO1467" i="1" l="1"/>
  <c r="BP1466" i="1"/>
  <c r="BO1468" i="1" l="1"/>
  <c r="BP1467" i="1"/>
  <c r="BO1469" i="1" l="1"/>
  <c r="BO1470" i="1" s="1"/>
  <c r="BP1468" i="1"/>
  <c r="CA9" i="1" l="1"/>
  <c r="BZ9" i="1"/>
  <c r="BP1469" i="1"/>
  <c r="BP1470" i="1" l="1"/>
  <c r="BQ2" i="1" s="1"/>
  <c r="AH9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<sst xmlns="http://schemas.openxmlformats.org/spreadsheetml/2006/main" count="138" uniqueCount="104">
  <si>
    <t>date</t>
  </si>
  <si>
    <t>NESN</t>
  </si>
  <si>
    <t>SREN</t>
  </si>
  <si>
    <t>NOVN</t>
  </si>
  <si>
    <t>SMI</t>
  </si>
  <si>
    <t>R_NESN</t>
  </si>
  <si>
    <t>R_SREN</t>
  </si>
  <si>
    <t>R_NOVN</t>
  </si>
  <si>
    <t>V_NESN</t>
  </si>
  <si>
    <t>V_SREN</t>
  </si>
  <si>
    <t>V_NOVN</t>
  </si>
  <si>
    <t>Daily Portfolio Returns</t>
  </si>
  <si>
    <t>Daily Portfolio Value</t>
  </si>
  <si>
    <t>Daily Portfolio Profit</t>
  </si>
  <si>
    <t>AN VaR Violation</t>
  </si>
  <si>
    <t>Question 7</t>
  </si>
  <si>
    <t>SMI square returns</t>
  </si>
  <si>
    <t>SMI EWMA (variance squared)</t>
  </si>
  <si>
    <t>SMI Lamda</t>
  </si>
  <si>
    <t>SMI GARCH variance squared</t>
  </si>
  <si>
    <t>Log likelihood</t>
  </si>
  <si>
    <t>Total log likelihood</t>
  </si>
  <si>
    <t>omega</t>
  </si>
  <si>
    <t>alpha</t>
  </si>
  <si>
    <t>beta</t>
  </si>
  <si>
    <t>Question 8</t>
  </si>
  <si>
    <t>Portfolio Beta</t>
  </si>
  <si>
    <t>Beta weighted portoflio exposure</t>
  </si>
  <si>
    <t>Part 1:</t>
  </si>
  <si>
    <t>Portfolio</t>
  </si>
  <si>
    <t>Stock</t>
  </si>
  <si>
    <t>Position</t>
  </si>
  <si>
    <t>Shares</t>
  </si>
  <si>
    <t>Price (21/11/22)</t>
  </si>
  <si>
    <t>Value</t>
  </si>
  <si>
    <t>Weight</t>
  </si>
  <si>
    <t>Part 2:</t>
  </si>
  <si>
    <t>Question 6</t>
  </si>
  <si>
    <t>Short</t>
  </si>
  <si>
    <t xml:space="preserve">Stock Covairance </t>
  </si>
  <si>
    <t>Stock beta</t>
  </si>
  <si>
    <t>SMI Variance</t>
  </si>
  <si>
    <t>Long</t>
  </si>
  <si>
    <r>
      <t>VaR</t>
    </r>
    <r>
      <rPr>
        <sz val="10"/>
        <rFont val="Arial"/>
        <family val="2"/>
      </rPr>
      <t>Sharpe​=α⋅β(pie)⋅σ(m)​⋅W</t>
    </r>
  </si>
  <si>
    <t xml:space="preserve">Sharpe Diagonal VaR(99%;1) </t>
  </si>
  <si>
    <t xml:space="preserve">Sharpe Diagonal VaR(95%;1) </t>
  </si>
  <si>
    <t>Total</t>
  </si>
  <si>
    <t>RiskMetrics model</t>
  </si>
  <si>
    <t>GARCH(1,1)</t>
  </si>
  <si>
    <t>sigma = standard deviation of daily returns = volatility</t>
  </si>
  <si>
    <t>125 days</t>
  </si>
  <si>
    <t>250 days</t>
  </si>
  <si>
    <t>sigma_NESN</t>
  </si>
  <si>
    <t>sigma_SREN</t>
  </si>
  <si>
    <t>sigma_NOVN</t>
  </si>
  <si>
    <t>sigma_Portfolio</t>
  </si>
  <si>
    <t>VaR(99%,1), 125</t>
  </si>
  <si>
    <t>VaR(99%,1), 250</t>
  </si>
  <si>
    <t>VaR_NESN</t>
  </si>
  <si>
    <t>VaR_SREN</t>
  </si>
  <si>
    <t>VaR_NOVN</t>
  </si>
  <si>
    <t>UVaR</t>
  </si>
  <si>
    <t>alpha​</t>
  </si>
  <si>
    <t>99% confidence level</t>
  </si>
  <si>
    <t>Correlation Matrix</t>
  </si>
  <si>
    <t>Covariance Matrix</t>
  </si>
  <si>
    <t>Var(99%,1)_Portfolio, AN (asset normal)</t>
  </si>
  <si>
    <t>Diversification Benefit</t>
  </si>
  <si>
    <t>see at line 907</t>
  </si>
  <si>
    <t xml:space="preserve"> </t>
  </si>
  <si>
    <t>Betas</t>
  </si>
  <si>
    <t>Marginal Var (DeltaVaR)</t>
  </si>
  <si>
    <t>Component VaR</t>
  </si>
  <si>
    <t>Relative Component Var</t>
  </si>
  <si>
    <t>New Assets</t>
  </si>
  <si>
    <t>IVaR</t>
  </si>
  <si>
    <t>Predicted VaR with I VAR</t>
  </si>
  <si>
    <t>VaR predicted by model</t>
  </si>
  <si>
    <t>add to the left with other</t>
  </si>
  <si>
    <t>VaR(99%,1) _p_250d</t>
  </si>
  <si>
    <t>w_NESN</t>
  </si>
  <si>
    <t>w_SREN</t>
  </si>
  <si>
    <t>w_NOVN</t>
  </si>
  <si>
    <t>sigma portfolio</t>
  </si>
  <si>
    <t>Beta NESN</t>
  </si>
  <si>
    <t>Beta SREN</t>
  </si>
  <si>
    <t>Beta NOVN</t>
  </si>
  <si>
    <t>Marginal Var NESN</t>
  </si>
  <si>
    <t>M SREN</t>
  </si>
  <si>
    <t>M NOVN</t>
  </si>
  <si>
    <t>Component VaR NESN</t>
  </si>
  <si>
    <t>Relative Component Var NESN</t>
  </si>
  <si>
    <t>Relative Component Var SREN</t>
  </si>
  <si>
    <t>Relative Component Var NOVN</t>
  </si>
  <si>
    <t>NE</t>
  </si>
  <si>
    <t>S</t>
  </si>
  <si>
    <t>NO</t>
  </si>
  <si>
    <t>Daily Portfolio Return</t>
  </si>
  <si>
    <t>1.3</t>
  </si>
  <si>
    <t>P form to 13/3/2025</t>
  </si>
  <si>
    <t>Number of Violations</t>
  </si>
  <si>
    <t>Days</t>
  </si>
  <si>
    <t>% days Violation</t>
  </si>
  <si>
    <t>only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</si>
</sst>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%"/>
    <numFmt numFmtId="165" formatCode="d/m/yy;@"/>
    <numFmt numFmtId="166" formatCode="[$CHF]\ #,##0.00"/>
    <numFmt numFmtId="167" formatCode="0.0000%"/>
    <numFmt numFmtId="168" formatCode="[$CHF]\ #,##0.0000"/>
    <numFmt numFmtId="169" formatCode="#,##0.00000000"/>
    <numFmt numFmtId="170" formatCode="&quot;$&quot;#,##0.00"/>
    <numFmt numFmtId="171" formatCode="[$CHF]\ #,##0.0000_);\([$CHF]\ #,##0.0000\)"/>
    <numFmt numFmtId="172" formatCode="0.0"/>
    <numFmt numFmtId="173" formatCode="0.00000000"/>
    <numFmt numFmtId="174" formatCode="#,##0.00\ [$CHF]"/>
    <numFmt numFmtId="175" formatCode="[$CHF-810]\ #,##0.00"/>
  </numFmts>
  <fonts count="8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166" fontId="0" fillId="0" borderId="0" xfId="0" quotePrefix="1" applyNumberForma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7" fontId="0" fillId="0" borderId="0" xfId="0" applyNumberFormat="1"/>
    <xf numFmtId="165" fontId="6" fillId="2" borderId="0" xfId="0" applyNumberFormat="1" applyFont="1" applyFill="1"/>
    <xf numFmtId="14" fontId="6" fillId="2" borderId="0" xfId="0" applyNumberFormat="1" applyFont="1" applyFill="1"/>
    <xf numFmtId="0" fontId="6" fillId="2" borderId="0" xfId="0" applyFont="1" applyFill="1"/>
    <xf numFmtId="164" fontId="6" fillId="2" borderId="0" xfId="0" applyNumberFormat="1" applyFont="1" applyFill="1"/>
    <xf numFmtId="167" fontId="6" fillId="2" borderId="0" xfId="0" applyNumberFormat="1" applyFont="1" applyFill="1"/>
    <xf numFmtId="167" fontId="5" fillId="0" borderId="0" xfId="0" applyNumberFormat="1" applyFont="1"/>
    <xf numFmtId="166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5" fillId="0" borderId="1" xfId="0" applyFont="1" applyBorder="1"/>
    <xf numFmtId="4" fontId="0" fillId="0" borderId="0" xfId="0" applyNumberFormat="1"/>
    <xf numFmtId="10" fontId="0" fillId="0" borderId="0" xfId="0" applyNumberFormat="1"/>
    <xf numFmtId="0" fontId="5" fillId="3" borderId="0" xfId="0" applyFont="1" applyFill="1"/>
    <xf numFmtId="0" fontId="0" fillId="3" borderId="0" xfId="0" applyFill="1" applyAlignment="1">
      <alignment horizontal="left"/>
    </xf>
    <xf numFmtId="166" fontId="5" fillId="0" borderId="0" xfId="0" applyNumberFormat="1" applyFont="1"/>
    <xf numFmtId="166" fontId="6" fillId="0" borderId="0" xfId="0" applyNumberFormat="1" applyFont="1"/>
    <xf numFmtId="168" fontId="6" fillId="0" borderId="0" xfId="0" applyNumberFormat="1" applyFont="1"/>
    <xf numFmtId="4" fontId="6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167" fontId="3" fillId="0" borderId="0" xfId="0" applyNumberFormat="1" applyFont="1"/>
    <xf numFmtId="170" fontId="0" fillId="0" borderId="0" xfId="0" applyNumberFormat="1"/>
    <xf numFmtId="171" fontId="0" fillId="0" borderId="0" xfId="0" applyNumberFormat="1"/>
    <xf numFmtId="10" fontId="6" fillId="0" borderId="0" xfId="0" applyNumberFormat="1" applyFont="1"/>
    <xf numFmtId="172" fontId="0" fillId="0" borderId="0" xfId="0" applyNumberFormat="1"/>
    <xf numFmtId="2" fontId="5" fillId="0" borderId="0" xfId="0" applyNumberFormat="1" applyFont="1"/>
    <xf numFmtId="168" fontId="0" fillId="0" borderId="0" xfId="0" applyNumberFormat="1"/>
    <xf numFmtId="173" fontId="0" fillId="0" borderId="0" xfId="0" applyNumberFormat="1"/>
    <xf numFmtId="173" fontId="0" fillId="0" borderId="1" xfId="0" applyNumberFormat="1" applyBorder="1"/>
    <xf numFmtId="0" fontId="0" fillId="0" borderId="0" xfId="0" applyAlignment="1">
      <alignment wrapText="1"/>
    </xf>
    <xf numFmtId="174" fontId="0" fillId="0" borderId="0" xfId="0" applyNumberFormat="1"/>
    <xf numFmtId="167" fontId="5" fillId="0" borderId="0" xfId="0" applyNumberFormat="1" applyFont="1" applyAlignment="1">
      <alignment wrapText="1"/>
    </xf>
    <xf numFmtId="17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NESN previous</a:t>
            </a:r>
            <a:r>
              <a:rPr lang="en-US" baseline="0"/>
              <a:t> 125 days returns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Data!$I$783:$I$907</c:f>
              <c:numCache>
                <c:formatCode>0.0000%</c:formatCode>
                <c:ptCount val="125"/>
                <c:pt idx="0">
                  <c:v>-5.0259674987435082E-2</c:v>
                </c:pt>
                <c:pt idx="1">
                  <c:v>-1.5875815840535599E-3</c:v>
                </c:pt>
                <c:pt idx="2">
                  <c:v>1.2897526501766728E-2</c:v>
                </c:pt>
                <c:pt idx="3">
                  <c:v>6.9771498342925426E-4</c:v>
                </c:pt>
                <c:pt idx="4">
                  <c:v>-4.3576782290395679E-3</c:v>
                </c:pt>
                <c:pt idx="5">
                  <c:v>2.0483193277310956E-2</c:v>
                </c:pt>
                <c:pt idx="6">
                  <c:v>3.6026762738034113E-3</c:v>
                </c:pt>
                <c:pt idx="7">
                  <c:v>-1.6410256410256424E-2</c:v>
                </c:pt>
                <c:pt idx="8">
                  <c:v>-2.9544664581161229E-3</c:v>
                </c:pt>
                <c:pt idx="9">
                  <c:v>1.3944570332927559E-3</c:v>
                </c:pt>
                <c:pt idx="10">
                  <c:v>-9.225413402959114E-3</c:v>
                </c:pt>
                <c:pt idx="11">
                  <c:v>-1.2825017568517286E-2</c:v>
                </c:pt>
                <c:pt idx="12">
                  <c:v>-1.6373020110339823E-2</c:v>
                </c:pt>
                <c:pt idx="13">
                  <c:v>-3.9804595621495556E-3</c:v>
                </c:pt>
                <c:pt idx="14">
                  <c:v>5.8128973660308862E-3</c:v>
                </c:pt>
                <c:pt idx="15">
                  <c:v>-1.914394076214548E-2</c:v>
                </c:pt>
                <c:pt idx="16">
                  <c:v>-7.9175105873688038E-3</c:v>
                </c:pt>
                <c:pt idx="17">
                  <c:v>-1.1692650334075771E-2</c:v>
                </c:pt>
                <c:pt idx="18">
                  <c:v>9.3896713615018138E-4</c:v>
                </c:pt>
                <c:pt idx="19">
                  <c:v>7.1294559099437634E-3</c:v>
                </c:pt>
                <c:pt idx="20">
                  <c:v>1.8256333830104263E-2</c:v>
                </c:pt>
                <c:pt idx="21">
                  <c:v>-7.6838638858396386E-3</c:v>
                </c:pt>
                <c:pt idx="22">
                  <c:v>2.912979351032445E-2</c:v>
                </c:pt>
                <c:pt idx="23">
                  <c:v>8.4199211752059994E-3</c:v>
                </c:pt>
                <c:pt idx="24">
                  <c:v>-1.7232190442352087E-2</c:v>
                </c:pt>
                <c:pt idx="25">
                  <c:v>1.5907447577729619E-2</c:v>
                </c:pt>
                <c:pt idx="26">
                  <c:v>-8.5409252669039846E-3</c:v>
                </c:pt>
                <c:pt idx="27">
                  <c:v>1.1844938980617439E-2</c:v>
                </c:pt>
                <c:pt idx="28">
                  <c:v>7.0947144377437297E-4</c:v>
                </c:pt>
                <c:pt idx="29">
                  <c:v>1.8787663948954186E-2</c:v>
                </c:pt>
                <c:pt idx="30">
                  <c:v>-5.0452331245650515E-3</c:v>
                </c:pt>
                <c:pt idx="31">
                  <c:v>2.2731246721455246E-3</c:v>
                </c:pt>
                <c:pt idx="32">
                  <c:v>4.7103977669225947E-3</c:v>
                </c:pt>
                <c:pt idx="33">
                  <c:v>3.9937489147420886E-3</c:v>
                </c:pt>
                <c:pt idx="34">
                  <c:v>-1.5738498789346311E-2</c:v>
                </c:pt>
                <c:pt idx="35">
                  <c:v>-6.6772096292390696E-3</c:v>
                </c:pt>
                <c:pt idx="36">
                  <c:v>1.9104900053069137E-2</c:v>
                </c:pt>
                <c:pt idx="37">
                  <c:v>-2.4301336573511641E-3</c:v>
                </c:pt>
                <c:pt idx="38">
                  <c:v>2.9580650774317331E-3</c:v>
                </c:pt>
                <c:pt idx="39">
                  <c:v>-1.7522553782095732E-2</c:v>
                </c:pt>
                <c:pt idx="40">
                  <c:v>1.5539466713755879E-2</c:v>
                </c:pt>
                <c:pt idx="41">
                  <c:v>1.0606850982437827E-2</c:v>
                </c:pt>
                <c:pt idx="42">
                  <c:v>5.5058499655884427E-3</c:v>
                </c:pt>
                <c:pt idx="43">
                  <c:v>3.4223134839151755E-3</c:v>
                </c:pt>
                <c:pt idx="44">
                  <c:v>1.5347885402455031E-3</c:v>
                </c:pt>
                <c:pt idx="45">
                  <c:v>-3.9162268006129215E-3</c:v>
                </c:pt>
                <c:pt idx="46">
                  <c:v>-4.7863247863248054E-3</c:v>
                </c:pt>
                <c:pt idx="47">
                  <c:v>4.8093438680865876E-3</c:v>
                </c:pt>
                <c:pt idx="48">
                  <c:v>-2.5641025641025398E-3</c:v>
                </c:pt>
                <c:pt idx="49">
                  <c:v>1.542416452442096E-3</c:v>
                </c:pt>
                <c:pt idx="50">
                  <c:v>-1.1806981519507148E-2</c:v>
                </c:pt>
                <c:pt idx="51">
                  <c:v>0</c:v>
                </c:pt>
                <c:pt idx="52">
                  <c:v>5.1948051948053921E-4</c:v>
                </c:pt>
                <c:pt idx="53">
                  <c:v>-1.0557286258220827E-2</c:v>
                </c:pt>
                <c:pt idx="54">
                  <c:v>7.3465104075564405E-3</c:v>
                </c:pt>
                <c:pt idx="55">
                  <c:v>-5.2092377148811294E-3</c:v>
                </c:pt>
                <c:pt idx="56">
                  <c:v>9.2511782160935793E-3</c:v>
                </c:pt>
                <c:pt idx="57">
                  <c:v>-3.6319612590799181E-3</c:v>
                </c:pt>
                <c:pt idx="58">
                  <c:v>1.4233639993056766E-2</c:v>
                </c:pt>
                <c:pt idx="59">
                  <c:v>-3.7651891151805387E-3</c:v>
                </c:pt>
                <c:pt idx="60">
                  <c:v>4.2947947088129183E-3</c:v>
                </c:pt>
                <c:pt idx="61">
                  <c:v>2.7369141293191344E-3</c:v>
                </c:pt>
                <c:pt idx="62">
                  <c:v>-1.791197543500507E-2</c:v>
                </c:pt>
                <c:pt idx="63">
                  <c:v>9.9009900990099063E-3</c:v>
                </c:pt>
                <c:pt idx="64">
                  <c:v>4.8159614723082408E-3</c:v>
                </c:pt>
                <c:pt idx="65">
                  <c:v>-1.1468675111263295E-2</c:v>
                </c:pt>
                <c:pt idx="66">
                  <c:v>-3.4632034632040048E-4</c:v>
                </c:pt>
                <c:pt idx="67">
                  <c:v>-2.5983024424042715E-3</c:v>
                </c:pt>
                <c:pt idx="68">
                  <c:v>-5.0364709968738998E-3</c:v>
                </c:pt>
                <c:pt idx="69">
                  <c:v>-1.4138593122709065E-2</c:v>
                </c:pt>
                <c:pt idx="70">
                  <c:v>4.0722379603400144E-3</c:v>
                </c:pt>
                <c:pt idx="71">
                  <c:v>-8.81678716275789E-3</c:v>
                </c:pt>
                <c:pt idx="72">
                  <c:v>-1.0852161537093034E-2</c:v>
                </c:pt>
                <c:pt idx="73">
                  <c:v>-9.8920863309353291E-3</c:v>
                </c:pt>
                <c:pt idx="74">
                  <c:v>1.3805631244323435E-2</c:v>
                </c:pt>
                <c:pt idx="75">
                  <c:v>2.1501523024547112E-3</c:v>
                </c:pt>
                <c:pt idx="76">
                  <c:v>1.9667441444662869E-3</c:v>
                </c:pt>
                <c:pt idx="77">
                  <c:v>-2.6588151320485403E-2</c:v>
                </c:pt>
                <c:pt idx="78">
                  <c:v>-3.299725022914752E-3</c:v>
                </c:pt>
                <c:pt idx="79">
                  <c:v>-1.7656796027220912E-2</c:v>
                </c:pt>
                <c:pt idx="80">
                  <c:v>9.5487736378956217E-3</c:v>
                </c:pt>
                <c:pt idx="81">
                  <c:v>-1.4094955489614338E-2</c:v>
                </c:pt>
                <c:pt idx="82">
                  <c:v>1.8811136192635659E-4</c:v>
                </c:pt>
                <c:pt idx="83">
                  <c:v>9.7799511002444241E-3</c:v>
                </c:pt>
                <c:pt idx="84">
                  <c:v>-2.7938163531383607E-3</c:v>
                </c:pt>
                <c:pt idx="85">
                  <c:v>-5.2297347777362935E-3</c:v>
                </c:pt>
                <c:pt idx="86">
                  <c:v>-1.8775816748028806E-3</c:v>
                </c:pt>
                <c:pt idx="87">
                  <c:v>-5.2671181339351775E-3</c:v>
                </c:pt>
                <c:pt idx="88">
                  <c:v>7.564296520423573E-3</c:v>
                </c:pt>
                <c:pt idx="89">
                  <c:v>4.8798798798798428E-3</c:v>
                </c:pt>
                <c:pt idx="90">
                  <c:v>-5.7900635039223438E-3</c:v>
                </c:pt>
                <c:pt idx="91">
                  <c:v>9.581063310163538E-3</c:v>
                </c:pt>
                <c:pt idx="92">
                  <c:v>-3.9077037588388696E-3</c:v>
                </c:pt>
                <c:pt idx="93">
                  <c:v>-6.7252008219689787E-3</c:v>
                </c:pt>
                <c:pt idx="94">
                  <c:v>-3.009215723152223E-3</c:v>
                </c:pt>
                <c:pt idx="95">
                  <c:v>-3.7728730428213586E-4</c:v>
                </c:pt>
                <c:pt idx="96">
                  <c:v>-2.264578222306181E-3</c:v>
                </c:pt>
                <c:pt idx="97">
                  <c:v>3.782863627766273E-3</c:v>
                </c:pt>
                <c:pt idx="98">
                  <c:v>-1.0928961748633847E-2</c:v>
                </c:pt>
                <c:pt idx="99">
                  <c:v>6.4774242712896989E-3</c:v>
                </c:pt>
                <c:pt idx="100">
                  <c:v>1.7982207079311051E-2</c:v>
                </c:pt>
                <c:pt idx="101">
                  <c:v>2.0453700260319716E-3</c:v>
                </c:pt>
                <c:pt idx="102">
                  <c:v>-1.2803859714232655E-2</c:v>
                </c:pt>
                <c:pt idx="103">
                  <c:v>-5.0751879699248706E-3</c:v>
                </c:pt>
                <c:pt idx="104">
                  <c:v>-4.9121481201586624E-3</c:v>
                </c:pt>
                <c:pt idx="105">
                  <c:v>1.689766470476553E-2</c:v>
                </c:pt>
                <c:pt idx="106">
                  <c:v>9.7087378640775945E-3</c:v>
                </c:pt>
                <c:pt idx="107">
                  <c:v>1.8491124260355293E-3</c:v>
                </c:pt>
                <c:pt idx="108">
                  <c:v>-9.7822074566260818E-3</c:v>
                </c:pt>
                <c:pt idx="109">
                  <c:v>4.2870456663560855E-3</c:v>
                </c:pt>
                <c:pt idx="110">
                  <c:v>1.1878247958426142E-2</c:v>
                </c:pt>
                <c:pt idx="111">
                  <c:v>-5.5025678650037465E-3</c:v>
                </c:pt>
                <c:pt idx="112">
                  <c:v>4.9797122832903563E-3</c:v>
                </c:pt>
                <c:pt idx="113">
                  <c:v>-7.5243163883282008E-3</c:v>
                </c:pt>
                <c:pt idx="114">
                  <c:v>4.6227810650887576E-3</c:v>
                </c:pt>
                <c:pt idx="115">
                  <c:v>-9.9392600773053411E-3</c:v>
                </c:pt>
                <c:pt idx="116">
                  <c:v>3.1604387432608611E-3</c:v>
                </c:pt>
                <c:pt idx="117">
                  <c:v>1.1119347664937017E-2</c:v>
                </c:pt>
                <c:pt idx="118">
                  <c:v>8.7976539589442234E-3</c:v>
                </c:pt>
                <c:pt idx="119">
                  <c:v>-1.8350290697674382E-2</c:v>
                </c:pt>
                <c:pt idx="120">
                  <c:v>1.8508236165089783E-4</c:v>
                </c:pt>
                <c:pt idx="121">
                  <c:v>-2.9607698001479755E-3</c:v>
                </c:pt>
                <c:pt idx="122">
                  <c:v>6.4959168522641855E-3</c:v>
                </c:pt>
                <c:pt idx="123">
                  <c:v>1.3092384289138869E-2</c:v>
                </c:pt>
                <c:pt idx="124">
                  <c:v>9.1008372770294867E-3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FB-8D4B-B06B-8E1F27A8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7152"/>
        <c:axId val="1520828864"/>
      </c:lineChart>
      <c:catAx>
        <c:axId val="152082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28864"/>
        <c:crosses val="autoZero"/>
        <c:auto val="1"/>
        <c:lblAlgn val="ctr"/>
        <c:lblOffset val="100"/>
        <c:noMultiLvlLbl val="0"/>
      </c:catAx>
      <c:valAx>
        <c:axId val="15208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NESN previous 250 days returns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Data!$I$658:$I$907</c:f>
              <c:numCache>
                <c:formatCode>0.0000%</c:formatCode>
                <c:ptCount val="250"/>
                <c:pt idx="0">
                  <c:v>3.8992688870837042E-3</c:v>
                </c:pt>
                <c:pt idx="1">
                  <c:v>-9.7103091115070849E-4</c:v>
                </c:pt>
                <c:pt idx="2">
                  <c:v>-2.5919326097520912E-3</c:v>
                </c:pt>
                <c:pt idx="3">
                  <c:v>-3.0859184667857355E-3</c:v>
                </c:pt>
                <c:pt idx="4">
                  <c:v>-1.1404366243075966E-3</c:v>
                </c:pt>
                <c:pt idx="5">
                  <c:v>-4.7300603490458186E-3</c:v>
                </c:pt>
                <c:pt idx="6">
                  <c:v>-4.2608980662078846E-3</c:v>
                </c:pt>
                <c:pt idx="7">
                  <c:v>-8.3936800526661949E-3</c:v>
                </c:pt>
                <c:pt idx="8">
                  <c:v>-3.3195020746888439E-3</c:v>
                </c:pt>
                <c:pt idx="9">
                  <c:v>-1.7485428809325517E-2</c:v>
                </c:pt>
                <c:pt idx="10">
                  <c:v>1.3559322033898015E-3</c:v>
                </c:pt>
                <c:pt idx="11">
                  <c:v>-3.0467163168584922E-3</c:v>
                </c:pt>
                <c:pt idx="12">
                  <c:v>8.6587436332767071E-3</c:v>
                </c:pt>
                <c:pt idx="13">
                  <c:v>2.4743309207204276E-2</c:v>
                </c:pt>
                <c:pt idx="14">
                  <c:v>9.8554533508533448E-4</c:v>
                </c:pt>
                <c:pt idx="15">
                  <c:v>1.5753199868723349E-2</c:v>
                </c:pt>
                <c:pt idx="16">
                  <c:v>4.8465266558966767E-3</c:v>
                </c:pt>
                <c:pt idx="17">
                  <c:v>4.3408360128616725E-3</c:v>
                </c:pt>
                <c:pt idx="18">
                  <c:v>-2.8813830638706535E-3</c:v>
                </c:pt>
                <c:pt idx="19">
                  <c:v>-4.4951035479210326E-3</c:v>
                </c:pt>
                <c:pt idx="20">
                  <c:v>1.1449766166747312E-2</c:v>
                </c:pt>
                <c:pt idx="21">
                  <c:v>1.3392857142857198E-2</c:v>
                </c:pt>
                <c:pt idx="22">
                  <c:v>1.7306482064191225E-3</c:v>
                </c:pt>
                <c:pt idx="23">
                  <c:v>-6.2823935919584023E-4</c:v>
                </c:pt>
                <c:pt idx="24">
                  <c:v>-2.043061449002083E-3</c:v>
                </c:pt>
                <c:pt idx="25">
                  <c:v>-4.7244094488190766E-4</c:v>
                </c:pt>
                <c:pt idx="26">
                  <c:v>7.8777375137867127E-4</c:v>
                </c:pt>
                <c:pt idx="27">
                  <c:v>2.2040302267001487E-3</c:v>
                </c:pt>
                <c:pt idx="28">
                  <c:v>1.1153000314169149E-2</c:v>
                </c:pt>
                <c:pt idx="29">
                  <c:v>-3.1070374398011937E-3</c:v>
                </c:pt>
                <c:pt idx="30">
                  <c:v>-7.0126227208976597E-3</c:v>
                </c:pt>
                <c:pt idx="31">
                  <c:v>1.3967357187696179E-2</c:v>
                </c:pt>
                <c:pt idx="32">
                  <c:v>2.1668472372697815E-3</c:v>
                </c:pt>
                <c:pt idx="33">
                  <c:v>-2.7027027027027029E-2</c:v>
                </c:pt>
                <c:pt idx="34">
                  <c:v>-2.2222222222222313E-3</c:v>
                </c:pt>
                <c:pt idx="35">
                  <c:v>-1.002227171492209E-2</c:v>
                </c:pt>
                <c:pt idx="36">
                  <c:v>-2.0568857464245447E-2</c:v>
                </c:pt>
                <c:pt idx="37">
                  <c:v>2.2969647251845867E-3</c:v>
                </c:pt>
                <c:pt idx="38">
                  <c:v>-3.1101653298412969E-3</c:v>
                </c:pt>
                <c:pt idx="39">
                  <c:v>-3.284072249589421E-3</c:v>
                </c:pt>
                <c:pt idx="40">
                  <c:v>-4.6128500823723415E-3</c:v>
                </c:pt>
                <c:pt idx="41">
                  <c:v>1.2744124462098577E-2</c:v>
                </c:pt>
                <c:pt idx="42">
                  <c:v>-1.8140218990031043E-2</c:v>
                </c:pt>
                <c:pt idx="43">
                  <c:v>8.6551264980027146E-3</c:v>
                </c:pt>
                <c:pt idx="44">
                  <c:v>-1.320132013201292E-3</c:v>
                </c:pt>
                <c:pt idx="45">
                  <c:v>-2.5115664243225429E-2</c:v>
                </c:pt>
                <c:pt idx="46">
                  <c:v>-2.3728813559322128E-3</c:v>
                </c:pt>
                <c:pt idx="47">
                  <c:v>2.0387359836900685E-3</c:v>
                </c:pt>
                <c:pt idx="48">
                  <c:v>2.8823329942353629E-3</c:v>
                </c:pt>
                <c:pt idx="49">
                  <c:v>-2.0287404902789084E-3</c:v>
                </c:pt>
                <c:pt idx="50">
                  <c:v>8.6396747416567516E-3</c:v>
                </c:pt>
                <c:pt idx="51">
                  <c:v>-6.7181726570371425E-4</c:v>
                </c:pt>
                <c:pt idx="52">
                  <c:v>1.2605042016806723E-2</c:v>
                </c:pt>
                <c:pt idx="53">
                  <c:v>-9.1286307053941446E-3</c:v>
                </c:pt>
                <c:pt idx="54">
                  <c:v>-2.5125628140704468E-3</c:v>
                </c:pt>
                <c:pt idx="55">
                  <c:v>-5.0377833753138595E-4</c:v>
                </c:pt>
                <c:pt idx="56">
                  <c:v>-1.0080645161290347E-2</c:v>
                </c:pt>
                <c:pt idx="57">
                  <c:v>8.9952477936184848E-3</c:v>
                </c:pt>
                <c:pt idx="58">
                  <c:v>-7.4011774600505438E-3</c:v>
                </c:pt>
                <c:pt idx="59">
                  <c:v>1.0676156583629937E-2</c:v>
                </c:pt>
                <c:pt idx="60">
                  <c:v>-1.6599597585513111E-2</c:v>
                </c:pt>
                <c:pt idx="61">
                  <c:v>4.2625745950554137E-3</c:v>
                </c:pt>
                <c:pt idx="62">
                  <c:v>-4.2444821731748728E-3</c:v>
                </c:pt>
                <c:pt idx="63">
                  <c:v>6.820119352088516E-4</c:v>
                </c:pt>
                <c:pt idx="64">
                  <c:v>6.9858578974272226E-3</c:v>
                </c:pt>
                <c:pt idx="65">
                  <c:v>5.0761421319796473E-3</c:v>
                </c:pt>
                <c:pt idx="66">
                  <c:v>8.417508417509136E-4</c:v>
                </c:pt>
                <c:pt idx="67">
                  <c:v>-3.1455004205214541E-2</c:v>
                </c:pt>
                <c:pt idx="68">
                  <c:v>2.9003126085446366E-2</c:v>
                </c:pt>
                <c:pt idx="69">
                  <c:v>1.080168776371309E-2</c:v>
                </c:pt>
                <c:pt idx="70">
                  <c:v>5.5101018533978679E-3</c:v>
                </c:pt>
                <c:pt idx="71">
                  <c:v>-3.3211557622051767E-3</c:v>
                </c:pt>
                <c:pt idx="72">
                  <c:v>-1.6327890703099032E-2</c:v>
                </c:pt>
                <c:pt idx="73">
                  <c:v>-1.8462059620596143E-2</c:v>
                </c:pt>
                <c:pt idx="74">
                  <c:v>-2.2433132010353827E-2</c:v>
                </c:pt>
                <c:pt idx="75">
                  <c:v>-2.5948808473080297E-2</c:v>
                </c:pt>
                <c:pt idx="76">
                  <c:v>4.4037694816962659E-2</c:v>
                </c:pt>
                <c:pt idx="77">
                  <c:v>-1.4927963895157081E-2</c:v>
                </c:pt>
                <c:pt idx="78">
                  <c:v>-4.5814977973567929E-3</c:v>
                </c:pt>
                <c:pt idx="79">
                  <c:v>1.5577978403257132E-2</c:v>
                </c:pt>
                <c:pt idx="80">
                  <c:v>8.7153564580791359E-3</c:v>
                </c:pt>
                <c:pt idx="81">
                  <c:v>6.220839813374796E-3</c:v>
                </c:pt>
                <c:pt idx="82">
                  <c:v>2.0951399622187981E-2</c:v>
                </c:pt>
                <c:pt idx="83">
                  <c:v>1.7998317914213628E-2</c:v>
                </c:pt>
                <c:pt idx="84">
                  <c:v>-5.287508261731663E-3</c:v>
                </c:pt>
                <c:pt idx="85">
                  <c:v>1.3289036544850215E-3</c:v>
                </c:pt>
                <c:pt idx="86">
                  <c:v>-1.5759787657597925E-2</c:v>
                </c:pt>
                <c:pt idx="87">
                  <c:v>1.0618574077195391E-2</c:v>
                </c:pt>
                <c:pt idx="88">
                  <c:v>-6.0040026684456205E-3</c:v>
                </c:pt>
                <c:pt idx="89">
                  <c:v>9.2281879194630392E-3</c:v>
                </c:pt>
                <c:pt idx="90">
                  <c:v>4.8212801330008168E-3</c:v>
                </c:pt>
                <c:pt idx="91">
                  <c:v>-2.4818001323626505E-3</c:v>
                </c:pt>
                <c:pt idx="92">
                  <c:v>-3.15143473212801E-3</c:v>
                </c:pt>
                <c:pt idx="93">
                  <c:v>5.490848585690487E-3</c:v>
                </c:pt>
                <c:pt idx="94">
                  <c:v>8.770478239285142E-3</c:v>
                </c:pt>
                <c:pt idx="95">
                  <c:v>1.3615485564304433E-2</c:v>
                </c:pt>
                <c:pt idx="96">
                  <c:v>-9.5484706263148783E-3</c:v>
                </c:pt>
                <c:pt idx="97">
                  <c:v>6.0457516339868858E-3</c:v>
                </c:pt>
                <c:pt idx="98">
                  <c:v>1.1044339775864864E-2</c:v>
                </c:pt>
                <c:pt idx="99">
                  <c:v>-3.3734939759036283E-3</c:v>
                </c:pt>
                <c:pt idx="100">
                  <c:v>-9.9935525467439949E-3</c:v>
                </c:pt>
                <c:pt idx="101">
                  <c:v>7.65223054379679E-3</c:v>
                </c:pt>
                <c:pt idx="102">
                  <c:v>2.9083858458555456E-3</c:v>
                </c:pt>
                <c:pt idx="103">
                  <c:v>-2.0138553246334782E-2</c:v>
                </c:pt>
                <c:pt idx="104">
                  <c:v>1.3153567905294032E-3</c:v>
                </c:pt>
                <c:pt idx="105">
                  <c:v>7.22495894909696E-3</c:v>
                </c:pt>
                <c:pt idx="106">
                  <c:v>1.8584936419954245E-2</c:v>
                </c:pt>
                <c:pt idx="107">
                  <c:v>7.2023047375160514E-3</c:v>
                </c:pt>
                <c:pt idx="108">
                  <c:v>-1.7003019227713335E-2</c:v>
                </c:pt>
                <c:pt idx="109">
                  <c:v>1.1962495958616263E-2</c:v>
                </c:pt>
                <c:pt idx="110">
                  <c:v>5.2715654952076403E-3</c:v>
                </c:pt>
                <c:pt idx="111">
                  <c:v>1.112347052280316E-3</c:v>
                </c:pt>
                <c:pt idx="112">
                  <c:v>-1.5873015873016099E-3</c:v>
                </c:pt>
                <c:pt idx="113">
                  <c:v>-3.9745627980922096E-3</c:v>
                </c:pt>
                <c:pt idx="114">
                  <c:v>-1.0534716679968022E-2</c:v>
                </c:pt>
                <c:pt idx="115">
                  <c:v>6.6139699951604548E-3</c:v>
                </c:pt>
                <c:pt idx="116">
                  <c:v>-1.153846153846152E-2</c:v>
                </c:pt>
                <c:pt idx="117">
                  <c:v>-2.4156939040207555E-2</c:v>
                </c:pt>
                <c:pt idx="118">
                  <c:v>-3.4889516530985354E-3</c:v>
                </c:pt>
                <c:pt idx="119">
                  <c:v>1.5171723907969385E-2</c:v>
                </c:pt>
                <c:pt idx="120">
                  <c:v>-4.92691739201858E-4</c:v>
                </c:pt>
                <c:pt idx="121">
                  <c:v>6.7367729214591471E-3</c:v>
                </c:pt>
                <c:pt idx="122">
                  <c:v>6.3652684837602978E-3</c:v>
                </c:pt>
                <c:pt idx="123">
                  <c:v>-5.8384690236782267E-3</c:v>
                </c:pt>
                <c:pt idx="124">
                  <c:v>-2.6264274061990205E-2</c:v>
                </c:pt>
                <c:pt idx="125">
                  <c:v>-5.0259674987435082E-2</c:v>
                </c:pt>
                <c:pt idx="126">
                  <c:v>-1.5875815840535599E-3</c:v>
                </c:pt>
                <c:pt idx="127">
                  <c:v>1.2897526501766728E-2</c:v>
                </c:pt>
                <c:pt idx="128">
                  <c:v>6.9771498342925426E-4</c:v>
                </c:pt>
                <c:pt idx="129">
                  <c:v>-4.3576782290395679E-3</c:v>
                </c:pt>
                <c:pt idx="130">
                  <c:v>2.0483193277310956E-2</c:v>
                </c:pt>
                <c:pt idx="131">
                  <c:v>3.6026762738034113E-3</c:v>
                </c:pt>
                <c:pt idx="132">
                  <c:v>-1.6410256410256424E-2</c:v>
                </c:pt>
                <c:pt idx="133">
                  <c:v>-2.9544664581161229E-3</c:v>
                </c:pt>
                <c:pt idx="134">
                  <c:v>1.3944570332927559E-3</c:v>
                </c:pt>
                <c:pt idx="135">
                  <c:v>-9.225413402959114E-3</c:v>
                </c:pt>
                <c:pt idx="136">
                  <c:v>-1.2825017568517286E-2</c:v>
                </c:pt>
                <c:pt idx="137">
                  <c:v>-1.6373020110339823E-2</c:v>
                </c:pt>
                <c:pt idx="138">
                  <c:v>-3.9804595621495556E-3</c:v>
                </c:pt>
                <c:pt idx="139">
                  <c:v>5.8128973660308862E-3</c:v>
                </c:pt>
                <c:pt idx="140">
                  <c:v>-1.914394076214548E-2</c:v>
                </c:pt>
                <c:pt idx="141">
                  <c:v>-7.9175105873688038E-3</c:v>
                </c:pt>
                <c:pt idx="142">
                  <c:v>-1.1692650334075771E-2</c:v>
                </c:pt>
                <c:pt idx="143">
                  <c:v>9.3896713615018138E-4</c:v>
                </c:pt>
                <c:pt idx="144">
                  <c:v>7.1294559099437634E-3</c:v>
                </c:pt>
                <c:pt idx="145">
                  <c:v>1.8256333830104263E-2</c:v>
                </c:pt>
                <c:pt idx="146">
                  <c:v>-7.6838638858396386E-3</c:v>
                </c:pt>
                <c:pt idx="147">
                  <c:v>2.912979351032445E-2</c:v>
                </c:pt>
                <c:pt idx="148">
                  <c:v>8.4199211752059994E-3</c:v>
                </c:pt>
                <c:pt idx="149">
                  <c:v>-1.7232190442352087E-2</c:v>
                </c:pt>
                <c:pt idx="150">
                  <c:v>1.5907447577729619E-2</c:v>
                </c:pt>
                <c:pt idx="151">
                  <c:v>-8.5409252669039846E-3</c:v>
                </c:pt>
                <c:pt idx="152">
                  <c:v>1.1844938980617439E-2</c:v>
                </c:pt>
                <c:pt idx="153">
                  <c:v>7.0947144377437297E-4</c:v>
                </c:pt>
                <c:pt idx="154">
                  <c:v>1.8787663948954186E-2</c:v>
                </c:pt>
                <c:pt idx="155">
                  <c:v>-5.0452331245650515E-3</c:v>
                </c:pt>
                <c:pt idx="156">
                  <c:v>2.2731246721455246E-3</c:v>
                </c:pt>
                <c:pt idx="157">
                  <c:v>4.7103977669225947E-3</c:v>
                </c:pt>
                <c:pt idx="158">
                  <c:v>3.9937489147420886E-3</c:v>
                </c:pt>
                <c:pt idx="159">
                  <c:v>-1.5738498789346311E-2</c:v>
                </c:pt>
                <c:pt idx="160">
                  <c:v>-6.6772096292390696E-3</c:v>
                </c:pt>
                <c:pt idx="161">
                  <c:v>1.9104900053069137E-2</c:v>
                </c:pt>
                <c:pt idx="162">
                  <c:v>-2.4301336573511641E-3</c:v>
                </c:pt>
                <c:pt idx="163">
                  <c:v>2.9580650774317331E-3</c:v>
                </c:pt>
                <c:pt idx="164">
                  <c:v>-1.7522553782095732E-2</c:v>
                </c:pt>
                <c:pt idx="165">
                  <c:v>1.5539466713755879E-2</c:v>
                </c:pt>
                <c:pt idx="166">
                  <c:v>1.0606850982437827E-2</c:v>
                </c:pt>
                <c:pt idx="167">
                  <c:v>5.5058499655884427E-3</c:v>
                </c:pt>
                <c:pt idx="168">
                  <c:v>3.4223134839151755E-3</c:v>
                </c:pt>
                <c:pt idx="169">
                  <c:v>1.5347885402455031E-3</c:v>
                </c:pt>
                <c:pt idx="170">
                  <c:v>-3.9162268006129215E-3</c:v>
                </c:pt>
                <c:pt idx="171">
                  <c:v>-4.7863247863248054E-3</c:v>
                </c:pt>
                <c:pt idx="172">
                  <c:v>4.8093438680865876E-3</c:v>
                </c:pt>
                <c:pt idx="173">
                  <c:v>-2.5641025641025398E-3</c:v>
                </c:pt>
                <c:pt idx="174">
                  <c:v>1.542416452442096E-3</c:v>
                </c:pt>
                <c:pt idx="175">
                  <c:v>-1.1806981519507148E-2</c:v>
                </c:pt>
                <c:pt idx="176">
                  <c:v>0</c:v>
                </c:pt>
                <c:pt idx="177">
                  <c:v>5.1948051948053921E-4</c:v>
                </c:pt>
                <c:pt idx="178">
                  <c:v>-1.0557286258220827E-2</c:v>
                </c:pt>
                <c:pt idx="179">
                  <c:v>7.3465104075564405E-3</c:v>
                </c:pt>
                <c:pt idx="180">
                  <c:v>-5.2092377148811294E-3</c:v>
                </c:pt>
                <c:pt idx="181">
                  <c:v>9.2511782160935793E-3</c:v>
                </c:pt>
                <c:pt idx="182">
                  <c:v>-3.6319612590799181E-3</c:v>
                </c:pt>
                <c:pt idx="183">
                  <c:v>1.4233639993056766E-2</c:v>
                </c:pt>
                <c:pt idx="184">
                  <c:v>-3.7651891151805387E-3</c:v>
                </c:pt>
                <c:pt idx="185">
                  <c:v>4.2947947088129183E-3</c:v>
                </c:pt>
                <c:pt idx="186">
                  <c:v>2.7369141293191344E-3</c:v>
                </c:pt>
                <c:pt idx="187">
                  <c:v>-1.791197543500507E-2</c:v>
                </c:pt>
                <c:pt idx="188">
                  <c:v>9.9009900990099063E-3</c:v>
                </c:pt>
                <c:pt idx="189">
                  <c:v>4.8159614723082408E-3</c:v>
                </c:pt>
                <c:pt idx="190">
                  <c:v>-1.1468675111263295E-2</c:v>
                </c:pt>
                <c:pt idx="191">
                  <c:v>-3.4632034632040048E-4</c:v>
                </c:pt>
                <c:pt idx="192">
                  <c:v>-2.5983024424042715E-3</c:v>
                </c:pt>
                <c:pt idx="193">
                  <c:v>-5.0364709968738998E-3</c:v>
                </c:pt>
                <c:pt idx="194">
                  <c:v>-1.4138593122709065E-2</c:v>
                </c:pt>
                <c:pt idx="195">
                  <c:v>4.0722379603400144E-3</c:v>
                </c:pt>
                <c:pt idx="196">
                  <c:v>-8.81678716275789E-3</c:v>
                </c:pt>
                <c:pt idx="197">
                  <c:v>-1.0852161537093034E-2</c:v>
                </c:pt>
                <c:pt idx="198">
                  <c:v>-9.8920863309353291E-3</c:v>
                </c:pt>
                <c:pt idx="199">
                  <c:v>1.3805631244323435E-2</c:v>
                </c:pt>
                <c:pt idx="200">
                  <c:v>2.1501523024547112E-3</c:v>
                </c:pt>
                <c:pt idx="201">
                  <c:v>1.9667441444662869E-3</c:v>
                </c:pt>
                <c:pt idx="202">
                  <c:v>-2.6588151320485403E-2</c:v>
                </c:pt>
                <c:pt idx="203">
                  <c:v>-3.299725022914752E-3</c:v>
                </c:pt>
                <c:pt idx="204">
                  <c:v>-1.7656796027220912E-2</c:v>
                </c:pt>
                <c:pt idx="205">
                  <c:v>9.5487736378956217E-3</c:v>
                </c:pt>
                <c:pt idx="206">
                  <c:v>-1.4094955489614338E-2</c:v>
                </c:pt>
                <c:pt idx="207">
                  <c:v>1.8811136192635659E-4</c:v>
                </c:pt>
                <c:pt idx="208">
                  <c:v>9.7799511002444241E-3</c:v>
                </c:pt>
                <c:pt idx="209">
                  <c:v>-2.7938163531383607E-3</c:v>
                </c:pt>
                <c:pt idx="210">
                  <c:v>-5.2297347777362935E-3</c:v>
                </c:pt>
                <c:pt idx="211">
                  <c:v>-1.8775816748028806E-3</c:v>
                </c:pt>
                <c:pt idx="212">
                  <c:v>-5.2671181339351775E-3</c:v>
                </c:pt>
                <c:pt idx="213">
                  <c:v>7.564296520423573E-3</c:v>
                </c:pt>
                <c:pt idx="214">
                  <c:v>4.8798798798798428E-3</c:v>
                </c:pt>
                <c:pt idx="215">
                  <c:v>-5.7900635039223438E-3</c:v>
                </c:pt>
                <c:pt idx="216">
                  <c:v>9.581063310163538E-3</c:v>
                </c:pt>
                <c:pt idx="217">
                  <c:v>-3.9077037588388696E-3</c:v>
                </c:pt>
                <c:pt idx="218">
                  <c:v>-6.7252008219689787E-3</c:v>
                </c:pt>
                <c:pt idx="219">
                  <c:v>-3.009215723152223E-3</c:v>
                </c:pt>
                <c:pt idx="220">
                  <c:v>-3.7728730428213586E-4</c:v>
                </c:pt>
                <c:pt idx="221">
                  <c:v>-2.264578222306181E-3</c:v>
                </c:pt>
                <c:pt idx="222">
                  <c:v>3.782863627766273E-3</c:v>
                </c:pt>
                <c:pt idx="223">
                  <c:v>-1.0928961748633847E-2</c:v>
                </c:pt>
                <c:pt idx="224">
                  <c:v>6.4774242712896989E-3</c:v>
                </c:pt>
                <c:pt idx="225">
                  <c:v>1.7982207079311051E-2</c:v>
                </c:pt>
                <c:pt idx="226">
                  <c:v>2.0453700260319716E-3</c:v>
                </c:pt>
                <c:pt idx="227">
                  <c:v>-1.2803859714232655E-2</c:v>
                </c:pt>
                <c:pt idx="228">
                  <c:v>-5.0751879699248706E-3</c:v>
                </c:pt>
                <c:pt idx="229">
                  <c:v>-4.9121481201586624E-3</c:v>
                </c:pt>
                <c:pt idx="230">
                  <c:v>1.689766470476553E-2</c:v>
                </c:pt>
                <c:pt idx="231">
                  <c:v>9.7087378640775945E-3</c:v>
                </c:pt>
                <c:pt idx="232">
                  <c:v>1.8491124260355293E-3</c:v>
                </c:pt>
                <c:pt idx="233">
                  <c:v>-9.7822074566260818E-3</c:v>
                </c:pt>
                <c:pt idx="234">
                  <c:v>4.2870456663560855E-3</c:v>
                </c:pt>
                <c:pt idx="235">
                  <c:v>1.1878247958426142E-2</c:v>
                </c:pt>
                <c:pt idx="236">
                  <c:v>-5.5025678650037465E-3</c:v>
                </c:pt>
                <c:pt idx="237">
                  <c:v>4.9797122832903563E-3</c:v>
                </c:pt>
                <c:pt idx="238">
                  <c:v>-7.5243163883282008E-3</c:v>
                </c:pt>
                <c:pt idx="239">
                  <c:v>4.6227810650887576E-3</c:v>
                </c:pt>
                <c:pt idx="240">
                  <c:v>-9.9392600773053411E-3</c:v>
                </c:pt>
                <c:pt idx="241">
                  <c:v>3.1604387432608611E-3</c:v>
                </c:pt>
                <c:pt idx="242">
                  <c:v>1.1119347664937017E-2</c:v>
                </c:pt>
                <c:pt idx="243">
                  <c:v>8.7976539589442234E-3</c:v>
                </c:pt>
                <c:pt idx="244">
                  <c:v>-1.8350290697674382E-2</c:v>
                </c:pt>
                <c:pt idx="245">
                  <c:v>1.8508236165089783E-4</c:v>
                </c:pt>
                <c:pt idx="246">
                  <c:v>-2.9607698001479755E-3</c:v>
                </c:pt>
                <c:pt idx="247">
                  <c:v>6.4959168522641855E-3</c:v>
                </c:pt>
                <c:pt idx="248">
                  <c:v>1.3092384289138869E-2</c:v>
                </c:pt>
                <c:pt idx="249">
                  <c:v>9.1008372770294867E-3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D2-2A4A-A210-1ED8FFE78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771600"/>
        <c:axId val="367149808"/>
      </c:scatterChart>
      <c:valAx>
        <c:axId val="152177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49808"/>
        <c:crosses val="autoZero"/>
        <c:crossBetween val="midCat"/>
      </c:valAx>
      <c:valAx>
        <c:axId val="3671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Components Value at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Data!$AB$907</c:f>
              <c:strCache>
                <c:ptCount val="1"/>
                <c:pt idx="0">
                  <c:v>Relative Component Var NESN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Data!$AB$908:$AB$1470</c:f>
              <c:numCache>
                <c:formatCode>0.00%</c:formatCode>
                <c:ptCount val="563"/>
                <c:pt idx="0">
                  <c:v>-5.0836427331913354E-2</c:v>
                </c:pt>
                <c:pt idx="1">
                  <c:v>-5.117521499917925E-2</c:v>
                </c:pt>
                <c:pt idx="2">
                  <c:v>-4.9750681208108632E-2</c:v>
                </c:pt>
                <c:pt idx="3">
                  <c:v>-5.0318027272432016E-2</c:v>
                </c:pt>
                <c:pt idx="4">
                  <c:v>-5.0167306928296393E-2</c:v>
                </c:pt>
                <c:pt idx="5">
                  <c:v>-5.0995637521622068E-2</c:v>
                </c:pt>
                <c:pt idx="6">
                  <c:v>-5.0837319061629117E-2</c:v>
                </c:pt>
                <c:pt idx="7">
                  <c:v>-5.0499156934565199E-2</c:v>
                </c:pt>
                <c:pt idx="8">
                  <c:v>-5.0842392497177452E-2</c:v>
                </c:pt>
                <c:pt idx="9">
                  <c:v>-5.2350726289954484E-2</c:v>
                </c:pt>
                <c:pt idx="10">
                  <c:v>-5.2020079699591264E-2</c:v>
                </c:pt>
                <c:pt idx="11">
                  <c:v>-5.3067019955036522E-2</c:v>
                </c:pt>
                <c:pt idx="12">
                  <c:v>-5.2495949568789779E-2</c:v>
                </c:pt>
                <c:pt idx="13">
                  <c:v>-5.2541502664202058E-2</c:v>
                </c:pt>
                <c:pt idx="14">
                  <c:v>-5.2327939608021845E-2</c:v>
                </c:pt>
                <c:pt idx="15">
                  <c:v>-5.2174817790617702E-2</c:v>
                </c:pt>
                <c:pt idx="16">
                  <c:v>-5.2471357825429513E-2</c:v>
                </c:pt>
                <c:pt idx="17">
                  <c:v>-5.2943718347151926E-2</c:v>
                </c:pt>
                <c:pt idx="18">
                  <c:v>-5.2973555536014488E-2</c:v>
                </c:pt>
                <c:pt idx="19">
                  <c:v>-5.2627189666035183E-2</c:v>
                </c:pt>
                <c:pt idx="20">
                  <c:v>-5.2604752498828802E-2</c:v>
                </c:pt>
                <c:pt idx="21">
                  <c:v>-5.2352362389624589E-2</c:v>
                </c:pt>
                <c:pt idx="22">
                  <c:v>-5.2415226943030691E-2</c:v>
                </c:pt>
                <c:pt idx="23">
                  <c:v>-5.2447832622508635E-2</c:v>
                </c:pt>
                <c:pt idx="24">
                  <c:v>-5.2361287077818598E-2</c:v>
                </c:pt>
                <c:pt idx="25">
                  <c:v>-5.2271039814413688E-2</c:v>
                </c:pt>
                <c:pt idx="26">
                  <c:v>-5.223532335545255E-2</c:v>
                </c:pt>
                <c:pt idx="27">
                  <c:v>-5.2207133250457005E-2</c:v>
                </c:pt>
                <c:pt idx="28">
                  <c:v>-5.2346168290389759E-2</c:v>
                </c:pt>
                <c:pt idx="29">
                  <c:v>-5.1102082332714766E-2</c:v>
                </c:pt>
                <c:pt idx="30">
                  <c:v>-5.0792589009830587E-2</c:v>
                </c:pt>
                <c:pt idx="31">
                  <c:v>-5.0824767771551052E-2</c:v>
                </c:pt>
                <c:pt idx="32">
                  <c:v>-5.0618033107236657E-2</c:v>
                </c:pt>
                <c:pt idx="33">
                  <c:v>-4.9928057901182002E-2</c:v>
                </c:pt>
                <c:pt idx="34">
                  <c:v>-4.9862249991025093E-2</c:v>
                </c:pt>
                <c:pt idx="35">
                  <c:v>-4.956528158249094E-2</c:v>
                </c:pt>
                <c:pt idx="36">
                  <c:v>-4.9743787882396008E-2</c:v>
                </c:pt>
                <c:pt idx="37">
                  <c:v>-5.0244977073432645E-2</c:v>
                </c:pt>
                <c:pt idx="38">
                  <c:v>-5.0208231095231565E-2</c:v>
                </c:pt>
                <c:pt idx="39">
                  <c:v>-5.0182373993480155E-2</c:v>
                </c:pt>
                <c:pt idx="40">
                  <c:v>-5.0021659158648243E-2</c:v>
                </c:pt>
                <c:pt idx="41">
                  <c:v>-5.0252803220973252E-2</c:v>
                </c:pt>
                <c:pt idx="42">
                  <c:v>-4.9968615341820039E-2</c:v>
                </c:pt>
                <c:pt idx="43">
                  <c:v>-5.0079113182741088E-2</c:v>
                </c:pt>
                <c:pt idx="44">
                  <c:v>-4.938430601697183E-2</c:v>
                </c:pt>
                <c:pt idx="45">
                  <c:v>-4.9563515203054374E-2</c:v>
                </c:pt>
                <c:pt idx="46">
                  <c:v>-4.9339430922083559E-2</c:v>
                </c:pt>
                <c:pt idx="47">
                  <c:v>-4.8921680519750745E-2</c:v>
                </c:pt>
                <c:pt idx="48">
                  <c:v>-4.7984391292023913E-2</c:v>
                </c:pt>
                <c:pt idx="49">
                  <c:v>-4.7176653373675749E-2</c:v>
                </c:pt>
                <c:pt idx="50">
                  <c:v>-4.7360073646638752E-2</c:v>
                </c:pt>
                <c:pt idx="51">
                  <c:v>-4.7339174780022371E-2</c:v>
                </c:pt>
                <c:pt idx="52">
                  <c:v>-4.7816335549291877E-2</c:v>
                </c:pt>
                <c:pt idx="53">
                  <c:v>-4.8203064302092306E-2</c:v>
                </c:pt>
                <c:pt idx="54">
                  <c:v>-4.8379181890452774E-2</c:v>
                </c:pt>
                <c:pt idx="55">
                  <c:v>-4.821194974858569E-2</c:v>
                </c:pt>
                <c:pt idx="56">
                  <c:v>-4.8020812292681084E-2</c:v>
                </c:pt>
                <c:pt idx="57">
                  <c:v>-4.7900843353938675E-2</c:v>
                </c:pt>
                <c:pt idx="58">
                  <c:v>-4.815617021495186E-2</c:v>
                </c:pt>
                <c:pt idx="59">
                  <c:v>-4.8100642203540774E-2</c:v>
                </c:pt>
                <c:pt idx="60">
                  <c:v>-4.8251007768148488E-2</c:v>
                </c:pt>
                <c:pt idx="61">
                  <c:v>-4.8341919922958741E-2</c:v>
                </c:pt>
                <c:pt idx="62">
                  <c:v>-4.8271731490474847E-2</c:v>
                </c:pt>
                <c:pt idx="63">
                  <c:v>-4.8387103773081051E-2</c:v>
                </c:pt>
                <c:pt idx="64">
                  <c:v>-4.8534245655249095E-2</c:v>
                </c:pt>
                <c:pt idx="65">
                  <c:v>-4.8230202567880541E-2</c:v>
                </c:pt>
                <c:pt idx="66">
                  <c:v>-4.8119016252644205E-2</c:v>
                </c:pt>
                <c:pt idx="67">
                  <c:v>-4.8005453554997142E-2</c:v>
                </c:pt>
                <c:pt idx="68">
                  <c:v>-4.8054190136757428E-2</c:v>
                </c:pt>
                <c:pt idx="69">
                  <c:v>-4.7861647618947754E-2</c:v>
                </c:pt>
                <c:pt idx="70">
                  <c:v>-4.815236254880112E-2</c:v>
                </c:pt>
                <c:pt idx="71">
                  <c:v>-4.8199963695713784E-2</c:v>
                </c:pt>
                <c:pt idx="72">
                  <c:v>-4.7814297516007763E-2</c:v>
                </c:pt>
                <c:pt idx="73">
                  <c:v>-4.6276069314296293E-2</c:v>
                </c:pt>
                <c:pt idx="74">
                  <c:v>-4.6235141066721747E-2</c:v>
                </c:pt>
                <c:pt idx="75">
                  <c:v>-4.643266274822086E-2</c:v>
                </c:pt>
                <c:pt idx="76">
                  <c:v>-4.6355610130229534E-2</c:v>
                </c:pt>
                <c:pt idx="77">
                  <c:v>-4.7213951102940722E-2</c:v>
                </c:pt>
                <c:pt idx="78">
                  <c:v>-4.6948656401394957E-2</c:v>
                </c:pt>
                <c:pt idx="79">
                  <c:v>-4.6812750296370303E-2</c:v>
                </c:pt>
                <c:pt idx="80">
                  <c:v>-4.7158188404894892E-2</c:v>
                </c:pt>
                <c:pt idx="81">
                  <c:v>-4.7202348023727893E-2</c:v>
                </c:pt>
                <c:pt idx="82">
                  <c:v>-4.623642836938701E-2</c:v>
                </c:pt>
                <c:pt idx="83">
                  <c:v>-4.6120295677994236E-2</c:v>
                </c:pt>
                <c:pt idx="84">
                  <c:v>-4.6533915233686281E-2</c:v>
                </c:pt>
                <c:pt idx="85">
                  <c:v>-4.9907676575940987E-2</c:v>
                </c:pt>
                <c:pt idx="86">
                  <c:v>-5.0305513712266964E-2</c:v>
                </c:pt>
                <c:pt idx="87">
                  <c:v>-4.942482120677294E-2</c:v>
                </c:pt>
                <c:pt idx="88">
                  <c:v>-4.9933228691268254E-2</c:v>
                </c:pt>
                <c:pt idx="89">
                  <c:v>-4.9883293181264818E-2</c:v>
                </c:pt>
                <c:pt idx="90">
                  <c:v>-5.0161410499806325E-2</c:v>
                </c:pt>
                <c:pt idx="91">
                  <c:v>-5.0449690382079117E-2</c:v>
                </c:pt>
                <c:pt idx="92">
                  <c:v>-5.0935700152990301E-2</c:v>
                </c:pt>
                <c:pt idx="93">
                  <c:v>-5.0972548270398703E-2</c:v>
                </c:pt>
                <c:pt idx="94">
                  <c:v>-5.087558347516602E-2</c:v>
                </c:pt>
                <c:pt idx="95">
                  <c:v>-5.0941749004774238E-2</c:v>
                </c:pt>
                <c:pt idx="96">
                  <c:v>-5.1501215857787878E-2</c:v>
                </c:pt>
                <c:pt idx="97">
                  <c:v>-5.2239703906648928E-2</c:v>
                </c:pt>
                <c:pt idx="98">
                  <c:v>-5.2928541147047661E-2</c:v>
                </c:pt>
                <c:pt idx="99">
                  <c:v>-5.2126300760994705E-2</c:v>
                </c:pt>
                <c:pt idx="100">
                  <c:v>-5.2224690400223997E-2</c:v>
                </c:pt>
                <c:pt idx="101">
                  <c:v>-5.1876689227888934E-2</c:v>
                </c:pt>
                <c:pt idx="102">
                  <c:v>-5.1934314584794285E-2</c:v>
                </c:pt>
                <c:pt idx="103">
                  <c:v>-5.2691013585518406E-2</c:v>
                </c:pt>
                <c:pt idx="104">
                  <c:v>-5.4417349990305078E-2</c:v>
                </c:pt>
                <c:pt idx="105">
                  <c:v>-5.3843555860228029E-2</c:v>
                </c:pt>
                <c:pt idx="106">
                  <c:v>-5.4050151501973689E-2</c:v>
                </c:pt>
                <c:pt idx="107">
                  <c:v>-5.3575653539335071E-2</c:v>
                </c:pt>
                <c:pt idx="108">
                  <c:v>-5.4318264045947383E-2</c:v>
                </c:pt>
                <c:pt idx="109">
                  <c:v>-5.387135625308364E-2</c:v>
                </c:pt>
                <c:pt idx="110">
                  <c:v>-5.4386257736849339E-2</c:v>
                </c:pt>
                <c:pt idx="111">
                  <c:v>-5.4265257686871904E-2</c:v>
                </c:pt>
                <c:pt idx="112">
                  <c:v>-5.4356527374927584E-2</c:v>
                </c:pt>
                <c:pt idx="113">
                  <c:v>-5.3986114522092343E-2</c:v>
                </c:pt>
                <c:pt idx="114">
                  <c:v>-5.4087023958388582E-2</c:v>
                </c:pt>
                <c:pt idx="115">
                  <c:v>-5.4173964818818726E-2</c:v>
                </c:pt>
                <c:pt idx="116">
                  <c:v>-5.4102976570190052E-2</c:v>
                </c:pt>
                <c:pt idx="117">
                  <c:v>-5.4153676685113915E-2</c:v>
                </c:pt>
                <c:pt idx="118">
                  <c:v>-5.4351052834265917E-2</c:v>
                </c:pt>
                <c:pt idx="119">
                  <c:v>-5.3917240038046182E-2</c:v>
                </c:pt>
                <c:pt idx="120">
                  <c:v>-5.3087638253142437E-2</c:v>
                </c:pt>
                <c:pt idx="121">
                  <c:v>-5.3746470878878884E-2</c:v>
                </c:pt>
                <c:pt idx="122">
                  <c:v>-5.3475751856983417E-2</c:v>
                </c:pt>
                <c:pt idx="123">
                  <c:v>-5.3780336515556207E-2</c:v>
                </c:pt>
                <c:pt idx="124">
                  <c:v>-5.302911519352347E-2</c:v>
                </c:pt>
                <c:pt idx="125">
                  <c:v>-5.2796195222348963E-2</c:v>
                </c:pt>
                <c:pt idx="126">
                  <c:v>-5.2585269515374289E-2</c:v>
                </c:pt>
                <c:pt idx="127">
                  <c:v>-5.2892892420245904E-2</c:v>
                </c:pt>
                <c:pt idx="128">
                  <c:v>-5.2808465271730012E-2</c:v>
                </c:pt>
                <c:pt idx="129">
                  <c:v>-5.3157428555219051E-2</c:v>
                </c:pt>
                <c:pt idx="130">
                  <c:v>-5.3944841032646081E-2</c:v>
                </c:pt>
                <c:pt idx="131">
                  <c:v>-5.3905465374518395E-2</c:v>
                </c:pt>
                <c:pt idx="132">
                  <c:v>-5.3955561924655573E-2</c:v>
                </c:pt>
                <c:pt idx="133">
                  <c:v>-5.4828944945221982E-2</c:v>
                </c:pt>
                <c:pt idx="134">
                  <c:v>-5.5080856987047989E-2</c:v>
                </c:pt>
                <c:pt idx="135">
                  <c:v>-5.5316438487033652E-2</c:v>
                </c:pt>
                <c:pt idx="136">
                  <c:v>-5.5018317270303721E-2</c:v>
                </c:pt>
                <c:pt idx="137">
                  <c:v>-5.4895039738158548E-2</c:v>
                </c:pt>
                <c:pt idx="138">
                  <c:v>-5.500235898900397E-2</c:v>
                </c:pt>
                <c:pt idx="139">
                  <c:v>-5.5135900620610891E-2</c:v>
                </c:pt>
                <c:pt idx="140">
                  <c:v>-5.5376862987773626E-2</c:v>
                </c:pt>
                <c:pt idx="141">
                  <c:v>-5.5265857678824512E-2</c:v>
                </c:pt>
                <c:pt idx="142">
                  <c:v>-5.4933362883898926E-2</c:v>
                </c:pt>
                <c:pt idx="143">
                  <c:v>-5.4927373912257202E-2</c:v>
                </c:pt>
                <c:pt idx="144">
                  <c:v>-5.4373272943254461E-2</c:v>
                </c:pt>
                <c:pt idx="145">
                  <c:v>-5.4000784462719546E-2</c:v>
                </c:pt>
                <c:pt idx="146">
                  <c:v>-5.4166323743497405E-2</c:v>
                </c:pt>
                <c:pt idx="147">
                  <c:v>-5.4299928076304647E-2</c:v>
                </c:pt>
                <c:pt idx="148">
                  <c:v>-5.4489795846095652E-2</c:v>
                </c:pt>
                <c:pt idx="149">
                  <c:v>-5.3702733762526114E-2</c:v>
                </c:pt>
                <c:pt idx="150">
                  <c:v>-5.4511171784235903E-2</c:v>
                </c:pt>
                <c:pt idx="151">
                  <c:v>-5.4457332107702795E-2</c:v>
                </c:pt>
                <c:pt idx="152">
                  <c:v>-5.2989690992349479E-2</c:v>
                </c:pt>
                <c:pt idx="153">
                  <c:v>-5.3270416701231255E-2</c:v>
                </c:pt>
                <c:pt idx="154">
                  <c:v>-5.3147684351890608E-2</c:v>
                </c:pt>
                <c:pt idx="155">
                  <c:v>-5.2679794974194644E-2</c:v>
                </c:pt>
                <c:pt idx="156">
                  <c:v>-5.2369472500500384E-2</c:v>
                </c:pt>
                <c:pt idx="157">
                  <c:v>-5.2623499803280155E-2</c:v>
                </c:pt>
                <c:pt idx="158">
                  <c:v>-5.2639193005825674E-2</c:v>
                </c:pt>
                <c:pt idx="159">
                  <c:v>-5.4265059456779036E-2</c:v>
                </c:pt>
                <c:pt idx="160">
                  <c:v>-5.4251635905970597E-2</c:v>
                </c:pt>
                <c:pt idx="161">
                  <c:v>-5.4722193008853164E-2</c:v>
                </c:pt>
                <c:pt idx="162">
                  <c:v>-5.4623561529804888E-2</c:v>
                </c:pt>
                <c:pt idx="163">
                  <c:v>-5.4440952153917026E-2</c:v>
                </c:pt>
                <c:pt idx="164">
                  <c:v>-5.4343406077043632E-2</c:v>
                </c:pt>
                <c:pt idx="165">
                  <c:v>-5.3904903505734382E-2</c:v>
                </c:pt>
                <c:pt idx="166">
                  <c:v>-5.396909204703542E-2</c:v>
                </c:pt>
                <c:pt idx="167">
                  <c:v>-5.3849477448652178E-2</c:v>
                </c:pt>
                <c:pt idx="168">
                  <c:v>-5.4852396511847402E-2</c:v>
                </c:pt>
                <c:pt idx="169">
                  <c:v>-5.5201421173683062E-2</c:v>
                </c:pt>
                <c:pt idx="170">
                  <c:v>-5.4674557119795145E-2</c:v>
                </c:pt>
                <c:pt idx="171">
                  <c:v>-5.5212660218985084E-2</c:v>
                </c:pt>
                <c:pt idx="172">
                  <c:v>-5.5570462544281059E-2</c:v>
                </c:pt>
                <c:pt idx="173">
                  <c:v>-5.5659893873762502E-2</c:v>
                </c:pt>
                <c:pt idx="174">
                  <c:v>-5.5946997918690941E-2</c:v>
                </c:pt>
                <c:pt idx="175">
                  <c:v>-5.5743470778821635E-2</c:v>
                </c:pt>
                <c:pt idx="176">
                  <c:v>-5.6576683482383212E-2</c:v>
                </c:pt>
                <c:pt idx="177">
                  <c:v>-5.647359571480437E-2</c:v>
                </c:pt>
                <c:pt idx="178">
                  <c:v>-5.6601674539257747E-2</c:v>
                </c:pt>
                <c:pt idx="179">
                  <c:v>-5.646257176365873E-2</c:v>
                </c:pt>
                <c:pt idx="180">
                  <c:v>-5.6523249956551461E-2</c:v>
                </c:pt>
                <c:pt idx="181">
                  <c:v>-5.6351170635068046E-2</c:v>
                </c:pt>
                <c:pt idx="182">
                  <c:v>-5.6620393448662744E-2</c:v>
                </c:pt>
                <c:pt idx="183">
                  <c:v>-5.7018474094567534E-2</c:v>
                </c:pt>
                <c:pt idx="184">
                  <c:v>-5.6548537478166322E-2</c:v>
                </c:pt>
                <c:pt idx="185">
                  <c:v>-5.6070581883347431E-2</c:v>
                </c:pt>
                <c:pt idx="186">
                  <c:v>-5.5876814264914566E-2</c:v>
                </c:pt>
                <c:pt idx="187">
                  <c:v>-5.5999529812936176E-2</c:v>
                </c:pt>
                <c:pt idx="188">
                  <c:v>-5.5817364688697454E-2</c:v>
                </c:pt>
                <c:pt idx="189">
                  <c:v>-5.5690143760779937E-2</c:v>
                </c:pt>
                <c:pt idx="190">
                  <c:v>-5.5356474940280641E-2</c:v>
                </c:pt>
                <c:pt idx="191">
                  <c:v>-5.5615404153503474E-2</c:v>
                </c:pt>
                <c:pt idx="192">
                  <c:v>-5.5190506665635158E-2</c:v>
                </c:pt>
                <c:pt idx="193">
                  <c:v>-5.4607810291320988E-2</c:v>
                </c:pt>
                <c:pt idx="194">
                  <c:v>-5.466404872804765E-2</c:v>
                </c:pt>
                <c:pt idx="195">
                  <c:v>-5.4333107547613564E-2</c:v>
                </c:pt>
                <c:pt idx="196">
                  <c:v>-5.393654473062226E-2</c:v>
                </c:pt>
                <c:pt idx="197">
                  <c:v>-5.4485551672145416E-2</c:v>
                </c:pt>
                <c:pt idx="198">
                  <c:v>-5.4472200314336347E-2</c:v>
                </c:pt>
                <c:pt idx="199">
                  <c:v>-5.4605608270858946E-2</c:v>
                </c:pt>
                <c:pt idx="200">
                  <c:v>-5.4696508621876749E-2</c:v>
                </c:pt>
                <c:pt idx="201">
                  <c:v>-5.4667791438671634E-2</c:v>
                </c:pt>
                <c:pt idx="202">
                  <c:v>-5.4414328600497983E-2</c:v>
                </c:pt>
                <c:pt idx="203">
                  <c:v>-5.4557220899481999E-2</c:v>
                </c:pt>
                <c:pt idx="204">
                  <c:v>-5.4362112515187862E-2</c:v>
                </c:pt>
                <c:pt idx="205">
                  <c:v>-5.4398436022540492E-2</c:v>
                </c:pt>
                <c:pt idx="206">
                  <c:v>-5.4450975827285426E-2</c:v>
                </c:pt>
                <c:pt idx="207">
                  <c:v>-5.4794120749149931E-2</c:v>
                </c:pt>
                <c:pt idx="208">
                  <c:v>-5.4920403901646431E-2</c:v>
                </c:pt>
                <c:pt idx="209">
                  <c:v>-5.508694380796747E-2</c:v>
                </c:pt>
                <c:pt idx="210">
                  <c:v>-5.5293609219477638E-2</c:v>
                </c:pt>
                <c:pt idx="211">
                  <c:v>-5.5566043812625282E-2</c:v>
                </c:pt>
                <c:pt idx="212">
                  <c:v>-5.5251334673692289E-2</c:v>
                </c:pt>
                <c:pt idx="213">
                  <c:v>-5.5513194191963808E-2</c:v>
                </c:pt>
                <c:pt idx="214">
                  <c:v>-5.5300538878351492E-2</c:v>
                </c:pt>
                <c:pt idx="215">
                  <c:v>-5.5283773209643193E-2</c:v>
                </c:pt>
                <c:pt idx="216">
                  <c:v>-5.5007060963590516E-2</c:v>
                </c:pt>
                <c:pt idx="217">
                  <c:v>-5.4751112948678647E-2</c:v>
                </c:pt>
                <c:pt idx="218">
                  <c:v>-5.4664600025955766E-2</c:v>
                </c:pt>
                <c:pt idx="219">
                  <c:v>-5.4490726114255192E-2</c:v>
                </c:pt>
                <c:pt idx="220">
                  <c:v>-5.3799886119308825E-2</c:v>
                </c:pt>
                <c:pt idx="221">
                  <c:v>-5.3889026760831966E-2</c:v>
                </c:pt>
                <c:pt idx="222">
                  <c:v>-5.3619465716498171E-2</c:v>
                </c:pt>
                <c:pt idx="223">
                  <c:v>-5.3604396388230252E-2</c:v>
                </c:pt>
                <c:pt idx="224">
                  <c:v>-5.2841936032140831E-2</c:v>
                </c:pt>
                <c:pt idx="225">
                  <c:v>-5.356848592515024E-2</c:v>
                </c:pt>
                <c:pt idx="226">
                  <c:v>-5.3583976645306848E-2</c:v>
                </c:pt>
                <c:pt idx="227">
                  <c:v>-5.3442711130704E-2</c:v>
                </c:pt>
                <c:pt idx="228">
                  <c:v>-5.3391530123712061E-2</c:v>
                </c:pt>
                <c:pt idx="229">
                  <c:v>-5.3181560949057065E-2</c:v>
                </c:pt>
                <c:pt idx="230">
                  <c:v>-5.2799323994818119E-2</c:v>
                </c:pt>
                <c:pt idx="231">
                  <c:v>-5.2856472636133606E-2</c:v>
                </c:pt>
                <c:pt idx="232">
                  <c:v>-5.2561030465029392E-2</c:v>
                </c:pt>
                <c:pt idx="233">
                  <c:v>-5.2271781610277658E-2</c:v>
                </c:pt>
                <c:pt idx="234">
                  <c:v>-5.2235383134121696E-2</c:v>
                </c:pt>
                <c:pt idx="235">
                  <c:v>-5.2103313164687394E-2</c:v>
                </c:pt>
                <c:pt idx="236">
                  <c:v>-5.2457452087408311E-2</c:v>
                </c:pt>
                <c:pt idx="237">
                  <c:v>-5.2512669168097999E-2</c:v>
                </c:pt>
                <c:pt idx="238">
                  <c:v>-5.2793680183661484E-2</c:v>
                </c:pt>
                <c:pt idx="239">
                  <c:v>-5.2680924804875101E-2</c:v>
                </c:pt>
                <c:pt idx="240">
                  <c:v>-5.264971425758088E-2</c:v>
                </c:pt>
                <c:pt idx="241">
                  <c:v>-5.2567283883544848E-2</c:v>
                </c:pt>
                <c:pt idx="242">
                  <c:v>-5.2572603498517917E-2</c:v>
                </c:pt>
                <c:pt idx="243">
                  <c:v>-5.2237114721984716E-2</c:v>
                </c:pt>
                <c:pt idx="244">
                  <c:v>-5.2139571349980936E-2</c:v>
                </c:pt>
                <c:pt idx="245">
                  <c:v>-5.2176384317669022E-2</c:v>
                </c:pt>
                <c:pt idx="246">
                  <c:v>-5.1962250253599226E-2</c:v>
                </c:pt>
                <c:pt idx="247">
                  <c:v>-5.2061859034348644E-2</c:v>
                </c:pt>
                <c:pt idx="248">
                  <c:v>-5.2281691139442539E-2</c:v>
                </c:pt>
                <c:pt idx="249">
                  <c:v>-5.2311746815177418E-2</c:v>
                </c:pt>
                <c:pt idx="250">
                  <c:v>-5.1940980279749346E-2</c:v>
                </c:pt>
                <c:pt idx="251">
                  <c:v>-5.164325818576327E-2</c:v>
                </c:pt>
                <c:pt idx="252">
                  <c:v>-5.1651728280868163E-2</c:v>
                </c:pt>
                <c:pt idx="253">
                  <c:v>-5.1605868411598768E-2</c:v>
                </c:pt>
                <c:pt idx="254">
                  <c:v>-5.3060677074753641E-2</c:v>
                </c:pt>
                <c:pt idx="255">
                  <c:v>-5.2952441679951535E-2</c:v>
                </c:pt>
                <c:pt idx="256">
                  <c:v>-5.2749565451476237E-2</c:v>
                </c:pt>
                <c:pt idx="257">
                  <c:v>-5.2778277434406634E-2</c:v>
                </c:pt>
                <c:pt idx="258">
                  <c:v>-5.2596582439708814E-2</c:v>
                </c:pt>
                <c:pt idx="259">
                  <c:v>-5.2687895865007411E-2</c:v>
                </c:pt>
                <c:pt idx="260">
                  <c:v>-5.2909799664453486E-2</c:v>
                </c:pt>
                <c:pt idx="261">
                  <c:v>-5.2782093482678552E-2</c:v>
                </c:pt>
                <c:pt idx="262">
                  <c:v>-5.2866687989676177E-2</c:v>
                </c:pt>
                <c:pt idx="263">
                  <c:v>-5.3946479367889474E-2</c:v>
                </c:pt>
                <c:pt idx="264">
                  <c:v>-5.3643738234815427E-2</c:v>
                </c:pt>
                <c:pt idx="265">
                  <c:v>-5.3701463339635915E-2</c:v>
                </c:pt>
                <c:pt idx="266">
                  <c:v>-5.3490342102450919E-2</c:v>
                </c:pt>
                <c:pt idx="267">
                  <c:v>-5.3335930869700433E-2</c:v>
                </c:pt>
                <c:pt idx="268">
                  <c:v>-5.3568351450637083E-2</c:v>
                </c:pt>
                <c:pt idx="269">
                  <c:v>-5.364408291018391E-2</c:v>
                </c:pt>
                <c:pt idx="270">
                  <c:v>-5.360314707897542E-2</c:v>
                </c:pt>
                <c:pt idx="271">
                  <c:v>-5.382725632618765E-2</c:v>
                </c:pt>
                <c:pt idx="272">
                  <c:v>-5.3990008987300685E-2</c:v>
                </c:pt>
                <c:pt idx="273">
                  <c:v>-5.5037771188362748E-2</c:v>
                </c:pt>
                <c:pt idx="274">
                  <c:v>-5.5142878867148103E-2</c:v>
                </c:pt>
                <c:pt idx="275">
                  <c:v>-5.527730040802805E-2</c:v>
                </c:pt>
                <c:pt idx="276">
                  <c:v>-5.5136712582181654E-2</c:v>
                </c:pt>
                <c:pt idx="277">
                  <c:v>-5.5312044737634063E-2</c:v>
                </c:pt>
                <c:pt idx="278">
                  <c:v>-5.535335628248661E-2</c:v>
                </c:pt>
                <c:pt idx="279">
                  <c:v>-5.5116196714081585E-2</c:v>
                </c:pt>
                <c:pt idx="280">
                  <c:v>-5.4961738533810124E-2</c:v>
                </c:pt>
                <c:pt idx="281">
                  <c:v>-5.514856709054089E-2</c:v>
                </c:pt>
                <c:pt idx="282">
                  <c:v>-5.5594996915399694E-2</c:v>
                </c:pt>
                <c:pt idx="283">
                  <c:v>-5.5646608400044095E-2</c:v>
                </c:pt>
                <c:pt idx="284">
                  <c:v>-5.5545198094717391E-2</c:v>
                </c:pt>
                <c:pt idx="285">
                  <c:v>-5.5187921202322208E-2</c:v>
                </c:pt>
                <c:pt idx="286">
                  <c:v>-5.5170431167101991E-2</c:v>
                </c:pt>
                <c:pt idx="287">
                  <c:v>-5.4954738947998551E-2</c:v>
                </c:pt>
                <c:pt idx="288">
                  <c:v>-5.4841353841565021E-2</c:v>
                </c:pt>
                <c:pt idx="289">
                  <c:v>-5.482864928713644E-2</c:v>
                </c:pt>
                <c:pt idx="290">
                  <c:v>-5.499740697434341E-2</c:v>
                </c:pt>
                <c:pt idx="291">
                  <c:v>-5.4946825303218157E-2</c:v>
                </c:pt>
                <c:pt idx="292">
                  <c:v>-5.4056479533714508E-2</c:v>
                </c:pt>
                <c:pt idx="293">
                  <c:v>-5.4769697809847813E-2</c:v>
                </c:pt>
                <c:pt idx="294">
                  <c:v>-5.4355820934709219E-2</c:v>
                </c:pt>
                <c:pt idx="295">
                  <c:v>-5.4107754537465851E-2</c:v>
                </c:pt>
                <c:pt idx="296">
                  <c:v>-5.3372238901242229E-2</c:v>
                </c:pt>
                <c:pt idx="297">
                  <c:v>-5.3426695137538338E-2</c:v>
                </c:pt>
                <c:pt idx="298">
                  <c:v>-5.3310703457259967E-2</c:v>
                </c:pt>
                <c:pt idx="299">
                  <c:v>-5.336576997874868E-2</c:v>
                </c:pt>
                <c:pt idx="300">
                  <c:v>-5.3081342825344324E-2</c:v>
                </c:pt>
                <c:pt idx="301">
                  <c:v>-5.2702751841768987E-2</c:v>
                </c:pt>
                <c:pt idx="302">
                  <c:v>-5.2508212212191575E-2</c:v>
                </c:pt>
                <c:pt idx="303">
                  <c:v>-5.2307034611082222E-2</c:v>
                </c:pt>
                <c:pt idx="304">
                  <c:v>-5.3163504283025083E-2</c:v>
                </c:pt>
                <c:pt idx="305">
                  <c:v>-5.3407935498269561E-2</c:v>
                </c:pt>
                <c:pt idx="306">
                  <c:v>-5.3432406999508006E-2</c:v>
                </c:pt>
                <c:pt idx="307">
                  <c:v>-5.2531597098294004E-2</c:v>
                </c:pt>
                <c:pt idx="308">
                  <c:v>-5.2130306064581564E-2</c:v>
                </c:pt>
                <c:pt idx="309">
                  <c:v>-5.2135672574818943E-2</c:v>
                </c:pt>
                <c:pt idx="310">
                  <c:v>-5.215971401609136E-2</c:v>
                </c:pt>
                <c:pt idx="311">
                  <c:v>-5.1553192886408791E-2</c:v>
                </c:pt>
                <c:pt idx="312">
                  <c:v>-5.1157438324316656E-2</c:v>
                </c:pt>
                <c:pt idx="313">
                  <c:v>-5.1499350158059343E-2</c:v>
                </c:pt>
                <c:pt idx="314">
                  <c:v>-5.1327475766823803E-2</c:v>
                </c:pt>
                <c:pt idx="315">
                  <c:v>-5.1192010510145915E-2</c:v>
                </c:pt>
                <c:pt idx="316">
                  <c:v>-5.1191305327181198E-2</c:v>
                </c:pt>
                <c:pt idx="317">
                  <c:v>-5.0262753539486615E-2</c:v>
                </c:pt>
                <c:pt idx="318">
                  <c:v>-5.0399913909851116E-2</c:v>
                </c:pt>
                <c:pt idx="319">
                  <c:v>-5.0334162382849108E-2</c:v>
                </c:pt>
                <c:pt idx="320">
                  <c:v>-4.989784445639215E-2</c:v>
                </c:pt>
                <c:pt idx="321">
                  <c:v>-4.9550437510672327E-2</c:v>
                </c:pt>
                <c:pt idx="322">
                  <c:v>-4.905322253049315E-2</c:v>
                </c:pt>
                <c:pt idx="323">
                  <c:v>-4.8618832353434047E-2</c:v>
                </c:pt>
                <c:pt idx="324">
                  <c:v>-4.8304935012041132E-2</c:v>
                </c:pt>
                <c:pt idx="325">
                  <c:v>-4.7824297389059453E-2</c:v>
                </c:pt>
                <c:pt idx="326">
                  <c:v>-4.7783301166148928E-2</c:v>
                </c:pt>
                <c:pt idx="327">
                  <c:v>-4.8106988245165065E-2</c:v>
                </c:pt>
                <c:pt idx="328">
                  <c:v>-4.8230986453282124E-2</c:v>
                </c:pt>
                <c:pt idx="329">
                  <c:v>-4.8306979674595199E-2</c:v>
                </c:pt>
                <c:pt idx="330">
                  <c:v>-4.8136309090772607E-2</c:v>
                </c:pt>
                <c:pt idx="331">
                  <c:v>-4.8141431543577431E-2</c:v>
                </c:pt>
                <c:pt idx="332">
                  <c:v>-4.8498181273139672E-2</c:v>
                </c:pt>
                <c:pt idx="333">
                  <c:v>-4.8157586602121605E-2</c:v>
                </c:pt>
                <c:pt idx="334">
                  <c:v>-4.9247345995192614E-2</c:v>
                </c:pt>
                <c:pt idx="335">
                  <c:v>-5.0124215004624315E-2</c:v>
                </c:pt>
                <c:pt idx="336">
                  <c:v>-4.9923086961956971E-2</c:v>
                </c:pt>
                <c:pt idx="337">
                  <c:v>-4.9988571383922133E-2</c:v>
                </c:pt>
                <c:pt idx="338">
                  <c:v>-5.0793296516156064E-2</c:v>
                </c:pt>
                <c:pt idx="339">
                  <c:v>-5.0596506612536792E-2</c:v>
                </c:pt>
                <c:pt idx="340">
                  <c:v>-5.0840417961648253E-2</c:v>
                </c:pt>
                <c:pt idx="341">
                  <c:v>-5.0707410311055183E-2</c:v>
                </c:pt>
                <c:pt idx="342">
                  <c:v>-5.0332162660386599E-2</c:v>
                </c:pt>
                <c:pt idx="343">
                  <c:v>-5.2803154056051918E-2</c:v>
                </c:pt>
                <c:pt idx="344">
                  <c:v>-5.2805598362626688E-2</c:v>
                </c:pt>
                <c:pt idx="345">
                  <c:v>-5.2715917625110222E-2</c:v>
                </c:pt>
                <c:pt idx="346">
                  <c:v>-5.308324402267172E-2</c:v>
                </c:pt>
                <c:pt idx="347">
                  <c:v>-5.3138333276830353E-2</c:v>
                </c:pt>
                <c:pt idx="348">
                  <c:v>-5.2790893863009836E-2</c:v>
                </c:pt>
                <c:pt idx="349">
                  <c:v>-5.3147603868920992E-2</c:v>
                </c:pt>
                <c:pt idx="350">
                  <c:v>-5.3536281588410936E-2</c:v>
                </c:pt>
                <c:pt idx="351">
                  <c:v>-5.349506550222987E-2</c:v>
                </c:pt>
                <c:pt idx="352">
                  <c:v>-5.3019870208385667E-2</c:v>
                </c:pt>
                <c:pt idx="353">
                  <c:v>-5.3229033829063549E-2</c:v>
                </c:pt>
                <c:pt idx="354">
                  <c:v>-5.3339873429993134E-2</c:v>
                </c:pt>
                <c:pt idx="355">
                  <c:v>-5.2992791512724666E-2</c:v>
                </c:pt>
                <c:pt idx="356">
                  <c:v>-5.2356362184872558E-2</c:v>
                </c:pt>
                <c:pt idx="357">
                  <c:v>-5.2543819254491579E-2</c:v>
                </c:pt>
                <c:pt idx="358">
                  <c:v>-5.2658213456044212E-2</c:v>
                </c:pt>
                <c:pt idx="359">
                  <c:v>-5.2398224165867473E-2</c:v>
                </c:pt>
                <c:pt idx="360">
                  <c:v>-5.2904120972731332E-2</c:v>
                </c:pt>
                <c:pt idx="361">
                  <c:v>-5.3395700434671477E-2</c:v>
                </c:pt>
                <c:pt idx="362">
                  <c:v>-5.337572410986207E-2</c:v>
                </c:pt>
                <c:pt idx="363">
                  <c:v>-5.2012229907991446E-2</c:v>
                </c:pt>
                <c:pt idx="364">
                  <c:v>-5.1601414198059123E-2</c:v>
                </c:pt>
                <c:pt idx="365">
                  <c:v>-5.147315647250069E-2</c:v>
                </c:pt>
                <c:pt idx="366">
                  <c:v>-5.1172467130494628E-2</c:v>
                </c:pt>
                <c:pt idx="367">
                  <c:v>-5.0683918343024985E-2</c:v>
                </c:pt>
                <c:pt idx="368">
                  <c:v>-5.0091314232886069E-2</c:v>
                </c:pt>
                <c:pt idx="369">
                  <c:v>-4.9914280608633739E-2</c:v>
                </c:pt>
                <c:pt idx="370">
                  <c:v>-4.9267020848280503E-2</c:v>
                </c:pt>
                <c:pt idx="371">
                  <c:v>-5.0219221177922733E-2</c:v>
                </c:pt>
                <c:pt idx="372">
                  <c:v>-5.0089933616201808E-2</c:v>
                </c:pt>
                <c:pt idx="373">
                  <c:v>-5.045009076163038E-2</c:v>
                </c:pt>
                <c:pt idx="374">
                  <c:v>-5.1161459201589335E-2</c:v>
                </c:pt>
                <c:pt idx="375">
                  <c:v>-5.1199421456944554E-2</c:v>
                </c:pt>
                <c:pt idx="376">
                  <c:v>-5.1294957722243094E-2</c:v>
                </c:pt>
                <c:pt idx="377">
                  <c:v>-5.1089059391906028E-2</c:v>
                </c:pt>
                <c:pt idx="378">
                  <c:v>-5.1026536675323954E-2</c:v>
                </c:pt>
                <c:pt idx="379">
                  <c:v>-5.1053357111394831E-2</c:v>
                </c:pt>
                <c:pt idx="380">
                  <c:v>-5.1056408641324713E-2</c:v>
                </c:pt>
                <c:pt idx="381">
                  <c:v>-5.1429517523145223E-2</c:v>
                </c:pt>
                <c:pt idx="382">
                  <c:v>-5.2111134586454895E-2</c:v>
                </c:pt>
                <c:pt idx="383">
                  <c:v>-5.1417964079102492E-2</c:v>
                </c:pt>
                <c:pt idx="384">
                  <c:v>-5.0986119658771617E-2</c:v>
                </c:pt>
                <c:pt idx="385">
                  <c:v>-5.0665449665286556E-2</c:v>
                </c:pt>
                <c:pt idx="386">
                  <c:v>-5.0614749936679276E-2</c:v>
                </c:pt>
                <c:pt idx="387">
                  <c:v>-5.0959778188726192E-2</c:v>
                </c:pt>
                <c:pt idx="388">
                  <c:v>-5.0998115946191372E-2</c:v>
                </c:pt>
                <c:pt idx="389">
                  <c:v>-5.1112703075376381E-2</c:v>
                </c:pt>
                <c:pt idx="390">
                  <c:v>-5.0816417858542032E-2</c:v>
                </c:pt>
                <c:pt idx="391">
                  <c:v>-5.0934929764658944E-2</c:v>
                </c:pt>
                <c:pt idx="392">
                  <c:v>-5.0786307026842233E-2</c:v>
                </c:pt>
                <c:pt idx="393">
                  <c:v>-5.2216928106470911E-2</c:v>
                </c:pt>
                <c:pt idx="394">
                  <c:v>-5.2426573471544634E-2</c:v>
                </c:pt>
                <c:pt idx="395">
                  <c:v>-5.2420560923708621E-2</c:v>
                </c:pt>
                <c:pt idx="396">
                  <c:v>-5.1714981633351725E-2</c:v>
                </c:pt>
                <c:pt idx="397">
                  <c:v>-5.1595508608508353E-2</c:v>
                </c:pt>
                <c:pt idx="398">
                  <c:v>-5.1827883415433859E-2</c:v>
                </c:pt>
                <c:pt idx="399">
                  <c:v>-5.208463637672698E-2</c:v>
                </c:pt>
                <c:pt idx="400">
                  <c:v>-5.2335807638852205E-2</c:v>
                </c:pt>
                <c:pt idx="401">
                  <c:v>-5.1865502920922096E-2</c:v>
                </c:pt>
                <c:pt idx="402">
                  <c:v>-5.2191440238519099E-2</c:v>
                </c:pt>
                <c:pt idx="403">
                  <c:v>-5.2592249219672385E-2</c:v>
                </c:pt>
                <c:pt idx="404">
                  <c:v>-5.2089488706718826E-2</c:v>
                </c:pt>
                <c:pt idx="405">
                  <c:v>-5.2472731722232234E-2</c:v>
                </c:pt>
                <c:pt idx="406">
                  <c:v>-5.3116735145028786E-2</c:v>
                </c:pt>
                <c:pt idx="407">
                  <c:v>-5.271060628035041E-2</c:v>
                </c:pt>
                <c:pt idx="408">
                  <c:v>-5.2563896449122009E-2</c:v>
                </c:pt>
                <c:pt idx="409">
                  <c:v>-5.1774705270128486E-2</c:v>
                </c:pt>
                <c:pt idx="410">
                  <c:v>-5.1317897158003091E-2</c:v>
                </c:pt>
                <c:pt idx="411">
                  <c:v>-5.1617465416586586E-2</c:v>
                </c:pt>
                <c:pt idx="412">
                  <c:v>-5.1402324642602124E-2</c:v>
                </c:pt>
                <c:pt idx="413">
                  <c:v>-5.1708555483230695E-2</c:v>
                </c:pt>
                <c:pt idx="414">
                  <c:v>-5.3018568243234684E-2</c:v>
                </c:pt>
                <c:pt idx="415">
                  <c:v>-5.3492528329478282E-2</c:v>
                </c:pt>
                <c:pt idx="416">
                  <c:v>-5.3278526461805753E-2</c:v>
                </c:pt>
                <c:pt idx="417">
                  <c:v>-5.3357029801373565E-2</c:v>
                </c:pt>
                <c:pt idx="418">
                  <c:v>-5.3032218938603028E-2</c:v>
                </c:pt>
                <c:pt idx="419">
                  <c:v>-5.2834728592250531E-2</c:v>
                </c:pt>
                <c:pt idx="420">
                  <c:v>-5.2748790078801767E-2</c:v>
                </c:pt>
                <c:pt idx="421">
                  <c:v>-5.2660207187831515E-2</c:v>
                </c:pt>
                <c:pt idx="422">
                  <c:v>-5.2444915012586246E-2</c:v>
                </c:pt>
                <c:pt idx="423">
                  <c:v>-5.1813989928312341E-2</c:v>
                </c:pt>
                <c:pt idx="424">
                  <c:v>-5.1705311538137073E-2</c:v>
                </c:pt>
                <c:pt idx="425">
                  <c:v>-5.1701122748728824E-2</c:v>
                </c:pt>
                <c:pt idx="426">
                  <c:v>-5.1166596052458886E-2</c:v>
                </c:pt>
                <c:pt idx="427">
                  <c:v>-5.1246903338705803E-2</c:v>
                </c:pt>
                <c:pt idx="428">
                  <c:v>-4.9758358465162814E-2</c:v>
                </c:pt>
                <c:pt idx="429">
                  <c:v>-4.9211482805805902E-2</c:v>
                </c:pt>
                <c:pt idx="430">
                  <c:v>-4.993104885359248E-2</c:v>
                </c:pt>
                <c:pt idx="431">
                  <c:v>-4.999481468571753E-2</c:v>
                </c:pt>
                <c:pt idx="432">
                  <c:v>-4.9769999572170202E-2</c:v>
                </c:pt>
                <c:pt idx="433">
                  <c:v>-5.0254219769797291E-2</c:v>
                </c:pt>
                <c:pt idx="434">
                  <c:v>-5.0409210048525235E-2</c:v>
                </c:pt>
                <c:pt idx="435">
                  <c:v>-4.9944441833279521E-2</c:v>
                </c:pt>
                <c:pt idx="436">
                  <c:v>-4.9681712888406469E-2</c:v>
                </c:pt>
                <c:pt idx="437">
                  <c:v>-4.9026639394744526E-2</c:v>
                </c:pt>
                <c:pt idx="438">
                  <c:v>-4.9498569736048915E-2</c:v>
                </c:pt>
                <c:pt idx="439">
                  <c:v>-4.9452062183723576E-2</c:v>
                </c:pt>
                <c:pt idx="440">
                  <c:v>-4.9441252773102982E-2</c:v>
                </c:pt>
                <c:pt idx="441">
                  <c:v>-4.9354554317263891E-2</c:v>
                </c:pt>
                <c:pt idx="442">
                  <c:v>-4.9336119679238635E-2</c:v>
                </c:pt>
                <c:pt idx="443">
                  <c:v>-4.9039222420281151E-2</c:v>
                </c:pt>
                <c:pt idx="444">
                  <c:v>-4.8777342637442329E-2</c:v>
                </c:pt>
                <c:pt idx="445">
                  <c:v>-4.8742208194997354E-2</c:v>
                </c:pt>
                <c:pt idx="446">
                  <c:v>-4.8684251933869931E-2</c:v>
                </c:pt>
                <c:pt idx="447">
                  <c:v>-4.8522759057904062E-2</c:v>
                </c:pt>
                <c:pt idx="448">
                  <c:v>-4.7529856327515593E-2</c:v>
                </c:pt>
                <c:pt idx="449">
                  <c:v>-4.7939958943522494E-2</c:v>
                </c:pt>
                <c:pt idx="450">
                  <c:v>-4.7730133780850635E-2</c:v>
                </c:pt>
                <c:pt idx="451">
                  <c:v>-4.7693618159973403E-2</c:v>
                </c:pt>
                <c:pt idx="452">
                  <c:v>-4.7776957812036711E-2</c:v>
                </c:pt>
                <c:pt idx="453">
                  <c:v>-4.7923850887979735E-2</c:v>
                </c:pt>
                <c:pt idx="454">
                  <c:v>-4.799837825094104E-2</c:v>
                </c:pt>
                <c:pt idx="455">
                  <c:v>-4.8343139663874192E-2</c:v>
                </c:pt>
                <c:pt idx="456">
                  <c:v>-4.8715766865248256E-2</c:v>
                </c:pt>
                <c:pt idx="457">
                  <c:v>-4.8611518461913673E-2</c:v>
                </c:pt>
                <c:pt idx="458">
                  <c:v>-4.8285205496532993E-2</c:v>
                </c:pt>
                <c:pt idx="459">
                  <c:v>-4.9647837200459566E-2</c:v>
                </c:pt>
                <c:pt idx="460">
                  <c:v>-4.9507031802252847E-2</c:v>
                </c:pt>
                <c:pt idx="461">
                  <c:v>-4.9225519349302443E-2</c:v>
                </c:pt>
                <c:pt idx="462">
                  <c:v>-4.8178264433493281E-2</c:v>
                </c:pt>
                <c:pt idx="463">
                  <c:v>-4.8086033248251697E-2</c:v>
                </c:pt>
                <c:pt idx="464">
                  <c:v>-4.7772214886227189E-2</c:v>
                </c:pt>
                <c:pt idx="465">
                  <c:v>-4.7924705312900613E-2</c:v>
                </c:pt>
                <c:pt idx="466">
                  <c:v>-4.8067223303514636E-2</c:v>
                </c:pt>
                <c:pt idx="467">
                  <c:v>-4.8740729517010327E-2</c:v>
                </c:pt>
                <c:pt idx="468">
                  <c:v>-4.869353772999243E-2</c:v>
                </c:pt>
                <c:pt idx="469">
                  <c:v>-4.9369609581192742E-2</c:v>
                </c:pt>
                <c:pt idx="470">
                  <c:v>-4.9559749656920067E-2</c:v>
                </c:pt>
                <c:pt idx="471">
                  <c:v>-4.9751942506809074E-2</c:v>
                </c:pt>
                <c:pt idx="472">
                  <c:v>-4.9428927702334521E-2</c:v>
                </c:pt>
                <c:pt idx="473">
                  <c:v>-4.9557979409873103E-2</c:v>
                </c:pt>
                <c:pt idx="474">
                  <c:v>-4.9331079710939189E-2</c:v>
                </c:pt>
                <c:pt idx="475">
                  <c:v>-4.8606373927012086E-2</c:v>
                </c:pt>
                <c:pt idx="476">
                  <c:v>-4.8599024658562764E-2</c:v>
                </c:pt>
                <c:pt idx="477">
                  <c:v>-4.8497961159851E-2</c:v>
                </c:pt>
                <c:pt idx="478">
                  <c:v>-4.8636424467507988E-2</c:v>
                </c:pt>
                <c:pt idx="479">
                  <c:v>-4.8868398462969607E-2</c:v>
                </c:pt>
                <c:pt idx="480">
                  <c:v>-4.7865016471027054E-2</c:v>
                </c:pt>
                <c:pt idx="481">
                  <c:v>-4.7497628541566708E-2</c:v>
                </c:pt>
                <c:pt idx="482">
                  <c:v>-4.5052332677225332E-2</c:v>
                </c:pt>
                <c:pt idx="483">
                  <c:v>-4.5352776072073074E-2</c:v>
                </c:pt>
                <c:pt idx="484">
                  <c:v>-4.421103349107821E-2</c:v>
                </c:pt>
                <c:pt idx="485">
                  <c:v>-4.4411156254355572E-2</c:v>
                </c:pt>
                <c:pt idx="486">
                  <c:v>-4.4252538906219871E-2</c:v>
                </c:pt>
                <c:pt idx="487">
                  <c:v>-4.4461628639569768E-2</c:v>
                </c:pt>
                <c:pt idx="488">
                  <c:v>-4.3666101571496731E-2</c:v>
                </c:pt>
                <c:pt idx="489">
                  <c:v>-4.3082666350341657E-2</c:v>
                </c:pt>
                <c:pt idx="490">
                  <c:v>-4.2550920124979588E-2</c:v>
                </c:pt>
                <c:pt idx="491">
                  <c:v>-4.2315433566981225E-2</c:v>
                </c:pt>
                <c:pt idx="492">
                  <c:v>-4.1881584673679473E-2</c:v>
                </c:pt>
                <c:pt idx="493">
                  <c:v>-4.1831317874034324E-2</c:v>
                </c:pt>
                <c:pt idx="494">
                  <c:v>-4.1366972759437272E-2</c:v>
                </c:pt>
                <c:pt idx="495">
                  <c:v>-4.147102146137216E-2</c:v>
                </c:pt>
                <c:pt idx="496">
                  <c:v>-4.174289785062852E-2</c:v>
                </c:pt>
                <c:pt idx="497">
                  <c:v>-4.146331688522871E-2</c:v>
                </c:pt>
                <c:pt idx="498">
                  <c:v>-4.0971073999483021E-2</c:v>
                </c:pt>
                <c:pt idx="499">
                  <c:v>-4.0946138394186593E-2</c:v>
                </c:pt>
                <c:pt idx="500">
                  <c:v>-4.0507149745689051E-2</c:v>
                </c:pt>
                <c:pt idx="501">
                  <c:v>-4.039551923881813E-2</c:v>
                </c:pt>
                <c:pt idx="502">
                  <c:v>-4.0581817403711015E-2</c:v>
                </c:pt>
                <c:pt idx="503">
                  <c:v>-4.0572682112151447E-2</c:v>
                </c:pt>
                <c:pt idx="504">
                  <c:v>-4.0637010720831014E-2</c:v>
                </c:pt>
                <c:pt idx="505">
                  <c:v>-4.0867763556291244E-2</c:v>
                </c:pt>
                <c:pt idx="506">
                  <c:v>-4.1008433941104025E-2</c:v>
                </c:pt>
                <c:pt idx="507">
                  <c:v>-3.9619927681371923E-2</c:v>
                </c:pt>
                <c:pt idx="508">
                  <c:v>-3.9606173206990558E-2</c:v>
                </c:pt>
                <c:pt idx="509">
                  <c:v>-4.0135983731177202E-2</c:v>
                </c:pt>
                <c:pt idx="510">
                  <c:v>-4.030650997560771E-2</c:v>
                </c:pt>
                <c:pt idx="511">
                  <c:v>-4.0346633813074628E-2</c:v>
                </c:pt>
                <c:pt idx="512">
                  <c:v>-4.0394353777261756E-2</c:v>
                </c:pt>
                <c:pt idx="513">
                  <c:v>-4.0071251686381412E-2</c:v>
                </c:pt>
                <c:pt idx="514">
                  <c:v>-3.9980742894106663E-2</c:v>
                </c:pt>
                <c:pt idx="515">
                  <c:v>-4.0217644060545781E-2</c:v>
                </c:pt>
                <c:pt idx="516">
                  <c:v>-3.9829773099862173E-2</c:v>
                </c:pt>
                <c:pt idx="517">
                  <c:v>-3.9640773347622275E-2</c:v>
                </c:pt>
                <c:pt idx="518">
                  <c:v>-3.9530681464302088E-2</c:v>
                </c:pt>
                <c:pt idx="519">
                  <c:v>-3.9730498806334294E-2</c:v>
                </c:pt>
                <c:pt idx="520">
                  <c:v>-4.0155730775941E-2</c:v>
                </c:pt>
                <c:pt idx="521">
                  <c:v>-4.0274340424343094E-2</c:v>
                </c:pt>
                <c:pt idx="522">
                  <c:v>-3.9881094914470963E-2</c:v>
                </c:pt>
                <c:pt idx="523">
                  <c:v>-3.9360406716989024E-2</c:v>
                </c:pt>
                <c:pt idx="524">
                  <c:v>-3.9148516922206493E-2</c:v>
                </c:pt>
                <c:pt idx="525">
                  <c:v>-3.8953356148515778E-2</c:v>
                </c:pt>
                <c:pt idx="526">
                  <c:v>-3.9120967539321462E-2</c:v>
                </c:pt>
                <c:pt idx="527">
                  <c:v>-3.8522313430906667E-2</c:v>
                </c:pt>
                <c:pt idx="528">
                  <c:v>-3.8561851763030737E-2</c:v>
                </c:pt>
                <c:pt idx="529">
                  <c:v>-3.8683067922816644E-2</c:v>
                </c:pt>
                <c:pt idx="530">
                  <c:v>-3.9325164085342992E-2</c:v>
                </c:pt>
                <c:pt idx="531">
                  <c:v>-3.9526883124163345E-2</c:v>
                </c:pt>
                <c:pt idx="532">
                  <c:v>-3.95698089456126E-2</c:v>
                </c:pt>
                <c:pt idx="533">
                  <c:v>-3.9757233759913267E-2</c:v>
                </c:pt>
                <c:pt idx="534">
                  <c:v>-3.9747779984552867E-2</c:v>
                </c:pt>
                <c:pt idx="535">
                  <c:v>-4.0039459182480336E-2</c:v>
                </c:pt>
                <c:pt idx="536">
                  <c:v>-3.9766052758209817E-2</c:v>
                </c:pt>
                <c:pt idx="537">
                  <c:v>-3.9759163836691744E-2</c:v>
                </c:pt>
                <c:pt idx="538">
                  <c:v>-3.9548053098678038E-2</c:v>
                </c:pt>
                <c:pt idx="539">
                  <c:v>-3.9353214752176131E-2</c:v>
                </c:pt>
                <c:pt idx="540">
                  <c:v>-3.924132763966702E-2</c:v>
                </c:pt>
                <c:pt idx="541">
                  <c:v>-3.9663670063992254E-2</c:v>
                </c:pt>
                <c:pt idx="542">
                  <c:v>-3.9814781017874258E-2</c:v>
                </c:pt>
                <c:pt idx="543">
                  <c:v>-4.1345231134952656E-2</c:v>
                </c:pt>
                <c:pt idx="544">
                  <c:v>-4.1015937948004552E-2</c:v>
                </c:pt>
                <c:pt idx="545">
                  <c:v>-4.0452255595596585E-2</c:v>
                </c:pt>
                <c:pt idx="546">
                  <c:v>-4.1344800988223927E-2</c:v>
                </c:pt>
                <c:pt idx="547">
                  <c:v>-4.1498906344236079E-2</c:v>
                </c:pt>
                <c:pt idx="548">
                  <c:v>-4.2412125529770271E-2</c:v>
                </c:pt>
                <c:pt idx="549">
                  <c:v>-4.3058605691327863E-2</c:v>
                </c:pt>
                <c:pt idx="550">
                  <c:v>-4.3478561255028789E-2</c:v>
                </c:pt>
                <c:pt idx="551">
                  <c:v>-4.1470994415937858E-2</c:v>
                </c:pt>
                <c:pt idx="552">
                  <c:v>-4.1234284295996244E-2</c:v>
                </c:pt>
                <c:pt idx="553">
                  <c:v>-4.146359033478695E-2</c:v>
                </c:pt>
                <c:pt idx="554">
                  <c:v>-4.1350662748342641E-2</c:v>
                </c:pt>
                <c:pt idx="555">
                  <c:v>-4.1926543212404972E-2</c:v>
                </c:pt>
                <c:pt idx="556">
                  <c:v>-4.1179377617565432E-2</c:v>
                </c:pt>
                <c:pt idx="557">
                  <c:v>-4.1740849373801389E-2</c:v>
                </c:pt>
                <c:pt idx="558">
                  <c:v>-4.225586606224449E-2</c:v>
                </c:pt>
                <c:pt idx="559">
                  <c:v>-4.222227143333443E-2</c:v>
                </c:pt>
                <c:pt idx="560">
                  <c:v>-4.1608439392259867E-2</c:v>
                </c:pt>
                <c:pt idx="561">
                  <c:v>-4.111568159065547E-2</c:v>
                </c:pt>
                <c:pt idx="562">
                  <c:v>-4.1350093549423345E-2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A-4A44-AE34-9521DDDA6133}"/>
            </c:ext>
          </c:extLst>
        </c:ser>
        <c:ser>
          <c:idx val="1"/>
          <c:order val="1"/>
          <c:tx>
            <c:strRef>
              <c:f>Data!$AC$907</c:f>
              <c:strCache>
                <c:ptCount val="1"/>
                <c:pt idx="0">
                  <c:v>Relative Component Var SREN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Data!$AC$908:$AC$1470</c:f>
              <c:numCache>
                <c:formatCode>0.00%</c:formatCode>
                <c:ptCount val="563"/>
                <c:pt idx="0">
                  <c:v>0.65409216550688165</c:v>
                </c:pt>
                <c:pt idx="1">
                  <c:v>0.65163365262359751</c:v>
                </c:pt>
                <c:pt idx="2">
                  <c:v>0.66525087003313232</c:v>
                </c:pt>
                <c:pt idx="3">
                  <c:v>0.66511316198839188</c:v>
                </c:pt>
                <c:pt idx="4">
                  <c:v>0.66939176152778945</c:v>
                </c:pt>
                <c:pt idx="5">
                  <c:v>0.67238694902040386</c:v>
                </c:pt>
                <c:pt idx="6">
                  <c:v>0.66956865454760595</c:v>
                </c:pt>
                <c:pt idx="7">
                  <c:v>0.67097355239841971</c:v>
                </c:pt>
                <c:pt idx="8">
                  <c:v>0.66933472026390994</c:v>
                </c:pt>
                <c:pt idx="9">
                  <c:v>0.66517974766949861</c:v>
                </c:pt>
                <c:pt idx="10">
                  <c:v>0.66554027306791075</c:v>
                </c:pt>
                <c:pt idx="11">
                  <c:v>0.662652786456012</c:v>
                </c:pt>
                <c:pt idx="12">
                  <c:v>0.6714136338373452</c:v>
                </c:pt>
                <c:pt idx="13">
                  <c:v>0.67312529456969517</c:v>
                </c:pt>
                <c:pt idx="14">
                  <c:v>0.67155102289575752</c:v>
                </c:pt>
                <c:pt idx="15">
                  <c:v>0.67376374280881735</c:v>
                </c:pt>
                <c:pt idx="16">
                  <c:v>0.66782211214359222</c:v>
                </c:pt>
                <c:pt idx="17">
                  <c:v>0.66664766294789934</c:v>
                </c:pt>
                <c:pt idx="18">
                  <c:v>0.66603000420306646</c:v>
                </c:pt>
                <c:pt idx="19">
                  <c:v>0.66817392124328812</c:v>
                </c:pt>
                <c:pt idx="20">
                  <c:v>0.67069223674833156</c:v>
                </c:pt>
                <c:pt idx="21">
                  <c:v>0.67629823315202453</c:v>
                </c:pt>
                <c:pt idx="22">
                  <c:v>0.67648994574454202</c:v>
                </c:pt>
                <c:pt idx="23">
                  <c:v>0.67808138295490494</c:v>
                </c:pt>
                <c:pt idx="24">
                  <c:v>0.67885051237865757</c:v>
                </c:pt>
                <c:pt idx="25">
                  <c:v>0.67861700434460515</c:v>
                </c:pt>
                <c:pt idx="26">
                  <c:v>0.68061433791033665</c:v>
                </c:pt>
                <c:pt idx="27">
                  <c:v>0.67897923453551723</c:v>
                </c:pt>
                <c:pt idx="28">
                  <c:v>0.6819957153218984</c:v>
                </c:pt>
                <c:pt idx="29">
                  <c:v>0.69855378915868416</c:v>
                </c:pt>
                <c:pt idx="30">
                  <c:v>0.70125703027061759</c:v>
                </c:pt>
                <c:pt idx="31">
                  <c:v>0.70302897499625805</c:v>
                </c:pt>
                <c:pt idx="32">
                  <c:v>0.70189668735468047</c:v>
                </c:pt>
                <c:pt idx="33">
                  <c:v>0.70516736868988938</c:v>
                </c:pt>
                <c:pt idx="34">
                  <c:v>0.69854716421645646</c:v>
                </c:pt>
                <c:pt idx="35">
                  <c:v>0.70426520329877207</c:v>
                </c:pt>
                <c:pt idx="36">
                  <c:v>0.70041526772445473</c:v>
                </c:pt>
                <c:pt idx="37">
                  <c:v>0.69356625101904912</c:v>
                </c:pt>
                <c:pt idx="38">
                  <c:v>0.70206494279751208</c:v>
                </c:pt>
                <c:pt idx="39">
                  <c:v>0.70146327285528454</c:v>
                </c:pt>
                <c:pt idx="40">
                  <c:v>0.70682577609233543</c:v>
                </c:pt>
                <c:pt idx="41">
                  <c:v>0.70211476087238933</c:v>
                </c:pt>
                <c:pt idx="42">
                  <c:v>0.70943594608185934</c:v>
                </c:pt>
                <c:pt idx="43">
                  <c:v>0.70793853328570455</c:v>
                </c:pt>
                <c:pt idx="44">
                  <c:v>0.71998127845426574</c:v>
                </c:pt>
                <c:pt idx="45">
                  <c:v>0.71684374033498655</c:v>
                </c:pt>
                <c:pt idx="46">
                  <c:v>0.71725102825475495</c:v>
                </c:pt>
                <c:pt idx="47">
                  <c:v>0.71953490523447772</c:v>
                </c:pt>
                <c:pt idx="48">
                  <c:v>0.72491584478254179</c:v>
                </c:pt>
                <c:pt idx="49">
                  <c:v>0.73450667332225072</c:v>
                </c:pt>
                <c:pt idx="50">
                  <c:v>0.72785895787580446</c:v>
                </c:pt>
                <c:pt idx="51">
                  <c:v>0.72604407298240381</c:v>
                </c:pt>
                <c:pt idx="52">
                  <c:v>0.72709124388846336</c:v>
                </c:pt>
                <c:pt idx="53">
                  <c:v>0.72504570956499148</c:v>
                </c:pt>
                <c:pt idx="54">
                  <c:v>0.72768302971087051</c:v>
                </c:pt>
                <c:pt idx="55">
                  <c:v>0.7258336680398032</c:v>
                </c:pt>
                <c:pt idx="56">
                  <c:v>0.72650872865712646</c:v>
                </c:pt>
                <c:pt idx="57">
                  <c:v>0.72710625712023169</c:v>
                </c:pt>
                <c:pt idx="58">
                  <c:v>0.7275727074459547</c:v>
                </c:pt>
                <c:pt idx="59">
                  <c:v>0.73437231145855975</c:v>
                </c:pt>
                <c:pt idx="60">
                  <c:v>0.73051485642603098</c:v>
                </c:pt>
                <c:pt idx="61">
                  <c:v>0.72991219266084673</c:v>
                </c:pt>
                <c:pt idx="62">
                  <c:v>0.73032608509823271</c:v>
                </c:pt>
                <c:pt idx="63">
                  <c:v>0.73226994093172459</c:v>
                </c:pt>
                <c:pt idx="64">
                  <c:v>0.73192547066714786</c:v>
                </c:pt>
                <c:pt idx="65">
                  <c:v>0.73475925232985584</c:v>
                </c:pt>
                <c:pt idx="66">
                  <c:v>0.74118655665988242</c:v>
                </c:pt>
                <c:pt idx="67">
                  <c:v>0.74172234086839706</c:v>
                </c:pt>
                <c:pt idx="68">
                  <c:v>0.73881696936911145</c:v>
                </c:pt>
                <c:pt idx="69">
                  <c:v>0.74073496850645226</c:v>
                </c:pt>
                <c:pt idx="70">
                  <c:v>0.7437636670663571</c:v>
                </c:pt>
                <c:pt idx="71">
                  <c:v>0.74192705697521666</c:v>
                </c:pt>
                <c:pt idx="72">
                  <c:v>0.74611917636850011</c:v>
                </c:pt>
                <c:pt idx="73">
                  <c:v>0.75738260703914162</c:v>
                </c:pt>
                <c:pt idx="74">
                  <c:v>0.75265421458334314</c:v>
                </c:pt>
                <c:pt idx="75">
                  <c:v>0.73830509380203291</c:v>
                </c:pt>
                <c:pt idx="76">
                  <c:v>0.73863772843106879</c:v>
                </c:pt>
                <c:pt idx="77">
                  <c:v>0.71832377965047267</c:v>
                </c:pt>
                <c:pt idx="78">
                  <c:v>0.72374852901047804</c:v>
                </c:pt>
                <c:pt idx="79">
                  <c:v>0.71867708864279267</c:v>
                </c:pt>
                <c:pt idx="80">
                  <c:v>0.72143172303519776</c:v>
                </c:pt>
                <c:pt idx="81">
                  <c:v>0.73345084755241718</c:v>
                </c:pt>
                <c:pt idx="82">
                  <c:v>0.736096254400052</c:v>
                </c:pt>
                <c:pt idx="83">
                  <c:v>0.73301718018627271</c:v>
                </c:pt>
                <c:pt idx="84">
                  <c:v>0.72840883595138806</c:v>
                </c:pt>
                <c:pt idx="85">
                  <c:v>0.7066308707278508</c:v>
                </c:pt>
                <c:pt idx="86">
                  <c:v>0.70290717348738263</c:v>
                </c:pt>
                <c:pt idx="87">
                  <c:v>0.70853428776254213</c:v>
                </c:pt>
                <c:pt idx="88">
                  <c:v>0.70767744772625363</c:v>
                </c:pt>
                <c:pt idx="89">
                  <c:v>0.70777704833476851</c:v>
                </c:pt>
                <c:pt idx="90">
                  <c:v>0.70229572757214132</c:v>
                </c:pt>
                <c:pt idx="91">
                  <c:v>0.70373675944809921</c:v>
                </c:pt>
                <c:pt idx="92">
                  <c:v>0.69449233571712354</c:v>
                </c:pt>
                <c:pt idx="93">
                  <c:v>0.69524594152712149</c:v>
                </c:pt>
                <c:pt idx="94">
                  <c:v>0.6973093735274144</c:v>
                </c:pt>
                <c:pt idx="95">
                  <c:v>0.69774039126111287</c:v>
                </c:pt>
                <c:pt idx="96">
                  <c:v>0.69460066322869884</c:v>
                </c:pt>
                <c:pt idx="97">
                  <c:v>0.6721025329271475</c:v>
                </c:pt>
                <c:pt idx="98">
                  <c:v>0.65455520192905692</c:v>
                </c:pt>
                <c:pt idx="99">
                  <c:v>0.66983588281014583</c:v>
                </c:pt>
                <c:pt idx="100">
                  <c:v>0.67014917253233675</c:v>
                </c:pt>
                <c:pt idx="101">
                  <c:v>0.67510769380619629</c:v>
                </c:pt>
                <c:pt idx="102">
                  <c:v>0.66847106231871167</c:v>
                </c:pt>
                <c:pt idx="103">
                  <c:v>0.66760193526135436</c:v>
                </c:pt>
                <c:pt idx="104">
                  <c:v>0.64943531449274994</c:v>
                </c:pt>
                <c:pt idx="105">
                  <c:v>0.65482861259372527</c:v>
                </c:pt>
                <c:pt idx="106">
                  <c:v>0.65580351340600807</c:v>
                </c:pt>
                <c:pt idx="107">
                  <c:v>0.66038794247838006</c:v>
                </c:pt>
                <c:pt idx="108">
                  <c:v>0.65083410140699971</c:v>
                </c:pt>
                <c:pt idx="109">
                  <c:v>0.65405374888478229</c:v>
                </c:pt>
                <c:pt idx="110">
                  <c:v>0.64620719649640745</c:v>
                </c:pt>
                <c:pt idx="111">
                  <c:v>0.64781167726278754</c:v>
                </c:pt>
                <c:pt idx="112">
                  <c:v>0.65010980348563308</c:v>
                </c:pt>
                <c:pt idx="113">
                  <c:v>0.65675374140605625</c:v>
                </c:pt>
                <c:pt idx="114">
                  <c:v>0.65407697918976659</c:v>
                </c:pt>
                <c:pt idx="115">
                  <c:v>0.65320794310516617</c:v>
                </c:pt>
                <c:pt idx="116">
                  <c:v>0.65565942179972458</c:v>
                </c:pt>
                <c:pt idx="117">
                  <c:v>0.65489124730695858</c:v>
                </c:pt>
                <c:pt idx="118">
                  <c:v>0.65268608440427134</c:v>
                </c:pt>
                <c:pt idx="119">
                  <c:v>0.65917555721305165</c:v>
                </c:pt>
                <c:pt idx="120">
                  <c:v>0.67110303695629969</c:v>
                </c:pt>
                <c:pt idx="121">
                  <c:v>0.66561317362528571</c:v>
                </c:pt>
                <c:pt idx="122">
                  <c:v>0.67121220614661048</c:v>
                </c:pt>
                <c:pt idx="123">
                  <c:v>0.66459638516462038</c:v>
                </c:pt>
                <c:pt idx="124">
                  <c:v>0.67267084511173791</c:v>
                </c:pt>
                <c:pt idx="125">
                  <c:v>0.67614912352391388</c:v>
                </c:pt>
                <c:pt idx="126">
                  <c:v>0.68612586581949375</c:v>
                </c:pt>
                <c:pt idx="127">
                  <c:v>0.68254481564181513</c:v>
                </c:pt>
                <c:pt idx="128">
                  <c:v>0.68490082191338164</c:v>
                </c:pt>
                <c:pt idx="129">
                  <c:v>0.68107801058924788</c:v>
                </c:pt>
                <c:pt idx="130">
                  <c:v>0.67303236468209826</c:v>
                </c:pt>
                <c:pt idx="131">
                  <c:v>0.67313974553770994</c:v>
                </c:pt>
                <c:pt idx="132">
                  <c:v>0.67256637481938975</c:v>
                </c:pt>
                <c:pt idx="133">
                  <c:v>0.66231352055746573</c:v>
                </c:pt>
                <c:pt idx="134">
                  <c:v>0.65669106380406927</c:v>
                </c:pt>
                <c:pt idx="135">
                  <c:v>0.65478656531882717</c:v>
                </c:pt>
                <c:pt idx="136">
                  <c:v>0.65872821893481048</c:v>
                </c:pt>
                <c:pt idx="137">
                  <c:v>0.66014754835537603</c:v>
                </c:pt>
                <c:pt idx="138">
                  <c:v>0.65646989069074324</c:v>
                </c:pt>
                <c:pt idx="139">
                  <c:v>0.65505221060713437</c:v>
                </c:pt>
                <c:pt idx="140">
                  <c:v>0.65245684366374068</c:v>
                </c:pt>
                <c:pt idx="141">
                  <c:v>0.6514860397864799</c:v>
                </c:pt>
                <c:pt idx="142">
                  <c:v>0.65557468183600165</c:v>
                </c:pt>
                <c:pt idx="143">
                  <c:v>0.65625093219541208</c:v>
                </c:pt>
                <c:pt idx="144">
                  <c:v>0.66189876188525121</c:v>
                </c:pt>
                <c:pt idx="145">
                  <c:v>0.66850415220008441</c:v>
                </c:pt>
                <c:pt idx="146">
                  <c:v>0.66776479877942119</c:v>
                </c:pt>
                <c:pt idx="147">
                  <c:v>0.66776489435492126</c:v>
                </c:pt>
                <c:pt idx="148">
                  <c:v>0.66543013923627214</c:v>
                </c:pt>
                <c:pt idx="149">
                  <c:v>0.67351022240975</c:v>
                </c:pt>
                <c:pt idx="150">
                  <c:v>0.66337120549951989</c:v>
                </c:pt>
                <c:pt idx="151">
                  <c:v>0.66181591741688373</c:v>
                </c:pt>
                <c:pt idx="152">
                  <c:v>0.68235893802285641</c:v>
                </c:pt>
                <c:pt idx="153">
                  <c:v>0.67767491151877768</c:v>
                </c:pt>
                <c:pt idx="154">
                  <c:v>0.6807928987545393</c:v>
                </c:pt>
                <c:pt idx="155">
                  <c:v>0.68832802186786979</c:v>
                </c:pt>
                <c:pt idx="156">
                  <c:v>0.69089580252129612</c:v>
                </c:pt>
                <c:pt idx="157">
                  <c:v>0.68743651256801419</c:v>
                </c:pt>
                <c:pt idx="158">
                  <c:v>0.68847291890912843</c:v>
                </c:pt>
                <c:pt idx="159">
                  <c:v>0.67359189896105021</c:v>
                </c:pt>
                <c:pt idx="160">
                  <c:v>0.67328346813333939</c:v>
                </c:pt>
                <c:pt idx="161">
                  <c:v>0.67062282183850208</c:v>
                </c:pt>
                <c:pt idx="162">
                  <c:v>0.67182769680424181</c:v>
                </c:pt>
                <c:pt idx="163">
                  <c:v>0.67423062046668925</c:v>
                </c:pt>
                <c:pt idx="164">
                  <c:v>0.67541055794328542</c:v>
                </c:pt>
                <c:pt idx="165">
                  <c:v>0.67955085823389072</c:v>
                </c:pt>
                <c:pt idx="166">
                  <c:v>0.67561302555455927</c:v>
                </c:pt>
                <c:pt idx="167">
                  <c:v>0.67767933216769216</c:v>
                </c:pt>
                <c:pt idx="168">
                  <c:v>0.6641810170247745</c:v>
                </c:pt>
                <c:pt idx="169">
                  <c:v>0.65617570538722536</c:v>
                </c:pt>
                <c:pt idx="170">
                  <c:v>0.66520935331259257</c:v>
                </c:pt>
                <c:pt idx="171">
                  <c:v>0.65897224494675744</c:v>
                </c:pt>
                <c:pt idx="172">
                  <c:v>0.65455162811773926</c:v>
                </c:pt>
                <c:pt idx="173">
                  <c:v>0.65408152482784931</c:v>
                </c:pt>
                <c:pt idx="174">
                  <c:v>0.65041722516725375</c:v>
                </c:pt>
                <c:pt idx="175">
                  <c:v>0.65199999307583756</c:v>
                </c:pt>
                <c:pt idx="176">
                  <c:v>0.64050103586352924</c:v>
                </c:pt>
                <c:pt idx="177">
                  <c:v>0.64166280594256009</c:v>
                </c:pt>
                <c:pt idx="178">
                  <c:v>0.64110496099412839</c:v>
                </c:pt>
                <c:pt idx="179">
                  <c:v>0.64009774152416488</c:v>
                </c:pt>
                <c:pt idx="180">
                  <c:v>0.64075468159774951</c:v>
                </c:pt>
                <c:pt idx="181">
                  <c:v>0.64080706063243853</c:v>
                </c:pt>
                <c:pt idx="182">
                  <c:v>0.63712457225507024</c:v>
                </c:pt>
                <c:pt idx="183">
                  <c:v>0.63204677333404613</c:v>
                </c:pt>
                <c:pt idx="184">
                  <c:v>0.63804283577276355</c:v>
                </c:pt>
                <c:pt idx="185">
                  <c:v>0.64186834721348029</c:v>
                </c:pt>
                <c:pt idx="186">
                  <c:v>0.64304494622536779</c:v>
                </c:pt>
                <c:pt idx="187">
                  <c:v>0.64268363849570043</c:v>
                </c:pt>
                <c:pt idx="188">
                  <c:v>0.64520405827671989</c:v>
                </c:pt>
                <c:pt idx="189">
                  <c:v>0.64720688588175113</c:v>
                </c:pt>
                <c:pt idx="190">
                  <c:v>0.65067713468599131</c:v>
                </c:pt>
                <c:pt idx="191">
                  <c:v>0.64917759186789703</c:v>
                </c:pt>
                <c:pt idx="192">
                  <c:v>0.65651419869911443</c:v>
                </c:pt>
                <c:pt idx="193">
                  <c:v>0.6635131226169555</c:v>
                </c:pt>
                <c:pt idx="194">
                  <c:v>0.6644902319581748</c:v>
                </c:pt>
                <c:pt idx="195">
                  <c:v>0.6685641573063611</c:v>
                </c:pt>
                <c:pt idx="196">
                  <c:v>0.67369541103104391</c:v>
                </c:pt>
                <c:pt idx="197">
                  <c:v>0.670407763622068</c:v>
                </c:pt>
                <c:pt idx="198">
                  <c:v>0.67236514927929358</c:v>
                </c:pt>
                <c:pt idx="199">
                  <c:v>0.67167644079828592</c:v>
                </c:pt>
                <c:pt idx="200">
                  <c:v>0.67116006947327145</c:v>
                </c:pt>
                <c:pt idx="201">
                  <c:v>0.67092202842437987</c:v>
                </c:pt>
                <c:pt idx="202">
                  <c:v>0.67482850973153208</c:v>
                </c:pt>
                <c:pt idx="203">
                  <c:v>0.67258674790681539</c:v>
                </c:pt>
                <c:pt idx="204">
                  <c:v>0.67367845898104262</c:v>
                </c:pt>
                <c:pt idx="205">
                  <c:v>0.67330169355779135</c:v>
                </c:pt>
                <c:pt idx="206">
                  <c:v>0.67308362553803025</c:v>
                </c:pt>
                <c:pt idx="207">
                  <c:v>0.67037856152601982</c:v>
                </c:pt>
                <c:pt idx="208">
                  <c:v>0.66959804096765208</c:v>
                </c:pt>
                <c:pt idx="209">
                  <c:v>0.66824203795911086</c:v>
                </c:pt>
                <c:pt idx="210">
                  <c:v>0.66516917033270184</c:v>
                </c:pt>
                <c:pt idx="211">
                  <c:v>0.66153464545536889</c:v>
                </c:pt>
                <c:pt idx="212">
                  <c:v>0.66518983219729644</c:v>
                </c:pt>
                <c:pt idx="213">
                  <c:v>0.66165801800881374</c:v>
                </c:pt>
                <c:pt idx="214">
                  <c:v>0.66437314268170988</c:v>
                </c:pt>
                <c:pt idx="215">
                  <c:v>0.66570366520804225</c:v>
                </c:pt>
                <c:pt idx="216">
                  <c:v>0.66942321489927648</c:v>
                </c:pt>
                <c:pt idx="217">
                  <c:v>0.6727751263242836</c:v>
                </c:pt>
                <c:pt idx="218">
                  <c:v>0.67365322573651643</c:v>
                </c:pt>
                <c:pt idx="219">
                  <c:v>0.67622949888575601</c:v>
                </c:pt>
                <c:pt idx="220">
                  <c:v>0.68518842554519011</c:v>
                </c:pt>
                <c:pt idx="221">
                  <c:v>0.68397801723280327</c:v>
                </c:pt>
                <c:pt idx="222">
                  <c:v>0.68758499271717288</c:v>
                </c:pt>
                <c:pt idx="223">
                  <c:v>0.68780339972915383</c:v>
                </c:pt>
                <c:pt idx="224">
                  <c:v>0.69741073011273369</c:v>
                </c:pt>
                <c:pt idx="225">
                  <c:v>0.68822661686064823</c:v>
                </c:pt>
                <c:pt idx="226">
                  <c:v>0.68795482130186203</c:v>
                </c:pt>
                <c:pt idx="227">
                  <c:v>0.68963330333503869</c:v>
                </c:pt>
                <c:pt idx="228">
                  <c:v>0.69016646910559731</c:v>
                </c:pt>
                <c:pt idx="229">
                  <c:v>0.69312064413249208</c:v>
                </c:pt>
                <c:pt idx="230">
                  <c:v>0.6979003791424474</c:v>
                </c:pt>
                <c:pt idx="231">
                  <c:v>0.69693720103451717</c:v>
                </c:pt>
                <c:pt idx="232">
                  <c:v>0.70071209197277395</c:v>
                </c:pt>
                <c:pt idx="233">
                  <c:v>0.70441524540580869</c:v>
                </c:pt>
                <c:pt idx="234">
                  <c:v>0.7052548075891979</c:v>
                </c:pt>
                <c:pt idx="235">
                  <c:v>0.70693065727406812</c:v>
                </c:pt>
                <c:pt idx="236">
                  <c:v>0.70246529896651733</c:v>
                </c:pt>
                <c:pt idx="237">
                  <c:v>0.70176125652251675</c:v>
                </c:pt>
                <c:pt idx="238">
                  <c:v>0.69804926717177651</c:v>
                </c:pt>
                <c:pt idx="239">
                  <c:v>0.69964185792090827</c:v>
                </c:pt>
                <c:pt idx="240">
                  <c:v>0.70003775695148207</c:v>
                </c:pt>
                <c:pt idx="241">
                  <c:v>0.70087714193069084</c:v>
                </c:pt>
                <c:pt idx="242">
                  <c:v>0.70093405054045455</c:v>
                </c:pt>
                <c:pt idx="243">
                  <c:v>0.70524949837982542</c:v>
                </c:pt>
                <c:pt idx="244">
                  <c:v>0.70642361365463202</c:v>
                </c:pt>
                <c:pt idx="245">
                  <c:v>0.7058457835017109</c:v>
                </c:pt>
                <c:pt idx="246">
                  <c:v>0.70812995410043156</c:v>
                </c:pt>
                <c:pt idx="247">
                  <c:v>0.70713266651875772</c:v>
                </c:pt>
                <c:pt idx="248">
                  <c:v>0.70429492948839933</c:v>
                </c:pt>
                <c:pt idx="249">
                  <c:v>0.70363797850336951</c:v>
                </c:pt>
                <c:pt idx="250">
                  <c:v>0.70836627736289171</c:v>
                </c:pt>
                <c:pt idx="251">
                  <c:v>0.71188120442854885</c:v>
                </c:pt>
                <c:pt idx="252">
                  <c:v>0.71189544370673907</c:v>
                </c:pt>
                <c:pt idx="253">
                  <c:v>0.71238622744048474</c:v>
                </c:pt>
                <c:pt idx="254">
                  <c:v>0.69455828941333253</c:v>
                </c:pt>
                <c:pt idx="255">
                  <c:v>0.69593723847826128</c:v>
                </c:pt>
                <c:pt idx="256">
                  <c:v>0.69866837912281732</c:v>
                </c:pt>
                <c:pt idx="257">
                  <c:v>0.69830700327776174</c:v>
                </c:pt>
                <c:pt idx="258">
                  <c:v>0.7005653229524067</c:v>
                </c:pt>
                <c:pt idx="259">
                  <c:v>0.6994645540182497</c:v>
                </c:pt>
                <c:pt idx="260">
                  <c:v>0.69636715100859115</c:v>
                </c:pt>
                <c:pt idx="261">
                  <c:v>0.69773216980837294</c:v>
                </c:pt>
                <c:pt idx="262">
                  <c:v>0.69596391160458249</c:v>
                </c:pt>
                <c:pt idx="263">
                  <c:v>0.68305360091743883</c:v>
                </c:pt>
                <c:pt idx="264">
                  <c:v>0.68721318032534418</c:v>
                </c:pt>
                <c:pt idx="265">
                  <c:v>0.68635430917059725</c:v>
                </c:pt>
                <c:pt idx="266">
                  <c:v>0.68870154114381055</c:v>
                </c:pt>
                <c:pt idx="267">
                  <c:v>0.69061056877202331</c:v>
                </c:pt>
                <c:pt idx="268">
                  <c:v>0.68803200413769594</c:v>
                </c:pt>
                <c:pt idx="269">
                  <c:v>0.68694929652220715</c:v>
                </c:pt>
                <c:pt idx="270">
                  <c:v>0.68758255489269415</c:v>
                </c:pt>
                <c:pt idx="271">
                  <c:v>0.68479356137724268</c:v>
                </c:pt>
                <c:pt idx="272">
                  <c:v>0.68267400138696321</c:v>
                </c:pt>
                <c:pt idx="273">
                  <c:v>0.66854434145503772</c:v>
                </c:pt>
                <c:pt idx="274">
                  <c:v>0.66619476471154171</c:v>
                </c:pt>
                <c:pt idx="275">
                  <c:v>0.66397124172810307</c:v>
                </c:pt>
                <c:pt idx="276">
                  <c:v>0.66549443563543409</c:v>
                </c:pt>
                <c:pt idx="277">
                  <c:v>0.66305493449740915</c:v>
                </c:pt>
                <c:pt idx="278">
                  <c:v>0.66164613508894199</c:v>
                </c:pt>
                <c:pt idx="279">
                  <c:v>0.66304836944333201</c:v>
                </c:pt>
                <c:pt idx="280">
                  <c:v>0.66596303245232547</c:v>
                </c:pt>
                <c:pt idx="281">
                  <c:v>0.66282783784477961</c:v>
                </c:pt>
                <c:pt idx="282">
                  <c:v>0.65616795258888294</c:v>
                </c:pt>
                <c:pt idx="283">
                  <c:v>0.65553027539454634</c:v>
                </c:pt>
                <c:pt idx="284">
                  <c:v>0.65559572156967327</c:v>
                </c:pt>
                <c:pt idx="285">
                  <c:v>0.65902809042607979</c:v>
                </c:pt>
                <c:pt idx="286">
                  <c:v>0.6582457869517695</c:v>
                </c:pt>
                <c:pt idx="287">
                  <c:v>0.65978000999441</c:v>
                </c:pt>
                <c:pt idx="288">
                  <c:v>0.66367165371463899</c:v>
                </c:pt>
                <c:pt idx="289">
                  <c:v>0.6671636625953612</c:v>
                </c:pt>
                <c:pt idx="290">
                  <c:v>0.66560742460390543</c:v>
                </c:pt>
                <c:pt idx="291">
                  <c:v>0.66619472752791742</c:v>
                </c:pt>
                <c:pt idx="292">
                  <c:v>0.67967573739406872</c:v>
                </c:pt>
                <c:pt idx="293">
                  <c:v>0.6698317876178902</c:v>
                </c:pt>
                <c:pt idx="294">
                  <c:v>0.67572167564667229</c:v>
                </c:pt>
                <c:pt idx="295">
                  <c:v>0.67940129659184278</c:v>
                </c:pt>
                <c:pt idx="296">
                  <c:v>0.68783971746882588</c:v>
                </c:pt>
                <c:pt idx="297">
                  <c:v>0.68577225563655064</c:v>
                </c:pt>
                <c:pt idx="298">
                  <c:v>0.68964535047340181</c:v>
                </c:pt>
                <c:pt idx="299">
                  <c:v>0.68580452897452371</c:v>
                </c:pt>
                <c:pt idx="300">
                  <c:v>0.69129159419894903</c:v>
                </c:pt>
                <c:pt idx="301">
                  <c:v>0.69483939578715903</c:v>
                </c:pt>
                <c:pt idx="302">
                  <c:v>0.69776005032564936</c:v>
                </c:pt>
                <c:pt idx="303">
                  <c:v>0.70112701937207211</c:v>
                </c:pt>
                <c:pt idx="304">
                  <c:v>0.68986609631255025</c:v>
                </c:pt>
                <c:pt idx="305">
                  <c:v>0.68692452662111569</c:v>
                </c:pt>
                <c:pt idx="306">
                  <c:v>0.68694056530833658</c:v>
                </c:pt>
                <c:pt idx="307">
                  <c:v>0.69008819593766291</c:v>
                </c:pt>
                <c:pt idx="308">
                  <c:v>0.69443571499605705</c:v>
                </c:pt>
                <c:pt idx="309">
                  <c:v>0.69308196590048665</c:v>
                </c:pt>
                <c:pt idx="310">
                  <c:v>0.69303433815545934</c:v>
                </c:pt>
                <c:pt idx="311">
                  <c:v>0.69776261529873485</c:v>
                </c:pt>
                <c:pt idx="312">
                  <c:v>0.70232523101448885</c:v>
                </c:pt>
                <c:pt idx="313">
                  <c:v>0.6989596010237098</c:v>
                </c:pt>
                <c:pt idx="314">
                  <c:v>0.69972775418051081</c:v>
                </c:pt>
                <c:pt idx="315">
                  <c:v>0.70027508721026099</c:v>
                </c:pt>
                <c:pt idx="316">
                  <c:v>0.70098175754027359</c:v>
                </c:pt>
                <c:pt idx="317">
                  <c:v>0.7173008255544786</c:v>
                </c:pt>
                <c:pt idx="318">
                  <c:v>0.71612105219268474</c:v>
                </c:pt>
                <c:pt idx="319">
                  <c:v>0.71592301727672591</c:v>
                </c:pt>
                <c:pt idx="320">
                  <c:v>0.72284743155823405</c:v>
                </c:pt>
                <c:pt idx="321">
                  <c:v>0.72886373589393749</c:v>
                </c:pt>
                <c:pt idx="322">
                  <c:v>0.73386199753295711</c:v>
                </c:pt>
                <c:pt idx="323">
                  <c:v>0.74019096238837356</c:v>
                </c:pt>
                <c:pt idx="324">
                  <c:v>0.7427535086405942</c:v>
                </c:pt>
                <c:pt idx="325">
                  <c:v>0.74622171956526373</c:v>
                </c:pt>
                <c:pt idx="326">
                  <c:v>0.74833975484696325</c:v>
                </c:pt>
                <c:pt idx="327">
                  <c:v>0.74321889233029559</c:v>
                </c:pt>
                <c:pt idx="328">
                  <c:v>0.74145418143408648</c:v>
                </c:pt>
                <c:pt idx="329">
                  <c:v>0.74144238880353408</c:v>
                </c:pt>
                <c:pt idx="330">
                  <c:v>0.7445635435875525</c:v>
                </c:pt>
                <c:pt idx="331">
                  <c:v>0.74445098613447247</c:v>
                </c:pt>
                <c:pt idx="332">
                  <c:v>0.73947619584439406</c:v>
                </c:pt>
                <c:pt idx="333">
                  <c:v>0.74412931332799137</c:v>
                </c:pt>
                <c:pt idx="334">
                  <c:v>0.73225790872217245</c:v>
                </c:pt>
                <c:pt idx="335">
                  <c:v>0.72023845181572477</c:v>
                </c:pt>
                <c:pt idx="336">
                  <c:v>0.72303820827775322</c:v>
                </c:pt>
                <c:pt idx="337">
                  <c:v>0.72240516095319351</c:v>
                </c:pt>
                <c:pt idx="338">
                  <c:v>0.71433371483832453</c:v>
                </c:pt>
                <c:pt idx="339">
                  <c:v>0.71671768285462056</c:v>
                </c:pt>
                <c:pt idx="340">
                  <c:v>0.71536275096938151</c:v>
                </c:pt>
                <c:pt idx="341">
                  <c:v>0.71499926039121753</c:v>
                </c:pt>
                <c:pt idx="342">
                  <c:v>0.71745811962369987</c:v>
                </c:pt>
                <c:pt idx="343">
                  <c:v>0.69229822705481947</c:v>
                </c:pt>
                <c:pt idx="344">
                  <c:v>0.69414225682919606</c:v>
                </c:pt>
                <c:pt idx="345">
                  <c:v>0.69542428611001428</c:v>
                </c:pt>
                <c:pt idx="346">
                  <c:v>0.6920189266212492</c:v>
                </c:pt>
                <c:pt idx="347">
                  <c:v>0.68772250984100081</c:v>
                </c:pt>
                <c:pt idx="348">
                  <c:v>0.68988966857680711</c:v>
                </c:pt>
                <c:pt idx="349">
                  <c:v>0.68524418171384693</c:v>
                </c:pt>
                <c:pt idx="350">
                  <c:v>0.67642483432738987</c:v>
                </c:pt>
                <c:pt idx="351">
                  <c:v>0.67878898604808602</c:v>
                </c:pt>
                <c:pt idx="352">
                  <c:v>0.68410372319865609</c:v>
                </c:pt>
                <c:pt idx="353">
                  <c:v>0.68168715481292919</c:v>
                </c:pt>
                <c:pt idx="354">
                  <c:v>0.68013846562207447</c:v>
                </c:pt>
                <c:pt idx="355">
                  <c:v>0.68534330151213563</c:v>
                </c:pt>
                <c:pt idx="356">
                  <c:v>0.69146429881634841</c:v>
                </c:pt>
                <c:pt idx="357">
                  <c:v>0.68782015933165219</c:v>
                </c:pt>
                <c:pt idx="358">
                  <c:v>0.68869552365997966</c:v>
                </c:pt>
                <c:pt idx="359">
                  <c:v>0.69009221556836664</c:v>
                </c:pt>
                <c:pt idx="360">
                  <c:v>0.68298978263542576</c:v>
                </c:pt>
                <c:pt idx="361">
                  <c:v>0.67622628834682985</c:v>
                </c:pt>
                <c:pt idx="362">
                  <c:v>0.67834171998094406</c:v>
                </c:pt>
                <c:pt idx="363">
                  <c:v>0.69411234172005731</c:v>
                </c:pt>
                <c:pt idx="364">
                  <c:v>0.69918793131468926</c:v>
                </c:pt>
                <c:pt idx="365">
                  <c:v>0.69728979210687936</c:v>
                </c:pt>
                <c:pt idx="366">
                  <c:v>0.70133939455997851</c:v>
                </c:pt>
                <c:pt idx="367">
                  <c:v>0.70379729627157839</c:v>
                </c:pt>
                <c:pt idx="368">
                  <c:v>0.71011776236728763</c:v>
                </c:pt>
                <c:pt idx="369">
                  <c:v>0.71160599090232357</c:v>
                </c:pt>
                <c:pt idx="370">
                  <c:v>0.71833433319097362</c:v>
                </c:pt>
                <c:pt idx="371">
                  <c:v>0.71304022263054001</c:v>
                </c:pt>
                <c:pt idx="372">
                  <c:v>0.71331771086601226</c:v>
                </c:pt>
                <c:pt idx="373">
                  <c:v>0.71201140181577205</c:v>
                </c:pt>
                <c:pt idx="374">
                  <c:v>0.70647066785555934</c:v>
                </c:pt>
                <c:pt idx="375">
                  <c:v>0.70329362191131672</c:v>
                </c:pt>
                <c:pt idx="376">
                  <c:v>0.70248222058941756</c:v>
                </c:pt>
                <c:pt idx="377">
                  <c:v>0.70416723973685325</c:v>
                </c:pt>
                <c:pt idx="378">
                  <c:v>0.70171585464727215</c:v>
                </c:pt>
                <c:pt idx="379">
                  <c:v>0.69997106452985103</c:v>
                </c:pt>
                <c:pt idx="380">
                  <c:v>0.69947192841617567</c:v>
                </c:pt>
                <c:pt idx="381">
                  <c:v>0.69667794260570348</c:v>
                </c:pt>
                <c:pt idx="382">
                  <c:v>0.68843258670991037</c:v>
                </c:pt>
                <c:pt idx="383">
                  <c:v>0.69815121284116322</c:v>
                </c:pt>
                <c:pt idx="384">
                  <c:v>0.70299647852670666</c:v>
                </c:pt>
                <c:pt idx="385">
                  <c:v>0.70404581373113306</c:v>
                </c:pt>
                <c:pt idx="386">
                  <c:v>0.70287368042718901</c:v>
                </c:pt>
                <c:pt idx="387">
                  <c:v>0.69727326497616782</c:v>
                </c:pt>
                <c:pt idx="388">
                  <c:v>0.69550356346571618</c:v>
                </c:pt>
                <c:pt idx="389">
                  <c:v>0.69208860890707691</c:v>
                </c:pt>
                <c:pt idx="390">
                  <c:v>0.69446450440542828</c:v>
                </c:pt>
                <c:pt idx="391">
                  <c:v>0.69071893665177697</c:v>
                </c:pt>
                <c:pt idx="392">
                  <c:v>0.69138791244486109</c:v>
                </c:pt>
                <c:pt idx="393">
                  <c:v>0.67861576621425967</c:v>
                </c:pt>
                <c:pt idx="394">
                  <c:v>0.6772481156208463</c:v>
                </c:pt>
                <c:pt idx="395">
                  <c:v>0.676231424609266</c:v>
                </c:pt>
                <c:pt idx="396">
                  <c:v>0.68294369354988926</c:v>
                </c:pt>
                <c:pt idx="397">
                  <c:v>0.68382735884218826</c:v>
                </c:pt>
                <c:pt idx="398">
                  <c:v>0.68046056407388888</c:v>
                </c:pt>
                <c:pt idx="399">
                  <c:v>0.67645419606905299</c:v>
                </c:pt>
                <c:pt idx="400">
                  <c:v>0.67442231508729833</c:v>
                </c:pt>
                <c:pt idx="401">
                  <c:v>0.67792018518431885</c:v>
                </c:pt>
                <c:pt idx="402">
                  <c:v>0.67370866892831693</c:v>
                </c:pt>
                <c:pt idx="403">
                  <c:v>0.67149041833214496</c:v>
                </c:pt>
                <c:pt idx="404">
                  <c:v>0.68647624716570443</c:v>
                </c:pt>
                <c:pt idx="405">
                  <c:v>0.68325418443172359</c:v>
                </c:pt>
                <c:pt idx="406">
                  <c:v>0.67356320291002914</c:v>
                </c:pt>
                <c:pt idx="407">
                  <c:v>0.67773520952623467</c:v>
                </c:pt>
                <c:pt idx="408">
                  <c:v>0.67766127131128517</c:v>
                </c:pt>
                <c:pt idx="409">
                  <c:v>0.67306909954473226</c:v>
                </c:pt>
                <c:pt idx="410">
                  <c:v>0.67409309668747053</c:v>
                </c:pt>
                <c:pt idx="411">
                  <c:v>0.66970244368518428</c:v>
                </c:pt>
                <c:pt idx="412">
                  <c:v>0.67275194633343549</c:v>
                </c:pt>
                <c:pt idx="413">
                  <c:v>0.67057892569242727</c:v>
                </c:pt>
                <c:pt idx="414">
                  <c:v>0.6622140431177711</c:v>
                </c:pt>
                <c:pt idx="415">
                  <c:v>0.65922258986540205</c:v>
                </c:pt>
                <c:pt idx="416">
                  <c:v>0.66253107633612962</c:v>
                </c:pt>
                <c:pt idx="417">
                  <c:v>0.65795309341714392</c:v>
                </c:pt>
                <c:pt idx="418">
                  <c:v>0.66259187395773589</c:v>
                </c:pt>
                <c:pt idx="419">
                  <c:v>0.66318590354310003</c:v>
                </c:pt>
                <c:pt idx="420">
                  <c:v>0.66278443504315832</c:v>
                </c:pt>
                <c:pt idx="421">
                  <c:v>0.66277967717503605</c:v>
                </c:pt>
                <c:pt idx="422">
                  <c:v>0.66400984953144171</c:v>
                </c:pt>
                <c:pt idx="423">
                  <c:v>0.66939060786860993</c:v>
                </c:pt>
                <c:pt idx="424">
                  <c:v>0.67027488630660825</c:v>
                </c:pt>
                <c:pt idx="425">
                  <c:v>0.66950821012988382</c:v>
                </c:pt>
                <c:pt idx="426">
                  <c:v>0.67208116512014038</c:v>
                </c:pt>
                <c:pt idx="427">
                  <c:v>0.67204616756440683</c:v>
                </c:pt>
                <c:pt idx="428">
                  <c:v>0.68691029384230984</c:v>
                </c:pt>
                <c:pt idx="429">
                  <c:v>0.69266418963033627</c:v>
                </c:pt>
                <c:pt idx="430">
                  <c:v>0.68476094776749219</c:v>
                </c:pt>
                <c:pt idx="431">
                  <c:v>0.68430033021007686</c:v>
                </c:pt>
                <c:pt idx="432">
                  <c:v>0.68651993012879275</c:v>
                </c:pt>
                <c:pt idx="433">
                  <c:v>0.68272250887632191</c:v>
                </c:pt>
                <c:pt idx="434">
                  <c:v>0.68044297724665015</c:v>
                </c:pt>
                <c:pt idx="435">
                  <c:v>0.68821283040481795</c:v>
                </c:pt>
                <c:pt idx="436">
                  <c:v>0.68695696287423158</c:v>
                </c:pt>
                <c:pt idx="437">
                  <c:v>0.69524402339372171</c:v>
                </c:pt>
                <c:pt idx="438">
                  <c:v>0.68868618634752499</c:v>
                </c:pt>
                <c:pt idx="439">
                  <c:v>0.68823003766712521</c:v>
                </c:pt>
                <c:pt idx="440">
                  <c:v>0.69086349950045312</c:v>
                </c:pt>
                <c:pt idx="441">
                  <c:v>0.69355270914963196</c:v>
                </c:pt>
                <c:pt idx="442">
                  <c:v>0.69166589239801624</c:v>
                </c:pt>
                <c:pt idx="443">
                  <c:v>0.69453889067575258</c:v>
                </c:pt>
                <c:pt idx="444">
                  <c:v>0.69413680342758544</c:v>
                </c:pt>
                <c:pt idx="445">
                  <c:v>0.69458582534140878</c:v>
                </c:pt>
                <c:pt idx="446">
                  <c:v>0.69292378684964606</c:v>
                </c:pt>
                <c:pt idx="447">
                  <c:v>0.69260298759689265</c:v>
                </c:pt>
                <c:pt idx="448">
                  <c:v>0.69030733619238904</c:v>
                </c:pt>
                <c:pt idx="449">
                  <c:v>0.68919543056813604</c:v>
                </c:pt>
                <c:pt idx="450">
                  <c:v>0.6960228921967081</c:v>
                </c:pt>
                <c:pt idx="451">
                  <c:v>0.69523135124594126</c:v>
                </c:pt>
                <c:pt idx="452">
                  <c:v>0.69962195876316158</c:v>
                </c:pt>
                <c:pt idx="453">
                  <c:v>0.69923373658452193</c:v>
                </c:pt>
                <c:pt idx="454">
                  <c:v>0.69980166869519611</c:v>
                </c:pt>
                <c:pt idx="455">
                  <c:v>0.69717166323196034</c:v>
                </c:pt>
                <c:pt idx="456">
                  <c:v>0.69281277525217744</c:v>
                </c:pt>
                <c:pt idx="457">
                  <c:v>0.68995641475634961</c:v>
                </c:pt>
                <c:pt idx="458">
                  <c:v>0.69175986982030335</c:v>
                </c:pt>
                <c:pt idx="459">
                  <c:v>0.67769651547122178</c:v>
                </c:pt>
                <c:pt idx="460">
                  <c:v>0.67864486575468197</c:v>
                </c:pt>
                <c:pt idx="461">
                  <c:v>0.67888973028393818</c:v>
                </c:pt>
                <c:pt idx="462">
                  <c:v>0.69056719390803201</c:v>
                </c:pt>
                <c:pt idx="463">
                  <c:v>0.69000601655671223</c:v>
                </c:pt>
                <c:pt idx="464">
                  <c:v>0.69184452681425235</c:v>
                </c:pt>
                <c:pt idx="465">
                  <c:v>0.68823059869325898</c:v>
                </c:pt>
                <c:pt idx="466">
                  <c:v>0.68616037674401131</c:v>
                </c:pt>
                <c:pt idx="467">
                  <c:v>0.68568106332948997</c:v>
                </c:pt>
                <c:pt idx="468">
                  <c:v>0.68604039179443177</c:v>
                </c:pt>
                <c:pt idx="469">
                  <c:v>0.6818091120902724</c:v>
                </c:pt>
                <c:pt idx="470">
                  <c:v>0.68160593522241919</c:v>
                </c:pt>
                <c:pt idx="471">
                  <c:v>0.67957350543684703</c:v>
                </c:pt>
                <c:pt idx="472">
                  <c:v>0.68229562546990863</c:v>
                </c:pt>
                <c:pt idx="473">
                  <c:v>0.67899994038151845</c:v>
                </c:pt>
                <c:pt idx="474">
                  <c:v>0.67776453259448477</c:v>
                </c:pt>
                <c:pt idx="475">
                  <c:v>0.69177980673132855</c:v>
                </c:pt>
                <c:pt idx="476">
                  <c:v>0.69091637926400096</c:v>
                </c:pt>
                <c:pt idx="477">
                  <c:v>0.69349073319015719</c:v>
                </c:pt>
                <c:pt idx="478">
                  <c:v>0.69110038366656401</c:v>
                </c:pt>
                <c:pt idx="479">
                  <c:v>0.68557193996934274</c:v>
                </c:pt>
                <c:pt idx="480">
                  <c:v>0.69686010318627245</c:v>
                </c:pt>
                <c:pt idx="481">
                  <c:v>0.69635331456074845</c:v>
                </c:pt>
                <c:pt idx="482">
                  <c:v>0.72225920427699219</c:v>
                </c:pt>
                <c:pt idx="483">
                  <c:v>0.7182919453542117</c:v>
                </c:pt>
                <c:pt idx="484">
                  <c:v>0.72850581881329857</c:v>
                </c:pt>
                <c:pt idx="485">
                  <c:v>0.72537307618435998</c:v>
                </c:pt>
                <c:pt idx="486">
                  <c:v>0.72706485980101299</c:v>
                </c:pt>
                <c:pt idx="487">
                  <c:v>0.72625380662535621</c:v>
                </c:pt>
                <c:pt idx="488">
                  <c:v>0.73250918291025491</c:v>
                </c:pt>
                <c:pt idx="489">
                  <c:v>0.74118533914481199</c:v>
                </c:pt>
                <c:pt idx="490">
                  <c:v>0.74172483312877691</c:v>
                </c:pt>
                <c:pt idx="491">
                  <c:v>0.74360219379875037</c:v>
                </c:pt>
                <c:pt idx="492">
                  <c:v>0.74424133992988284</c:v>
                </c:pt>
                <c:pt idx="493">
                  <c:v>0.73918861405801861</c:v>
                </c:pt>
                <c:pt idx="494">
                  <c:v>0.74790583172960512</c:v>
                </c:pt>
                <c:pt idx="495">
                  <c:v>0.74658663337716358</c:v>
                </c:pt>
                <c:pt idx="496">
                  <c:v>0.74363026984905412</c:v>
                </c:pt>
                <c:pt idx="497">
                  <c:v>0.74517917611243434</c:v>
                </c:pt>
                <c:pt idx="498">
                  <c:v>0.75032927104854152</c:v>
                </c:pt>
                <c:pt idx="499">
                  <c:v>0.75086252735785564</c:v>
                </c:pt>
                <c:pt idx="500">
                  <c:v>0.76148411441541064</c:v>
                </c:pt>
                <c:pt idx="501">
                  <c:v>0.76054048365075555</c:v>
                </c:pt>
                <c:pt idx="502">
                  <c:v>0.75975945430691871</c:v>
                </c:pt>
                <c:pt idx="503">
                  <c:v>0.76045750679186919</c:v>
                </c:pt>
                <c:pt idx="504">
                  <c:v>0.75798955332699813</c:v>
                </c:pt>
                <c:pt idx="505">
                  <c:v>0.75922104168478866</c:v>
                </c:pt>
                <c:pt idx="506">
                  <c:v>0.75791875135650288</c:v>
                </c:pt>
                <c:pt idx="507">
                  <c:v>0.77161373718697857</c:v>
                </c:pt>
                <c:pt idx="508">
                  <c:v>0.76892902611831127</c:v>
                </c:pt>
                <c:pt idx="509">
                  <c:v>0.76480377724440618</c:v>
                </c:pt>
                <c:pt idx="510">
                  <c:v>0.7616508736377674</c:v>
                </c:pt>
                <c:pt idx="511">
                  <c:v>0.76421361205928173</c:v>
                </c:pt>
                <c:pt idx="512">
                  <c:v>0.76396088770458936</c:v>
                </c:pt>
                <c:pt idx="513">
                  <c:v>0.76457524402133592</c:v>
                </c:pt>
                <c:pt idx="514">
                  <c:v>0.76345710355581708</c:v>
                </c:pt>
                <c:pt idx="515">
                  <c:v>0.76311419336016129</c:v>
                </c:pt>
                <c:pt idx="516">
                  <c:v>0.765115132542319</c:v>
                </c:pt>
                <c:pt idx="517">
                  <c:v>0.76481802866351656</c:v>
                </c:pt>
                <c:pt idx="518">
                  <c:v>0.76494943153356654</c:v>
                </c:pt>
                <c:pt idx="519">
                  <c:v>0.76304545429871751</c:v>
                </c:pt>
                <c:pt idx="520">
                  <c:v>0.75479166593232438</c:v>
                </c:pt>
                <c:pt idx="521">
                  <c:v>0.75517111045794949</c:v>
                </c:pt>
                <c:pt idx="522">
                  <c:v>0.7601723043608134</c:v>
                </c:pt>
                <c:pt idx="523">
                  <c:v>0.76194095477559842</c:v>
                </c:pt>
                <c:pt idx="524">
                  <c:v>0.76453426997532581</c:v>
                </c:pt>
                <c:pt idx="525">
                  <c:v>0.77040211717415352</c:v>
                </c:pt>
                <c:pt idx="526">
                  <c:v>0.7704969989003696</c:v>
                </c:pt>
                <c:pt idx="527">
                  <c:v>0.77301133604061723</c:v>
                </c:pt>
                <c:pt idx="528">
                  <c:v>0.77291931398505742</c:v>
                </c:pt>
                <c:pt idx="529">
                  <c:v>0.77181787703484217</c:v>
                </c:pt>
                <c:pt idx="530">
                  <c:v>0.76998679423750194</c:v>
                </c:pt>
                <c:pt idx="531">
                  <c:v>0.7695054075619886</c:v>
                </c:pt>
                <c:pt idx="532">
                  <c:v>0.7669938208166821</c:v>
                </c:pt>
                <c:pt idx="533">
                  <c:v>0.76565466846996144</c:v>
                </c:pt>
                <c:pt idx="534">
                  <c:v>0.75777062938958184</c:v>
                </c:pt>
                <c:pt idx="535">
                  <c:v>0.75507594155117885</c:v>
                </c:pt>
                <c:pt idx="536">
                  <c:v>0.75752208690058387</c:v>
                </c:pt>
                <c:pt idx="537">
                  <c:v>0.74944499793074171</c:v>
                </c:pt>
                <c:pt idx="538">
                  <c:v>0.75429797434773793</c:v>
                </c:pt>
                <c:pt idx="539">
                  <c:v>0.75822589091514636</c:v>
                </c:pt>
                <c:pt idx="540">
                  <c:v>0.75851330066033873</c:v>
                </c:pt>
                <c:pt idx="541">
                  <c:v>0.75463047519728177</c:v>
                </c:pt>
                <c:pt idx="542">
                  <c:v>0.75566075944887734</c:v>
                </c:pt>
                <c:pt idx="543">
                  <c:v>0.75636947531152376</c:v>
                </c:pt>
                <c:pt idx="544">
                  <c:v>0.76164370358154143</c:v>
                </c:pt>
                <c:pt idx="545">
                  <c:v>0.76438726270678359</c:v>
                </c:pt>
                <c:pt idx="546">
                  <c:v>0.7559227691888456</c:v>
                </c:pt>
                <c:pt idx="547">
                  <c:v>0.75394460345200431</c:v>
                </c:pt>
                <c:pt idx="548">
                  <c:v>0.74992582851180678</c:v>
                </c:pt>
                <c:pt idx="549">
                  <c:v>0.75062064067757728</c:v>
                </c:pt>
                <c:pt idx="550">
                  <c:v>0.74478942068640086</c:v>
                </c:pt>
                <c:pt idx="551">
                  <c:v>0.76713154483782453</c:v>
                </c:pt>
                <c:pt idx="552">
                  <c:v>0.76650638914937919</c:v>
                </c:pt>
                <c:pt idx="553">
                  <c:v>0.76461836119965565</c:v>
                </c:pt>
                <c:pt idx="554">
                  <c:v>0.76646256543815516</c:v>
                </c:pt>
                <c:pt idx="555">
                  <c:v>0.76329555869945398</c:v>
                </c:pt>
                <c:pt idx="556">
                  <c:v>0.76439335995911106</c:v>
                </c:pt>
                <c:pt idx="557">
                  <c:v>0.76003893991676519</c:v>
                </c:pt>
                <c:pt idx="558">
                  <c:v>0.7569693450134749</c:v>
                </c:pt>
                <c:pt idx="559">
                  <c:v>0.75817143537365694</c:v>
                </c:pt>
                <c:pt idx="560">
                  <c:v>0.77123298791287587</c:v>
                </c:pt>
                <c:pt idx="561">
                  <c:v>0.7751210379189134</c:v>
                </c:pt>
                <c:pt idx="562">
                  <c:v>0.77227846280140955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A-4A44-AE34-9521DDDA6133}"/>
            </c:ext>
          </c:extLst>
        </c:ser>
        <c:ser>
          <c:idx val="2"/>
          <c:order val="2"/>
          <c:tx>
            <c:strRef>
              <c:f>Data!$AD$907</c:f>
              <c:strCache>
                <c:ptCount val="1"/>
                <c:pt idx="0">
                  <c:v>Relative Component Var NOVN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Data!$AD$908:$AD$1470</c:f>
              <c:numCache>
                <c:formatCode>0.00%</c:formatCode>
                <c:ptCount val="563"/>
                <c:pt idx="0">
                  <c:v>0.3967442618250317</c:v>
                </c:pt>
                <c:pt idx="1">
                  <c:v>0.39954156237558186</c:v>
                </c:pt>
                <c:pt idx="2">
                  <c:v>0.38449981117497656</c:v>
                </c:pt>
                <c:pt idx="3">
                  <c:v>0.38520486528404024</c:v>
                </c:pt>
                <c:pt idx="4">
                  <c:v>0.38077554540050684</c:v>
                </c:pt>
                <c:pt idx="5">
                  <c:v>0.37860868850121798</c:v>
                </c:pt>
                <c:pt idx="6">
                  <c:v>0.38126866451402308</c:v>
                </c:pt>
                <c:pt idx="7">
                  <c:v>0.37952560453614542</c:v>
                </c:pt>
                <c:pt idx="8">
                  <c:v>0.38150767223326737</c:v>
                </c:pt>
                <c:pt idx="9">
                  <c:v>0.3871709786204558</c:v>
                </c:pt>
                <c:pt idx="10">
                  <c:v>0.38647980663168041</c:v>
                </c:pt>
                <c:pt idx="11">
                  <c:v>0.39041423349902454</c:v>
                </c:pt>
                <c:pt idx="12">
                  <c:v>0.38108231573144469</c:v>
                </c:pt>
                <c:pt idx="13">
                  <c:v>0.37941620809450705</c:v>
                </c:pt>
                <c:pt idx="14">
                  <c:v>0.38077691671226427</c:v>
                </c:pt>
                <c:pt idx="15">
                  <c:v>0.37841107498180016</c:v>
                </c:pt>
                <c:pt idx="16">
                  <c:v>0.38464924568183723</c:v>
                </c:pt>
                <c:pt idx="17">
                  <c:v>0.38629605539925266</c:v>
                </c:pt>
                <c:pt idx="18">
                  <c:v>0.38694355133294783</c:v>
                </c:pt>
                <c:pt idx="19">
                  <c:v>0.38445326842274702</c:v>
                </c:pt>
                <c:pt idx="20">
                  <c:v>0.38191251575049734</c:v>
                </c:pt>
                <c:pt idx="21">
                  <c:v>0.37605412923759995</c:v>
                </c:pt>
                <c:pt idx="22">
                  <c:v>0.3759252811984885</c:v>
                </c:pt>
                <c:pt idx="23">
                  <c:v>0.37436644966760357</c:v>
                </c:pt>
                <c:pt idx="24">
                  <c:v>0.37351077469916105</c:v>
                </c:pt>
                <c:pt idx="25">
                  <c:v>0.37365403546980841</c:v>
                </c:pt>
                <c:pt idx="26">
                  <c:v>0.37162098544511568</c:v>
                </c:pt>
                <c:pt idx="27">
                  <c:v>0.37322789871493978</c:v>
                </c:pt>
                <c:pt idx="28">
                  <c:v>0.37035045296849134</c:v>
                </c:pt>
                <c:pt idx="29">
                  <c:v>0.35254829317403069</c:v>
                </c:pt>
                <c:pt idx="30">
                  <c:v>0.34953555873921288</c:v>
                </c:pt>
                <c:pt idx="31">
                  <c:v>0.34779579277529299</c:v>
                </c:pt>
                <c:pt idx="32">
                  <c:v>0.34872134575255614</c:v>
                </c:pt>
                <c:pt idx="33">
                  <c:v>0.34476068921129271</c:v>
                </c:pt>
                <c:pt idx="34">
                  <c:v>0.35131508577456882</c:v>
                </c:pt>
                <c:pt idx="35">
                  <c:v>0.34530007828371884</c:v>
                </c:pt>
                <c:pt idx="36">
                  <c:v>0.34932852015794125</c:v>
                </c:pt>
                <c:pt idx="37">
                  <c:v>0.35667872605438367</c:v>
                </c:pt>
                <c:pt idx="38">
                  <c:v>0.34814328829771946</c:v>
                </c:pt>
                <c:pt idx="39">
                  <c:v>0.34871910113819576</c:v>
                </c:pt>
                <c:pt idx="40">
                  <c:v>0.34319588306631271</c:v>
                </c:pt>
                <c:pt idx="41">
                  <c:v>0.34813804234858386</c:v>
                </c:pt>
                <c:pt idx="42">
                  <c:v>0.3405326692599609</c:v>
                </c:pt>
                <c:pt idx="43">
                  <c:v>0.34214057989703667</c:v>
                </c:pt>
                <c:pt idx="44">
                  <c:v>0.32940302756270634</c:v>
                </c:pt>
                <c:pt idx="45">
                  <c:v>0.33271977486806775</c:v>
                </c:pt>
                <c:pt idx="46">
                  <c:v>0.33208840266732848</c:v>
                </c:pt>
                <c:pt idx="47">
                  <c:v>0.3293867752852731</c:v>
                </c:pt>
                <c:pt idx="48">
                  <c:v>0.3230685465094823</c:v>
                </c:pt>
                <c:pt idx="49">
                  <c:v>0.31266998005142516</c:v>
                </c:pt>
                <c:pt idx="50">
                  <c:v>0.31950111577083407</c:v>
                </c:pt>
                <c:pt idx="51">
                  <c:v>0.32129510179761861</c:v>
                </c:pt>
                <c:pt idx="52">
                  <c:v>0.32072509166082863</c:v>
                </c:pt>
                <c:pt idx="53">
                  <c:v>0.32315735473710083</c:v>
                </c:pt>
                <c:pt idx="54">
                  <c:v>0.32069615217958247</c:v>
                </c:pt>
                <c:pt idx="55">
                  <c:v>0.32237828170878263</c:v>
                </c:pt>
                <c:pt idx="56">
                  <c:v>0.3215120836355545</c:v>
                </c:pt>
                <c:pt idx="57">
                  <c:v>0.32079458623370694</c:v>
                </c:pt>
                <c:pt idx="58">
                  <c:v>0.32058346276899718</c:v>
                </c:pt>
                <c:pt idx="59">
                  <c:v>0.31372833074498113</c:v>
                </c:pt>
                <c:pt idx="60">
                  <c:v>0.31773615134211775</c:v>
                </c:pt>
                <c:pt idx="61">
                  <c:v>0.31842972726211194</c:v>
                </c:pt>
                <c:pt idx="62">
                  <c:v>0.31794564639224232</c:v>
                </c:pt>
                <c:pt idx="63">
                  <c:v>0.31611716284135655</c:v>
                </c:pt>
                <c:pt idx="64">
                  <c:v>0.31660877498810119</c:v>
                </c:pt>
                <c:pt idx="65">
                  <c:v>0.31347095023802474</c:v>
                </c:pt>
                <c:pt idx="66">
                  <c:v>0.30693245959276177</c:v>
                </c:pt>
                <c:pt idx="67">
                  <c:v>0.30628311268659991</c:v>
                </c:pt>
                <c:pt idx="68">
                  <c:v>0.30923722076764587</c:v>
                </c:pt>
                <c:pt idx="69">
                  <c:v>0.30712667911249547</c:v>
                </c:pt>
                <c:pt idx="70">
                  <c:v>0.30438869548244396</c:v>
                </c:pt>
                <c:pt idx="71">
                  <c:v>0.30627290672049717</c:v>
                </c:pt>
                <c:pt idx="72">
                  <c:v>0.30169512114750779</c:v>
                </c:pt>
                <c:pt idx="73">
                  <c:v>0.28889346227515467</c:v>
                </c:pt>
                <c:pt idx="74">
                  <c:v>0.29358092648337847</c:v>
                </c:pt>
                <c:pt idx="75">
                  <c:v>0.30812756894618809</c:v>
                </c:pt>
                <c:pt idx="76">
                  <c:v>0.30771788169916087</c:v>
                </c:pt>
                <c:pt idx="77">
                  <c:v>0.32889017145246785</c:v>
                </c:pt>
                <c:pt idx="78">
                  <c:v>0.32320012739091691</c:v>
                </c:pt>
                <c:pt idx="79">
                  <c:v>0.32813566165357788</c:v>
                </c:pt>
                <c:pt idx="80">
                  <c:v>0.32572646536969707</c:v>
                </c:pt>
                <c:pt idx="81">
                  <c:v>0.31375150047131078</c:v>
                </c:pt>
                <c:pt idx="82">
                  <c:v>0.31014017396933485</c:v>
                </c:pt>
                <c:pt idx="83">
                  <c:v>0.31310311549172137</c:v>
                </c:pt>
                <c:pt idx="84">
                  <c:v>0.31812507928229822</c:v>
                </c:pt>
                <c:pt idx="85">
                  <c:v>0.34327680584809023</c:v>
                </c:pt>
                <c:pt idx="86">
                  <c:v>0.34739834022488419</c:v>
                </c:pt>
                <c:pt idx="87">
                  <c:v>0.34089053344423076</c:v>
                </c:pt>
                <c:pt idx="88">
                  <c:v>0.34225578096501469</c:v>
                </c:pt>
                <c:pt idx="89">
                  <c:v>0.34210624484649615</c:v>
                </c:pt>
                <c:pt idx="90">
                  <c:v>0.34786568292766501</c:v>
                </c:pt>
                <c:pt idx="91">
                  <c:v>0.34671293093398003</c:v>
                </c:pt>
                <c:pt idx="92">
                  <c:v>0.35644336443586683</c:v>
                </c:pt>
                <c:pt idx="93">
                  <c:v>0.35572660674327722</c:v>
                </c:pt>
                <c:pt idx="94">
                  <c:v>0.35356620994775168</c:v>
                </c:pt>
                <c:pt idx="95">
                  <c:v>0.35320135774366146</c:v>
                </c:pt>
                <c:pt idx="96">
                  <c:v>0.35690055262908932</c:v>
                </c:pt>
                <c:pt idx="97">
                  <c:v>0.38013717097950139</c:v>
                </c:pt>
                <c:pt idx="98">
                  <c:v>0.39837333921799051</c:v>
                </c:pt>
                <c:pt idx="99">
                  <c:v>0.38229041795084906</c:v>
                </c:pt>
                <c:pt idx="100">
                  <c:v>0.38207551786788729</c:v>
                </c:pt>
                <c:pt idx="101">
                  <c:v>0.37676899542169268</c:v>
                </c:pt>
                <c:pt idx="102">
                  <c:v>0.38346325226608269</c:v>
                </c:pt>
                <c:pt idx="103">
                  <c:v>0.38508907832416422</c:v>
                </c:pt>
                <c:pt idx="104">
                  <c:v>0.40498203549755518</c:v>
                </c:pt>
                <c:pt idx="105">
                  <c:v>0.399014943266503</c:v>
                </c:pt>
                <c:pt idx="106">
                  <c:v>0.39824663809596567</c:v>
                </c:pt>
                <c:pt idx="107">
                  <c:v>0.39318771106095507</c:v>
                </c:pt>
                <c:pt idx="108">
                  <c:v>0.4034841626389476</c:v>
                </c:pt>
                <c:pt idx="109">
                  <c:v>0.39981760736830141</c:v>
                </c:pt>
                <c:pt idx="110">
                  <c:v>0.4081790612404419</c:v>
                </c:pt>
                <c:pt idx="111">
                  <c:v>0.40645358042408436</c:v>
                </c:pt>
                <c:pt idx="112">
                  <c:v>0.40424672388929461</c:v>
                </c:pt>
                <c:pt idx="113">
                  <c:v>0.39723237311603604</c:v>
                </c:pt>
                <c:pt idx="114">
                  <c:v>0.40001004476862195</c:v>
                </c:pt>
                <c:pt idx="115">
                  <c:v>0.40096602171365248</c:v>
                </c:pt>
                <c:pt idx="116">
                  <c:v>0.39844355477046556</c:v>
                </c:pt>
                <c:pt idx="117">
                  <c:v>0.39926242937815526</c:v>
                </c:pt>
                <c:pt idx="118">
                  <c:v>0.40166496842999461</c:v>
                </c:pt>
                <c:pt idx="119">
                  <c:v>0.39474168282499439</c:v>
                </c:pt>
                <c:pt idx="120">
                  <c:v>0.38198460129684292</c:v>
                </c:pt>
                <c:pt idx="121">
                  <c:v>0.38813329725359319</c:v>
                </c:pt>
                <c:pt idx="122">
                  <c:v>0.38226354571037313</c:v>
                </c:pt>
                <c:pt idx="123">
                  <c:v>0.3891839513509357</c:v>
                </c:pt>
                <c:pt idx="124">
                  <c:v>0.38035827008178563</c:v>
                </c:pt>
                <c:pt idx="125">
                  <c:v>0.37664707169843503</c:v>
                </c:pt>
                <c:pt idx="126">
                  <c:v>0.36645940369588054</c:v>
                </c:pt>
                <c:pt idx="127">
                  <c:v>0.37034807677843057</c:v>
                </c:pt>
                <c:pt idx="128">
                  <c:v>0.36790764335834841</c:v>
                </c:pt>
                <c:pt idx="129">
                  <c:v>0.37207941796597133</c:v>
                </c:pt>
                <c:pt idx="130">
                  <c:v>0.38091247635054776</c:v>
                </c:pt>
                <c:pt idx="131">
                  <c:v>0.38076571983680857</c:v>
                </c:pt>
                <c:pt idx="132">
                  <c:v>0.38138918710526581</c:v>
                </c:pt>
                <c:pt idx="133">
                  <c:v>0.39251542438775605</c:v>
                </c:pt>
                <c:pt idx="134">
                  <c:v>0.39838979318297874</c:v>
                </c:pt>
                <c:pt idx="135">
                  <c:v>0.40052987316820649</c:v>
                </c:pt>
                <c:pt idx="136">
                  <c:v>0.39629009833549328</c:v>
                </c:pt>
                <c:pt idx="137">
                  <c:v>0.39474749138278276</c:v>
                </c:pt>
                <c:pt idx="138">
                  <c:v>0.39853246829826056</c:v>
                </c:pt>
                <c:pt idx="139">
                  <c:v>0.4000836900134766</c:v>
                </c:pt>
                <c:pt idx="140">
                  <c:v>0.40292001932403304</c:v>
                </c:pt>
                <c:pt idx="141">
                  <c:v>0.40377981789234468</c:v>
                </c:pt>
                <c:pt idx="142">
                  <c:v>0.39935868104789729</c:v>
                </c:pt>
                <c:pt idx="143">
                  <c:v>0.3986764417168453</c:v>
                </c:pt>
                <c:pt idx="144">
                  <c:v>0.39247451105800329</c:v>
                </c:pt>
                <c:pt idx="145">
                  <c:v>0.3854966322626352</c:v>
                </c:pt>
                <c:pt idx="146">
                  <c:v>0.3864015249640762</c:v>
                </c:pt>
                <c:pt idx="147">
                  <c:v>0.38653503372138331</c:v>
                </c:pt>
                <c:pt idx="148">
                  <c:v>0.38905965660982333</c:v>
                </c:pt>
                <c:pt idx="149">
                  <c:v>0.38019251135277615</c:v>
                </c:pt>
                <c:pt idx="150">
                  <c:v>0.39113996628471609</c:v>
                </c:pt>
                <c:pt idx="151">
                  <c:v>0.39264141469081926</c:v>
                </c:pt>
                <c:pt idx="152">
                  <c:v>0.37063075296949305</c:v>
                </c:pt>
                <c:pt idx="153">
                  <c:v>0.37559550518245366</c:v>
                </c:pt>
                <c:pt idx="154">
                  <c:v>0.37235478559735152</c:v>
                </c:pt>
                <c:pt idx="155">
                  <c:v>0.36435177310632477</c:v>
                </c:pt>
                <c:pt idx="156">
                  <c:v>0.36147366997920427</c:v>
                </c:pt>
                <c:pt idx="157">
                  <c:v>0.36518698723526599</c:v>
                </c:pt>
                <c:pt idx="158">
                  <c:v>0.36416627409669738</c:v>
                </c:pt>
                <c:pt idx="159">
                  <c:v>0.3806731604957288</c:v>
                </c:pt>
                <c:pt idx="160">
                  <c:v>0.38096816777263126</c:v>
                </c:pt>
                <c:pt idx="161">
                  <c:v>0.38409937117035098</c:v>
                </c:pt>
                <c:pt idx="162">
                  <c:v>0.38279586472556304</c:v>
                </c:pt>
                <c:pt idx="163">
                  <c:v>0.38021033168722779</c:v>
                </c:pt>
                <c:pt idx="164">
                  <c:v>0.37893284813375816</c:v>
                </c:pt>
                <c:pt idx="165">
                  <c:v>0.37435404527184379</c:v>
                </c:pt>
                <c:pt idx="166">
                  <c:v>0.37835606649247611</c:v>
                </c:pt>
                <c:pt idx="167">
                  <c:v>0.37617014528095999</c:v>
                </c:pt>
                <c:pt idx="168">
                  <c:v>0.39067137948707281</c:v>
                </c:pt>
                <c:pt idx="169">
                  <c:v>0.39902571578645768</c:v>
                </c:pt>
                <c:pt idx="170">
                  <c:v>0.38946520380720256</c:v>
                </c:pt>
                <c:pt idx="171">
                  <c:v>0.3962404152722277</c:v>
                </c:pt>
                <c:pt idx="172">
                  <c:v>0.40101883442654196</c:v>
                </c:pt>
                <c:pt idx="173">
                  <c:v>0.40157836904591343</c:v>
                </c:pt>
                <c:pt idx="174">
                  <c:v>0.40552977275143726</c:v>
                </c:pt>
                <c:pt idx="175">
                  <c:v>0.4037434777029843</c:v>
                </c:pt>
                <c:pt idx="176">
                  <c:v>0.41607564761885396</c:v>
                </c:pt>
                <c:pt idx="177">
                  <c:v>0.41481078977224428</c:v>
                </c:pt>
                <c:pt idx="178">
                  <c:v>0.41549671354512946</c:v>
                </c:pt>
                <c:pt idx="179">
                  <c:v>0.41636483023949389</c:v>
                </c:pt>
                <c:pt idx="180">
                  <c:v>0.41576856835880188</c:v>
                </c:pt>
                <c:pt idx="181">
                  <c:v>0.41554411000262959</c:v>
                </c:pt>
                <c:pt idx="182">
                  <c:v>0.41949582119359258</c:v>
                </c:pt>
                <c:pt idx="183">
                  <c:v>0.42497170076052138</c:v>
                </c:pt>
                <c:pt idx="184">
                  <c:v>0.41850570170540252</c:v>
                </c:pt>
                <c:pt idx="185">
                  <c:v>0.41420223466986716</c:v>
                </c:pt>
                <c:pt idx="186">
                  <c:v>0.41283186803954663</c:v>
                </c:pt>
                <c:pt idx="187">
                  <c:v>0.41331589131723573</c:v>
                </c:pt>
                <c:pt idx="188">
                  <c:v>0.41061330641197735</c:v>
                </c:pt>
                <c:pt idx="189">
                  <c:v>0.40848325787902867</c:v>
                </c:pt>
                <c:pt idx="190">
                  <c:v>0.40467934025428914</c:v>
                </c:pt>
                <c:pt idx="191">
                  <c:v>0.40643781228560638</c:v>
                </c:pt>
                <c:pt idx="192">
                  <c:v>0.39867630796652093</c:v>
                </c:pt>
                <c:pt idx="193">
                  <c:v>0.39109468767436545</c:v>
                </c:pt>
                <c:pt idx="194">
                  <c:v>0.39017381676987295</c:v>
                </c:pt>
                <c:pt idx="195">
                  <c:v>0.38576895024125246</c:v>
                </c:pt>
                <c:pt idx="196">
                  <c:v>0.3802411336995784</c:v>
                </c:pt>
                <c:pt idx="197">
                  <c:v>0.38407778805007753</c:v>
                </c:pt>
                <c:pt idx="198">
                  <c:v>0.38210705103504267</c:v>
                </c:pt>
                <c:pt idx="199">
                  <c:v>0.38292916747257322</c:v>
                </c:pt>
                <c:pt idx="200">
                  <c:v>0.38353643914860525</c:v>
                </c:pt>
                <c:pt idx="201">
                  <c:v>0.38374576301429175</c:v>
                </c:pt>
                <c:pt idx="202">
                  <c:v>0.37958581886896597</c:v>
                </c:pt>
                <c:pt idx="203">
                  <c:v>0.38197047299266668</c:v>
                </c:pt>
                <c:pt idx="204">
                  <c:v>0.38068365353414524</c:v>
                </c:pt>
                <c:pt idx="205">
                  <c:v>0.38109674246474923</c:v>
                </c:pt>
                <c:pt idx="206">
                  <c:v>0.38136735028925522</c:v>
                </c:pt>
                <c:pt idx="207">
                  <c:v>0.3844155592231302</c:v>
                </c:pt>
                <c:pt idx="208">
                  <c:v>0.38532236293399436</c:v>
                </c:pt>
                <c:pt idx="209">
                  <c:v>0.38684490584885645</c:v>
                </c:pt>
                <c:pt idx="210">
                  <c:v>0.39012443888677584</c:v>
                </c:pt>
                <c:pt idx="211">
                  <c:v>0.39403139835725653</c:v>
                </c:pt>
                <c:pt idx="212">
                  <c:v>0.39006150247639587</c:v>
                </c:pt>
                <c:pt idx="213">
                  <c:v>0.39385517618315008</c:v>
                </c:pt>
                <c:pt idx="214">
                  <c:v>0.39092739619664163</c:v>
                </c:pt>
                <c:pt idx="215">
                  <c:v>0.38958010800160098</c:v>
                </c:pt>
                <c:pt idx="216">
                  <c:v>0.38558384606431401</c:v>
                </c:pt>
                <c:pt idx="217">
                  <c:v>0.38197598662439486</c:v>
                </c:pt>
                <c:pt idx="218">
                  <c:v>0.38101137428943921</c:v>
                </c:pt>
                <c:pt idx="219">
                  <c:v>0.37826122722849931</c:v>
                </c:pt>
                <c:pt idx="220">
                  <c:v>0.3686114605741187</c:v>
                </c:pt>
                <c:pt idx="221">
                  <c:v>0.36991100952802869</c:v>
                </c:pt>
                <c:pt idx="222">
                  <c:v>0.36603447299932546</c:v>
                </c:pt>
                <c:pt idx="223">
                  <c:v>0.36580099665907628</c:v>
                </c:pt>
                <c:pt idx="224">
                  <c:v>0.35543120591940713</c:v>
                </c:pt>
                <c:pt idx="225">
                  <c:v>0.365341869064502</c:v>
                </c:pt>
                <c:pt idx="226">
                  <c:v>0.36562915534344481</c:v>
                </c:pt>
                <c:pt idx="227">
                  <c:v>0.36380940779566523</c:v>
                </c:pt>
                <c:pt idx="228">
                  <c:v>0.36322506101811475</c:v>
                </c:pt>
                <c:pt idx="229">
                  <c:v>0.36006091681656499</c:v>
                </c:pt>
                <c:pt idx="230">
                  <c:v>0.35489894485237078</c:v>
                </c:pt>
                <c:pt idx="231">
                  <c:v>0.35591927160161652</c:v>
                </c:pt>
                <c:pt idx="232">
                  <c:v>0.35184893849225535</c:v>
                </c:pt>
                <c:pt idx="233">
                  <c:v>0.34785653620446894</c:v>
                </c:pt>
                <c:pt idx="234">
                  <c:v>0.34698057554492379</c:v>
                </c:pt>
                <c:pt idx="235">
                  <c:v>0.3451726558906193</c:v>
                </c:pt>
                <c:pt idx="236">
                  <c:v>0.34999215312089099</c:v>
                </c:pt>
                <c:pt idx="237">
                  <c:v>0.35075141264558146</c:v>
                </c:pt>
                <c:pt idx="238">
                  <c:v>0.35474441301188475</c:v>
                </c:pt>
                <c:pt idx="239">
                  <c:v>0.35303906688396675</c:v>
                </c:pt>
                <c:pt idx="240">
                  <c:v>0.35261195730609879</c:v>
                </c:pt>
                <c:pt idx="241">
                  <c:v>0.35169014195285386</c:v>
                </c:pt>
                <c:pt idx="242">
                  <c:v>0.35163855295806334</c:v>
                </c:pt>
                <c:pt idx="243">
                  <c:v>0.34698761634215924</c:v>
                </c:pt>
                <c:pt idx="244">
                  <c:v>0.34571595769534896</c:v>
                </c:pt>
                <c:pt idx="245">
                  <c:v>0.34633060081595801</c:v>
                </c:pt>
                <c:pt idx="246">
                  <c:v>0.34383229615316763</c:v>
                </c:pt>
                <c:pt idx="247">
                  <c:v>0.3449291925155909</c:v>
                </c:pt>
                <c:pt idx="248">
                  <c:v>0.34798676165104309</c:v>
                </c:pt>
                <c:pt idx="249">
                  <c:v>0.34867376831180802</c:v>
                </c:pt>
                <c:pt idx="250">
                  <c:v>0.3435747029168576</c:v>
                </c:pt>
                <c:pt idx="251">
                  <c:v>0.33976205375721463</c:v>
                </c:pt>
                <c:pt idx="252">
                  <c:v>0.3397562845741291</c:v>
                </c:pt>
                <c:pt idx="253">
                  <c:v>0.33921964097111407</c:v>
                </c:pt>
                <c:pt idx="254">
                  <c:v>0.35850238766142112</c:v>
                </c:pt>
                <c:pt idx="255">
                  <c:v>0.35701520320169022</c:v>
                </c:pt>
                <c:pt idx="256">
                  <c:v>0.35408118632865893</c:v>
                </c:pt>
                <c:pt idx="257">
                  <c:v>0.3544712741566447</c:v>
                </c:pt>
                <c:pt idx="258">
                  <c:v>0.35203125948730224</c:v>
                </c:pt>
                <c:pt idx="259">
                  <c:v>0.35322334184675785</c:v>
                </c:pt>
                <c:pt idx="260">
                  <c:v>0.35654264865586216</c:v>
                </c:pt>
                <c:pt idx="261">
                  <c:v>0.35504992367430566</c:v>
                </c:pt>
                <c:pt idx="262">
                  <c:v>0.35690277638509377</c:v>
                </c:pt>
                <c:pt idx="263">
                  <c:v>0.37089287845045066</c:v>
                </c:pt>
                <c:pt idx="264">
                  <c:v>0.3664305579094711</c:v>
                </c:pt>
                <c:pt idx="265">
                  <c:v>0.36734715416903857</c:v>
                </c:pt>
                <c:pt idx="266">
                  <c:v>0.3647888009586403</c:v>
                </c:pt>
                <c:pt idx="267">
                  <c:v>0.36272536209767708</c:v>
                </c:pt>
                <c:pt idx="268">
                  <c:v>0.36553634731294116</c:v>
                </c:pt>
                <c:pt idx="269">
                  <c:v>0.36669478638797653</c:v>
                </c:pt>
                <c:pt idx="270">
                  <c:v>0.3660205921862813</c:v>
                </c:pt>
                <c:pt idx="271">
                  <c:v>0.36903369494894517</c:v>
                </c:pt>
                <c:pt idx="272">
                  <c:v>0.37131600760033734</c:v>
                </c:pt>
                <c:pt idx="273">
                  <c:v>0.3864934297333249</c:v>
                </c:pt>
                <c:pt idx="274">
                  <c:v>0.38894811415560615</c:v>
                </c:pt>
                <c:pt idx="275">
                  <c:v>0.39130605867992491</c:v>
                </c:pt>
                <c:pt idx="276">
                  <c:v>0.38964227694674752</c:v>
                </c:pt>
                <c:pt idx="277">
                  <c:v>0.39225711024022497</c:v>
                </c:pt>
                <c:pt idx="278">
                  <c:v>0.39370722119354462</c:v>
                </c:pt>
                <c:pt idx="279">
                  <c:v>0.39206782727074974</c:v>
                </c:pt>
                <c:pt idx="280">
                  <c:v>0.38899870608148468</c:v>
                </c:pt>
                <c:pt idx="281">
                  <c:v>0.39232072924576095</c:v>
                </c:pt>
                <c:pt idx="282">
                  <c:v>0.39942704432651677</c:v>
                </c:pt>
                <c:pt idx="283">
                  <c:v>0.40011633300549793</c:v>
                </c:pt>
                <c:pt idx="284">
                  <c:v>0.39994947652504442</c:v>
                </c:pt>
                <c:pt idx="285">
                  <c:v>0.39615983077624228</c:v>
                </c:pt>
                <c:pt idx="286">
                  <c:v>0.39692464421533247</c:v>
                </c:pt>
                <c:pt idx="287">
                  <c:v>0.39517472895358868</c:v>
                </c:pt>
                <c:pt idx="288">
                  <c:v>0.39116970012692609</c:v>
                </c:pt>
                <c:pt idx="289">
                  <c:v>0.38766498669177529</c:v>
                </c:pt>
                <c:pt idx="290">
                  <c:v>0.38938998237043793</c:v>
                </c:pt>
                <c:pt idx="291">
                  <c:v>0.38875209777530079</c:v>
                </c:pt>
                <c:pt idx="292">
                  <c:v>0.37438074213964584</c:v>
                </c:pt>
                <c:pt idx="293">
                  <c:v>0.38493791019195767</c:v>
                </c:pt>
                <c:pt idx="294">
                  <c:v>0.37863414528803696</c:v>
                </c:pt>
                <c:pt idx="295">
                  <c:v>0.37470645794562307</c:v>
                </c:pt>
                <c:pt idx="296">
                  <c:v>0.36553252143241644</c:v>
                </c:pt>
                <c:pt idx="297">
                  <c:v>0.3676544395009877</c:v>
                </c:pt>
                <c:pt idx="298">
                  <c:v>0.36366535298385799</c:v>
                </c:pt>
                <c:pt idx="299">
                  <c:v>0.36756124100422494</c:v>
                </c:pt>
                <c:pt idx="300">
                  <c:v>0.36178974862639535</c:v>
                </c:pt>
                <c:pt idx="301">
                  <c:v>0.35786335605460995</c:v>
                </c:pt>
                <c:pt idx="302">
                  <c:v>0.35474816188654223</c:v>
                </c:pt>
                <c:pt idx="303">
                  <c:v>0.3511800152390101</c:v>
                </c:pt>
                <c:pt idx="304">
                  <c:v>0.36329740797047477</c:v>
                </c:pt>
                <c:pt idx="305">
                  <c:v>0.3664834088771538</c:v>
                </c:pt>
                <c:pt idx="306">
                  <c:v>0.36649184169117138</c:v>
                </c:pt>
                <c:pt idx="307">
                  <c:v>0.36244340116063084</c:v>
                </c:pt>
                <c:pt idx="308">
                  <c:v>0.35769459106852453</c:v>
                </c:pt>
                <c:pt idx="309">
                  <c:v>0.35905370667433212</c:v>
                </c:pt>
                <c:pt idx="310">
                  <c:v>0.35912537586063181</c:v>
                </c:pt>
                <c:pt idx="311">
                  <c:v>0.35379057758767402</c:v>
                </c:pt>
                <c:pt idx="312">
                  <c:v>0.348832207309828</c:v>
                </c:pt>
                <c:pt idx="313">
                  <c:v>0.35253974913434971</c:v>
                </c:pt>
                <c:pt idx="314">
                  <c:v>0.35159972158631303</c:v>
                </c:pt>
                <c:pt idx="315">
                  <c:v>0.35091692329988494</c:v>
                </c:pt>
                <c:pt idx="316">
                  <c:v>0.35020954778690772</c:v>
                </c:pt>
                <c:pt idx="317">
                  <c:v>0.33296192798500818</c:v>
                </c:pt>
                <c:pt idx="318">
                  <c:v>0.33427886171716642</c:v>
                </c:pt>
                <c:pt idx="319">
                  <c:v>0.33441114510612313</c:v>
                </c:pt>
                <c:pt idx="320">
                  <c:v>0.32705041289815839</c:v>
                </c:pt>
                <c:pt idx="321">
                  <c:v>0.32068670161673479</c:v>
                </c:pt>
                <c:pt idx="322">
                  <c:v>0.31519122499753599</c:v>
                </c:pt>
                <c:pt idx="323">
                  <c:v>0.30842786996506039</c:v>
                </c:pt>
                <c:pt idx="324">
                  <c:v>0.30555142637144717</c:v>
                </c:pt>
                <c:pt idx="325">
                  <c:v>0.30160257782379568</c:v>
                </c:pt>
                <c:pt idx="326">
                  <c:v>0.29944354631918568</c:v>
                </c:pt>
                <c:pt idx="327">
                  <c:v>0.30488809591486937</c:v>
                </c:pt>
                <c:pt idx="328">
                  <c:v>0.30677680501919558</c:v>
                </c:pt>
                <c:pt idx="329">
                  <c:v>0.30686459087106099</c:v>
                </c:pt>
                <c:pt idx="330">
                  <c:v>0.3035727655032201</c:v>
                </c:pt>
                <c:pt idx="331">
                  <c:v>0.30369044540910495</c:v>
                </c:pt>
                <c:pt idx="332">
                  <c:v>0.30902198542874593</c:v>
                </c:pt>
                <c:pt idx="333">
                  <c:v>0.30402827327413029</c:v>
                </c:pt>
                <c:pt idx="334">
                  <c:v>0.31698943727302015</c:v>
                </c:pt>
                <c:pt idx="335">
                  <c:v>0.32988576318889939</c:v>
                </c:pt>
                <c:pt idx="336">
                  <c:v>0.32688487868420391</c:v>
                </c:pt>
                <c:pt idx="337">
                  <c:v>0.32758341043072869</c:v>
                </c:pt>
                <c:pt idx="338">
                  <c:v>0.33645958167783147</c:v>
                </c:pt>
                <c:pt idx="339">
                  <c:v>0.33387882375791622</c:v>
                </c:pt>
                <c:pt idx="340">
                  <c:v>0.33547766699226683</c:v>
                </c:pt>
                <c:pt idx="341">
                  <c:v>0.33570814991983761</c:v>
                </c:pt>
                <c:pt idx="342">
                  <c:v>0.33287404303668677</c:v>
                </c:pt>
                <c:pt idx="343">
                  <c:v>0.3605049270012326</c:v>
                </c:pt>
                <c:pt idx="344">
                  <c:v>0.3586633415334306</c:v>
                </c:pt>
                <c:pt idx="345">
                  <c:v>0.35729163151509591</c:v>
                </c:pt>
                <c:pt idx="346">
                  <c:v>0.36106431740142242</c:v>
                </c:pt>
                <c:pt idx="347">
                  <c:v>0.36541582343582957</c:v>
                </c:pt>
                <c:pt idx="348">
                  <c:v>0.36290122528620278</c:v>
                </c:pt>
                <c:pt idx="349">
                  <c:v>0.36790342215507399</c:v>
                </c:pt>
                <c:pt idx="350">
                  <c:v>0.37711144726102097</c:v>
                </c:pt>
                <c:pt idx="351">
                  <c:v>0.37470607945414403</c:v>
                </c:pt>
                <c:pt idx="352">
                  <c:v>0.36891614700972936</c:v>
                </c:pt>
                <c:pt idx="353">
                  <c:v>0.37154187901613439</c:v>
                </c:pt>
                <c:pt idx="354">
                  <c:v>0.37320140780791861</c:v>
                </c:pt>
                <c:pt idx="355">
                  <c:v>0.36764949000058916</c:v>
                </c:pt>
                <c:pt idx="356">
                  <c:v>0.36089206336852414</c:v>
                </c:pt>
                <c:pt idx="357">
                  <c:v>0.36472365992283945</c:v>
                </c:pt>
                <c:pt idx="358">
                  <c:v>0.3639626897960645</c:v>
                </c:pt>
                <c:pt idx="359">
                  <c:v>0.36230600859750073</c:v>
                </c:pt>
                <c:pt idx="360">
                  <c:v>0.36991433833730564</c:v>
                </c:pt>
                <c:pt idx="361">
                  <c:v>0.37716941208784133</c:v>
                </c:pt>
                <c:pt idx="362">
                  <c:v>0.37503400412891791</c:v>
                </c:pt>
                <c:pt idx="363">
                  <c:v>0.35789988818793417</c:v>
                </c:pt>
                <c:pt idx="364">
                  <c:v>0.3524134828833701</c:v>
                </c:pt>
                <c:pt idx="365">
                  <c:v>0.35418336436562126</c:v>
                </c:pt>
                <c:pt idx="366">
                  <c:v>0.34983307257051593</c:v>
                </c:pt>
                <c:pt idx="367">
                  <c:v>0.34688662207144672</c:v>
                </c:pt>
                <c:pt idx="368">
                  <c:v>0.33997355186559836</c:v>
                </c:pt>
                <c:pt idx="369">
                  <c:v>0.33830828970631033</c:v>
                </c:pt>
                <c:pt idx="370">
                  <c:v>0.33093268765730671</c:v>
                </c:pt>
                <c:pt idx="371">
                  <c:v>0.33717899854738276</c:v>
                </c:pt>
                <c:pt idx="372">
                  <c:v>0.33677222275018959</c:v>
                </c:pt>
                <c:pt idx="373">
                  <c:v>0.33843868894585827</c:v>
                </c:pt>
                <c:pt idx="374">
                  <c:v>0.34469079134603003</c:v>
                </c:pt>
                <c:pt idx="375">
                  <c:v>0.34790579954562761</c:v>
                </c:pt>
                <c:pt idx="376">
                  <c:v>0.34881273713282551</c:v>
                </c:pt>
                <c:pt idx="377">
                  <c:v>0.34692181965505275</c:v>
                </c:pt>
                <c:pt idx="378">
                  <c:v>0.34931068202805188</c:v>
                </c:pt>
                <c:pt idx="379">
                  <c:v>0.35108229258154383</c:v>
                </c:pt>
                <c:pt idx="380">
                  <c:v>0.35158448022514921</c:v>
                </c:pt>
                <c:pt idx="381">
                  <c:v>0.35475157491744169</c:v>
                </c:pt>
                <c:pt idx="382">
                  <c:v>0.36367854787654452</c:v>
                </c:pt>
                <c:pt idx="383">
                  <c:v>0.35326675123793905</c:v>
                </c:pt>
                <c:pt idx="384">
                  <c:v>0.34798964113206515</c:v>
                </c:pt>
                <c:pt idx="385">
                  <c:v>0.34661963593415357</c:v>
                </c:pt>
                <c:pt idx="386">
                  <c:v>0.34774106950949052</c:v>
                </c:pt>
                <c:pt idx="387">
                  <c:v>0.35368651321255817</c:v>
                </c:pt>
                <c:pt idx="388">
                  <c:v>0.35549455248047512</c:v>
                </c:pt>
                <c:pt idx="389">
                  <c:v>0.35902409416829939</c:v>
                </c:pt>
                <c:pt idx="390">
                  <c:v>0.35635191345311384</c:v>
                </c:pt>
                <c:pt idx="391">
                  <c:v>0.36021599311288161</c:v>
                </c:pt>
                <c:pt idx="392">
                  <c:v>0.35939839458198097</c:v>
                </c:pt>
                <c:pt idx="393">
                  <c:v>0.37360116189221126</c:v>
                </c:pt>
                <c:pt idx="394">
                  <c:v>0.37517845785069831</c:v>
                </c:pt>
                <c:pt idx="395">
                  <c:v>0.37618913631444273</c:v>
                </c:pt>
                <c:pt idx="396">
                  <c:v>0.36877128808346255</c:v>
                </c:pt>
                <c:pt idx="397">
                  <c:v>0.36776814976632033</c:v>
                </c:pt>
                <c:pt idx="398">
                  <c:v>0.37136731934154488</c:v>
                </c:pt>
                <c:pt idx="399">
                  <c:v>0.37563044030767423</c:v>
                </c:pt>
                <c:pt idx="400">
                  <c:v>0.3779134925515541</c:v>
                </c:pt>
                <c:pt idx="401">
                  <c:v>0.37394531773660317</c:v>
                </c:pt>
                <c:pt idx="402">
                  <c:v>0.37848277131020225</c:v>
                </c:pt>
                <c:pt idx="403">
                  <c:v>0.3811018308875273</c:v>
                </c:pt>
                <c:pt idx="404">
                  <c:v>0.36561324154101454</c:v>
                </c:pt>
                <c:pt idx="405">
                  <c:v>0.36921854729050874</c:v>
                </c:pt>
                <c:pt idx="406">
                  <c:v>0.37955353223499971</c:v>
                </c:pt>
                <c:pt idx="407">
                  <c:v>0.37497539675411551</c:v>
                </c:pt>
                <c:pt idx="408">
                  <c:v>0.37490262513783673</c:v>
                </c:pt>
                <c:pt idx="409">
                  <c:v>0.37870560572539635</c:v>
                </c:pt>
                <c:pt idx="410">
                  <c:v>0.37722480047053264</c:v>
                </c:pt>
                <c:pt idx="411">
                  <c:v>0.38191502173140235</c:v>
                </c:pt>
                <c:pt idx="412">
                  <c:v>0.37865037830916659</c:v>
                </c:pt>
                <c:pt idx="413">
                  <c:v>0.38112962979080334</c:v>
                </c:pt>
                <c:pt idx="414">
                  <c:v>0.39080452512546343</c:v>
                </c:pt>
                <c:pt idx="415">
                  <c:v>0.39426993846407621</c:v>
                </c:pt>
                <c:pt idx="416">
                  <c:v>0.39074745012567591</c:v>
                </c:pt>
                <c:pt idx="417">
                  <c:v>0.39540393638422983</c:v>
                </c:pt>
                <c:pt idx="418">
                  <c:v>0.3904403449808671</c:v>
                </c:pt>
                <c:pt idx="419">
                  <c:v>0.3896488250491506</c:v>
                </c:pt>
                <c:pt idx="420">
                  <c:v>0.38996435503564347</c:v>
                </c:pt>
                <c:pt idx="421">
                  <c:v>0.38988053001279532</c:v>
                </c:pt>
                <c:pt idx="422">
                  <c:v>0.38843506548114459</c:v>
                </c:pt>
                <c:pt idx="423">
                  <c:v>0.3824233820597025</c:v>
                </c:pt>
                <c:pt idx="424">
                  <c:v>0.38143042523152881</c:v>
                </c:pt>
                <c:pt idx="425">
                  <c:v>0.38219291261884486</c:v>
                </c:pt>
                <c:pt idx="426">
                  <c:v>0.37908543093231856</c:v>
                </c:pt>
                <c:pt idx="427">
                  <c:v>0.37920073577429902</c:v>
                </c:pt>
                <c:pt idx="428">
                  <c:v>0.36284806462285296</c:v>
                </c:pt>
                <c:pt idx="429">
                  <c:v>0.35654729317546952</c:v>
                </c:pt>
                <c:pt idx="430">
                  <c:v>0.36517010108609999</c:v>
                </c:pt>
                <c:pt idx="431">
                  <c:v>0.36569448447564068</c:v>
                </c:pt>
                <c:pt idx="432">
                  <c:v>0.36325006944337729</c:v>
                </c:pt>
                <c:pt idx="433">
                  <c:v>0.36753171089347542</c:v>
                </c:pt>
                <c:pt idx="434">
                  <c:v>0.36996623280187518</c:v>
                </c:pt>
                <c:pt idx="435">
                  <c:v>0.36173161142846155</c:v>
                </c:pt>
                <c:pt idx="436">
                  <c:v>0.36272475001417503</c:v>
                </c:pt>
                <c:pt idx="437">
                  <c:v>0.3537826160010229</c:v>
                </c:pt>
                <c:pt idx="438">
                  <c:v>0.36081238338852395</c:v>
                </c:pt>
                <c:pt idx="439">
                  <c:v>0.36122202451659846</c:v>
                </c:pt>
                <c:pt idx="440">
                  <c:v>0.35857775327264979</c:v>
                </c:pt>
                <c:pt idx="441">
                  <c:v>0.35580184516763214</c:v>
                </c:pt>
                <c:pt idx="442">
                  <c:v>0.35767022728122255</c:v>
                </c:pt>
                <c:pt idx="443">
                  <c:v>0.35450033174452855</c:v>
                </c:pt>
                <c:pt idx="444">
                  <c:v>0.35464053920985678</c:v>
                </c:pt>
                <c:pt idx="445">
                  <c:v>0.35415638285358858</c:v>
                </c:pt>
                <c:pt idx="446">
                  <c:v>0.35576046508422399</c:v>
                </c:pt>
                <c:pt idx="447">
                  <c:v>0.35591977146101128</c:v>
                </c:pt>
                <c:pt idx="448">
                  <c:v>0.35722252013512656</c:v>
                </c:pt>
                <c:pt idx="449">
                  <c:v>0.35874452837538612</c:v>
                </c:pt>
                <c:pt idx="450">
                  <c:v>0.35170724158414263</c:v>
                </c:pt>
                <c:pt idx="451">
                  <c:v>0.35246226691403221</c:v>
                </c:pt>
                <c:pt idx="452">
                  <c:v>0.34815499904887515</c:v>
                </c:pt>
                <c:pt idx="453">
                  <c:v>0.34869011430345748</c:v>
                </c:pt>
                <c:pt idx="454">
                  <c:v>0.34819670955574494</c:v>
                </c:pt>
                <c:pt idx="455">
                  <c:v>0.35117147643191382</c:v>
                </c:pt>
                <c:pt idx="456">
                  <c:v>0.35590299161307104</c:v>
                </c:pt>
                <c:pt idx="457">
                  <c:v>0.35865510370556403</c:v>
                </c:pt>
                <c:pt idx="458">
                  <c:v>0.35652533567622974</c:v>
                </c:pt>
                <c:pt idx="459">
                  <c:v>0.37195132172923767</c:v>
                </c:pt>
                <c:pt idx="460">
                  <c:v>0.370862166047571</c:v>
                </c:pt>
                <c:pt idx="461">
                  <c:v>0.3703357890653643</c:v>
                </c:pt>
                <c:pt idx="462">
                  <c:v>0.35761107052546121</c:v>
                </c:pt>
                <c:pt idx="463">
                  <c:v>0.35808001669153938</c:v>
                </c:pt>
                <c:pt idx="464">
                  <c:v>0.35592768807197483</c:v>
                </c:pt>
                <c:pt idx="465">
                  <c:v>0.35969410661964146</c:v>
                </c:pt>
                <c:pt idx="466">
                  <c:v>0.36190684655950345</c:v>
                </c:pt>
                <c:pt idx="467">
                  <c:v>0.36305966618752039</c:v>
                </c:pt>
                <c:pt idx="468">
                  <c:v>0.36265314593556086</c:v>
                </c:pt>
                <c:pt idx="469">
                  <c:v>0.36756049749092035</c:v>
                </c:pt>
                <c:pt idx="470">
                  <c:v>0.36795381443450104</c:v>
                </c:pt>
                <c:pt idx="471">
                  <c:v>0.37017843706996195</c:v>
                </c:pt>
                <c:pt idx="472">
                  <c:v>0.36713330223242568</c:v>
                </c:pt>
                <c:pt idx="473">
                  <c:v>0.37055803902835466</c:v>
                </c:pt>
                <c:pt idx="474">
                  <c:v>0.37156654711645459</c:v>
                </c:pt>
                <c:pt idx="475">
                  <c:v>0.35682656719568384</c:v>
                </c:pt>
                <c:pt idx="476">
                  <c:v>0.35768264539456174</c:v>
                </c:pt>
                <c:pt idx="477">
                  <c:v>0.35500722796969403</c:v>
                </c:pt>
                <c:pt idx="478">
                  <c:v>0.35753604080094387</c:v>
                </c:pt>
                <c:pt idx="479">
                  <c:v>0.36329645849362685</c:v>
                </c:pt>
                <c:pt idx="480">
                  <c:v>0.35100491328475453</c:v>
                </c:pt>
                <c:pt idx="481">
                  <c:v>0.35114431398081819</c:v>
                </c:pt>
                <c:pt idx="482">
                  <c:v>0.322793128400233</c:v>
                </c:pt>
                <c:pt idx="483">
                  <c:v>0.32706083071786152</c:v>
                </c:pt>
                <c:pt idx="484">
                  <c:v>0.31570521467777957</c:v>
                </c:pt>
                <c:pt idx="485">
                  <c:v>0.31903808006999557</c:v>
                </c:pt>
                <c:pt idx="486">
                  <c:v>0.31718767910520679</c:v>
                </c:pt>
                <c:pt idx="487">
                  <c:v>0.3182078220142136</c:v>
                </c:pt>
                <c:pt idx="488">
                  <c:v>0.31115691866124184</c:v>
                </c:pt>
                <c:pt idx="489">
                  <c:v>0.30189732720552964</c:v>
                </c:pt>
                <c:pt idx="490">
                  <c:v>0.30082608699620272</c:v>
                </c:pt>
                <c:pt idx="491">
                  <c:v>0.29871323976823078</c:v>
                </c:pt>
                <c:pt idx="492">
                  <c:v>0.2976402447437968</c:v>
                </c:pt>
                <c:pt idx="493">
                  <c:v>0.30264270381601566</c:v>
                </c:pt>
                <c:pt idx="494">
                  <c:v>0.29346114102983234</c:v>
                </c:pt>
                <c:pt idx="495">
                  <c:v>0.29488438808420847</c:v>
                </c:pt>
                <c:pt idx="496">
                  <c:v>0.29811262800157423</c:v>
                </c:pt>
                <c:pt idx="497">
                  <c:v>0.29628414077279441</c:v>
                </c:pt>
                <c:pt idx="498">
                  <c:v>0.29064180295094144</c:v>
                </c:pt>
                <c:pt idx="499">
                  <c:v>0.2900836110363309</c:v>
                </c:pt>
                <c:pt idx="500">
                  <c:v>0.2790230353302785</c:v>
                </c:pt>
                <c:pt idx="501">
                  <c:v>0.27985503558806263</c:v>
                </c:pt>
                <c:pt idx="502">
                  <c:v>0.28082236309679226</c:v>
                </c:pt>
                <c:pt idx="503">
                  <c:v>0.28011517532028229</c:v>
                </c:pt>
                <c:pt idx="504">
                  <c:v>0.28264745739383296</c:v>
                </c:pt>
                <c:pt idx="505">
                  <c:v>0.28164672187150253</c:v>
                </c:pt>
                <c:pt idx="506">
                  <c:v>0.28308968258460099</c:v>
                </c:pt>
                <c:pt idx="507">
                  <c:v>0.26800619049439345</c:v>
                </c:pt>
                <c:pt idx="508">
                  <c:v>0.27067714708867929</c:v>
                </c:pt>
                <c:pt idx="509">
                  <c:v>0.27533220648677098</c:v>
                </c:pt>
                <c:pt idx="510">
                  <c:v>0.27865563633784013</c:v>
                </c:pt>
                <c:pt idx="511">
                  <c:v>0.27613302175379284</c:v>
                </c:pt>
                <c:pt idx="512">
                  <c:v>0.27643346607267238</c:v>
                </c:pt>
                <c:pt idx="513">
                  <c:v>0.27549600766504556</c:v>
                </c:pt>
                <c:pt idx="514">
                  <c:v>0.27652363933828938</c:v>
                </c:pt>
                <c:pt idx="515">
                  <c:v>0.27710345070038456</c:v>
                </c:pt>
                <c:pt idx="516">
                  <c:v>0.27471464055754319</c:v>
                </c:pt>
                <c:pt idx="517">
                  <c:v>0.27482274468410567</c:v>
                </c:pt>
                <c:pt idx="518">
                  <c:v>0.27458124993073552</c:v>
                </c:pt>
                <c:pt idx="519">
                  <c:v>0.27668504450761683</c:v>
                </c:pt>
                <c:pt idx="520">
                  <c:v>0.28536406484361659</c:v>
                </c:pt>
                <c:pt idx="521">
                  <c:v>0.28510322996639359</c:v>
                </c:pt>
                <c:pt idx="522">
                  <c:v>0.27970879055365766</c:v>
                </c:pt>
                <c:pt idx="523">
                  <c:v>0.27741945194139056</c:v>
                </c:pt>
                <c:pt idx="524">
                  <c:v>0.27461424694688075</c:v>
                </c:pt>
                <c:pt idx="525">
                  <c:v>0.26855123897436228</c:v>
                </c:pt>
                <c:pt idx="526">
                  <c:v>0.26862396863895188</c:v>
                </c:pt>
                <c:pt idx="527">
                  <c:v>0.26551097739028945</c:v>
                </c:pt>
                <c:pt idx="528">
                  <c:v>0.26564253777797309</c:v>
                </c:pt>
                <c:pt idx="529">
                  <c:v>0.2668651908879745</c:v>
                </c:pt>
                <c:pt idx="530">
                  <c:v>0.26933836984784099</c:v>
                </c:pt>
                <c:pt idx="531">
                  <c:v>0.2700214755621746</c:v>
                </c:pt>
                <c:pt idx="532">
                  <c:v>0.27257598812893041</c:v>
                </c:pt>
                <c:pt idx="533">
                  <c:v>0.27410256528995175</c:v>
                </c:pt>
                <c:pt idx="534">
                  <c:v>0.28197715059497092</c:v>
                </c:pt>
                <c:pt idx="535">
                  <c:v>0.28496351763130168</c:v>
                </c:pt>
                <c:pt idx="536">
                  <c:v>0.28224396585762612</c:v>
                </c:pt>
                <c:pt idx="537">
                  <c:v>0.29031416590595011</c:v>
                </c:pt>
                <c:pt idx="538">
                  <c:v>0.28525007875094005</c:v>
                </c:pt>
                <c:pt idx="539">
                  <c:v>0.28112732383702971</c:v>
                </c:pt>
                <c:pt idx="540">
                  <c:v>0.28072802697932842</c:v>
                </c:pt>
                <c:pt idx="541">
                  <c:v>0.28503319486671069</c:v>
                </c:pt>
                <c:pt idx="542">
                  <c:v>0.28415402156899711</c:v>
                </c:pt>
                <c:pt idx="543">
                  <c:v>0.28497575582342893</c:v>
                </c:pt>
                <c:pt idx="544">
                  <c:v>0.27937223436646308</c:v>
                </c:pt>
                <c:pt idx="545">
                  <c:v>0.27606499288881292</c:v>
                </c:pt>
                <c:pt idx="546">
                  <c:v>0.28542203179937814</c:v>
                </c:pt>
                <c:pt idx="547">
                  <c:v>0.28755430289223161</c:v>
                </c:pt>
                <c:pt idx="548">
                  <c:v>0.29248629701796336</c:v>
                </c:pt>
                <c:pt idx="549">
                  <c:v>0.29243796501375063</c:v>
                </c:pt>
                <c:pt idx="550">
                  <c:v>0.29868914056862805</c:v>
                </c:pt>
                <c:pt idx="551">
                  <c:v>0.27433944957811318</c:v>
                </c:pt>
                <c:pt idx="552">
                  <c:v>0.274727895146617</c:v>
                </c:pt>
                <c:pt idx="553">
                  <c:v>0.27684522913513121</c:v>
                </c:pt>
                <c:pt idx="554">
                  <c:v>0.2748880973101871</c:v>
                </c:pt>
                <c:pt idx="555">
                  <c:v>0.27863098451295099</c:v>
                </c:pt>
                <c:pt idx="556">
                  <c:v>0.27678601765845418</c:v>
                </c:pt>
                <c:pt idx="557">
                  <c:v>0.28170190945703621</c:v>
                </c:pt>
                <c:pt idx="558">
                  <c:v>0.28528652104876973</c:v>
                </c:pt>
                <c:pt idx="559">
                  <c:v>0.28405083605967757</c:v>
                </c:pt>
                <c:pt idx="560">
                  <c:v>0.27037545147938402</c:v>
                </c:pt>
                <c:pt idx="561">
                  <c:v>0.2659946436717423</c:v>
                </c:pt>
                <c:pt idx="562">
                  <c:v>0.26907163074801377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A-4A44-AE34-9521DDDA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399120"/>
        <c:axId val="430400832"/>
      </c:lineChart>
      <c:catAx>
        <c:axId val="4303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0832"/>
        <c:crosses val="autoZero"/>
        <c:auto val="1"/>
        <c:lblAlgn val="ctr"/>
        <c:lblOffset val="100"/>
        <c:noMultiLvlLbl val="0"/>
      </c:catAx>
      <c:valAx>
        <c:axId val="4304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EWMA Variance over time</a:t>
            </a:r>
          </a:p>
        </c:rich>
      </c:tx>
      <c:layout>
        <c:manualLayout>
          <c:xMode val="edge"/>
          <c:yMode val="edge"/>
          <c:x val="0.36137255816655728"/>
          <c:y val="2.93646918402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Data!$A$656:$A$1470</c:f>
              <c:numCache>
                <c:formatCode>d/m/yy;@</c:formatCode>
                <c:ptCount val="815"/>
                <c:pt idx="0">
                  <c:v>44512</c:v>
                </c:pt>
                <c:pt idx="1">
                  <c:v>44515</c:v>
                </c:pt>
                <c:pt idx="2">
                  <c:v>44516</c:v>
                </c:pt>
                <c:pt idx="3">
                  <c:v>44517</c:v>
                </c:pt>
                <c:pt idx="4">
                  <c:v>44518</c:v>
                </c:pt>
                <c:pt idx="5">
                  <c:v>44519</c:v>
                </c:pt>
                <c:pt idx="6">
                  <c:v>44522</c:v>
                </c:pt>
                <c:pt idx="7">
                  <c:v>44523</c:v>
                </c:pt>
                <c:pt idx="8">
                  <c:v>44524</c:v>
                </c:pt>
                <c:pt idx="9">
                  <c:v>44526</c:v>
                </c:pt>
                <c:pt idx="10">
                  <c:v>44529</c:v>
                </c:pt>
                <c:pt idx="11">
                  <c:v>44530</c:v>
                </c:pt>
                <c:pt idx="12">
                  <c:v>44531</c:v>
                </c:pt>
                <c:pt idx="13">
                  <c:v>44532</c:v>
                </c:pt>
                <c:pt idx="14">
                  <c:v>44533</c:v>
                </c:pt>
                <c:pt idx="15">
                  <c:v>44536</c:v>
                </c:pt>
                <c:pt idx="16">
                  <c:v>44537</c:v>
                </c:pt>
                <c:pt idx="17">
                  <c:v>44538</c:v>
                </c:pt>
                <c:pt idx="18">
                  <c:v>44539</c:v>
                </c:pt>
                <c:pt idx="19">
                  <c:v>44540</c:v>
                </c:pt>
                <c:pt idx="20">
                  <c:v>44543</c:v>
                </c:pt>
                <c:pt idx="21">
                  <c:v>44544</c:v>
                </c:pt>
                <c:pt idx="22">
                  <c:v>44545</c:v>
                </c:pt>
                <c:pt idx="23">
                  <c:v>44546</c:v>
                </c:pt>
                <c:pt idx="24">
                  <c:v>44547</c:v>
                </c:pt>
                <c:pt idx="25">
                  <c:v>44550</c:v>
                </c:pt>
                <c:pt idx="26">
                  <c:v>44551</c:v>
                </c:pt>
                <c:pt idx="27">
                  <c:v>44552</c:v>
                </c:pt>
                <c:pt idx="28">
                  <c:v>44553</c:v>
                </c:pt>
                <c:pt idx="29">
                  <c:v>44557</c:v>
                </c:pt>
                <c:pt idx="30">
                  <c:v>44558</c:v>
                </c:pt>
                <c:pt idx="31">
                  <c:v>44559</c:v>
                </c:pt>
                <c:pt idx="32">
                  <c:v>44560</c:v>
                </c:pt>
                <c:pt idx="33">
                  <c:v>44564</c:v>
                </c:pt>
                <c:pt idx="34">
                  <c:v>44565</c:v>
                </c:pt>
                <c:pt idx="35">
                  <c:v>44566</c:v>
                </c:pt>
                <c:pt idx="36">
                  <c:v>44567</c:v>
                </c:pt>
                <c:pt idx="37">
                  <c:v>44568</c:v>
                </c:pt>
                <c:pt idx="38">
                  <c:v>44571</c:v>
                </c:pt>
                <c:pt idx="39">
                  <c:v>44572</c:v>
                </c:pt>
                <c:pt idx="40">
                  <c:v>44573</c:v>
                </c:pt>
                <c:pt idx="41">
                  <c:v>44574</c:v>
                </c:pt>
                <c:pt idx="42">
                  <c:v>44575</c:v>
                </c:pt>
                <c:pt idx="43">
                  <c:v>44579</c:v>
                </c:pt>
                <c:pt idx="44">
                  <c:v>44580</c:v>
                </c:pt>
                <c:pt idx="45">
                  <c:v>44581</c:v>
                </c:pt>
                <c:pt idx="46">
                  <c:v>44582</c:v>
                </c:pt>
                <c:pt idx="47">
                  <c:v>44585</c:v>
                </c:pt>
                <c:pt idx="48">
                  <c:v>44586</c:v>
                </c:pt>
                <c:pt idx="49">
                  <c:v>44587</c:v>
                </c:pt>
                <c:pt idx="50">
                  <c:v>44588</c:v>
                </c:pt>
                <c:pt idx="51">
                  <c:v>44589</c:v>
                </c:pt>
                <c:pt idx="52">
                  <c:v>44592</c:v>
                </c:pt>
                <c:pt idx="53">
                  <c:v>44593</c:v>
                </c:pt>
                <c:pt idx="54">
                  <c:v>44594</c:v>
                </c:pt>
                <c:pt idx="55">
                  <c:v>44595</c:v>
                </c:pt>
                <c:pt idx="56">
                  <c:v>44596</c:v>
                </c:pt>
                <c:pt idx="57">
                  <c:v>44599</c:v>
                </c:pt>
                <c:pt idx="58">
                  <c:v>44600</c:v>
                </c:pt>
                <c:pt idx="59">
                  <c:v>44601</c:v>
                </c:pt>
                <c:pt idx="60">
                  <c:v>44602</c:v>
                </c:pt>
                <c:pt idx="61">
                  <c:v>44603</c:v>
                </c:pt>
                <c:pt idx="62">
                  <c:v>44606</c:v>
                </c:pt>
                <c:pt idx="63">
                  <c:v>44607</c:v>
                </c:pt>
                <c:pt idx="64">
                  <c:v>44608</c:v>
                </c:pt>
                <c:pt idx="65">
                  <c:v>44609</c:v>
                </c:pt>
                <c:pt idx="66">
                  <c:v>44610</c:v>
                </c:pt>
                <c:pt idx="67">
                  <c:v>44614</c:v>
                </c:pt>
                <c:pt idx="68">
                  <c:v>44615</c:v>
                </c:pt>
                <c:pt idx="69">
                  <c:v>44616</c:v>
                </c:pt>
                <c:pt idx="70">
                  <c:v>44617</c:v>
                </c:pt>
                <c:pt idx="71">
                  <c:v>44620</c:v>
                </c:pt>
                <c:pt idx="72">
                  <c:v>44621</c:v>
                </c:pt>
                <c:pt idx="73">
                  <c:v>44622</c:v>
                </c:pt>
                <c:pt idx="74">
                  <c:v>44623</c:v>
                </c:pt>
                <c:pt idx="75">
                  <c:v>44624</c:v>
                </c:pt>
                <c:pt idx="76">
                  <c:v>44627</c:v>
                </c:pt>
                <c:pt idx="77">
                  <c:v>44628</c:v>
                </c:pt>
                <c:pt idx="78">
                  <c:v>44629</c:v>
                </c:pt>
                <c:pt idx="79">
                  <c:v>44630</c:v>
                </c:pt>
                <c:pt idx="80">
                  <c:v>44631</c:v>
                </c:pt>
                <c:pt idx="81">
                  <c:v>44634</c:v>
                </c:pt>
                <c:pt idx="82">
                  <c:v>44635</c:v>
                </c:pt>
                <c:pt idx="83">
                  <c:v>44636</c:v>
                </c:pt>
                <c:pt idx="84">
                  <c:v>44637</c:v>
                </c:pt>
                <c:pt idx="85">
                  <c:v>44638</c:v>
                </c:pt>
                <c:pt idx="86">
                  <c:v>44641</c:v>
                </c:pt>
                <c:pt idx="87">
                  <c:v>44642</c:v>
                </c:pt>
                <c:pt idx="88">
                  <c:v>44643</c:v>
                </c:pt>
                <c:pt idx="89">
                  <c:v>44644</c:v>
                </c:pt>
                <c:pt idx="90">
                  <c:v>44645</c:v>
                </c:pt>
                <c:pt idx="91">
                  <c:v>44648</c:v>
                </c:pt>
                <c:pt idx="92">
                  <c:v>44649</c:v>
                </c:pt>
                <c:pt idx="93">
                  <c:v>44650</c:v>
                </c:pt>
                <c:pt idx="94">
                  <c:v>44651</c:v>
                </c:pt>
                <c:pt idx="95">
                  <c:v>44652</c:v>
                </c:pt>
                <c:pt idx="96">
                  <c:v>44655</c:v>
                </c:pt>
                <c:pt idx="97">
                  <c:v>44656</c:v>
                </c:pt>
                <c:pt idx="98">
                  <c:v>44657</c:v>
                </c:pt>
                <c:pt idx="99">
                  <c:v>44658</c:v>
                </c:pt>
                <c:pt idx="100">
                  <c:v>44659</c:v>
                </c:pt>
                <c:pt idx="101">
                  <c:v>44662</c:v>
                </c:pt>
                <c:pt idx="102">
                  <c:v>44663</c:v>
                </c:pt>
                <c:pt idx="103">
                  <c:v>44664</c:v>
                </c:pt>
                <c:pt idx="104">
                  <c:v>44665</c:v>
                </c:pt>
                <c:pt idx="105">
                  <c:v>44670</c:v>
                </c:pt>
                <c:pt idx="106">
                  <c:v>44671</c:v>
                </c:pt>
                <c:pt idx="107">
                  <c:v>44672</c:v>
                </c:pt>
                <c:pt idx="108">
                  <c:v>44673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44683</c:v>
                </c:pt>
                <c:pt idx="115">
                  <c:v>44684</c:v>
                </c:pt>
                <c:pt idx="116">
                  <c:v>44685</c:v>
                </c:pt>
                <c:pt idx="117">
                  <c:v>44686</c:v>
                </c:pt>
                <c:pt idx="118">
                  <c:v>44687</c:v>
                </c:pt>
                <c:pt idx="119">
                  <c:v>44690</c:v>
                </c:pt>
                <c:pt idx="120">
                  <c:v>44691</c:v>
                </c:pt>
                <c:pt idx="121">
                  <c:v>44692</c:v>
                </c:pt>
                <c:pt idx="122">
                  <c:v>44693</c:v>
                </c:pt>
                <c:pt idx="123">
                  <c:v>44694</c:v>
                </c:pt>
                <c:pt idx="124">
                  <c:v>44697</c:v>
                </c:pt>
                <c:pt idx="125">
                  <c:v>44698</c:v>
                </c:pt>
                <c:pt idx="126">
                  <c:v>44699</c:v>
                </c:pt>
                <c:pt idx="127">
                  <c:v>44700</c:v>
                </c:pt>
                <c:pt idx="128">
                  <c:v>44701</c:v>
                </c:pt>
                <c:pt idx="129">
                  <c:v>44704</c:v>
                </c:pt>
                <c:pt idx="130">
                  <c:v>44705</c:v>
                </c:pt>
                <c:pt idx="131">
                  <c:v>44706</c:v>
                </c:pt>
                <c:pt idx="132">
                  <c:v>44708</c:v>
                </c:pt>
                <c:pt idx="133">
                  <c:v>44712</c:v>
                </c:pt>
                <c:pt idx="134">
                  <c:v>44713</c:v>
                </c:pt>
                <c:pt idx="135">
                  <c:v>44714</c:v>
                </c:pt>
                <c:pt idx="136">
                  <c:v>44715</c:v>
                </c:pt>
                <c:pt idx="137">
                  <c:v>44719</c:v>
                </c:pt>
                <c:pt idx="138">
                  <c:v>44720</c:v>
                </c:pt>
                <c:pt idx="139">
                  <c:v>44721</c:v>
                </c:pt>
                <c:pt idx="140">
                  <c:v>44722</c:v>
                </c:pt>
                <c:pt idx="141">
                  <c:v>44725</c:v>
                </c:pt>
                <c:pt idx="142">
                  <c:v>44726</c:v>
                </c:pt>
                <c:pt idx="143">
                  <c:v>44727</c:v>
                </c:pt>
                <c:pt idx="144">
                  <c:v>44728</c:v>
                </c:pt>
                <c:pt idx="145">
                  <c:v>44729</c:v>
                </c:pt>
                <c:pt idx="146">
                  <c:v>44733</c:v>
                </c:pt>
                <c:pt idx="147">
                  <c:v>44734</c:v>
                </c:pt>
                <c:pt idx="148">
                  <c:v>44735</c:v>
                </c:pt>
                <c:pt idx="149">
                  <c:v>44736</c:v>
                </c:pt>
                <c:pt idx="150">
                  <c:v>44739</c:v>
                </c:pt>
                <c:pt idx="151">
                  <c:v>44740</c:v>
                </c:pt>
                <c:pt idx="152">
                  <c:v>44741</c:v>
                </c:pt>
                <c:pt idx="153">
                  <c:v>44742</c:v>
                </c:pt>
                <c:pt idx="154">
                  <c:v>44743</c:v>
                </c:pt>
                <c:pt idx="155">
                  <c:v>44747</c:v>
                </c:pt>
                <c:pt idx="156">
                  <c:v>44748</c:v>
                </c:pt>
                <c:pt idx="157">
                  <c:v>44749</c:v>
                </c:pt>
                <c:pt idx="158">
                  <c:v>44750</c:v>
                </c:pt>
                <c:pt idx="159">
                  <c:v>44753</c:v>
                </c:pt>
                <c:pt idx="160">
                  <c:v>44754</c:v>
                </c:pt>
                <c:pt idx="161">
                  <c:v>44755</c:v>
                </c:pt>
                <c:pt idx="162">
                  <c:v>44756</c:v>
                </c:pt>
                <c:pt idx="163">
                  <c:v>44757</c:v>
                </c:pt>
                <c:pt idx="164">
                  <c:v>44760</c:v>
                </c:pt>
                <c:pt idx="165">
                  <c:v>44761</c:v>
                </c:pt>
                <c:pt idx="166">
                  <c:v>44762</c:v>
                </c:pt>
                <c:pt idx="167">
                  <c:v>44763</c:v>
                </c:pt>
                <c:pt idx="168">
                  <c:v>44764</c:v>
                </c:pt>
                <c:pt idx="169">
                  <c:v>44767</c:v>
                </c:pt>
                <c:pt idx="170">
                  <c:v>44768</c:v>
                </c:pt>
                <c:pt idx="171">
                  <c:v>44769</c:v>
                </c:pt>
                <c:pt idx="172">
                  <c:v>44770</c:v>
                </c:pt>
                <c:pt idx="173">
                  <c:v>44771</c:v>
                </c:pt>
                <c:pt idx="174">
                  <c:v>44775</c:v>
                </c:pt>
                <c:pt idx="175">
                  <c:v>44776</c:v>
                </c:pt>
                <c:pt idx="176">
                  <c:v>44777</c:v>
                </c:pt>
                <c:pt idx="177">
                  <c:v>44778</c:v>
                </c:pt>
                <c:pt idx="178">
                  <c:v>44781</c:v>
                </c:pt>
                <c:pt idx="179">
                  <c:v>44782</c:v>
                </c:pt>
                <c:pt idx="180">
                  <c:v>44783</c:v>
                </c:pt>
                <c:pt idx="181">
                  <c:v>44784</c:v>
                </c:pt>
                <c:pt idx="182">
                  <c:v>44785</c:v>
                </c:pt>
                <c:pt idx="183">
                  <c:v>44788</c:v>
                </c:pt>
                <c:pt idx="184">
                  <c:v>44789</c:v>
                </c:pt>
                <c:pt idx="185">
                  <c:v>44790</c:v>
                </c:pt>
                <c:pt idx="186">
                  <c:v>44791</c:v>
                </c:pt>
                <c:pt idx="187">
                  <c:v>44792</c:v>
                </c:pt>
                <c:pt idx="188">
                  <c:v>44795</c:v>
                </c:pt>
                <c:pt idx="189">
                  <c:v>44796</c:v>
                </c:pt>
                <c:pt idx="190">
                  <c:v>44797</c:v>
                </c:pt>
                <c:pt idx="191">
                  <c:v>44798</c:v>
                </c:pt>
                <c:pt idx="192">
                  <c:v>44799</c:v>
                </c:pt>
                <c:pt idx="193">
                  <c:v>44802</c:v>
                </c:pt>
                <c:pt idx="194">
                  <c:v>44803</c:v>
                </c:pt>
                <c:pt idx="195">
                  <c:v>44804</c:v>
                </c:pt>
                <c:pt idx="196">
                  <c:v>44805</c:v>
                </c:pt>
                <c:pt idx="197">
                  <c:v>44806</c:v>
                </c:pt>
                <c:pt idx="198">
                  <c:v>44810</c:v>
                </c:pt>
                <c:pt idx="199">
                  <c:v>44811</c:v>
                </c:pt>
                <c:pt idx="200">
                  <c:v>44812</c:v>
                </c:pt>
                <c:pt idx="201">
                  <c:v>44813</c:v>
                </c:pt>
                <c:pt idx="202">
                  <c:v>44816</c:v>
                </c:pt>
                <c:pt idx="203">
                  <c:v>44817</c:v>
                </c:pt>
                <c:pt idx="204">
                  <c:v>44818</c:v>
                </c:pt>
                <c:pt idx="205">
                  <c:v>44819</c:v>
                </c:pt>
                <c:pt idx="206">
                  <c:v>44820</c:v>
                </c:pt>
                <c:pt idx="207">
                  <c:v>44823</c:v>
                </c:pt>
                <c:pt idx="208">
                  <c:v>44824</c:v>
                </c:pt>
                <c:pt idx="209">
                  <c:v>44825</c:v>
                </c:pt>
                <c:pt idx="210">
                  <c:v>44826</c:v>
                </c:pt>
                <c:pt idx="211">
                  <c:v>44827</c:v>
                </c:pt>
                <c:pt idx="212">
                  <c:v>44830</c:v>
                </c:pt>
                <c:pt idx="213">
                  <c:v>44831</c:v>
                </c:pt>
                <c:pt idx="214">
                  <c:v>44832</c:v>
                </c:pt>
                <c:pt idx="215">
                  <c:v>44833</c:v>
                </c:pt>
                <c:pt idx="216">
                  <c:v>44834</c:v>
                </c:pt>
                <c:pt idx="217">
                  <c:v>44837</c:v>
                </c:pt>
                <c:pt idx="218">
                  <c:v>44838</c:v>
                </c:pt>
                <c:pt idx="219">
                  <c:v>44839</c:v>
                </c:pt>
                <c:pt idx="220">
                  <c:v>44840</c:v>
                </c:pt>
                <c:pt idx="221">
                  <c:v>44841</c:v>
                </c:pt>
                <c:pt idx="222">
                  <c:v>44844</c:v>
                </c:pt>
                <c:pt idx="223">
                  <c:v>44845</c:v>
                </c:pt>
                <c:pt idx="224">
                  <c:v>44846</c:v>
                </c:pt>
                <c:pt idx="225">
                  <c:v>44847</c:v>
                </c:pt>
                <c:pt idx="226">
                  <c:v>44848</c:v>
                </c:pt>
                <c:pt idx="227">
                  <c:v>44851</c:v>
                </c:pt>
                <c:pt idx="228">
                  <c:v>44852</c:v>
                </c:pt>
                <c:pt idx="229">
                  <c:v>44853</c:v>
                </c:pt>
                <c:pt idx="230">
                  <c:v>44854</c:v>
                </c:pt>
                <c:pt idx="231">
                  <c:v>44855</c:v>
                </c:pt>
                <c:pt idx="232">
                  <c:v>44858</c:v>
                </c:pt>
                <c:pt idx="233">
                  <c:v>44859</c:v>
                </c:pt>
                <c:pt idx="234">
                  <c:v>44860</c:v>
                </c:pt>
                <c:pt idx="235">
                  <c:v>44861</c:v>
                </c:pt>
                <c:pt idx="236">
                  <c:v>44862</c:v>
                </c:pt>
                <c:pt idx="237">
                  <c:v>44865</c:v>
                </c:pt>
                <c:pt idx="238">
                  <c:v>44866</c:v>
                </c:pt>
                <c:pt idx="239">
                  <c:v>44867</c:v>
                </c:pt>
                <c:pt idx="240">
                  <c:v>44868</c:v>
                </c:pt>
                <c:pt idx="241">
                  <c:v>44869</c:v>
                </c:pt>
                <c:pt idx="242">
                  <c:v>44872</c:v>
                </c:pt>
                <c:pt idx="243">
                  <c:v>44873</c:v>
                </c:pt>
                <c:pt idx="244">
                  <c:v>44874</c:v>
                </c:pt>
                <c:pt idx="245">
                  <c:v>44875</c:v>
                </c:pt>
                <c:pt idx="246">
                  <c:v>44876</c:v>
                </c:pt>
                <c:pt idx="247">
                  <c:v>44879</c:v>
                </c:pt>
                <c:pt idx="248">
                  <c:v>44880</c:v>
                </c:pt>
                <c:pt idx="249">
                  <c:v>44881</c:v>
                </c:pt>
                <c:pt idx="250">
                  <c:v>44882</c:v>
                </c:pt>
                <c:pt idx="251">
                  <c:v>44883</c:v>
                </c:pt>
                <c:pt idx="252">
                  <c:v>44886</c:v>
                </c:pt>
                <c:pt idx="253">
                  <c:v>44887</c:v>
                </c:pt>
                <c:pt idx="254">
                  <c:v>44888</c:v>
                </c:pt>
                <c:pt idx="255">
                  <c:v>44890</c:v>
                </c:pt>
                <c:pt idx="256">
                  <c:v>44893</c:v>
                </c:pt>
                <c:pt idx="257">
                  <c:v>44894</c:v>
                </c:pt>
                <c:pt idx="258">
                  <c:v>44895</c:v>
                </c:pt>
                <c:pt idx="259">
                  <c:v>44896</c:v>
                </c:pt>
                <c:pt idx="260">
                  <c:v>44897</c:v>
                </c:pt>
                <c:pt idx="261">
                  <c:v>44900</c:v>
                </c:pt>
                <c:pt idx="262">
                  <c:v>44901</c:v>
                </c:pt>
                <c:pt idx="263">
                  <c:v>44902</c:v>
                </c:pt>
                <c:pt idx="264">
                  <c:v>44903</c:v>
                </c:pt>
                <c:pt idx="265">
                  <c:v>44904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44914</c:v>
                </c:pt>
                <c:pt idx="272">
                  <c:v>44915</c:v>
                </c:pt>
                <c:pt idx="273">
                  <c:v>44916</c:v>
                </c:pt>
                <c:pt idx="274">
                  <c:v>44917</c:v>
                </c:pt>
                <c:pt idx="275">
                  <c:v>44918</c:v>
                </c:pt>
                <c:pt idx="276">
                  <c:v>44922</c:v>
                </c:pt>
                <c:pt idx="277">
                  <c:v>44923</c:v>
                </c:pt>
                <c:pt idx="278">
                  <c:v>44924</c:v>
                </c:pt>
                <c:pt idx="279">
                  <c:v>44925</c:v>
                </c:pt>
                <c:pt idx="280">
                  <c:v>44929</c:v>
                </c:pt>
                <c:pt idx="281">
                  <c:v>44930</c:v>
                </c:pt>
                <c:pt idx="282">
                  <c:v>44931</c:v>
                </c:pt>
                <c:pt idx="283">
                  <c:v>44932</c:v>
                </c:pt>
                <c:pt idx="284">
                  <c:v>44935</c:v>
                </c:pt>
                <c:pt idx="285">
                  <c:v>44936</c:v>
                </c:pt>
                <c:pt idx="286">
                  <c:v>44937</c:v>
                </c:pt>
                <c:pt idx="287">
                  <c:v>44938</c:v>
                </c:pt>
                <c:pt idx="288">
                  <c:v>44939</c:v>
                </c:pt>
                <c:pt idx="289">
                  <c:v>44943</c:v>
                </c:pt>
                <c:pt idx="290">
                  <c:v>44944</c:v>
                </c:pt>
                <c:pt idx="291">
                  <c:v>44945</c:v>
                </c:pt>
                <c:pt idx="292">
                  <c:v>44946</c:v>
                </c:pt>
                <c:pt idx="293">
                  <c:v>44949</c:v>
                </c:pt>
                <c:pt idx="294">
                  <c:v>44950</c:v>
                </c:pt>
                <c:pt idx="295">
                  <c:v>44951</c:v>
                </c:pt>
                <c:pt idx="296">
                  <c:v>44952</c:v>
                </c:pt>
                <c:pt idx="297">
                  <c:v>44953</c:v>
                </c:pt>
                <c:pt idx="298">
                  <c:v>44956</c:v>
                </c:pt>
                <c:pt idx="299">
                  <c:v>44957</c:v>
                </c:pt>
                <c:pt idx="300">
                  <c:v>44958</c:v>
                </c:pt>
                <c:pt idx="301">
                  <c:v>44959</c:v>
                </c:pt>
                <c:pt idx="302">
                  <c:v>44960</c:v>
                </c:pt>
                <c:pt idx="303">
                  <c:v>44963</c:v>
                </c:pt>
                <c:pt idx="304">
                  <c:v>44964</c:v>
                </c:pt>
                <c:pt idx="305">
                  <c:v>44965</c:v>
                </c:pt>
                <c:pt idx="306">
                  <c:v>44966</c:v>
                </c:pt>
                <c:pt idx="307">
                  <c:v>44967</c:v>
                </c:pt>
                <c:pt idx="308">
                  <c:v>44970</c:v>
                </c:pt>
                <c:pt idx="309">
                  <c:v>44971</c:v>
                </c:pt>
                <c:pt idx="310">
                  <c:v>44972</c:v>
                </c:pt>
                <c:pt idx="311">
                  <c:v>44973</c:v>
                </c:pt>
                <c:pt idx="312">
                  <c:v>44974</c:v>
                </c:pt>
                <c:pt idx="313">
                  <c:v>44978</c:v>
                </c:pt>
                <c:pt idx="314">
                  <c:v>44979</c:v>
                </c:pt>
                <c:pt idx="315">
                  <c:v>44980</c:v>
                </c:pt>
                <c:pt idx="316">
                  <c:v>44981</c:v>
                </c:pt>
                <c:pt idx="317">
                  <c:v>44984</c:v>
                </c:pt>
                <c:pt idx="318">
                  <c:v>44985</c:v>
                </c:pt>
                <c:pt idx="319">
                  <c:v>44986</c:v>
                </c:pt>
                <c:pt idx="320">
                  <c:v>44987</c:v>
                </c:pt>
                <c:pt idx="321">
                  <c:v>44988</c:v>
                </c:pt>
                <c:pt idx="322">
                  <c:v>44991</c:v>
                </c:pt>
                <c:pt idx="323">
                  <c:v>44992</c:v>
                </c:pt>
                <c:pt idx="324">
                  <c:v>44993</c:v>
                </c:pt>
                <c:pt idx="325">
                  <c:v>44994</c:v>
                </c:pt>
                <c:pt idx="326">
                  <c:v>44995</c:v>
                </c:pt>
                <c:pt idx="327">
                  <c:v>44998</c:v>
                </c:pt>
                <c:pt idx="328">
                  <c:v>44999</c:v>
                </c:pt>
                <c:pt idx="329">
                  <c:v>45000</c:v>
                </c:pt>
                <c:pt idx="330">
                  <c:v>45001</c:v>
                </c:pt>
                <c:pt idx="331">
                  <c:v>45002</c:v>
                </c:pt>
                <c:pt idx="332">
                  <c:v>45005</c:v>
                </c:pt>
                <c:pt idx="333">
                  <c:v>45006</c:v>
                </c:pt>
                <c:pt idx="334">
                  <c:v>45007</c:v>
                </c:pt>
                <c:pt idx="335">
                  <c:v>45008</c:v>
                </c:pt>
                <c:pt idx="336">
                  <c:v>45009</c:v>
                </c:pt>
                <c:pt idx="337">
                  <c:v>45012</c:v>
                </c:pt>
                <c:pt idx="338">
                  <c:v>45013</c:v>
                </c:pt>
                <c:pt idx="339">
                  <c:v>45014</c:v>
                </c:pt>
                <c:pt idx="340">
                  <c:v>45015</c:v>
                </c:pt>
                <c:pt idx="341">
                  <c:v>45016</c:v>
                </c:pt>
                <c:pt idx="342">
                  <c:v>45019</c:v>
                </c:pt>
                <c:pt idx="343">
                  <c:v>45020</c:v>
                </c:pt>
                <c:pt idx="344">
                  <c:v>45021</c:v>
                </c:pt>
                <c:pt idx="345">
                  <c:v>45022</c:v>
                </c:pt>
                <c:pt idx="346">
                  <c:v>45027</c:v>
                </c:pt>
                <c:pt idx="347">
                  <c:v>45028</c:v>
                </c:pt>
                <c:pt idx="348">
                  <c:v>45029</c:v>
                </c:pt>
                <c:pt idx="349">
                  <c:v>45030</c:v>
                </c:pt>
                <c:pt idx="350">
                  <c:v>45033</c:v>
                </c:pt>
                <c:pt idx="351">
                  <c:v>45034</c:v>
                </c:pt>
                <c:pt idx="352">
                  <c:v>45035</c:v>
                </c:pt>
                <c:pt idx="353">
                  <c:v>45036</c:v>
                </c:pt>
                <c:pt idx="354">
                  <c:v>45037</c:v>
                </c:pt>
                <c:pt idx="355">
                  <c:v>45040</c:v>
                </c:pt>
                <c:pt idx="356">
                  <c:v>45041</c:v>
                </c:pt>
                <c:pt idx="357">
                  <c:v>45042</c:v>
                </c:pt>
                <c:pt idx="358">
                  <c:v>45043</c:v>
                </c:pt>
                <c:pt idx="359">
                  <c:v>45044</c:v>
                </c:pt>
                <c:pt idx="360">
                  <c:v>45048</c:v>
                </c:pt>
                <c:pt idx="361">
                  <c:v>45049</c:v>
                </c:pt>
                <c:pt idx="362">
                  <c:v>45050</c:v>
                </c:pt>
                <c:pt idx="363">
                  <c:v>45051</c:v>
                </c:pt>
                <c:pt idx="364">
                  <c:v>45054</c:v>
                </c:pt>
                <c:pt idx="365">
                  <c:v>45055</c:v>
                </c:pt>
                <c:pt idx="366">
                  <c:v>45056</c:v>
                </c:pt>
                <c:pt idx="367">
                  <c:v>45057</c:v>
                </c:pt>
                <c:pt idx="368">
                  <c:v>45058</c:v>
                </c:pt>
                <c:pt idx="369">
                  <c:v>45061</c:v>
                </c:pt>
                <c:pt idx="370">
                  <c:v>45062</c:v>
                </c:pt>
                <c:pt idx="371">
                  <c:v>45063</c:v>
                </c:pt>
                <c:pt idx="372">
                  <c:v>45065</c:v>
                </c:pt>
                <c:pt idx="373">
                  <c:v>45068</c:v>
                </c:pt>
                <c:pt idx="374">
                  <c:v>45069</c:v>
                </c:pt>
                <c:pt idx="375">
                  <c:v>45070</c:v>
                </c:pt>
                <c:pt idx="376">
                  <c:v>45071</c:v>
                </c:pt>
                <c:pt idx="377">
                  <c:v>45072</c:v>
                </c:pt>
                <c:pt idx="378">
                  <c:v>45076</c:v>
                </c:pt>
                <c:pt idx="379">
                  <c:v>45077</c:v>
                </c:pt>
                <c:pt idx="380">
                  <c:v>45078</c:v>
                </c:pt>
                <c:pt idx="381">
                  <c:v>45079</c:v>
                </c:pt>
                <c:pt idx="382">
                  <c:v>45082</c:v>
                </c:pt>
                <c:pt idx="383">
                  <c:v>45083</c:v>
                </c:pt>
                <c:pt idx="384">
                  <c:v>45084</c:v>
                </c:pt>
                <c:pt idx="385">
                  <c:v>45085</c:v>
                </c:pt>
                <c:pt idx="386">
                  <c:v>45086</c:v>
                </c:pt>
                <c:pt idx="387">
                  <c:v>45089</c:v>
                </c:pt>
                <c:pt idx="388">
                  <c:v>45090</c:v>
                </c:pt>
                <c:pt idx="389">
                  <c:v>45091</c:v>
                </c:pt>
                <c:pt idx="390">
                  <c:v>45092</c:v>
                </c:pt>
                <c:pt idx="391">
                  <c:v>45093</c:v>
                </c:pt>
                <c:pt idx="392">
                  <c:v>45097</c:v>
                </c:pt>
                <c:pt idx="393">
                  <c:v>45098</c:v>
                </c:pt>
                <c:pt idx="394">
                  <c:v>45099</c:v>
                </c:pt>
                <c:pt idx="395">
                  <c:v>45100</c:v>
                </c:pt>
                <c:pt idx="396">
                  <c:v>45103</c:v>
                </c:pt>
                <c:pt idx="397">
                  <c:v>45104</c:v>
                </c:pt>
                <c:pt idx="398">
                  <c:v>45105</c:v>
                </c:pt>
                <c:pt idx="399">
                  <c:v>45106</c:v>
                </c:pt>
                <c:pt idx="400">
                  <c:v>45107</c:v>
                </c:pt>
                <c:pt idx="401">
                  <c:v>45110</c:v>
                </c:pt>
                <c:pt idx="402">
                  <c:v>45112</c:v>
                </c:pt>
                <c:pt idx="403">
                  <c:v>45113</c:v>
                </c:pt>
                <c:pt idx="404">
                  <c:v>45114</c:v>
                </c:pt>
                <c:pt idx="405">
                  <c:v>45117</c:v>
                </c:pt>
                <c:pt idx="406">
                  <c:v>45118</c:v>
                </c:pt>
                <c:pt idx="407">
                  <c:v>45119</c:v>
                </c:pt>
                <c:pt idx="408">
                  <c:v>45120</c:v>
                </c:pt>
                <c:pt idx="409">
                  <c:v>45121</c:v>
                </c:pt>
                <c:pt idx="410">
                  <c:v>45124</c:v>
                </c:pt>
                <c:pt idx="411">
                  <c:v>45125</c:v>
                </c:pt>
                <c:pt idx="412">
                  <c:v>45126</c:v>
                </c:pt>
                <c:pt idx="413">
                  <c:v>45127</c:v>
                </c:pt>
                <c:pt idx="414">
                  <c:v>45128</c:v>
                </c:pt>
                <c:pt idx="415">
                  <c:v>45131</c:v>
                </c:pt>
                <c:pt idx="416">
                  <c:v>45132</c:v>
                </c:pt>
                <c:pt idx="417">
                  <c:v>45133</c:v>
                </c:pt>
                <c:pt idx="418">
                  <c:v>45134</c:v>
                </c:pt>
                <c:pt idx="419">
                  <c:v>45135</c:v>
                </c:pt>
                <c:pt idx="420">
                  <c:v>45138</c:v>
                </c:pt>
                <c:pt idx="421">
                  <c:v>45140</c:v>
                </c:pt>
                <c:pt idx="422">
                  <c:v>45141</c:v>
                </c:pt>
                <c:pt idx="423">
                  <c:v>45142</c:v>
                </c:pt>
                <c:pt idx="424">
                  <c:v>45145</c:v>
                </c:pt>
                <c:pt idx="425">
                  <c:v>45146</c:v>
                </c:pt>
                <c:pt idx="426">
                  <c:v>45147</c:v>
                </c:pt>
                <c:pt idx="427">
                  <c:v>45148</c:v>
                </c:pt>
                <c:pt idx="428">
                  <c:v>45149</c:v>
                </c:pt>
                <c:pt idx="429">
                  <c:v>45152</c:v>
                </c:pt>
                <c:pt idx="430">
                  <c:v>45153</c:v>
                </c:pt>
                <c:pt idx="431">
                  <c:v>45154</c:v>
                </c:pt>
                <c:pt idx="432">
                  <c:v>45155</c:v>
                </c:pt>
                <c:pt idx="433">
                  <c:v>45156</c:v>
                </c:pt>
                <c:pt idx="434">
                  <c:v>45159</c:v>
                </c:pt>
                <c:pt idx="435">
                  <c:v>45160</c:v>
                </c:pt>
                <c:pt idx="436">
                  <c:v>45161</c:v>
                </c:pt>
                <c:pt idx="437">
                  <c:v>45162</c:v>
                </c:pt>
                <c:pt idx="438">
                  <c:v>45163</c:v>
                </c:pt>
                <c:pt idx="439">
                  <c:v>45166</c:v>
                </c:pt>
                <c:pt idx="440">
                  <c:v>45167</c:v>
                </c:pt>
                <c:pt idx="441">
                  <c:v>45168</c:v>
                </c:pt>
                <c:pt idx="442">
                  <c:v>45169</c:v>
                </c:pt>
                <c:pt idx="443">
                  <c:v>45170</c:v>
                </c:pt>
                <c:pt idx="444">
                  <c:v>45174</c:v>
                </c:pt>
                <c:pt idx="445">
                  <c:v>45175</c:v>
                </c:pt>
                <c:pt idx="446">
                  <c:v>45176</c:v>
                </c:pt>
                <c:pt idx="447">
                  <c:v>45177</c:v>
                </c:pt>
                <c:pt idx="448">
                  <c:v>45180</c:v>
                </c:pt>
                <c:pt idx="449">
                  <c:v>45181</c:v>
                </c:pt>
                <c:pt idx="450">
                  <c:v>45182</c:v>
                </c:pt>
                <c:pt idx="451">
                  <c:v>45183</c:v>
                </c:pt>
                <c:pt idx="452">
                  <c:v>45184</c:v>
                </c:pt>
                <c:pt idx="453">
                  <c:v>45187</c:v>
                </c:pt>
                <c:pt idx="454">
                  <c:v>45188</c:v>
                </c:pt>
                <c:pt idx="455">
                  <c:v>45189</c:v>
                </c:pt>
                <c:pt idx="456">
                  <c:v>45190</c:v>
                </c:pt>
                <c:pt idx="457">
                  <c:v>45191</c:v>
                </c:pt>
                <c:pt idx="458">
                  <c:v>45194</c:v>
                </c:pt>
                <c:pt idx="459">
                  <c:v>45195</c:v>
                </c:pt>
                <c:pt idx="460">
                  <c:v>45196</c:v>
                </c:pt>
                <c:pt idx="461">
                  <c:v>45197</c:v>
                </c:pt>
                <c:pt idx="462">
                  <c:v>45198</c:v>
                </c:pt>
                <c:pt idx="463">
                  <c:v>45201</c:v>
                </c:pt>
                <c:pt idx="464">
                  <c:v>45202</c:v>
                </c:pt>
                <c:pt idx="465">
                  <c:v>45203</c:v>
                </c:pt>
                <c:pt idx="466">
                  <c:v>45204</c:v>
                </c:pt>
                <c:pt idx="467">
                  <c:v>45205</c:v>
                </c:pt>
                <c:pt idx="468">
                  <c:v>45208</c:v>
                </c:pt>
                <c:pt idx="469">
                  <c:v>45209</c:v>
                </c:pt>
                <c:pt idx="470">
                  <c:v>45210</c:v>
                </c:pt>
                <c:pt idx="471">
                  <c:v>45211</c:v>
                </c:pt>
                <c:pt idx="472">
                  <c:v>45212</c:v>
                </c:pt>
                <c:pt idx="473">
                  <c:v>45215</c:v>
                </c:pt>
                <c:pt idx="474">
                  <c:v>45216</c:v>
                </c:pt>
                <c:pt idx="475">
                  <c:v>45217</c:v>
                </c:pt>
                <c:pt idx="476">
                  <c:v>45218</c:v>
                </c:pt>
                <c:pt idx="477">
                  <c:v>45219</c:v>
                </c:pt>
                <c:pt idx="478">
                  <c:v>45222</c:v>
                </c:pt>
                <c:pt idx="479">
                  <c:v>45223</c:v>
                </c:pt>
                <c:pt idx="480">
                  <c:v>45224</c:v>
                </c:pt>
                <c:pt idx="481">
                  <c:v>45225</c:v>
                </c:pt>
                <c:pt idx="482">
                  <c:v>45226</c:v>
                </c:pt>
                <c:pt idx="483">
                  <c:v>45229</c:v>
                </c:pt>
                <c:pt idx="484">
                  <c:v>45230</c:v>
                </c:pt>
                <c:pt idx="485">
                  <c:v>45231</c:v>
                </c:pt>
                <c:pt idx="486">
                  <c:v>45232</c:v>
                </c:pt>
                <c:pt idx="487">
                  <c:v>45233</c:v>
                </c:pt>
                <c:pt idx="488">
                  <c:v>45236</c:v>
                </c:pt>
                <c:pt idx="489">
                  <c:v>45237</c:v>
                </c:pt>
                <c:pt idx="490">
                  <c:v>45238</c:v>
                </c:pt>
                <c:pt idx="491">
                  <c:v>45239</c:v>
                </c:pt>
                <c:pt idx="492">
                  <c:v>45240</c:v>
                </c:pt>
                <c:pt idx="493">
                  <c:v>45243</c:v>
                </c:pt>
                <c:pt idx="494">
                  <c:v>45244</c:v>
                </c:pt>
                <c:pt idx="495">
                  <c:v>45245</c:v>
                </c:pt>
                <c:pt idx="496">
                  <c:v>45246</c:v>
                </c:pt>
                <c:pt idx="497">
                  <c:v>45247</c:v>
                </c:pt>
                <c:pt idx="498">
                  <c:v>45250</c:v>
                </c:pt>
                <c:pt idx="499">
                  <c:v>45251</c:v>
                </c:pt>
                <c:pt idx="500">
                  <c:v>45252</c:v>
                </c:pt>
                <c:pt idx="501">
                  <c:v>45254</c:v>
                </c:pt>
                <c:pt idx="502">
                  <c:v>45257</c:v>
                </c:pt>
                <c:pt idx="503">
                  <c:v>45258</c:v>
                </c:pt>
                <c:pt idx="504">
                  <c:v>45259</c:v>
                </c:pt>
                <c:pt idx="505">
                  <c:v>45260</c:v>
                </c:pt>
                <c:pt idx="506">
                  <c:v>45261</c:v>
                </c:pt>
                <c:pt idx="507">
                  <c:v>45264</c:v>
                </c:pt>
                <c:pt idx="508">
                  <c:v>45265</c:v>
                </c:pt>
                <c:pt idx="509">
                  <c:v>45266</c:v>
                </c:pt>
                <c:pt idx="510">
                  <c:v>45267</c:v>
                </c:pt>
                <c:pt idx="511">
                  <c:v>45268</c:v>
                </c:pt>
                <c:pt idx="512">
                  <c:v>45271</c:v>
                </c:pt>
                <c:pt idx="513">
                  <c:v>45272</c:v>
                </c:pt>
                <c:pt idx="514">
                  <c:v>45273</c:v>
                </c:pt>
                <c:pt idx="515">
                  <c:v>45274</c:v>
                </c:pt>
                <c:pt idx="516">
                  <c:v>45275</c:v>
                </c:pt>
                <c:pt idx="517">
                  <c:v>45278</c:v>
                </c:pt>
                <c:pt idx="518">
                  <c:v>45279</c:v>
                </c:pt>
                <c:pt idx="519">
                  <c:v>45280</c:v>
                </c:pt>
                <c:pt idx="520">
                  <c:v>45281</c:v>
                </c:pt>
                <c:pt idx="521">
                  <c:v>45282</c:v>
                </c:pt>
                <c:pt idx="522">
                  <c:v>45287</c:v>
                </c:pt>
                <c:pt idx="523">
                  <c:v>45288</c:v>
                </c:pt>
                <c:pt idx="524">
                  <c:v>45289</c:v>
                </c:pt>
                <c:pt idx="525">
                  <c:v>45294</c:v>
                </c:pt>
                <c:pt idx="526">
                  <c:v>45295</c:v>
                </c:pt>
                <c:pt idx="527">
                  <c:v>45296</c:v>
                </c:pt>
                <c:pt idx="528">
                  <c:v>45299</c:v>
                </c:pt>
                <c:pt idx="529">
                  <c:v>45300</c:v>
                </c:pt>
                <c:pt idx="530">
                  <c:v>45301</c:v>
                </c:pt>
                <c:pt idx="531">
                  <c:v>45302</c:v>
                </c:pt>
                <c:pt idx="532">
                  <c:v>45303</c:v>
                </c:pt>
                <c:pt idx="533">
                  <c:v>45307</c:v>
                </c:pt>
                <c:pt idx="534">
                  <c:v>45308</c:v>
                </c:pt>
                <c:pt idx="535">
                  <c:v>45309</c:v>
                </c:pt>
                <c:pt idx="536">
                  <c:v>45310</c:v>
                </c:pt>
                <c:pt idx="537">
                  <c:v>45313</c:v>
                </c:pt>
                <c:pt idx="538">
                  <c:v>45314</c:v>
                </c:pt>
                <c:pt idx="539">
                  <c:v>45315</c:v>
                </c:pt>
                <c:pt idx="540">
                  <c:v>45316</c:v>
                </c:pt>
                <c:pt idx="541">
                  <c:v>45317</c:v>
                </c:pt>
                <c:pt idx="542">
                  <c:v>45320</c:v>
                </c:pt>
                <c:pt idx="543">
                  <c:v>45321</c:v>
                </c:pt>
                <c:pt idx="544">
                  <c:v>45322</c:v>
                </c:pt>
                <c:pt idx="545">
                  <c:v>45323</c:v>
                </c:pt>
                <c:pt idx="546">
                  <c:v>45324</c:v>
                </c:pt>
                <c:pt idx="547">
                  <c:v>45327</c:v>
                </c:pt>
                <c:pt idx="548">
                  <c:v>45328</c:v>
                </c:pt>
                <c:pt idx="549">
                  <c:v>45329</c:v>
                </c:pt>
                <c:pt idx="550">
                  <c:v>45330</c:v>
                </c:pt>
                <c:pt idx="551">
                  <c:v>45331</c:v>
                </c:pt>
                <c:pt idx="552">
                  <c:v>45334</c:v>
                </c:pt>
                <c:pt idx="553">
                  <c:v>45335</c:v>
                </c:pt>
                <c:pt idx="554">
                  <c:v>45336</c:v>
                </c:pt>
                <c:pt idx="555">
                  <c:v>45337</c:v>
                </c:pt>
                <c:pt idx="556">
                  <c:v>45338</c:v>
                </c:pt>
                <c:pt idx="557">
                  <c:v>45342</c:v>
                </c:pt>
                <c:pt idx="558">
                  <c:v>45343</c:v>
                </c:pt>
                <c:pt idx="559">
                  <c:v>45344</c:v>
                </c:pt>
                <c:pt idx="560">
                  <c:v>45345</c:v>
                </c:pt>
                <c:pt idx="561">
                  <c:v>45348</c:v>
                </c:pt>
                <c:pt idx="562">
                  <c:v>45349</c:v>
                </c:pt>
                <c:pt idx="563">
                  <c:v>45350</c:v>
                </c:pt>
                <c:pt idx="564">
                  <c:v>45351</c:v>
                </c:pt>
                <c:pt idx="565">
                  <c:v>45352</c:v>
                </c:pt>
                <c:pt idx="566">
                  <c:v>45355</c:v>
                </c:pt>
                <c:pt idx="567">
                  <c:v>45356</c:v>
                </c:pt>
                <c:pt idx="568">
                  <c:v>45357</c:v>
                </c:pt>
                <c:pt idx="569">
                  <c:v>45358</c:v>
                </c:pt>
                <c:pt idx="570">
                  <c:v>45359</c:v>
                </c:pt>
                <c:pt idx="571">
                  <c:v>45362</c:v>
                </c:pt>
                <c:pt idx="572">
                  <c:v>45363</c:v>
                </c:pt>
                <c:pt idx="573">
                  <c:v>45364</c:v>
                </c:pt>
                <c:pt idx="574">
                  <c:v>45365</c:v>
                </c:pt>
                <c:pt idx="575">
                  <c:v>45366</c:v>
                </c:pt>
                <c:pt idx="576">
                  <c:v>45369</c:v>
                </c:pt>
                <c:pt idx="577">
                  <c:v>45370</c:v>
                </c:pt>
                <c:pt idx="578">
                  <c:v>45371</c:v>
                </c:pt>
                <c:pt idx="579">
                  <c:v>45372</c:v>
                </c:pt>
                <c:pt idx="580">
                  <c:v>45373</c:v>
                </c:pt>
                <c:pt idx="581">
                  <c:v>45376</c:v>
                </c:pt>
                <c:pt idx="582">
                  <c:v>45377</c:v>
                </c:pt>
                <c:pt idx="583">
                  <c:v>45378</c:v>
                </c:pt>
                <c:pt idx="584">
                  <c:v>45379</c:v>
                </c:pt>
                <c:pt idx="585">
                  <c:v>45384</c:v>
                </c:pt>
                <c:pt idx="586">
                  <c:v>45385</c:v>
                </c:pt>
                <c:pt idx="587">
                  <c:v>45386</c:v>
                </c:pt>
                <c:pt idx="588">
                  <c:v>45387</c:v>
                </c:pt>
                <c:pt idx="589">
                  <c:v>45390</c:v>
                </c:pt>
                <c:pt idx="590">
                  <c:v>45391</c:v>
                </c:pt>
                <c:pt idx="591">
                  <c:v>45392</c:v>
                </c:pt>
                <c:pt idx="592">
                  <c:v>45393</c:v>
                </c:pt>
                <c:pt idx="593">
                  <c:v>45394</c:v>
                </c:pt>
                <c:pt idx="594">
                  <c:v>45397</c:v>
                </c:pt>
                <c:pt idx="595">
                  <c:v>45398</c:v>
                </c:pt>
                <c:pt idx="596">
                  <c:v>45399</c:v>
                </c:pt>
                <c:pt idx="597">
                  <c:v>45400</c:v>
                </c:pt>
                <c:pt idx="598">
                  <c:v>45401</c:v>
                </c:pt>
                <c:pt idx="599">
                  <c:v>45404</c:v>
                </c:pt>
                <c:pt idx="600">
                  <c:v>45405</c:v>
                </c:pt>
                <c:pt idx="601">
                  <c:v>45406</c:v>
                </c:pt>
                <c:pt idx="602">
                  <c:v>45407</c:v>
                </c:pt>
                <c:pt idx="603">
                  <c:v>45408</c:v>
                </c:pt>
                <c:pt idx="604">
                  <c:v>45411</c:v>
                </c:pt>
                <c:pt idx="605">
                  <c:v>45412</c:v>
                </c:pt>
                <c:pt idx="606">
                  <c:v>45414</c:v>
                </c:pt>
                <c:pt idx="607">
                  <c:v>45415</c:v>
                </c:pt>
                <c:pt idx="608">
                  <c:v>45418</c:v>
                </c:pt>
                <c:pt idx="609">
                  <c:v>45419</c:v>
                </c:pt>
                <c:pt idx="610">
                  <c:v>45420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45433</c:v>
                </c:pt>
                <c:pt idx="618">
                  <c:v>45434</c:v>
                </c:pt>
                <c:pt idx="619">
                  <c:v>45435</c:v>
                </c:pt>
                <c:pt idx="620">
                  <c:v>45436</c:v>
                </c:pt>
                <c:pt idx="621">
                  <c:v>45440</c:v>
                </c:pt>
                <c:pt idx="622">
                  <c:v>45441</c:v>
                </c:pt>
                <c:pt idx="623">
                  <c:v>45442</c:v>
                </c:pt>
                <c:pt idx="624">
                  <c:v>45443</c:v>
                </c:pt>
                <c:pt idx="625">
                  <c:v>45446</c:v>
                </c:pt>
                <c:pt idx="626">
                  <c:v>45447</c:v>
                </c:pt>
                <c:pt idx="627">
                  <c:v>45448</c:v>
                </c:pt>
                <c:pt idx="628">
                  <c:v>45449</c:v>
                </c:pt>
                <c:pt idx="629">
                  <c:v>45450</c:v>
                </c:pt>
                <c:pt idx="630">
                  <c:v>45453</c:v>
                </c:pt>
                <c:pt idx="631">
                  <c:v>45454</c:v>
                </c:pt>
                <c:pt idx="632">
                  <c:v>45455</c:v>
                </c:pt>
                <c:pt idx="633">
                  <c:v>45456</c:v>
                </c:pt>
                <c:pt idx="634">
                  <c:v>45457</c:v>
                </c:pt>
                <c:pt idx="635">
                  <c:v>45460</c:v>
                </c:pt>
                <c:pt idx="636">
                  <c:v>45461</c:v>
                </c:pt>
                <c:pt idx="637">
                  <c:v>45463</c:v>
                </c:pt>
                <c:pt idx="638">
                  <c:v>45464</c:v>
                </c:pt>
                <c:pt idx="639">
                  <c:v>45467</c:v>
                </c:pt>
                <c:pt idx="640">
                  <c:v>45468</c:v>
                </c:pt>
                <c:pt idx="641">
                  <c:v>45469</c:v>
                </c:pt>
                <c:pt idx="642">
                  <c:v>45470</c:v>
                </c:pt>
                <c:pt idx="643">
                  <c:v>45471</c:v>
                </c:pt>
                <c:pt idx="644">
                  <c:v>45474</c:v>
                </c:pt>
                <c:pt idx="645">
                  <c:v>45475</c:v>
                </c:pt>
                <c:pt idx="646">
                  <c:v>45476</c:v>
                </c:pt>
                <c:pt idx="647">
                  <c:v>45478</c:v>
                </c:pt>
                <c:pt idx="648">
                  <c:v>45481</c:v>
                </c:pt>
                <c:pt idx="649">
                  <c:v>45482</c:v>
                </c:pt>
                <c:pt idx="650">
                  <c:v>45483</c:v>
                </c:pt>
                <c:pt idx="651">
                  <c:v>45484</c:v>
                </c:pt>
                <c:pt idx="652">
                  <c:v>45485</c:v>
                </c:pt>
                <c:pt idx="653">
                  <c:v>45488</c:v>
                </c:pt>
                <c:pt idx="654">
                  <c:v>45489</c:v>
                </c:pt>
                <c:pt idx="655">
                  <c:v>45490</c:v>
                </c:pt>
                <c:pt idx="656">
                  <c:v>45491</c:v>
                </c:pt>
                <c:pt idx="657">
                  <c:v>45492</c:v>
                </c:pt>
                <c:pt idx="658">
                  <c:v>45495</c:v>
                </c:pt>
                <c:pt idx="659">
                  <c:v>45496</c:v>
                </c:pt>
                <c:pt idx="660">
                  <c:v>45497</c:v>
                </c:pt>
                <c:pt idx="661">
                  <c:v>45498</c:v>
                </c:pt>
                <c:pt idx="662">
                  <c:v>45499</c:v>
                </c:pt>
                <c:pt idx="663">
                  <c:v>45502</c:v>
                </c:pt>
                <c:pt idx="664">
                  <c:v>45503</c:v>
                </c:pt>
                <c:pt idx="665">
                  <c:v>45504</c:v>
                </c:pt>
                <c:pt idx="666">
                  <c:v>45506</c:v>
                </c:pt>
                <c:pt idx="667">
                  <c:v>45509</c:v>
                </c:pt>
                <c:pt idx="668">
                  <c:v>45510</c:v>
                </c:pt>
                <c:pt idx="669">
                  <c:v>45511</c:v>
                </c:pt>
                <c:pt idx="670">
                  <c:v>45512</c:v>
                </c:pt>
                <c:pt idx="671">
                  <c:v>45513</c:v>
                </c:pt>
                <c:pt idx="672">
                  <c:v>45516</c:v>
                </c:pt>
                <c:pt idx="673">
                  <c:v>45517</c:v>
                </c:pt>
                <c:pt idx="674">
                  <c:v>45518</c:v>
                </c:pt>
                <c:pt idx="675">
                  <c:v>45519</c:v>
                </c:pt>
                <c:pt idx="676">
                  <c:v>45520</c:v>
                </c:pt>
                <c:pt idx="677">
                  <c:v>45523</c:v>
                </c:pt>
                <c:pt idx="678">
                  <c:v>45524</c:v>
                </c:pt>
                <c:pt idx="679">
                  <c:v>45525</c:v>
                </c:pt>
                <c:pt idx="680">
                  <c:v>45526</c:v>
                </c:pt>
                <c:pt idx="681">
                  <c:v>45527</c:v>
                </c:pt>
                <c:pt idx="682">
                  <c:v>45530</c:v>
                </c:pt>
                <c:pt idx="683">
                  <c:v>45531</c:v>
                </c:pt>
                <c:pt idx="684">
                  <c:v>45532</c:v>
                </c:pt>
                <c:pt idx="685">
                  <c:v>45533</c:v>
                </c:pt>
                <c:pt idx="686">
                  <c:v>45534</c:v>
                </c:pt>
                <c:pt idx="687">
                  <c:v>45538</c:v>
                </c:pt>
                <c:pt idx="688">
                  <c:v>45539</c:v>
                </c:pt>
                <c:pt idx="689">
                  <c:v>45540</c:v>
                </c:pt>
                <c:pt idx="690">
                  <c:v>45541</c:v>
                </c:pt>
                <c:pt idx="691">
                  <c:v>45544</c:v>
                </c:pt>
                <c:pt idx="692">
                  <c:v>45545</c:v>
                </c:pt>
                <c:pt idx="693">
                  <c:v>45546</c:v>
                </c:pt>
                <c:pt idx="694">
                  <c:v>45547</c:v>
                </c:pt>
                <c:pt idx="695">
                  <c:v>45548</c:v>
                </c:pt>
                <c:pt idx="696">
                  <c:v>45551</c:v>
                </c:pt>
                <c:pt idx="697">
                  <c:v>45552</c:v>
                </c:pt>
                <c:pt idx="698">
                  <c:v>45553</c:v>
                </c:pt>
                <c:pt idx="699">
                  <c:v>45554</c:v>
                </c:pt>
                <c:pt idx="700">
                  <c:v>45555</c:v>
                </c:pt>
                <c:pt idx="701">
                  <c:v>45558</c:v>
                </c:pt>
                <c:pt idx="702">
                  <c:v>45559</c:v>
                </c:pt>
                <c:pt idx="703">
                  <c:v>45560</c:v>
                </c:pt>
                <c:pt idx="704">
                  <c:v>45561</c:v>
                </c:pt>
                <c:pt idx="705">
                  <c:v>45562</c:v>
                </c:pt>
                <c:pt idx="706">
                  <c:v>45565</c:v>
                </c:pt>
                <c:pt idx="707">
                  <c:v>45566</c:v>
                </c:pt>
                <c:pt idx="708">
                  <c:v>45567</c:v>
                </c:pt>
                <c:pt idx="709">
                  <c:v>45568</c:v>
                </c:pt>
                <c:pt idx="710">
                  <c:v>45569</c:v>
                </c:pt>
                <c:pt idx="711">
                  <c:v>45572</c:v>
                </c:pt>
                <c:pt idx="712">
                  <c:v>45573</c:v>
                </c:pt>
                <c:pt idx="713">
                  <c:v>45574</c:v>
                </c:pt>
                <c:pt idx="714">
                  <c:v>45575</c:v>
                </c:pt>
                <c:pt idx="715">
                  <c:v>45576</c:v>
                </c:pt>
                <c:pt idx="716">
                  <c:v>45579</c:v>
                </c:pt>
                <c:pt idx="717">
                  <c:v>45580</c:v>
                </c:pt>
                <c:pt idx="718">
                  <c:v>45581</c:v>
                </c:pt>
                <c:pt idx="719">
                  <c:v>45582</c:v>
                </c:pt>
                <c:pt idx="720">
                  <c:v>45583</c:v>
                </c:pt>
                <c:pt idx="721">
                  <c:v>45586</c:v>
                </c:pt>
                <c:pt idx="722">
                  <c:v>45587</c:v>
                </c:pt>
                <c:pt idx="723">
                  <c:v>45588</c:v>
                </c:pt>
                <c:pt idx="724">
                  <c:v>45589</c:v>
                </c:pt>
                <c:pt idx="725">
                  <c:v>45590</c:v>
                </c:pt>
                <c:pt idx="726">
                  <c:v>45593</c:v>
                </c:pt>
                <c:pt idx="727">
                  <c:v>45594</c:v>
                </c:pt>
                <c:pt idx="728">
                  <c:v>45595</c:v>
                </c:pt>
                <c:pt idx="729">
                  <c:v>45596</c:v>
                </c:pt>
                <c:pt idx="730">
                  <c:v>45597</c:v>
                </c:pt>
                <c:pt idx="731">
                  <c:v>45600</c:v>
                </c:pt>
                <c:pt idx="732">
                  <c:v>45601</c:v>
                </c:pt>
                <c:pt idx="733">
                  <c:v>45602</c:v>
                </c:pt>
                <c:pt idx="734">
                  <c:v>45603</c:v>
                </c:pt>
                <c:pt idx="735">
                  <c:v>45604</c:v>
                </c:pt>
                <c:pt idx="736">
                  <c:v>45607</c:v>
                </c:pt>
                <c:pt idx="737">
                  <c:v>45608</c:v>
                </c:pt>
                <c:pt idx="738">
                  <c:v>45609</c:v>
                </c:pt>
                <c:pt idx="739">
                  <c:v>45610</c:v>
                </c:pt>
                <c:pt idx="740">
                  <c:v>45611</c:v>
                </c:pt>
                <c:pt idx="741">
                  <c:v>45614</c:v>
                </c:pt>
                <c:pt idx="742">
                  <c:v>45615</c:v>
                </c:pt>
                <c:pt idx="743">
                  <c:v>45616</c:v>
                </c:pt>
                <c:pt idx="744">
                  <c:v>45617</c:v>
                </c:pt>
                <c:pt idx="745">
                  <c:v>45618</c:v>
                </c:pt>
                <c:pt idx="746">
                  <c:v>45621</c:v>
                </c:pt>
                <c:pt idx="747">
                  <c:v>45622</c:v>
                </c:pt>
                <c:pt idx="748">
                  <c:v>45623</c:v>
                </c:pt>
                <c:pt idx="749">
                  <c:v>45625</c:v>
                </c:pt>
                <c:pt idx="750">
                  <c:v>45628</c:v>
                </c:pt>
                <c:pt idx="751">
                  <c:v>45629</c:v>
                </c:pt>
                <c:pt idx="752">
                  <c:v>45630</c:v>
                </c:pt>
                <c:pt idx="753">
                  <c:v>45631</c:v>
                </c:pt>
                <c:pt idx="754">
                  <c:v>45632</c:v>
                </c:pt>
                <c:pt idx="755">
                  <c:v>45635</c:v>
                </c:pt>
                <c:pt idx="756">
                  <c:v>45636</c:v>
                </c:pt>
                <c:pt idx="757">
                  <c:v>45637</c:v>
                </c:pt>
                <c:pt idx="758">
                  <c:v>45638</c:v>
                </c:pt>
                <c:pt idx="759">
                  <c:v>45639</c:v>
                </c:pt>
                <c:pt idx="760">
                  <c:v>45642</c:v>
                </c:pt>
                <c:pt idx="761">
                  <c:v>45643</c:v>
                </c:pt>
                <c:pt idx="762">
                  <c:v>45644</c:v>
                </c:pt>
                <c:pt idx="763">
                  <c:v>45645</c:v>
                </c:pt>
                <c:pt idx="764">
                  <c:v>45646</c:v>
                </c:pt>
                <c:pt idx="765">
                  <c:v>45649</c:v>
                </c:pt>
                <c:pt idx="766">
                  <c:v>45653</c:v>
                </c:pt>
                <c:pt idx="767">
                  <c:v>45656</c:v>
                </c:pt>
                <c:pt idx="768">
                  <c:v>45660</c:v>
                </c:pt>
                <c:pt idx="769">
                  <c:v>45663</c:v>
                </c:pt>
                <c:pt idx="770">
                  <c:v>45664</c:v>
                </c:pt>
                <c:pt idx="771">
                  <c:v>45665</c:v>
                </c:pt>
                <c:pt idx="772">
                  <c:v>45667</c:v>
                </c:pt>
                <c:pt idx="773">
                  <c:v>45670</c:v>
                </c:pt>
                <c:pt idx="774">
                  <c:v>45671</c:v>
                </c:pt>
                <c:pt idx="775">
                  <c:v>45672</c:v>
                </c:pt>
                <c:pt idx="776">
                  <c:v>45673</c:v>
                </c:pt>
                <c:pt idx="777">
                  <c:v>45674</c:v>
                </c:pt>
                <c:pt idx="778">
                  <c:v>45678</c:v>
                </c:pt>
                <c:pt idx="779">
                  <c:v>45679</c:v>
                </c:pt>
                <c:pt idx="780">
                  <c:v>45680</c:v>
                </c:pt>
                <c:pt idx="781">
                  <c:v>45681</c:v>
                </c:pt>
                <c:pt idx="782">
                  <c:v>45684</c:v>
                </c:pt>
                <c:pt idx="783">
                  <c:v>45685</c:v>
                </c:pt>
                <c:pt idx="784">
                  <c:v>45686</c:v>
                </c:pt>
                <c:pt idx="785">
                  <c:v>45687</c:v>
                </c:pt>
                <c:pt idx="786">
                  <c:v>45688</c:v>
                </c:pt>
                <c:pt idx="787">
                  <c:v>45691</c:v>
                </c:pt>
                <c:pt idx="788">
                  <c:v>45692</c:v>
                </c:pt>
                <c:pt idx="789">
                  <c:v>45693</c:v>
                </c:pt>
                <c:pt idx="790">
                  <c:v>45694</c:v>
                </c:pt>
                <c:pt idx="791">
                  <c:v>45695</c:v>
                </c:pt>
                <c:pt idx="792">
                  <c:v>45698</c:v>
                </c:pt>
                <c:pt idx="793">
                  <c:v>45699</c:v>
                </c:pt>
                <c:pt idx="794">
                  <c:v>45700</c:v>
                </c:pt>
                <c:pt idx="795">
                  <c:v>45701</c:v>
                </c:pt>
                <c:pt idx="796">
                  <c:v>45702</c:v>
                </c:pt>
                <c:pt idx="797">
                  <c:v>45706</c:v>
                </c:pt>
                <c:pt idx="798">
                  <c:v>45707</c:v>
                </c:pt>
                <c:pt idx="799">
                  <c:v>45708</c:v>
                </c:pt>
                <c:pt idx="800">
                  <c:v>45709</c:v>
                </c:pt>
                <c:pt idx="801">
                  <c:v>45712</c:v>
                </c:pt>
                <c:pt idx="802">
                  <c:v>45713</c:v>
                </c:pt>
                <c:pt idx="803">
                  <c:v>45714</c:v>
                </c:pt>
                <c:pt idx="804">
                  <c:v>45715</c:v>
                </c:pt>
                <c:pt idx="805">
                  <c:v>45716</c:v>
                </c:pt>
                <c:pt idx="806">
                  <c:v>45719</c:v>
                </c:pt>
                <c:pt idx="807">
                  <c:v>45720</c:v>
                </c:pt>
                <c:pt idx="808">
                  <c:v>45721</c:v>
                </c:pt>
                <c:pt idx="809">
                  <c:v>45722</c:v>
                </c:pt>
                <c:pt idx="810">
                  <c:v>45723</c:v>
                </c:pt>
                <c:pt idx="811">
                  <c:v>45726</c:v>
                </c:pt>
                <c:pt idx="812">
                  <c:v>45727</c:v>
                </c:pt>
                <c:pt idx="813">
                  <c:v>45728</c:v>
                </c:pt>
                <c:pt idx="814">
                  <c:v>45729</c:v>
                </c:pt>
              </c:numCache>
            </c:numRef>
          </c:cat>
          <c:val>
            <c:numRef>
              <c:f>Data!$BK$656:$BK$1470</c:f>
              <c:numCache>
                <c:formatCode>General</c:formatCode>
                <c:ptCount val="815"/>
                <c:pt idx="0">
                  <c:v>3.0350171637544688E-5</c:v>
                </c:pt>
                <c:pt idx="1">
                  <c:v>3.2036443429967586E-5</c:v>
                </c:pt>
                <c:pt idx="2">
                  <c:v>3.0114696082839958E-5</c:v>
                </c:pt>
                <c:pt idx="3">
                  <c:v>2.8927410086351107E-5</c:v>
                </c:pt>
                <c:pt idx="4">
                  <c:v>2.7889073935438206E-5</c:v>
                </c:pt>
                <c:pt idx="5">
                  <c:v>2.7049341611778034E-5</c:v>
                </c:pt>
                <c:pt idx="6">
                  <c:v>2.5451812111518547E-5</c:v>
                </c:pt>
                <c:pt idx="7">
                  <c:v>2.4370760842598772E-5</c:v>
                </c:pt>
                <c:pt idx="8">
                  <c:v>3.0866079616980739E-5</c:v>
                </c:pt>
                <c:pt idx="9">
                  <c:v>2.9343797645057829E-5</c:v>
                </c:pt>
                <c:pt idx="10">
                  <c:v>4.2662821703570494E-5</c:v>
                </c:pt>
                <c:pt idx="11">
                  <c:v>4.0289947240556812E-5</c:v>
                </c:pt>
                <c:pt idx="12">
                  <c:v>3.9369745126434534E-5</c:v>
                </c:pt>
                <c:pt idx="13">
                  <c:v>4.1633199093856858E-5</c:v>
                </c:pt>
                <c:pt idx="14">
                  <c:v>4.2288937383725016E-5</c:v>
                </c:pt>
                <c:pt idx="15">
                  <c:v>3.9752843561787563E-5</c:v>
                </c:pt>
                <c:pt idx="16">
                  <c:v>5.3487868920939796E-5</c:v>
                </c:pt>
                <c:pt idx="17">
                  <c:v>5.776895874692848E-5</c:v>
                </c:pt>
                <c:pt idx="18">
                  <c:v>5.6994418081971356E-5</c:v>
                </c:pt>
                <c:pt idx="19">
                  <c:v>5.3614062033301021E-5</c:v>
                </c:pt>
                <c:pt idx="20">
                  <c:v>5.039722211859088E-5</c:v>
                </c:pt>
                <c:pt idx="21">
                  <c:v>4.8575992560005501E-5</c:v>
                </c:pt>
                <c:pt idx="22">
                  <c:v>5.3095268888750586E-5</c:v>
                </c:pt>
                <c:pt idx="23">
                  <c:v>5.5460117747665372E-5</c:v>
                </c:pt>
                <c:pt idx="24">
                  <c:v>7.7949836633693566E-5</c:v>
                </c:pt>
                <c:pt idx="25">
                  <c:v>7.5357979781449051E-5</c:v>
                </c:pt>
                <c:pt idx="26">
                  <c:v>7.6690445194012608E-5</c:v>
                </c:pt>
                <c:pt idx="27">
                  <c:v>7.5337966602586194E-5</c:v>
                </c:pt>
                <c:pt idx="28">
                  <c:v>7.1184669912205409E-5</c:v>
                </c:pt>
                <c:pt idx="29">
                  <c:v>6.8807064941364684E-5</c:v>
                </c:pt>
                <c:pt idx="30">
                  <c:v>6.7121433864856405E-5</c:v>
                </c:pt>
                <c:pt idx="31">
                  <c:v>6.6986174911264426E-5</c:v>
                </c:pt>
                <c:pt idx="32">
                  <c:v>6.3656466866405251E-5</c:v>
                </c:pt>
                <c:pt idx="33">
                  <c:v>6.0767542040021804E-5</c:v>
                </c:pt>
                <c:pt idx="34">
                  <c:v>5.8581390343797386E-5</c:v>
                </c:pt>
                <c:pt idx="35">
                  <c:v>5.5589347192848614E-5</c:v>
                </c:pt>
                <c:pt idx="36">
                  <c:v>5.226449887772405E-5</c:v>
                </c:pt>
                <c:pt idx="37">
                  <c:v>5.3817095165050051E-5</c:v>
                </c:pt>
                <c:pt idx="38">
                  <c:v>5.0599814054949211E-5</c:v>
                </c:pt>
                <c:pt idx="39">
                  <c:v>6.2303888448496335E-5</c:v>
                </c:pt>
                <c:pt idx="40">
                  <c:v>6.3338705618219246E-5</c:v>
                </c:pt>
                <c:pt idx="41">
                  <c:v>6.0110293865471608E-5</c:v>
                </c:pt>
                <c:pt idx="42">
                  <c:v>5.7439192944589041E-5</c:v>
                </c:pt>
                <c:pt idx="43">
                  <c:v>5.7378463077325745E-5</c:v>
                </c:pt>
                <c:pt idx="44">
                  <c:v>5.3941664069614874E-5</c:v>
                </c:pt>
                <c:pt idx="45">
                  <c:v>5.0710916713837287E-5</c:v>
                </c:pt>
                <c:pt idx="46">
                  <c:v>4.8137019291698877E-5</c:v>
                </c:pt>
                <c:pt idx="47">
                  <c:v>6.1254384047018261E-5</c:v>
                </c:pt>
                <c:pt idx="48">
                  <c:v>1.4597326752435925E-4</c:v>
                </c:pt>
                <c:pt idx="49">
                  <c:v>1.3897698308328925E-4</c:v>
                </c:pt>
                <c:pt idx="50">
                  <c:v>1.4042592760733742E-4</c:v>
                </c:pt>
                <c:pt idx="51">
                  <c:v>1.3453506986479952E-4</c:v>
                </c:pt>
                <c:pt idx="52">
                  <c:v>1.2858739265362887E-4</c:v>
                </c:pt>
                <c:pt idx="53">
                  <c:v>1.2699281951138245E-4</c:v>
                </c:pt>
                <c:pt idx="54">
                  <c:v>1.2648425490592905E-4</c:v>
                </c:pt>
                <c:pt idx="55">
                  <c:v>1.188953236897823E-4</c:v>
                </c:pt>
                <c:pt idx="56">
                  <c:v>1.1801781538817531E-4</c:v>
                </c:pt>
                <c:pt idx="57">
                  <c:v>1.144713386178545E-4</c:v>
                </c:pt>
                <c:pt idx="58">
                  <c:v>1.0877076128791204E-4</c:v>
                </c:pt>
                <c:pt idx="59">
                  <c:v>1.028317192400513E-4</c:v>
                </c:pt>
                <c:pt idx="60">
                  <c:v>1.1493986971056869E-4</c:v>
                </c:pt>
                <c:pt idx="61">
                  <c:v>1.0921563955334118E-4</c:v>
                </c:pt>
                <c:pt idx="62">
                  <c:v>1.0527121707241179E-4</c:v>
                </c:pt>
                <c:pt idx="63">
                  <c:v>1.1590635529571525E-4</c:v>
                </c:pt>
                <c:pt idx="64">
                  <c:v>1.189822565402838E-4</c:v>
                </c:pt>
                <c:pt idx="65">
                  <c:v>1.1188140780595118E-4</c:v>
                </c:pt>
                <c:pt idx="66">
                  <c:v>1.106287790006949E-4</c:v>
                </c:pt>
                <c:pt idx="67">
                  <c:v>1.0573924396364544E-4</c:v>
                </c:pt>
                <c:pt idx="68">
                  <c:v>1.0046417034640604E-4</c:v>
                </c:pt>
                <c:pt idx="69">
                  <c:v>9.4564659926429798E-5</c:v>
                </c:pt>
                <c:pt idx="70">
                  <c:v>1.2806328806898868E-4</c:v>
                </c:pt>
                <c:pt idx="71">
                  <c:v>1.7482643500678797E-4</c:v>
                </c:pt>
                <c:pt idx="72">
                  <c:v>1.6433696313389047E-4</c:v>
                </c:pt>
                <c:pt idx="73">
                  <c:v>1.6094952941666713E-4</c:v>
                </c:pt>
                <c:pt idx="74">
                  <c:v>1.513295293724494E-4</c:v>
                </c:pt>
                <c:pt idx="75">
                  <c:v>1.5858624868689104E-4</c:v>
                </c:pt>
                <c:pt idx="76">
                  <c:v>2.1115316319749017E-4</c:v>
                </c:pt>
                <c:pt idx="77">
                  <c:v>2.0276602180903844E-4</c:v>
                </c:pt>
                <c:pt idx="78">
                  <c:v>2.0101336523370393E-4</c:v>
                </c:pt>
                <c:pt idx="79">
                  <c:v>2.823711222976482E-4</c:v>
                </c:pt>
                <c:pt idx="80">
                  <c:v>2.7017796383014425E-4</c:v>
                </c:pt>
                <c:pt idx="81">
                  <c:v>2.5902568612277185E-4</c:v>
                </c:pt>
                <c:pt idx="82">
                  <c:v>2.5873052962429736E-4</c:v>
                </c:pt>
                <c:pt idx="83">
                  <c:v>2.4321142361178734E-4</c:v>
                </c:pt>
                <c:pt idx="84">
                  <c:v>2.4965395835536009E-4</c:v>
                </c:pt>
                <c:pt idx="85">
                  <c:v>2.4564388504650823E-4</c:v>
                </c:pt>
                <c:pt idx="86">
                  <c:v>2.3715598017257244E-4</c:v>
                </c:pt>
                <c:pt idx="87">
                  <c:v>2.2300248489672686E-4</c:v>
                </c:pt>
                <c:pt idx="88">
                  <c:v>2.1002003257264019E-4</c:v>
                </c:pt>
                <c:pt idx="89">
                  <c:v>2.0170401111580159E-4</c:v>
                </c:pt>
                <c:pt idx="90">
                  <c:v>1.9002034352249845E-4</c:v>
                </c:pt>
                <c:pt idx="91">
                  <c:v>1.786581453691155E-4</c:v>
                </c:pt>
                <c:pt idx="92">
                  <c:v>1.6841838200975826E-4</c:v>
                </c:pt>
                <c:pt idx="93">
                  <c:v>1.6999779181718505E-4</c:v>
                </c:pt>
                <c:pt idx="94">
                  <c:v>1.624439003742494E-4</c:v>
                </c:pt>
                <c:pt idx="95">
                  <c:v>1.5540191208413955E-4</c:v>
                </c:pt>
                <c:pt idx="96">
                  <c:v>1.4620273477461171E-4</c:v>
                </c:pt>
                <c:pt idx="97">
                  <c:v>1.4801921411738896E-4</c:v>
                </c:pt>
                <c:pt idx="98">
                  <c:v>1.3965150225194383E-4</c:v>
                </c:pt>
                <c:pt idx="99">
                  <c:v>1.3253909660772427E-4</c:v>
                </c:pt>
                <c:pt idx="100">
                  <c:v>1.256706381882451E-4</c:v>
                </c:pt>
                <c:pt idx="101">
                  <c:v>1.2529780658872641E-4</c:v>
                </c:pt>
                <c:pt idx="102">
                  <c:v>1.1794779154455572E-4</c:v>
                </c:pt>
                <c:pt idx="103">
                  <c:v>1.1944125141528624E-4</c:v>
                </c:pt>
                <c:pt idx="104">
                  <c:v>1.1227479089747286E-4</c:v>
                </c:pt>
                <c:pt idx="105">
                  <c:v>1.091766501366935E-4</c:v>
                </c:pt>
                <c:pt idx="106">
                  <c:v>1.1708405304894685E-4</c:v>
                </c:pt>
                <c:pt idx="107">
                  <c:v>1.1038771300222551E-4</c:v>
                </c:pt>
                <c:pt idx="108">
                  <c:v>1.0379541792614765E-4</c:v>
                </c:pt>
                <c:pt idx="109">
                  <c:v>9.8300796189703581E-5</c:v>
                </c:pt>
                <c:pt idx="110">
                  <c:v>1.0440104162987139E-4</c:v>
                </c:pt>
                <c:pt idx="111">
                  <c:v>1.0759122993110373E-4</c:v>
                </c:pt>
                <c:pt idx="112">
                  <c:v>1.0702258795611611E-4</c:v>
                </c:pt>
                <c:pt idx="113">
                  <c:v>1.0071959536952099E-4</c:v>
                </c:pt>
                <c:pt idx="114">
                  <c:v>9.6177000266018406E-5</c:v>
                </c:pt>
                <c:pt idx="115">
                  <c:v>1.0046438128308413E-4</c:v>
                </c:pt>
                <c:pt idx="116">
                  <c:v>9.4817107248242117E-5</c:v>
                </c:pt>
                <c:pt idx="117">
                  <c:v>9.5291718268374336E-5</c:v>
                </c:pt>
                <c:pt idx="118">
                  <c:v>8.957794284320199E-5</c:v>
                </c:pt>
                <c:pt idx="119">
                  <c:v>9.3376179031074493E-5</c:v>
                </c:pt>
                <c:pt idx="120">
                  <c:v>1.2349968524922428E-4</c:v>
                </c:pt>
                <c:pt idx="121">
                  <c:v>1.2044827494210346E-4</c:v>
                </c:pt>
                <c:pt idx="122">
                  <c:v>1.1328562591439786E-4</c:v>
                </c:pt>
                <c:pt idx="123">
                  <c:v>1.075039207896559E-4</c:v>
                </c:pt>
                <c:pt idx="124">
                  <c:v>1.1048916284487221E-4</c:v>
                </c:pt>
                <c:pt idx="125">
                  <c:v>1.0407018073443015E-4</c:v>
                </c:pt>
                <c:pt idx="126">
                  <c:v>9.9318194064212779E-5</c:v>
                </c:pt>
                <c:pt idx="127">
                  <c:v>1.0334171576720318E-4</c:v>
                </c:pt>
                <c:pt idx="128">
                  <c:v>1.2967889419020082E-4</c:v>
                </c:pt>
                <c:pt idx="129">
                  <c:v>1.2189828500195054E-4</c:v>
                </c:pt>
                <c:pt idx="130">
                  <c:v>1.2619259205263594E-4</c:v>
                </c:pt>
                <c:pt idx="131">
                  <c:v>1.1875741842751818E-4</c:v>
                </c:pt>
                <c:pt idx="132">
                  <c:v>1.1166287311947376E-4</c:v>
                </c:pt>
                <c:pt idx="133">
                  <c:v>1.1592948770067244E-4</c:v>
                </c:pt>
                <c:pt idx="134">
                  <c:v>1.0954023672162371E-4</c:v>
                </c:pt>
                <c:pt idx="135">
                  <c:v>1.0908667294452411E-4</c:v>
                </c:pt>
                <c:pt idx="136">
                  <c:v>1.0396965335794405E-4</c:v>
                </c:pt>
                <c:pt idx="137">
                  <c:v>9.7930529661994351E-5</c:v>
                </c:pt>
                <c:pt idx="138">
                  <c:v>9.2066081653177271E-5</c:v>
                </c:pt>
                <c:pt idx="139">
                  <c:v>8.8553826847592176E-5</c:v>
                </c:pt>
                <c:pt idx="140">
                  <c:v>9.2829215154848881E-5</c:v>
                </c:pt>
                <c:pt idx="141">
                  <c:v>1.1372722448660803E-4</c:v>
                </c:pt>
                <c:pt idx="142">
                  <c:v>1.2423034868296414E-4</c:v>
                </c:pt>
                <c:pt idx="143">
                  <c:v>1.3642646400387377E-4</c:v>
                </c:pt>
                <c:pt idx="144">
                  <c:v>1.3198593415623082E-4</c:v>
                </c:pt>
                <c:pt idx="145">
                  <c:v>1.7308393802796307E-4</c:v>
                </c:pt>
                <c:pt idx="146">
                  <c:v>1.6301544532931858E-4</c:v>
                </c:pt>
                <c:pt idx="147">
                  <c:v>1.5368144855841802E-4</c:v>
                </c:pt>
                <c:pt idx="148">
                  <c:v>1.4574561152297055E-4</c:v>
                </c:pt>
                <c:pt idx="149">
                  <c:v>1.4004800409179863E-4</c:v>
                </c:pt>
                <c:pt idx="150">
                  <c:v>2.0673895306719405E-4</c:v>
                </c:pt>
                <c:pt idx="151">
                  <c:v>1.9792320244683699E-4</c:v>
                </c:pt>
                <c:pt idx="152">
                  <c:v>1.908181116592226E-4</c:v>
                </c:pt>
                <c:pt idx="153">
                  <c:v>1.7937147652218529E-4</c:v>
                </c:pt>
                <c:pt idx="154">
                  <c:v>1.7116393517853325E-4</c:v>
                </c:pt>
                <c:pt idx="155">
                  <c:v>1.6133722893419718E-4</c:v>
                </c:pt>
                <c:pt idx="156">
                  <c:v>1.5404138779960609E-4</c:v>
                </c:pt>
                <c:pt idx="157">
                  <c:v>1.5478948936890739E-4</c:v>
                </c:pt>
                <c:pt idx="158">
                  <c:v>1.5064658871110056E-4</c:v>
                </c:pt>
                <c:pt idx="159">
                  <c:v>1.4435574466143669E-4</c:v>
                </c:pt>
                <c:pt idx="160">
                  <c:v>1.3576717065696918E-4</c:v>
                </c:pt>
                <c:pt idx="161">
                  <c:v>1.2851951865777212E-4</c:v>
                </c:pt>
                <c:pt idx="162">
                  <c:v>1.3413456324730006E-4</c:v>
                </c:pt>
                <c:pt idx="163">
                  <c:v>1.316839839324673E-4</c:v>
                </c:pt>
                <c:pt idx="164">
                  <c:v>1.4092888609123943E-4</c:v>
                </c:pt>
                <c:pt idx="165">
                  <c:v>1.3286581627074544E-4</c:v>
                </c:pt>
                <c:pt idx="166">
                  <c:v>1.310917630365858E-4</c:v>
                </c:pt>
                <c:pt idx="167">
                  <c:v>1.2512639538333207E-4</c:v>
                </c:pt>
                <c:pt idx="168">
                  <c:v>1.2039637438887245E-4</c:v>
                </c:pt>
                <c:pt idx="169">
                  <c:v>1.1389429421283436E-4</c:v>
                </c:pt>
                <c:pt idx="170">
                  <c:v>1.0759868835099291E-4</c:v>
                </c:pt>
                <c:pt idx="171">
                  <c:v>1.0149694568852813E-4</c:v>
                </c:pt>
                <c:pt idx="172">
                  <c:v>9.641782566382554E-5</c:v>
                </c:pt>
                <c:pt idx="173">
                  <c:v>9.3218524061209224E-5</c:v>
                </c:pt>
                <c:pt idx="174">
                  <c:v>8.7758549056091834E-5</c:v>
                </c:pt>
                <c:pt idx="175">
                  <c:v>8.2866595153119132E-5</c:v>
                </c:pt>
                <c:pt idx="176">
                  <c:v>7.9694670919763308E-5</c:v>
                </c:pt>
                <c:pt idx="177">
                  <c:v>7.5181784216625026E-5</c:v>
                </c:pt>
                <c:pt idx="178">
                  <c:v>7.3699027850211734E-5</c:v>
                </c:pt>
                <c:pt idx="179">
                  <c:v>7.0184115485991529E-5</c:v>
                </c:pt>
                <c:pt idx="180">
                  <c:v>6.652401402581602E-5</c:v>
                </c:pt>
                <c:pt idx="181">
                  <c:v>6.278017685213521E-5</c:v>
                </c:pt>
                <c:pt idx="182">
                  <c:v>5.9013495591595017E-5</c:v>
                </c:pt>
                <c:pt idx="183">
                  <c:v>5.5807157343321643E-5</c:v>
                </c:pt>
                <c:pt idx="184">
                  <c:v>5.3367255021173923E-5</c:v>
                </c:pt>
                <c:pt idx="185">
                  <c:v>5.097741008928299E-5</c:v>
                </c:pt>
                <c:pt idx="186">
                  <c:v>4.7921229232546313E-5</c:v>
                </c:pt>
                <c:pt idx="187">
                  <c:v>4.5798101289230907E-5</c:v>
                </c:pt>
                <c:pt idx="188">
                  <c:v>4.3106978774034237E-5</c:v>
                </c:pt>
                <c:pt idx="189">
                  <c:v>4.2942924580973526E-5</c:v>
                </c:pt>
                <c:pt idx="190">
                  <c:v>5.1761333418015217E-5</c:v>
                </c:pt>
                <c:pt idx="191">
                  <c:v>5.1853050265903723E-5</c:v>
                </c:pt>
                <c:pt idx="192">
                  <c:v>5.0028748794869815E-5</c:v>
                </c:pt>
                <c:pt idx="193">
                  <c:v>5.4288558746121656E-5</c:v>
                </c:pt>
                <c:pt idx="194">
                  <c:v>5.2065244298226231E-5</c:v>
                </c:pt>
                <c:pt idx="195">
                  <c:v>4.9011508904864635E-5</c:v>
                </c:pt>
                <c:pt idx="196">
                  <c:v>4.652405261799702E-5</c:v>
                </c:pt>
                <c:pt idx="197">
                  <c:v>6.242443331188313E-5</c:v>
                </c:pt>
                <c:pt idx="198">
                  <c:v>8.6174492935833894E-5</c:v>
                </c:pt>
                <c:pt idx="199">
                  <c:v>8.2678159916387909E-5</c:v>
                </c:pt>
                <c:pt idx="200">
                  <c:v>7.8147905634309484E-5</c:v>
                </c:pt>
                <c:pt idx="201">
                  <c:v>7.3572167638624316E-5</c:v>
                </c:pt>
                <c:pt idx="202">
                  <c:v>7.53836183122336E-5</c:v>
                </c:pt>
                <c:pt idx="203">
                  <c:v>7.4997557625724879E-5</c:v>
                </c:pt>
                <c:pt idx="204">
                  <c:v>7.5386297927369379E-5</c:v>
                </c:pt>
                <c:pt idx="205">
                  <c:v>8.0376049003054751E-5</c:v>
                </c:pt>
                <c:pt idx="206">
                  <c:v>7.5584217939798559E-5</c:v>
                </c:pt>
                <c:pt idx="207">
                  <c:v>8.0665650288184331E-5</c:v>
                </c:pt>
                <c:pt idx="208">
                  <c:v>7.5847255449273585E-5</c:v>
                </c:pt>
                <c:pt idx="209">
                  <c:v>8.1799721929740862E-5</c:v>
                </c:pt>
                <c:pt idx="210">
                  <c:v>7.8106167743480185E-5</c:v>
                </c:pt>
                <c:pt idx="211">
                  <c:v>8.2995818251294494E-5</c:v>
                </c:pt>
                <c:pt idx="212">
                  <c:v>9.2476469852785842E-5</c:v>
                </c:pt>
                <c:pt idx="213">
                  <c:v>8.9406699181661682E-5</c:v>
                </c:pt>
                <c:pt idx="214">
                  <c:v>8.5754497334806739E-5</c:v>
                </c:pt>
                <c:pt idx="215">
                  <c:v>8.5815818410239037E-5</c:v>
                </c:pt>
                <c:pt idx="216">
                  <c:v>8.5717283367033268E-5</c:v>
                </c:pt>
                <c:pt idx="217">
                  <c:v>9.2133566663449298E-5</c:v>
                </c:pt>
                <c:pt idx="218">
                  <c:v>8.6910768407782898E-5</c:v>
                </c:pt>
                <c:pt idx="219">
                  <c:v>1.3275966591306875E-4</c:v>
                </c:pt>
                <c:pt idx="220">
                  <c:v>1.3165238956292937E-4</c:v>
                </c:pt>
                <c:pt idx="221">
                  <c:v>1.2784824811828908E-4</c:v>
                </c:pt>
                <c:pt idx="222">
                  <c:v>1.2396439964102972E-4</c:v>
                </c:pt>
                <c:pt idx="223">
                  <c:v>1.1772383228400712E-4</c:v>
                </c:pt>
                <c:pt idx="224">
                  <c:v>1.123647153066868E-4</c:v>
                </c:pt>
                <c:pt idx="225">
                  <c:v>1.0566451706167025E-4</c:v>
                </c:pt>
                <c:pt idx="226">
                  <c:v>9.9795619404582911E-5</c:v>
                </c:pt>
                <c:pt idx="227">
                  <c:v>9.9711004611923183E-5</c:v>
                </c:pt>
                <c:pt idx="228">
                  <c:v>1.0985946491806923E-4</c:v>
                </c:pt>
                <c:pt idx="229">
                  <c:v>1.0675614412159696E-4</c:v>
                </c:pt>
                <c:pt idx="230">
                  <c:v>1.0515108949310085E-4</c:v>
                </c:pt>
                <c:pt idx="231">
                  <c:v>9.8904448842694051E-5</c:v>
                </c:pt>
                <c:pt idx="232">
                  <c:v>9.4615295337206515E-5</c:v>
                </c:pt>
                <c:pt idx="233">
                  <c:v>1.062407897446979E-4</c:v>
                </c:pt>
                <c:pt idx="234">
                  <c:v>1.1676342989822697E-4</c:v>
                </c:pt>
                <c:pt idx="235">
                  <c:v>1.1075271463901708E-4</c:v>
                </c:pt>
                <c:pt idx="236">
                  <c:v>1.1037936287317302E-4</c:v>
                </c:pt>
                <c:pt idx="237">
                  <c:v>1.0601989824816328E-4</c:v>
                </c:pt>
                <c:pt idx="238">
                  <c:v>1.0125470725974936E-4</c:v>
                </c:pt>
                <c:pt idx="239">
                  <c:v>9.618287952685992E-5</c:v>
                </c:pt>
                <c:pt idx="240">
                  <c:v>9.067482056640758E-5</c:v>
                </c:pt>
                <c:pt idx="241">
                  <c:v>8.9933549754731126E-5</c:v>
                </c:pt>
                <c:pt idx="242">
                  <c:v>8.7652684348764445E-5</c:v>
                </c:pt>
                <c:pt idx="243">
                  <c:v>8.3113665935349808E-5</c:v>
                </c:pt>
                <c:pt idx="244">
                  <c:v>8.1176821095917465E-5</c:v>
                </c:pt>
                <c:pt idx="245">
                  <c:v>7.9364091032582711E-5</c:v>
                </c:pt>
                <c:pt idx="246">
                  <c:v>9.8179381054753774E-5</c:v>
                </c:pt>
                <c:pt idx="247">
                  <c:v>9.231011606489801E-5</c:v>
                </c:pt>
                <c:pt idx="248">
                  <c:v>9.4656817326691973E-5</c:v>
                </c:pt>
                <c:pt idx="249">
                  <c:v>8.9329182114525538E-5</c:v>
                </c:pt>
                <c:pt idx="250">
                  <c:v>8.7931069459873965E-5</c:v>
                </c:pt>
                <c:pt idx="251">
                  <c:v>8.2831448919227563E-5</c:v>
                </c:pt>
                <c:pt idx="252">
                  <c:v>8.605890406361059E-5</c:v>
                </c:pt>
                <c:pt idx="253">
                  <c:v>8.1664592711210159E-5</c:v>
                </c:pt>
                <c:pt idx="254">
                  <c:v>7.682109148934735E-5</c:v>
                </c:pt>
                <c:pt idx="255">
                  <c:v>7.2410608207809277E-5</c:v>
                </c:pt>
                <c:pt idx="256">
                  <c:v>7.0704683386179357E-5</c:v>
                </c:pt>
                <c:pt idx="257">
                  <c:v>6.6478983328011014E-5</c:v>
                </c:pt>
                <c:pt idx="258">
                  <c:v>6.5916752399071917E-5</c:v>
                </c:pt>
                <c:pt idx="259">
                  <c:v>6.3182078291527266E-5</c:v>
                </c:pt>
                <c:pt idx="260">
                  <c:v>6.530052583827024E-5</c:v>
                </c:pt>
                <c:pt idx="261">
                  <c:v>6.2145296136452663E-5</c:v>
                </c:pt>
                <c:pt idx="262">
                  <c:v>5.8422287076546865E-5</c:v>
                </c:pt>
                <c:pt idx="263">
                  <c:v>5.8404331997170334E-5</c:v>
                </c:pt>
                <c:pt idx="264">
                  <c:v>5.9701638612254017E-5</c:v>
                </c:pt>
                <c:pt idx="265">
                  <c:v>5.6134091128090583E-5</c:v>
                </c:pt>
                <c:pt idx="266">
                  <c:v>5.4781111240981273E-5</c:v>
                </c:pt>
                <c:pt idx="267">
                  <c:v>5.208271165666429E-5</c:v>
                </c:pt>
                <c:pt idx="268">
                  <c:v>5.4185177818237765E-5</c:v>
                </c:pt>
                <c:pt idx="269">
                  <c:v>5.121436825410315E-5</c:v>
                </c:pt>
                <c:pt idx="270">
                  <c:v>8.6054981611754757E-5</c:v>
                </c:pt>
                <c:pt idx="271">
                  <c:v>8.6998445690769999E-5</c:v>
                </c:pt>
                <c:pt idx="272">
                  <c:v>8.1782747656832154E-5</c:v>
                </c:pt>
                <c:pt idx="273">
                  <c:v>8.3598964914561509E-5</c:v>
                </c:pt>
                <c:pt idx="274">
                  <c:v>9.6931362077427079E-5</c:v>
                </c:pt>
                <c:pt idx="275">
                  <c:v>9.3683341772276838E-5</c:v>
                </c:pt>
                <c:pt idx="276">
                  <c:v>8.8528803873963072E-5</c:v>
                </c:pt>
                <c:pt idx="277">
                  <c:v>8.3830204731392865E-5</c:v>
                </c:pt>
                <c:pt idx="278">
                  <c:v>7.916030203314068E-5</c:v>
                </c:pt>
                <c:pt idx="279">
                  <c:v>7.5434913116256458E-5</c:v>
                </c:pt>
                <c:pt idx="280">
                  <c:v>7.9241705892780801E-5</c:v>
                </c:pt>
                <c:pt idx="281">
                  <c:v>1.0686413096920916E-4</c:v>
                </c:pt>
                <c:pt idx="282">
                  <c:v>1.134580111651333E-4</c:v>
                </c:pt>
                <c:pt idx="283">
                  <c:v>1.0997130718334591E-4</c:v>
                </c:pt>
                <c:pt idx="284">
                  <c:v>1.0709988883593745E-4</c:v>
                </c:pt>
                <c:pt idx="285">
                  <c:v>1.0290963759430892E-4</c:v>
                </c:pt>
                <c:pt idx="286">
                  <c:v>9.7948321095727187E-5</c:v>
                </c:pt>
                <c:pt idx="287">
                  <c:v>9.545774265348453E-5</c:v>
                </c:pt>
                <c:pt idx="288">
                  <c:v>9.0559827472752453E-5</c:v>
                </c:pt>
                <c:pt idx="289">
                  <c:v>8.5130372587006095E-5</c:v>
                </c:pt>
                <c:pt idx="290">
                  <c:v>8.5842413839480651E-5</c:v>
                </c:pt>
                <c:pt idx="291">
                  <c:v>8.1269187957910992E-5</c:v>
                </c:pt>
                <c:pt idx="292">
                  <c:v>8.1774031205424536E-5</c:v>
                </c:pt>
                <c:pt idx="293">
                  <c:v>7.7482544333356331E-5</c:v>
                </c:pt>
                <c:pt idx="294">
                  <c:v>7.8654685731261985E-5</c:v>
                </c:pt>
                <c:pt idx="295">
                  <c:v>7.3935404772880635E-5</c:v>
                </c:pt>
                <c:pt idx="296">
                  <c:v>6.9500355432350553E-5</c:v>
                </c:pt>
                <c:pt idx="297">
                  <c:v>6.8838166564887704E-5</c:v>
                </c:pt>
                <c:pt idx="298">
                  <c:v>6.4809557023975009E-5</c:v>
                </c:pt>
                <c:pt idx="299">
                  <c:v>6.1968291240465772E-5</c:v>
                </c:pt>
                <c:pt idx="300">
                  <c:v>6.2331952784788441E-5</c:v>
                </c:pt>
                <c:pt idx="301">
                  <c:v>6.1983774980251528E-5</c:v>
                </c:pt>
                <c:pt idx="302">
                  <c:v>5.8339647340119705E-5</c:v>
                </c:pt>
                <c:pt idx="303">
                  <c:v>6.7258796975230411E-5</c:v>
                </c:pt>
                <c:pt idx="304">
                  <c:v>6.5260637262006208E-5</c:v>
                </c:pt>
                <c:pt idx="305">
                  <c:v>6.2494343444968322E-5</c:v>
                </c:pt>
                <c:pt idx="306">
                  <c:v>5.9599858369084859E-5</c:v>
                </c:pt>
                <c:pt idx="307">
                  <c:v>5.7641420310939664E-5</c:v>
                </c:pt>
                <c:pt idx="308">
                  <c:v>5.7813920800459539E-5</c:v>
                </c:pt>
                <c:pt idx="309">
                  <c:v>5.7358179646792324E-5</c:v>
                </c:pt>
                <c:pt idx="310">
                  <c:v>5.4159975105665383E-5</c:v>
                </c:pt>
                <c:pt idx="311">
                  <c:v>5.1700395894247319E-5</c:v>
                </c:pt>
                <c:pt idx="312">
                  <c:v>5.1452925222254173E-5</c:v>
                </c:pt>
                <c:pt idx="313">
                  <c:v>5.0169103862274447E-5</c:v>
                </c:pt>
                <c:pt idx="314">
                  <c:v>4.7475911344545167E-5</c:v>
                </c:pt>
                <c:pt idx="315">
                  <c:v>4.4782323773033055E-5</c:v>
                </c:pt>
                <c:pt idx="316">
                  <c:v>4.3392616816874013E-5</c:v>
                </c:pt>
                <c:pt idx="317">
                  <c:v>4.2853643724835187E-5</c:v>
                </c:pt>
                <c:pt idx="318">
                  <c:v>4.0981173758143561E-5</c:v>
                </c:pt>
                <c:pt idx="319">
                  <c:v>4.5567233815332092E-5</c:v>
                </c:pt>
                <c:pt idx="320">
                  <c:v>4.3703417737499179E-5</c:v>
                </c:pt>
                <c:pt idx="321">
                  <c:v>4.6965857457246416E-5</c:v>
                </c:pt>
                <c:pt idx="322">
                  <c:v>4.4437127363233378E-5</c:v>
                </c:pt>
                <c:pt idx="323">
                  <c:v>4.265046777475664E-5</c:v>
                </c:pt>
                <c:pt idx="324">
                  <c:v>4.3431114338471625E-5</c:v>
                </c:pt>
                <c:pt idx="325">
                  <c:v>4.1564008900380213E-5</c:v>
                </c:pt>
                <c:pt idx="326">
                  <c:v>4.1952095563353787E-5</c:v>
                </c:pt>
                <c:pt idx="327">
                  <c:v>5.6304776674116414E-5</c:v>
                </c:pt>
                <c:pt idx="328">
                  <c:v>6.2112442963595699E-5</c:v>
                </c:pt>
                <c:pt idx="329">
                  <c:v>6.2190347977322005E-5</c:v>
                </c:pt>
                <c:pt idx="330">
                  <c:v>7.9423561229133711E-5</c:v>
                </c:pt>
                <c:pt idx="331">
                  <c:v>9.6950338158911326E-5</c:v>
                </c:pt>
                <c:pt idx="332">
                  <c:v>9.6951290578170508E-5</c:v>
                </c:pt>
                <c:pt idx="333">
                  <c:v>9.1616450179787977E-5</c:v>
                </c:pt>
                <c:pt idx="334">
                  <c:v>9.7869031355316219E-5</c:v>
                </c:pt>
                <c:pt idx="335">
                  <c:v>9.2051572121509731E-5</c:v>
                </c:pt>
                <c:pt idx="336">
                  <c:v>8.8625457177544898E-5</c:v>
                </c:pt>
                <c:pt idx="337">
                  <c:v>8.7037226427797478E-5</c:v>
                </c:pt>
                <c:pt idx="338">
                  <c:v>9.4104063896052517E-5</c:v>
                </c:pt>
                <c:pt idx="339">
                  <c:v>8.9900179763767853E-5</c:v>
                </c:pt>
                <c:pt idx="340">
                  <c:v>9.2384573700270397E-5</c:v>
                </c:pt>
                <c:pt idx="341">
                  <c:v>8.9211325242678245E-5</c:v>
                </c:pt>
                <c:pt idx="342">
                  <c:v>8.6559892010113705E-5</c:v>
                </c:pt>
                <c:pt idx="343">
                  <c:v>8.1450397705181356E-5</c:v>
                </c:pt>
                <c:pt idx="344">
                  <c:v>7.6750763042733702E-5</c:v>
                </c:pt>
                <c:pt idx="345">
                  <c:v>7.3005398671847416E-5</c:v>
                </c:pt>
                <c:pt idx="346">
                  <c:v>7.5010877439297843E-5</c:v>
                </c:pt>
                <c:pt idx="347">
                  <c:v>7.1100581363165162E-5</c:v>
                </c:pt>
                <c:pt idx="348">
                  <c:v>6.7359027594045487E-5</c:v>
                </c:pt>
                <c:pt idx="349">
                  <c:v>6.3663082337551914E-5</c:v>
                </c:pt>
                <c:pt idx="350">
                  <c:v>6.3176313544716252E-5</c:v>
                </c:pt>
                <c:pt idx="351">
                  <c:v>5.9836924305512955E-5</c:v>
                </c:pt>
                <c:pt idx="352">
                  <c:v>5.7292201326575656E-5</c:v>
                </c:pt>
                <c:pt idx="353">
                  <c:v>5.3879063385671654E-5</c:v>
                </c:pt>
                <c:pt idx="354">
                  <c:v>5.0923377892673398E-5</c:v>
                </c:pt>
                <c:pt idx="355">
                  <c:v>5.0129521328070822E-5</c:v>
                </c:pt>
                <c:pt idx="356">
                  <c:v>4.7141767769015886E-5</c:v>
                </c:pt>
                <c:pt idx="357">
                  <c:v>4.5275379206498324E-5</c:v>
                </c:pt>
                <c:pt idx="358">
                  <c:v>5.2501139713536094E-5</c:v>
                </c:pt>
                <c:pt idx="359">
                  <c:v>4.9355311675878754E-5</c:v>
                </c:pt>
                <c:pt idx="360">
                  <c:v>4.9026108816068801E-5</c:v>
                </c:pt>
                <c:pt idx="361">
                  <c:v>4.6172087870640354E-5</c:v>
                </c:pt>
                <c:pt idx="362">
                  <c:v>4.6558679505105711E-5</c:v>
                </c:pt>
                <c:pt idx="363">
                  <c:v>4.4890050413457011E-5</c:v>
                </c:pt>
                <c:pt idx="364">
                  <c:v>4.6575798120266925E-5</c:v>
                </c:pt>
                <c:pt idx="365">
                  <c:v>4.4537003873633413E-5</c:v>
                </c:pt>
                <c:pt idx="366">
                  <c:v>4.2945512927310288E-5</c:v>
                </c:pt>
                <c:pt idx="367">
                  <c:v>4.4762597680106981E-5</c:v>
                </c:pt>
                <c:pt idx="368">
                  <c:v>4.470336492067464E-5</c:v>
                </c:pt>
                <c:pt idx="369">
                  <c:v>4.2809141698137852E-5</c:v>
                </c:pt>
                <c:pt idx="370">
                  <c:v>4.0322647089977573E-5</c:v>
                </c:pt>
                <c:pt idx="371">
                  <c:v>3.9428995466252617E-5</c:v>
                </c:pt>
                <c:pt idx="372">
                  <c:v>4.0110077295134601E-5</c:v>
                </c:pt>
                <c:pt idx="373">
                  <c:v>4.586316538390555E-5</c:v>
                </c:pt>
                <c:pt idx="374">
                  <c:v>4.3255482723687227E-5</c:v>
                </c:pt>
                <c:pt idx="375">
                  <c:v>4.2758635414873915E-5</c:v>
                </c:pt>
                <c:pt idx="376">
                  <c:v>4.4904233465016853E-5</c:v>
                </c:pt>
                <c:pt idx="377">
                  <c:v>4.3761165096602191E-5</c:v>
                </c:pt>
                <c:pt idx="378">
                  <c:v>4.6691683924764448E-5</c:v>
                </c:pt>
                <c:pt idx="379">
                  <c:v>5.4464378429259994E-5</c:v>
                </c:pt>
                <c:pt idx="380">
                  <c:v>5.3160755698813272E-5</c:v>
                </c:pt>
                <c:pt idx="381">
                  <c:v>5.2900516013682343E-5</c:v>
                </c:pt>
                <c:pt idx="382">
                  <c:v>5.9896875168979723E-5</c:v>
                </c:pt>
                <c:pt idx="383">
                  <c:v>5.6671223941274765E-5</c:v>
                </c:pt>
                <c:pt idx="384">
                  <c:v>5.4577423343317185E-5</c:v>
                </c:pt>
                <c:pt idx="385">
                  <c:v>5.7889395531445759E-5</c:v>
                </c:pt>
                <c:pt idx="386">
                  <c:v>5.513228255827839E-5</c:v>
                </c:pt>
                <c:pt idx="387">
                  <c:v>5.3216691572916501E-5</c:v>
                </c:pt>
                <c:pt idx="388">
                  <c:v>5.1062224554428234E-5</c:v>
                </c:pt>
                <c:pt idx="389">
                  <c:v>4.8316649472702042E-5</c:v>
                </c:pt>
                <c:pt idx="390">
                  <c:v>4.6538925794023699E-5</c:v>
                </c:pt>
                <c:pt idx="391">
                  <c:v>4.4030360250363236E-5</c:v>
                </c:pt>
                <c:pt idx="392">
                  <c:v>4.465760923842516E-5</c:v>
                </c:pt>
                <c:pt idx="393">
                  <c:v>5.5407401298583759E-5</c:v>
                </c:pt>
                <c:pt idx="394">
                  <c:v>5.2934964357484342E-5</c:v>
                </c:pt>
                <c:pt idx="395">
                  <c:v>4.9804727248838956E-5</c:v>
                </c:pt>
                <c:pt idx="396">
                  <c:v>4.7501984333692292E-5</c:v>
                </c:pt>
                <c:pt idx="397">
                  <c:v>4.764965302252322E-5</c:v>
                </c:pt>
                <c:pt idx="398">
                  <c:v>4.4790946027078895E-5</c:v>
                </c:pt>
                <c:pt idx="399">
                  <c:v>4.2911596464879484E-5</c:v>
                </c:pt>
                <c:pt idx="400">
                  <c:v>4.0418457880464316E-5</c:v>
                </c:pt>
                <c:pt idx="401">
                  <c:v>4.3788481889942177E-5</c:v>
                </c:pt>
                <c:pt idx="402">
                  <c:v>4.292359533087729E-5</c:v>
                </c:pt>
                <c:pt idx="403">
                  <c:v>4.065179014597497E-5</c:v>
                </c:pt>
                <c:pt idx="404">
                  <c:v>5.8756256304370568E-5</c:v>
                </c:pt>
                <c:pt idx="405">
                  <c:v>6.1452714481119376E-5</c:v>
                </c:pt>
                <c:pt idx="406">
                  <c:v>5.8891193761441268E-5</c:v>
                </c:pt>
                <c:pt idx="407">
                  <c:v>5.6186057295643457E-5</c:v>
                </c:pt>
                <c:pt idx="408">
                  <c:v>5.4405574093909074E-5</c:v>
                </c:pt>
                <c:pt idx="409">
                  <c:v>5.1144641163419283E-5</c:v>
                </c:pt>
                <c:pt idx="410">
                  <c:v>5.1947474693092941E-5</c:v>
                </c:pt>
                <c:pt idx="411">
                  <c:v>5.7557248506888852E-5</c:v>
                </c:pt>
                <c:pt idx="412">
                  <c:v>6.2180199983401778E-5</c:v>
                </c:pt>
                <c:pt idx="413">
                  <c:v>5.8583516032459898E-5</c:v>
                </c:pt>
                <c:pt idx="414">
                  <c:v>5.8283768170076408E-5</c:v>
                </c:pt>
                <c:pt idx="415">
                  <c:v>5.48029736270762E-5</c:v>
                </c:pt>
                <c:pt idx="416">
                  <c:v>5.1936175960419601E-5</c:v>
                </c:pt>
                <c:pt idx="417">
                  <c:v>5.0206428925287195E-5</c:v>
                </c:pt>
                <c:pt idx="418">
                  <c:v>4.8283611107206571E-5</c:v>
                </c:pt>
                <c:pt idx="419">
                  <c:v>6.264306828512063E-5</c:v>
                </c:pt>
                <c:pt idx="420">
                  <c:v>6.0311926482133578E-5</c:v>
                </c:pt>
                <c:pt idx="421">
                  <c:v>5.6726944102948026E-5</c:v>
                </c:pt>
                <c:pt idx="422">
                  <c:v>5.7696276751468379E-5</c:v>
                </c:pt>
                <c:pt idx="423">
                  <c:v>6.1753488339762769E-5</c:v>
                </c:pt>
                <c:pt idx="424">
                  <c:v>5.8110585327429054E-5</c:v>
                </c:pt>
                <c:pt idx="425">
                  <c:v>5.466327877042092E-5</c:v>
                </c:pt>
                <c:pt idx="426">
                  <c:v>5.2606276334750794E-5</c:v>
                </c:pt>
                <c:pt idx="427">
                  <c:v>4.9737702522305095E-5</c:v>
                </c:pt>
                <c:pt idx="428">
                  <c:v>4.9029547985997631E-5</c:v>
                </c:pt>
                <c:pt idx="429">
                  <c:v>4.8330359729153583E-5</c:v>
                </c:pt>
                <c:pt idx="430">
                  <c:v>4.5826959330606298E-5</c:v>
                </c:pt>
                <c:pt idx="431">
                  <c:v>5.0659185343066182E-5</c:v>
                </c:pt>
                <c:pt idx="432">
                  <c:v>4.7644642190573797E-5</c:v>
                </c:pt>
                <c:pt idx="433">
                  <c:v>5.0516355682762827E-5</c:v>
                </c:pt>
                <c:pt idx="434">
                  <c:v>4.8548695910688081E-5</c:v>
                </c:pt>
                <c:pt idx="435">
                  <c:v>4.5679691480357708E-5</c:v>
                </c:pt>
                <c:pt idx="436">
                  <c:v>4.332012843684456E-5</c:v>
                </c:pt>
                <c:pt idx="437">
                  <c:v>4.5588510679856717E-5</c:v>
                </c:pt>
                <c:pt idx="438">
                  <c:v>4.2858278868447962E-5</c:v>
                </c:pt>
                <c:pt idx="439">
                  <c:v>4.0484689938472314E-5</c:v>
                </c:pt>
                <c:pt idx="440">
                  <c:v>4.0931639540193906E-5</c:v>
                </c:pt>
                <c:pt idx="441">
                  <c:v>4.1137665168772109E-5</c:v>
                </c:pt>
                <c:pt idx="442">
                  <c:v>3.879432890399972E-5</c:v>
                </c:pt>
                <c:pt idx="443">
                  <c:v>3.7089705974247374E-5</c:v>
                </c:pt>
                <c:pt idx="444">
                  <c:v>3.6115507780572326E-5</c:v>
                </c:pt>
                <c:pt idx="445">
                  <c:v>4.0559029881641997E-5</c:v>
                </c:pt>
                <c:pt idx="446">
                  <c:v>3.8719524246798187E-5</c:v>
                </c:pt>
                <c:pt idx="447">
                  <c:v>3.8790977066661072E-5</c:v>
                </c:pt>
                <c:pt idx="448">
                  <c:v>3.7461899266206807E-5</c:v>
                </c:pt>
                <c:pt idx="449">
                  <c:v>3.5493534908960103E-5</c:v>
                </c:pt>
                <c:pt idx="450">
                  <c:v>3.3474872092100004E-5</c:v>
                </c:pt>
                <c:pt idx="451">
                  <c:v>3.1523792195391449E-5</c:v>
                </c:pt>
                <c:pt idx="452">
                  <c:v>3.7037024928020393E-5</c:v>
                </c:pt>
                <c:pt idx="453">
                  <c:v>3.9627609336303194E-5</c:v>
                </c:pt>
                <c:pt idx="454">
                  <c:v>4.2739452563782631E-5</c:v>
                </c:pt>
                <c:pt idx="455">
                  <c:v>4.0409387034514964E-5</c:v>
                </c:pt>
                <c:pt idx="456">
                  <c:v>4.1557435917484823E-5</c:v>
                </c:pt>
                <c:pt idx="457">
                  <c:v>4.1384460110027893E-5</c:v>
                </c:pt>
                <c:pt idx="458">
                  <c:v>4.1292886878199044E-5</c:v>
                </c:pt>
                <c:pt idx="459">
                  <c:v>3.8815437648272603E-5</c:v>
                </c:pt>
                <c:pt idx="460">
                  <c:v>3.8300223993797248E-5</c:v>
                </c:pt>
                <c:pt idx="461">
                  <c:v>3.8550706615233037E-5</c:v>
                </c:pt>
                <c:pt idx="462">
                  <c:v>3.6875243717276431E-5</c:v>
                </c:pt>
                <c:pt idx="463">
                  <c:v>3.571475733065876E-5</c:v>
                </c:pt>
                <c:pt idx="464">
                  <c:v>3.8549105006968547E-5</c:v>
                </c:pt>
                <c:pt idx="465">
                  <c:v>4.134829664745184E-5</c:v>
                </c:pt>
                <c:pt idx="466">
                  <c:v>3.8894097065457001E-5</c:v>
                </c:pt>
                <c:pt idx="467">
                  <c:v>3.6937289801178371E-5</c:v>
                </c:pt>
                <c:pt idx="468">
                  <c:v>3.6250469770971662E-5</c:v>
                </c:pt>
                <c:pt idx="469">
                  <c:v>3.4195826282424969E-5</c:v>
                </c:pt>
                <c:pt idx="470">
                  <c:v>4.8641364683530408E-5</c:v>
                </c:pt>
                <c:pt idx="471">
                  <c:v>4.6387145365624867E-5</c:v>
                </c:pt>
                <c:pt idx="472">
                  <c:v>4.5290595382447203E-5</c:v>
                </c:pt>
                <c:pt idx="473">
                  <c:v>4.5716527046029575E-5</c:v>
                </c:pt>
                <c:pt idx="474">
                  <c:v>4.3037636244407692E-5</c:v>
                </c:pt>
                <c:pt idx="475">
                  <c:v>4.3302607975229846E-5</c:v>
                </c:pt>
                <c:pt idx="476">
                  <c:v>5.0557726056624461E-5</c:v>
                </c:pt>
                <c:pt idx="477">
                  <c:v>7.4702766362471886E-5</c:v>
                </c:pt>
                <c:pt idx="478">
                  <c:v>7.5676811949381887E-5</c:v>
                </c:pt>
                <c:pt idx="479">
                  <c:v>7.1292069865167939E-5</c:v>
                </c:pt>
                <c:pt idx="480">
                  <c:v>6.8147430792692124E-5</c:v>
                </c:pt>
                <c:pt idx="481">
                  <c:v>6.4382608907266413E-5</c:v>
                </c:pt>
                <c:pt idx="482">
                  <c:v>6.1132350690223575E-5</c:v>
                </c:pt>
                <c:pt idx="483">
                  <c:v>5.8544226177508052E-5</c:v>
                </c:pt>
                <c:pt idx="484">
                  <c:v>5.6956961936496659E-5</c:v>
                </c:pt>
                <c:pt idx="485">
                  <c:v>5.3584348796998399E-5</c:v>
                </c:pt>
                <c:pt idx="486">
                  <c:v>5.7430317124502681E-5</c:v>
                </c:pt>
                <c:pt idx="487">
                  <c:v>5.8204560606847274E-5</c:v>
                </c:pt>
                <c:pt idx="488">
                  <c:v>5.4793300708885095E-5</c:v>
                </c:pt>
                <c:pt idx="489">
                  <c:v>5.1510265745055511E-5</c:v>
                </c:pt>
                <c:pt idx="490">
                  <c:v>4.8437206884968884E-5</c:v>
                </c:pt>
                <c:pt idx="491">
                  <c:v>4.5840973521897822E-5</c:v>
                </c:pt>
                <c:pt idx="492">
                  <c:v>4.4422948519193611E-5</c:v>
                </c:pt>
                <c:pt idx="493">
                  <c:v>4.6011859899698746E-5</c:v>
                </c:pt>
                <c:pt idx="494">
                  <c:v>4.3912321172510396E-5</c:v>
                </c:pt>
                <c:pt idx="495">
                  <c:v>4.9681659617092501E-5</c:v>
                </c:pt>
                <c:pt idx="496">
                  <c:v>4.6730432529180266E-5</c:v>
                </c:pt>
                <c:pt idx="497">
                  <c:v>4.6145967738004382E-5</c:v>
                </c:pt>
                <c:pt idx="498">
                  <c:v>4.8087314656841607E-5</c:v>
                </c:pt>
                <c:pt idx="499">
                  <c:v>4.5206455713907481E-5</c:v>
                </c:pt>
                <c:pt idx="500">
                  <c:v>4.3410089447576102E-5</c:v>
                </c:pt>
                <c:pt idx="501">
                  <c:v>4.210384656610943E-5</c:v>
                </c:pt>
                <c:pt idx="502">
                  <c:v>4.0713413442915098E-5</c:v>
                </c:pt>
                <c:pt idx="503">
                  <c:v>4.0003306834304942E-5</c:v>
                </c:pt>
                <c:pt idx="504">
                  <c:v>3.9489751791633179E-5</c:v>
                </c:pt>
                <c:pt idx="505">
                  <c:v>3.8056293315601296E-5</c:v>
                </c:pt>
                <c:pt idx="506">
                  <c:v>3.7133803410134622E-5</c:v>
                </c:pt>
                <c:pt idx="507">
                  <c:v>3.5461677018361496E-5</c:v>
                </c:pt>
                <c:pt idx="508">
                  <c:v>3.5477552981361615E-5</c:v>
                </c:pt>
                <c:pt idx="509">
                  <c:v>3.3425435061871999E-5</c:v>
                </c:pt>
                <c:pt idx="510">
                  <c:v>3.2096224934120455E-5</c:v>
                </c:pt>
                <c:pt idx="511">
                  <c:v>3.0727490994036992E-5</c:v>
                </c:pt>
                <c:pt idx="512">
                  <c:v>3.4243935374135417E-5</c:v>
                </c:pt>
                <c:pt idx="513">
                  <c:v>3.3869463913960195E-5</c:v>
                </c:pt>
                <c:pt idx="514">
                  <c:v>3.2048084012772368E-5</c:v>
                </c:pt>
                <c:pt idx="515">
                  <c:v>3.0810624178921383E-5</c:v>
                </c:pt>
                <c:pt idx="516">
                  <c:v>2.9174186601600659E-5</c:v>
                </c:pt>
                <c:pt idx="517">
                  <c:v>2.7579421847915288E-5</c:v>
                </c:pt>
                <c:pt idx="518">
                  <c:v>2.6548688486267079E-5</c:v>
                </c:pt>
                <c:pt idx="519">
                  <c:v>2.4998065158000679E-5</c:v>
                </c:pt>
                <c:pt idx="520">
                  <c:v>2.3499338323790448E-5</c:v>
                </c:pt>
                <c:pt idx="521">
                  <c:v>2.216222500347555E-5</c:v>
                </c:pt>
                <c:pt idx="522">
                  <c:v>2.1035654623561309E-5</c:v>
                </c:pt>
                <c:pt idx="523">
                  <c:v>2.0511468697339407E-5</c:v>
                </c:pt>
                <c:pt idx="524">
                  <c:v>2.0827526870863384E-5</c:v>
                </c:pt>
                <c:pt idx="525">
                  <c:v>2.2737879654028142E-5</c:v>
                </c:pt>
                <c:pt idx="526">
                  <c:v>2.1883507241786057E-5</c:v>
                </c:pt>
                <c:pt idx="527">
                  <c:v>2.1978234145876636E-5</c:v>
                </c:pt>
                <c:pt idx="528">
                  <c:v>2.1364284693209454E-5</c:v>
                </c:pt>
                <c:pt idx="529">
                  <c:v>2.1032117840148729E-5</c:v>
                </c:pt>
                <c:pt idx="530">
                  <c:v>1.9928509789700155E-5</c:v>
                </c:pt>
                <c:pt idx="531">
                  <c:v>1.875193992450157E-5</c:v>
                </c:pt>
                <c:pt idx="532">
                  <c:v>2.2495121195979722E-5</c:v>
                </c:pt>
                <c:pt idx="533">
                  <c:v>2.3700531662667179E-5</c:v>
                </c:pt>
                <c:pt idx="534">
                  <c:v>2.2283519378556093E-5</c:v>
                </c:pt>
                <c:pt idx="535">
                  <c:v>2.4075087087850314E-5</c:v>
                </c:pt>
                <c:pt idx="536">
                  <c:v>2.3302954840564537E-5</c:v>
                </c:pt>
                <c:pt idx="537">
                  <c:v>2.2504250735422103E-5</c:v>
                </c:pt>
                <c:pt idx="538">
                  <c:v>2.8673442271669833E-5</c:v>
                </c:pt>
                <c:pt idx="539">
                  <c:v>3.4456409174456101E-5</c:v>
                </c:pt>
                <c:pt idx="540">
                  <c:v>3.3480823037322578E-5</c:v>
                </c:pt>
                <c:pt idx="541">
                  <c:v>3.1543165056158234E-5</c:v>
                </c:pt>
                <c:pt idx="542">
                  <c:v>4.5314381278084483E-5</c:v>
                </c:pt>
                <c:pt idx="543">
                  <c:v>4.3324509229176026E-5</c:v>
                </c:pt>
                <c:pt idx="544">
                  <c:v>4.0806298097861678E-5</c:v>
                </c:pt>
                <c:pt idx="545">
                  <c:v>4.3877468550020648E-5</c:v>
                </c:pt>
                <c:pt idx="546">
                  <c:v>4.7911811792758601E-5</c:v>
                </c:pt>
                <c:pt idx="547">
                  <c:v>4.535400329260447E-5</c:v>
                </c:pt>
                <c:pt idx="548">
                  <c:v>4.3207727633283082E-5</c:v>
                </c:pt>
                <c:pt idx="549">
                  <c:v>4.1024426862903618E-5</c:v>
                </c:pt>
                <c:pt idx="550">
                  <c:v>3.9137107830707791E-5</c:v>
                </c:pt>
                <c:pt idx="551">
                  <c:v>3.9222387023751078E-5</c:v>
                </c:pt>
                <c:pt idx="552">
                  <c:v>3.7949673255918984E-5</c:v>
                </c:pt>
                <c:pt idx="553">
                  <c:v>3.9425050604701056E-5</c:v>
                </c:pt>
                <c:pt idx="554">
                  <c:v>3.7699342846828177E-5</c:v>
                </c:pt>
                <c:pt idx="555">
                  <c:v>3.7863284714090777E-5</c:v>
                </c:pt>
                <c:pt idx="556">
                  <c:v>3.7965508593227618E-5</c:v>
                </c:pt>
                <c:pt idx="557">
                  <c:v>3.6016694500064237E-5</c:v>
                </c:pt>
                <c:pt idx="558">
                  <c:v>4.3901475199973262E-5</c:v>
                </c:pt>
                <c:pt idx="559">
                  <c:v>4.1631432726292592E-5</c:v>
                </c:pt>
                <c:pt idx="560">
                  <c:v>3.9966135495376756E-5</c:v>
                </c:pt>
                <c:pt idx="561">
                  <c:v>4.3228206819945468E-5</c:v>
                </c:pt>
                <c:pt idx="562">
                  <c:v>4.1508360642278671E-5</c:v>
                </c:pt>
                <c:pt idx="563">
                  <c:v>3.9088502768054852E-5</c:v>
                </c:pt>
                <c:pt idx="564">
                  <c:v>3.7054786549950349E-5</c:v>
                </c:pt>
                <c:pt idx="565">
                  <c:v>3.5107359982399475E-5</c:v>
                </c:pt>
                <c:pt idx="566">
                  <c:v>3.4391429089397291E-5</c:v>
                </c:pt>
                <c:pt idx="567">
                  <c:v>3.2446010469808411E-5</c:v>
                </c:pt>
                <c:pt idx="568">
                  <c:v>3.0589272188899954E-5</c:v>
                </c:pt>
                <c:pt idx="569">
                  <c:v>3.1878938437040528E-5</c:v>
                </c:pt>
                <c:pt idx="570">
                  <c:v>3.0342069523878579E-5</c:v>
                </c:pt>
                <c:pt idx="571">
                  <c:v>3.0827820643516441E-5</c:v>
                </c:pt>
                <c:pt idx="572">
                  <c:v>2.9618605286944861E-5</c:v>
                </c:pt>
                <c:pt idx="573">
                  <c:v>3.0437480428615287E-5</c:v>
                </c:pt>
                <c:pt idx="574">
                  <c:v>2.8961172545601978E-5</c:v>
                </c:pt>
                <c:pt idx="575">
                  <c:v>2.9324156882838056E-5</c:v>
                </c:pt>
                <c:pt idx="576">
                  <c:v>2.8432114765793421E-5</c:v>
                </c:pt>
                <c:pt idx="577">
                  <c:v>2.7939282272562252E-5</c:v>
                </c:pt>
                <c:pt idx="578">
                  <c:v>2.7195811114612792E-5</c:v>
                </c:pt>
                <c:pt idx="579">
                  <c:v>2.6310258767811744E-5</c:v>
                </c:pt>
                <c:pt idx="580">
                  <c:v>2.7945488068408806E-5</c:v>
                </c:pt>
                <c:pt idx="581">
                  <c:v>2.7438062156791894E-5</c:v>
                </c:pt>
                <c:pt idx="582">
                  <c:v>2.5890505431169934E-5</c:v>
                </c:pt>
                <c:pt idx="583">
                  <c:v>2.516835203309543E-5</c:v>
                </c:pt>
                <c:pt idx="584">
                  <c:v>2.3940839620525691E-5</c:v>
                </c:pt>
                <c:pt idx="585">
                  <c:v>2.2772007929004815E-5</c:v>
                </c:pt>
                <c:pt idx="586">
                  <c:v>2.9403109265489834E-5</c:v>
                </c:pt>
                <c:pt idx="587">
                  <c:v>2.7852336872848766E-5</c:v>
                </c:pt>
                <c:pt idx="588">
                  <c:v>2.8633132537080627E-5</c:v>
                </c:pt>
                <c:pt idx="589">
                  <c:v>4.3665653075221963E-5</c:v>
                </c:pt>
                <c:pt idx="590">
                  <c:v>4.2242952101574962E-5</c:v>
                </c:pt>
                <c:pt idx="591">
                  <c:v>4.0468814069429881E-5</c:v>
                </c:pt>
                <c:pt idx="592">
                  <c:v>3.8093777733442666E-5</c:v>
                </c:pt>
                <c:pt idx="593">
                  <c:v>3.6202466890861805E-5</c:v>
                </c:pt>
                <c:pt idx="594">
                  <c:v>3.7418686925154853E-5</c:v>
                </c:pt>
                <c:pt idx="595">
                  <c:v>3.529568679648235E-5</c:v>
                </c:pt>
                <c:pt idx="596">
                  <c:v>5.150170402794983E-5</c:v>
                </c:pt>
                <c:pt idx="597">
                  <c:v>4.9003443168937303E-5</c:v>
                </c:pt>
                <c:pt idx="598">
                  <c:v>4.6064164484832728E-5</c:v>
                </c:pt>
                <c:pt idx="599">
                  <c:v>4.5370451059151138E-5</c:v>
                </c:pt>
                <c:pt idx="600">
                  <c:v>4.3110768753581198E-5</c:v>
                </c:pt>
                <c:pt idx="601">
                  <c:v>4.9870634576607511E-5</c:v>
                </c:pt>
                <c:pt idx="602">
                  <c:v>5.1295737706904084E-5</c:v>
                </c:pt>
                <c:pt idx="603">
                  <c:v>5.384641583513511E-5</c:v>
                </c:pt>
                <c:pt idx="604">
                  <c:v>5.3931371559412391E-5</c:v>
                </c:pt>
                <c:pt idx="605">
                  <c:v>5.0762198427300442E-5</c:v>
                </c:pt>
                <c:pt idx="606">
                  <c:v>5.010164386108855E-5</c:v>
                </c:pt>
                <c:pt idx="607">
                  <c:v>4.8339784919026218E-5</c:v>
                </c:pt>
                <c:pt idx="608">
                  <c:v>4.7354036537832724E-5</c:v>
                </c:pt>
                <c:pt idx="609">
                  <c:v>4.5926104539779455E-5</c:v>
                </c:pt>
                <c:pt idx="610">
                  <c:v>5.9228374489865424E-5</c:v>
                </c:pt>
                <c:pt idx="611">
                  <c:v>5.9279561421720927E-5</c:v>
                </c:pt>
                <c:pt idx="612">
                  <c:v>6.5951487720568067E-5</c:v>
                </c:pt>
                <c:pt idx="613">
                  <c:v>6.2084201707227903E-5</c:v>
                </c:pt>
                <c:pt idx="614">
                  <c:v>5.8469913563406224E-5</c:v>
                </c:pt>
                <c:pt idx="615">
                  <c:v>6.0694865798457754E-5</c:v>
                </c:pt>
                <c:pt idx="616">
                  <c:v>5.800515991216049E-5</c:v>
                </c:pt>
                <c:pt idx="617">
                  <c:v>5.803148457984721E-5</c:v>
                </c:pt>
                <c:pt idx="618">
                  <c:v>5.5100954803012368E-5</c:v>
                </c:pt>
                <c:pt idx="619">
                  <c:v>5.2558988170428894E-5</c:v>
                </c:pt>
                <c:pt idx="620">
                  <c:v>4.9432856945451134E-5</c:v>
                </c:pt>
                <c:pt idx="621">
                  <c:v>4.6981637534558385E-5</c:v>
                </c:pt>
                <c:pt idx="622">
                  <c:v>4.66747287190763E-5</c:v>
                </c:pt>
                <c:pt idx="623">
                  <c:v>4.5450914065707843E-5</c:v>
                </c:pt>
                <c:pt idx="624">
                  <c:v>4.6231279399191939E-5</c:v>
                </c:pt>
                <c:pt idx="625">
                  <c:v>4.9269252455936397E-5</c:v>
                </c:pt>
                <c:pt idx="626">
                  <c:v>4.632900404456357E-5</c:v>
                </c:pt>
                <c:pt idx="627">
                  <c:v>4.3550768044657131E-5</c:v>
                </c:pt>
                <c:pt idx="628">
                  <c:v>4.9218072496592383E-5</c:v>
                </c:pt>
                <c:pt idx="629">
                  <c:v>4.9647754679131451E-5</c:v>
                </c:pt>
                <c:pt idx="630">
                  <c:v>4.674196067899634E-5</c:v>
                </c:pt>
                <c:pt idx="631">
                  <c:v>4.9407511721237876E-5</c:v>
                </c:pt>
                <c:pt idx="632">
                  <c:v>4.8154329608420934E-5</c:v>
                </c:pt>
                <c:pt idx="633">
                  <c:v>4.895411262804136E-5</c:v>
                </c:pt>
                <c:pt idx="634">
                  <c:v>4.8094659290816287E-5</c:v>
                </c:pt>
                <c:pt idx="635">
                  <c:v>4.6292154102314483E-5</c:v>
                </c:pt>
                <c:pt idx="636">
                  <c:v>4.4212322819927009E-5</c:v>
                </c:pt>
                <c:pt idx="637">
                  <c:v>4.233284689533732E-5</c:v>
                </c:pt>
                <c:pt idx="638">
                  <c:v>4.2542124954589394E-5</c:v>
                </c:pt>
                <c:pt idx="639">
                  <c:v>4.5411129227792857E-5</c:v>
                </c:pt>
                <c:pt idx="640">
                  <c:v>5.1358156883284431E-5</c:v>
                </c:pt>
                <c:pt idx="641">
                  <c:v>5.0321540844464003E-5</c:v>
                </c:pt>
                <c:pt idx="642">
                  <c:v>4.9348923475207541E-5</c:v>
                </c:pt>
                <c:pt idx="643">
                  <c:v>4.6442133131346422E-5</c:v>
                </c:pt>
                <c:pt idx="644">
                  <c:v>4.3701352337408639E-5</c:v>
                </c:pt>
                <c:pt idx="645">
                  <c:v>4.2377116246519556E-5</c:v>
                </c:pt>
                <c:pt idx="646">
                  <c:v>4.0449826253976654E-5</c:v>
                </c:pt>
                <c:pt idx="647">
                  <c:v>3.8044887032988806E-5</c:v>
                </c:pt>
                <c:pt idx="648">
                  <c:v>3.5823600793787637E-5</c:v>
                </c:pt>
                <c:pt idx="649">
                  <c:v>3.453665580742707E-5</c:v>
                </c:pt>
                <c:pt idx="650">
                  <c:v>3.2548972254956388E-5</c:v>
                </c:pt>
                <c:pt idx="651">
                  <c:v>3.5961128819449835E-5</c:v>
                </c:pt>
                <c:pt idx="652">
                  <c:v>3.8248720546068507E-5</c:v>
                </c:pt>
                <c:pt idx="653">
                  <c:v>4.0735053955459277E-5</c:v>
                </c:pt>
                <c:pt idx="654">
                  <c:v>4.1148053504170407E-5</c:v>
                </c:pt>
                <c:pt idx="655">
                  <c:v>3.8821626758089154E-5</c:v>
                </c:pt>
                <c:pt idx="656">
                  <c:v>3.8618780645750098E-5</c:v>
                </c:pt>
                <c:pt idx="657">
                  <c:v>3.9240071845799713E-5</c:v>
                </c:pt>
                <c:pt idx="658">
                  <c:v>3.9086266525297307E-5</c:v>
                </c:pt>
                <c:pt idx="659">
                  <c:v>4.2897024357479798E-5</c:v>
                </c:pt>
                <c:pt idx="660">
                  <c:v>4.0450715781836764E-5</c:v>
                </c:pt>
                <c:pt idx="661">
                  <c:v>4.0301084673314054E-5</c:v>
                </c:pt>
                <c:pt idx="662">
                  <c:v>4.1723436055801595E-5</c:v>
                </c:pt>
                <c:pt idx="663">
                  <c:v>4.6787049643046927E-5</c:v>
                </c:pt>
                <c:pt idx="664">
                  <c:v>4.4262887099673779E-5</c:v>
                </c:pt>
                <c:pt idx="665">
                  <c:v>4.3418997237414069E-5</c:v>
                </c:pt>
                <c:pt idx="666">
                  <c:v>4.1312852311754004E-5</c:v>
                </c:pt>
                <c:pt idx="667">
                  <c:v>1.1606796661052632E-4</c:v>
                </c:pt>
                <c:pt idx="668">
                  <c:v>1.5607290449934971E-4</c:v>
                </c:pt>
                <c:pt idx="669">
                  <c:v>1.4719283547201764E-4</c:v>
                </c:pt>
                <c:pt idx="670">
                  <c:v>1.8849378868759567E-4</c:v>
                </c:pt>
                <c:pt idx="671">
                  <c:v>1.7729016521881251E-4</c:v>
                </c:pt>
                <c:pt idx="672">
                  <c:v>1.6728833491600685E-4</c:v>
                </c:pt>
                <c:pt idx="673">
                  <c:v>1.5727684857198081E-4</c:v>
                </c:pt>
                <c:pt idx="674">
                  <c:v>1.4910102370113717E-4</c:v>
                </c:pt>
                <c:pt idx="675">
                  <c:v>1.4886181875401483E-4</c:v>
                </c:pt>
                <c:pt idx="676">
                  <c:v>1.424603630043425E-4</c:v>
                </c:pt>
                <c:pt idx="677">
                  <c:v>1.3451521711577884E-4</c:v>
                </c:pt>
                <c:pt idx="678">
                  <c:v>1.2946679763216974E-4</c:v>
                </c:pt>
                <c:pt idx="679">
                  <c:v>1.2172878504805198E-4</c:v>
                </c:pt>
                <c:pt idx="680">
                  <c:v>1.1453295952555346E-4</c:v>
                </c:pt>
                <c:pt idx="681">
                  <c:v>1.0888575028640975E-4</c:v>
                </c:pt>
                <c:pt idx="682">
                  <c:v>1.0305177127433415E-4</c:v>
                </c:pt>
                <c:pt idx="683">
                  <c:v>9.6887358076499166E-5</c:v>
                </c:pt>
                <c:pt idx="684">
                  <c:v>9.237957338520816E-5</c:v>
                </c:pt>
                <c:pt idx="685">
                  <c:v>8.7908751248486609E-5</c:v>
                </c:pt>
                <c:pt idx="686">
                  <c:v>8.450833595568261E-5</c:v>
                </c:pt>
                <c:pt idx="687">
                  <c:v>7.9576508686495079E-5</c:v>
                </c:pt>
                <c:pt idx="688">
                  <c:v>7.7833517735693644E-5</c:v>
                </c:pt>
                <c:pt idx="689">
                  <c:v>8.480818304828804E-5</c:v>
                </c:pt>
                <c:pt idx="690">
                  <c:v>8.8208246900758322E-5</c:v>
                </c:pt>
                <c:pt idx="691">
                  <c:v>8.9196799968325894E-5</c:v>
                </c:pt>
                <c:pt idx="692">
                  <c:v>8.6062625461522476E-5</c:v>
                </c:pt>
                <c:pt idx="693">
                  <c:v>8.1004855568079205E-5</c:v>
                </c:pt>
                <c:pt idx="694">
                  <c:v>7.6877167340110765E-5</c:v>
                </c:pt>
                <c:pt idx="695">
                  <c:v>7.3755476519803327E-5</c:v>
                </c:pt>
                <c:pt idx="696">
                  <c:v>7.0591481707458443E-5</c:v>
                </c:pt>
                <c:pt idx="697">
                  <c:v>6.6774984554144654E-5</c:v>
                </c:pt>
                <c:pt idx="698">
                  <c:v>6.3348106283328767E-5</c:v>
                </c:pt>
                <c:pt idx="699">
                  <c:v>6.1060499543545514E-5</c:v>
                </c:pt>
                <c:pt idx="700">
                  <c:v>5.9810366400992173E-5</c:v>
                </c:pt>
                <c:pt idx="701">
                  <c:v>6.2589603351124426E-5</c:v>
                </c:pt>
                <c:pt idx="702">
                  <c:v>5.9246372033411912E-5</c:v>
                </c:pt>
                <c:pt idx="703">
                  <c:v>5.8613062138615775E-5</c:v>
                </c:pt>
                <c:pt idx="704">
                  <c:v>5.9191209132538919E-5</c:v>
                </c:pt>
                <c:pt idx="705">
                  <c:v>5.7164122234902576E-5</c:v>
                </c:pt>
                <c:pt idx="706">
                  <c:v>5.3974504418722498E-5</c:v>
                </c:pt>
                <c:pt idx="707">
                  <c:v>5.2439121771378209E-5</c:v>
                </c:pt>
                <c:pt idx="708">
                  <c:v>5.2030927644250682E-5</c:v>
                </c:pt>
                <c:pt idx="709">
                  <c:v>4.9424615248377425E-5</c:v>
                </c:pt>
                <c:pt idx="710">
                  <c:v>5.1379623050184366E-5</c:v>
                </c:pt>
                <c:pt idx="711">
                  <c:v>4.8393219598087526E-5</c:v>
                </c:pt>
                <c:pt idx="712">
                  <c:v>4.5545823958001788E-5</c:v>
                </c:pt>
                <c:pt idx="713">
                  <c:v>4.2815242820131619E-5</c:v>
                </c:pt>
                <c:pt idx="714">
                  <c:v>4.545848903764979E-5</c:v>
                </c:pt>
                <c:pt idx="715">
                  <c:v>4.3564188755105904E-5</c:v>
                </c:pt>
                <c:pt idx="716">
                  <c:v>4.3353516442610149E-5</c:v>
                </c:pt>
                <c:pt idx="717">
                  <c:v>4.5232873479837034E-5</c:v>
                </c:pt>
                <c:pt idx="718">
                  <c:v>4.3169634534886467E-5</c:v>
                </c:pt>
                <c:pt idx="719">
                  <c:v>4.084655053311021E-5</c:v>
                </c:pt>
                <c:pt idx="720">
                  <c:v>4.3386180093575308E-5</c:v>
                </c:pt>
                <c:pt idx="721">
                  <c:v>4.0983503306948395E-5</c:v>
                </c:pt>
                <c:pt idx="722">
                  <c:v>4.0187501808147403E-5</c:v>
                </c:pt>
                <c:pt idx="723">
                  <c:v>4.1651384217950849E-5</c:v>
                </c:pt>
                <c:pt idx="724">
                  <c:v>3.925904734700022E-5</c:v>
                </c:pt>
                <c:pt idx="725">
                  <c:v>3.717701986727683E-5</c:v>
                </c:pt>
                <c:pt idx="726">
                  <c:v>3.4995029889628607E-5</c:v>
                </c:pt>
                <c:pt idx="727">
                  <c:v>3.4072726584153292E-5</c:v>
                </c:pt>
                <c:pt idx="728">
                  <c:v>3.9591925570422213E-5</c:v>
                </c:pt>
                <c:pt idx="729">
                  <c:v>4.4450666222605813E-5</c:v>
                </c:pt>
                <c:pt idx="730">
                  <c:v>5.4580277616055194E-5</c:v>
                </c:pt>
                <c:pt idx="731">
                  <c:v>6.4409426878956607E-5</c:v>
                </c:pt>
                <c:pt idx="732">
                  <c:v>6.2612779223606948E-5</c:v>
                </c:pt>
                <c:pt idx="733">
                  <c:v>5.926168618326599E-5</c:v>
                </c:pt>
                <c:pt idx="734">
                  <c:v>5.5855308912419827E-5</c:v>
                </c:pt>
                <c:pt idx="735">
                  <c:v>5.4581191736929825E-5</c:v>
                </c:pt>
                <c:pt idx="736">
                  <c:v>5.7317504069554692E-5</c:v>
                </c:pt>
                <c:pt idx="737">
                  <c:v>5.8638134683564543E-5</c:v>
                </c:pt>
                <c:pt idx="738">
                  <c:v>7.0521082313402105E-5</c:v>
                </c:pt>
                <c:pt idx="739">
                  <c:v>6.6319798246241066E-5</c:v>
                </c:pt>
                <c:pt idx="740">
                  <c:v>6.5132326736990273E-5</c:v>
                </c:pt>
                <c:pt idx="741">
                  <c:v>7.1821904881644701E-5</c:v>
                </c:pt>
                <c:pt idx="742">
                  <c:v>6.7582553027023865E-5</c:v>
                </c:pt>
                <c:pt idx="743">
                  <c:v>6.7795631851949814E-5</c:v>
                </c:pt>
                <c:pt idx="744">
                  <c:v>6.3729339439361153E-5</c:v>
                </c:pt>
                <c:pt idx="745">
                  <c:v>6.1121870040065058E-5</c:v>
                </c:pt>
                <c:pt idx="746">
                  <c:v>6.4421348520403332E-5</c:v>
                </c:pt>
                <c:pt idx="747">
                  <c:v>6.1184332747356404E-5</c:v>
                </c:pt>
                <c:pt idx="748">
                  <c:v>5.8432307026151416E-5</c:v>
                </c:pt>
                <c:pt idx="749">
                  <c:v>5.4981329343949913E-5</c:v>
                </c:pt>
                <c:pt idx="750">
                  <c:v>5.8075168781077665E-5</c:v>
                </c:pt>
                <c:pt idx="751">
                  <c:v>5.6424684618474556E-5</c:v>
                </c:pt>
                <c:pt idx="752">
                  <c:v>5.3050255078765986E-5</c:v>
                </c:pt>
                <c:pt idx="753">
                  <c:v>5.0969062662755192E-5</c:v>
                </c:pt>
                <c:pt idx="754">
                  <c:v>4.7933215030930917E-5</c:v>
                </c:pt>
                <c:pt idx="755">
                  <c:v>4.5101576223338949E-5</c:v>
                </c:pt>
                <c:pt idx="756">
                  <c:v>4.2550484045034372E-5</c:v>
                </c:pt>
                <c:pt idx="757">
                  <c:v>4.6173384969847036E-5</c:v>
                </c:pt>
                <c:pt idx="758">
                  <c:v>4.4093040884639125E-5</c:v>
                </c:pt>
                <c:pt idx="759">
                  <c:v>4.1955119050783507E-5</c:v>
                </c:pt>
                <c:pt idx="760">
                  <c:v>3.9638515870942971E-5</c:v>
                </c:pt>
                <c:pt idx="761">
                  <c:v>3.7282252492825354E-5</c:v>
                </c:pt>
                <c:pt idx="762">
                  <c:v>3.5712078124266916E-5</c:v>
                </c:pt>
                <c:pt idx="763">
                  <c:v>3.8063998173868598E-5</c:v>
                </c:pt>
                <c:pt idx="764">
                  <c:v>5.8017395282416246E-5</c:v>
                </c:pt>
                <c:pt idx="765">
                  <c:v>5.4948509677210799E-5</c:v>
                </c:pt>
                <c:pt idx="766">
                  <c:v>5.659647659553263E-5</c:v>
                </c:pt>
                <c:pt idx="767">
                  <c:v>5.7843784370018482E-5</c:v>
                </c:pt>
                <c:pt idx="768">
                  <c:v>5.4432831926505058E-5</c:v>
                </c:pt>
                <c:pt idx="769">
                  <c:v>5.1405183737810421E-5</c:v>
                </c:pt>
                <c:pt idx="770">
                  <c:v>5.0320925499224193E-5</c:v>
                </c:pt>
                <c:pt idx="771">
                  <c:v>5.5861473551685393E-5</c:v>
                </c:pt>
                <c:pt idx="772">
                  <c:v>5.3394851546026622E-5</c:v>
                </c:pt>
                <c:pt idx="773">
                  <c:v>5.3214500580655258E-5</c:v>
                </c:pt>
                <c:pt idx="774">
                  <c:v>5.3531356150030081E-5</c:v>
                </c:pt>
                <c:pt idx="775">
                  <c:v>5.0319794421612556E-5</c:v>
                </c:pt>
                <c:pt idx="776">
                  <c:v>5.004649952630235E-5</c:v>
                </c:pt>
                <c:pt idx="777">
                  <c:v>5.8145958215021056E-5</c:v>
                </c:pt>
                <c:pt idx="778">
                  <c:v>5.5637437684921973E-5</c:v>
                </c:pt>
                <c:pt idx="779">
                  <c:v>5.8398084226322022E-5</c:v>
                </c:pt>
                <c:pt idx="780">
                  <c:v>5.8721723167681746E-5</c:v>
                </c:pt>
                <c:pt idx="781">
                  <c:v>5.652994854801795E-5</c:v>
                </c:pt>
                <c:pt idx="782">
                  <c:v>5.3329101443736112E-5</c:v>
                </c:pt>
                <c:pt idx="783">
                  <c:v>5.6775977701274932E-5</c:v>
                </c:pt>
                <c:pt idx="784">
                  <c:v>5.3956179422041247E-5</c:v>
                </c:pt>
                <c:pt idx="785">
                  <c:v>5.2887311935319782E-5</c:v>
                </c:pt>
                <c:pt idx="786">
                  <c:v>5.1819216451902225E-5</c:v>
                </c:pt>
                <c:pt idx="787">
                  <c:v>4.8731017396068836E-5</c:v>
                </c:pt>
                <c:pt idx="788">
                  <c:v>4.6764351913924218E-5</c:v>
                </c:pt>
                <c:pt idx="789">
                  <c:v>4.5895069057657393E-5</c:v>
                </c:pt>
                <c:pt idx="790">
                  <c:v>4.730653918374939E-5</c:v>
                </c:pt>
                <c:pt idx="791">
                  <c:v>4.5228037116524414E-5</c:v>
                </c:pt>
                <c:pt idx="792">
                  <c:v>4.2873013307259186E-5</c:v>
                </c:pt>
                <c:pt idx="793">
                  <c:v>4.0750997085224818E-5</c:v>
                </c:pt>
                <c:pt idx="794">
                  <c:v>3.9960694059588614E-5</c:v>
                </c:pt>
                <c:pt idx="795">
                  <c:v>3.7708163627320005E-5</c:v>
                </c:pt>
                <c:pt idx="796">
                  <c:v>5.597195752624314E-5</c:v>
                </c:pt>
                <c:pt idx="797">
                  <c:v>5.6879152589846326E-5</c:v>
                </c:pt>
                <c:pt idx="798">
                  <c:v>5.4531967028426407E-5</c:v>
                </c:pt>
                <c:pt idx="799">
                  <c:v>5.4548955221135379E-5</c:v>
                </c:pt>
                <c:pt idx="800">
                  <c:v>5.1309518148758789E-5</c:v>
                </c:pt>
                <c:pt idx="801">
                  <c:v>5.5452615356994652E-5</c:v>
                </c:pt>
                <c:pt idx="802">
                  <c:v>5.2132915332682088E-5</c:v>
                </c:pt>
                <c:pt idx="803">
                  <c:v>5.0850778000578643E-5</c:v>
                </c:pt>
                <c:pt idx="804">
                  <c:v>4.7907981445012385E-5</c:v>
                </c:pt>
                <c:pt idx="805">
                  <c:v>4.7531919181629E-5</c:v>
                </c:pt>
                <c:pt idx="806">
                  <c:v>4.5440469200245902E-5</c:v>
                </c:pt>
                <c:pt idx="807">
                  <c:v>5.2048201100265875E-5</c:v>
                </c:pt>
                <c:pt idx="808">
                  <c:v>5.7779009390444494E-5</c:v>
                </c:pt>
                <c:pt idx="809">
                  <c:v>5.8298522739660047E-5</c:v>
                </c:pt>
                <c:pt idx="810">
                  <c:v>5.7225851407692126E-5</c:v>
                </c:pt>
                <c:pt idx="811">
                  <c:v>5.4582805952553041E-5</c:v>
                </c:pt>
                <c:pt idx="812">
                  <c:v>5.2710652467487579E-5</c:v>
                </c:pt>
                <c:pt idx="813">
                  <c:v>8.6101312866171807E-5</c:v>
                </c:pt>
                <c:pt idx="814">
                  <c:v>9.2496134673638117E-5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C-46AB-AC52-764E6453A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924424"/>
        <c:axId val="860926472"/>
      </c:lineChart>
      <c:dateAx>
        <c:axId val="860924424"/>
        <c:scaling>
          <c:orientation val="minMax"/>
        </c:scaling>
        <c:delete val="0"/>
        <c:axPos val="b"/>
        <c:numFmt formatCode="d/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6472"/>
        <c:crosses val="autoZero"/>
        <c:auto val="1"/>
        <c:lblOffset val="100"/>
        <c:baseTimeUnit val="days"/>
      </c:dateAx>
      <c:valAx>
        <c:axId val="86092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4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GARCH(1,1) Variance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Data!$A$656:$A$1470</c:f>
              <c:numCache>
                <c:formatCode>d/m/yy;@</c:formatCode>
                <c:ptCount val="815"/>
                <c:pt idx="0">
                  <c:v>44512</c:v>
                </c:pt>
                <c:pt idx="1">
                  <c:v>44515</c:v>
                </c:pt>
                <c:pt idx="2">
                  <c:v>44516</c:v>
                </c:pt>
                <c:pt idx="3">
                  <c:v>44517</c:v>
                </c:pt>
                <c:pt idx="4">
                  <c:v>44518</c:v>
                </c:pt>
                <c:pt idx="5">
                  <c:v>44519</c:v>
                </c:pt>
                <c:pt idx="6">
                  <c:v>44522</c:v>
                </c:pt>
                <c:pt idx="7">
                  <c:v>44523</c:v>
                </c:pt>
                <c:pt idx="8">
                  <c:v>44524</c:v>
                </c:pt>
                <c:pt idx="9">
                  <c:v>44526</c:v>
                </c:pt>
                <c:pt idx="10">
                  <c:v>44529</c:v>
                </c:pt>
                <c:pt idx="11">
                  <c:v>44530</c:v>
                </c:pt>
                <c:pt idx="12">
                  <c:v>44531</c:v>
                </c:pt>
                <c:pt idx="13">
                  <c:v>44532</c:v>
                </c:pt>
                <c:pt idx="14">
                  <c:v>44533</c:v>
                </c:pt>
                <c:pt idx="15">
                  <c:v>44536</c:v>
                </c:pt>
                <c:pt idx="16">
                  <c:v>44537</c:v>
                </c:pt>
                <c:pt idx="17">
                  <c:v>44538</c:v>
                </c:pt>
                <c:pt idx="18">
                  <c:v>44539</c:v>
                </c:pt>
                <c:pt idx="19">
                  <c:v>44540</c:v>
                </c:pt>
                <c:pt idx="20">
                  <c:v>44543</c:v>
                </c:pt>
                <c:pt idx="21">
                  <c:v>44544</c:v>
                </c:pt>
                <c:pt idx="22">
                  <c:v>44545</c:v>
                </c:pt>
                <c:pt idx="23">
                  <c:v>44546</c:v>
                </c:pt>
                <c:pt idx="24">
                  <c:v>44547</c:v>
                </c:pt>
                <c:pt idx="25">
                  <c:v>44550</c:v>
                </c:pt>
                <c:pt idx="26">
                  <c:v>44551</c:v>
                </c:pt>
                <c:pt idx="27">
                  <c:v>44552</c:v>
                </c:pt>
                <c:pt idx="28">
                  <c:v>44553</c:v>
                </c:pt>
                <c:pt idx="29">
                  <c:v>44557</c:v>
                </c:pt>
                <c:pt idx="30">
                  <c:v>44558</c:v>
                </c:pt>
                <c:pt idx="31">
                  <c:v>44559</c:v>
                </c:pt>
                <c:pt idx="32">
                  <c:v>44560</c:v>
                </c:pt>
                <c:pt idx="33">
                  <c:v>44564</c:v>
                </c:pt>
                <c:pt idx="34">
                  <c:v>44565</c:v>
                </c:pt>
                <c:pt idx="35">
                  <c:v>44566</c:v>
                </c:pt>
                <c:pt idx="36">
                  <c:v>44567</c:v>
                </c:pt>
                <c:pt idx="37">
                  <c:v>44568</c:v>
                </c:pt>
                <c:pt idx="38">
                  <c:v>44571</c:v>
                </c:pt>
                <c:pt idx="39">
                  <c:v>44572</c:v>
                </c:pt>
                <c:pt idx="40">
                  <c:v>44573</c:v>
                </c:pt>
                <c:pt idx="41">
                  <c:v>44574</c:v>
                </c:pt>
                <c:pt idx="42">
                  <c:v>44575</c:v>
                </c:pt>
                <c:pt idx="43">
                  <c:v>44579</c:v>
                </c:pt>
                <c:pt idx="44">
                  <c:v>44580</c:v>
                </c:pt>
                <c:pt idx="45">
                  <c:v>44581</c:v>
                </c:pt>
                <c:pt idx="46">
                  <c:v>44582</c:v>
                </c:pt>
                <c:pt idx="47">
                  <c:v>44585</c:v>
                </c:pt>
                <c:pt idx="48">
                  <c:v>44586</c:v>
                </c:pt>
                <c:pt idx="49">
                  <c:v>44587</c:v>
                </c:pt>
                <c:pt idx="50">
                  <c:v>44588</c:v>
                </c:pt>
                <c:pt idx="51">
                  <c:v>44589</c:v>
                </c:pt>
                <c:pt idx="52">
                  <c:v>44592</c:v>
                </c:pt>
                <c:pt idx="53">
                  <c:v>44593</c:v>
                </c:pt>
                <c:pt idx="54">
                  <c:v>44594</c:v>
                </c:pt>
                <c:pt idx="55">
                  <c:v>44595</c:v>
                </c:pt>
                <c:pt idx="56">
                  <c:v>44596</c:v>
                </c:pt>
                <c:pt idx="57">
                  <c:v>44599</c:v>
                </c:pt>
                <c:pt idx="58">
                  <c:v>44600</c:v>
                </c:pt>
                <c:pt idx="59">
                  <c:v>44601</c:v>
                </c:pt>
                <c:pt idx="60">
                  <c:v>44602</c:v>
                </c:pt>
                <c:pt idx="61">
                  <c:v>44603</c:v>
                </c:pt>
                <c:pt idx="62">
                  <c:v>44606</c:v>
                </c:pt>
                <c:pt idx="63">
                  <c:v>44607</c:v>
                </c:pt>
                <c:pt idx="64">
                  <c:v>44608</c:v>
                </c:pt>
                <c:pt idx="65">
                  <c:v>44609</c:v>
                </c:pt>
                <c:pt idx="66">
                  <c:v>44610</c:v>
                </c:pt>
                <c:pt idx="67">
                  <c:v>44614</c:v>
                </c:pt>
                <c:pt idx="68">
                  <c:v>44615</c:v>
                </c:pt>
                <c:pt idx="69">
                  <c:v>44616</c:v>
                </c:pt>
                <c:pt idx="70">
                  <c:v>44617</c:v>
                </c:pt>
                <c:pt idx="71">
                  <c:v>44620</c:v>
                </c:pt>
                <c:pt idx="72">
                  <c:v>44621</c:v>
                </c:pt>
                <c:pt idx="73">
                  <c:v>44622</c:v>
                </c:pt>
                <c:pt idx="74">
                  <c:v>44623</c:v>
                </c:pt>
                <c:pt idx="75">
                  <c:v>44624</c:v>
                </c:pt>
                <c:pt idx="76">
                  <c:v>44627</c:v>
                </c:pt>
                <c:pt idx="77">
                  <c:v>44628</c:v>
                </c:pt>
                <c:pt idx="78">
                  <c:v>44629</c:v>
                </c:pt>
                <c:pt idx="79">
                  <c:v>44630</c:v>
                </c:pt>
                <c:pt idx="80">
                  <c:v>44631</c:v>
                </c:pt>
                <c:pt idx="81">
                  <c:v>44634</c:v>
                </c:pt>
                <c:pt idx="82">
                  <c:v>44635</c:v>
                </c:pt>
                <c:pt idx="83">
                  <c:v>44636</c:v>
                </c:pt>
                <c:pt idx="84">
                  <c:v>44637</c:v>
                </c:pt>
                <c:pt idx="85">
                  <c:v>44638</c:v>
                </c:pt>
                <c:pt idx="86">
                  <c:v>44641</c:v>
                </c:pt>
                <c:pt idx="87">
                  <c:v>44642</c:v>
                </c:pt>
                <c:pt idx="88">
                  <c:v>44643</c:v>
                </c:pt>
                <c:pt idx="89">
                  <c:v>44644</c:v>
                </c:pt>
                <c:pt idx="90">
                  <c:v>44645</c:v>
                </c:pt>
                <c:pt idx="91">
                  <c:v>44648</c:v>
                </c:pt>
                <c:pt idx="92">
                  <c:v>44649</c:v>
                </c:pt>
                <c:pt idx="93">
                  <c:v>44650</c:v>
                </c:pt>
                <c:pt idx="94">
                  <c:v>44651</c:v>
                </c:pt>
                <c:pt idx="95">
                  <c:v>44652</c:v>
                </c:pt>
                <c:pt idx="96">
                  <c:v>44655</c:v>
                </c:pt>
                <c:pt idx="97">
                  <c:v>44656</c:v>
                </c:pt>
                <c:pt idx="98">
                  <c:v>44657</c:v>
                </c:pt>
                <c:pt idx="99">
                  <c:v>44658</c:v>
                </c:pt>
                <c:pt idx="100">
                  <c:v>44659</c:v>
                </c:pt>
                <c:pt idx="101">
                  <c:v>44662</c:v>
                </c:pt>
                <c:pt idx="102">
                  <c:v>44663</c:v>
                </c:pt>
                <c:pt idx="103">
                  <c:v>44664</c:v>
                </c:pt>
                <c:pt idx="104">
                  <c:v>44665</c:v>
                </c:pt>
                <c:pt idx="105">
                  <c:v>44670</c:v>
                </c:pt>
                <c:pt idx="106">
                  <c:v>44671</c:v>
                </c:pt>
                <c:pt idx="107">
                  <c:v>44672</c:v>
                </c:pt>
                <c:pt idx="108">
                  <c:v>44673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44683</c:v>
                </c:pt>
                <c:pt idx="115">
                  <c:v>44684</c:v>
                </c:pt>
                <c:pt idx="116">
                  <c:v>44685</c:v>
                </c:pt>
                <c:pt idx="117">
                  <c:v>44686</c:v>
                </c:pt>
                <c:pt idx="118">
                  <c:v>44687</c:v>
                </c:pt>
                <c:pt idx="119">
                  <c:v>44690</c:v>
                </c:pt>
                <c:pt idx="120">
                  <c:v>44691</c:v>
                </c:pt>
                <c:pt idx="121">
                  <c:v>44692</c:v>
                </c:pt>
                <c:pt idx="122">
                  <c:v>44693</c:v>
                </c:pt>
                <c:pt idx="123">
                  <c:v>44694</c:v>
                </c:pt>
                <c:pt idx="124">
                  <c:v>44697</c:v>
                </c:pt>
                <c:pt idx="125">
                  <c:v>44698</c:v>
                </c:pt>
                <c:pt idx="126">
                  <c:v>44699</c:v>
                </c:pt>
                <c:pt idx="127">
                  <c:v>44700</c:v>
                </c:pt>
                <c:pt idx="128">
                  <c:v>44701</c:v>
                </c:pt>
                <c:pt idx="129">
                  <c:v>44704</c:v>
                </c:pt>
                <c:pt idx="130">
                  <c:v>44705</c:v>
                </c:pt>
                <c:pt idx="131">
                  <c:v>44706</c:v>
                </c:pt>
                <c:pt idx="132">
                  <c:v>44708</c:v>
                </c:pt>
                <c:pt idx="133">
                  <c:v>44712</c:v>
                </c:pt>
                <c:pt idx="134">
                  <c:v>44713</c:v>
                </c:pt>
                <c:pt idx="135">
                  <c:v>44714</c:v>
                </c:pt>
                <c:pt idx="136">
                  <c:v>44715</c:v>
                </c:pt>
                <c:pt idx="137">
                  <c:v>44719</c:v>
                </c:pt>
                <c:pt idx="138">
                  <c:v>44720</c:v>
                </c:pt>
                <c:pt idx="139">
                  <c:v>44721</c:v>
                </c:pt>
                <c:pt idx="140">
                  <c:v>44722</c:v>
                </c:pt>
                <c:pt idx="141">
                  <c:v>44725</c:v>
                </c:pt>
                <c:pt idx="142">
                  <c:v>44726</c:v>
                </c:pt>
                <c:pt idx="143">
                  <c:v>44727</c:v>
                </c:pt>
                <c:pt idx="144">
                  <c:v>44728</c:v>
                </c:pt>
                <c:pt idx="145">
                  <c:v>44729</c:v>
                </c:pt>
                <c:pt idx="146">
                  <c:v>44733</c:v>
                </c:pt>
                <c:pt idx="147">
                  <c:v>44734</c:v>
                </c:pt>
                <c:pt idx="148">
                  <c:v>44735</c:v>
                </c:pt>
                <c:pt idx="149">
                  <c:v>44736</c:v>
                </c:pt>
                <c:pt idx="150">
                  <c:v>44739</c:v>
                </c:pt>
                <c:pt idx="151">
                  <c:v>44740</c:v>
                </c:pt>
                <c:pt idx="152">
                  <c:v>44741</c:v>
                </c:pt>
                <c:pt idx="153">
                  <c:v>44742</c:v>
                </c:pt>
                <c:pt idx="154">
                  <c:v>44743</c:v>
                </c:pt>
                <c:pt idx="155">
                  <c:v>44747</c:v>
                </c:pt>
                <c:pt idx="156">
                  <c:v>44748</c:v>
                </c:pt>
                <c:pt idx="157">
                  <c:v>44749</c:v>
                </c:pt>
                <c:pt idx="158">
                  <c:v>44750</c:v>
                </c:pt>
                <c:pt idx="159">
                  <c:v>44753</c:v>
                </c:pt>
                <c:pt idx="160">
                  <c:v>44754</c:v>
                </c:pt>
                <c:pt idx="161">
                  <c:v>44755</c:v>
                </c:pt>
                <c:pt idx="162">
                  <c:v>44756</c:v>
                </c:pt>
                <c:pt idx="163">
                  <c:v>44757</c:v>
                </c:pt>
                <c:pt idx="164">
                  <c:v>44760</c:v>
                </c:pt>
                <c:pt idx="165">
                  <c:v>44761</c:v>
                </c:pt>
                <c:pt idx="166">
                  <c:v>44762</c:v>
                </c:pt>
                <c:pt idx="167">
                  <c:v>44763</c:v>
                </c:pt>
                <c:pt idx="168">
                  <c:v>44764</c:v>
                </c:pt>
                <c:pt idx="169">
                  <c:v>44767</c:v>
                </c:pt>
                <c:pt idx="170">
                  <c:v>44768</c:v>
                </c:pt>
                <c:pt idx="171">
                  <c:v>44769</c:v>
                </c:pt>
                <c:pt idx="172">
                  <c:v>44770</c:v>
                </c:pt>
                <c:pt idx="173">
                  <c:v>44771</c:v>
                </c:pt>
                <c:pt idx="174">
                  <c:v>44775</c:v>
                </c:pt>
                <c:pt idx="175">
                  <c:v>44776</c:v>
                </c:pt>
                <c:pt idx="176">
                  <c:v>44777</c:v>
                </c:pt>
                <c:pt idx="177">
                  <c:v>44778</c:v>
                </c:pt>
                <c:pt idx="178">
                  <c:v>44781</c:v>
                </c:pt>
                <c:pt idx="179">
                  <c:v>44782</c:v>
                </c:pt>
                <c:pt idx="180">
                  <c:v>44783</c:v>
                </c:pt>
                <c:pt idx="181">
                  <c:v>44784</c:v>
                </c:pt>
                <c:pt idx="182">
                  <c:v>44785</c:v>
                </c:pt>
                <c:pt idx="183">
                  <c:v>44788</c:v>
                </c:pt>
                <c:pt idx="184">
                  <c:v>44789</c:v>
                </c:pt>
                <c:pt idx="185">
                  <c:v>44790</c:v>
                </c:pt>
                <c:pt idx="186">
                  <c:v>44791</c:v>
                </c:pt>
                <c:pt idx="187">
                  <c:v>44792</c:v>
                </c:pt>
                <c:pt idx="188">
                  <c:v>44795</c:v>
                </c:pt>
                <c:pt idx="189">
                  <c:v>44796</c:v>
                </c:pt>
                <c:pt idx="190">
                  <c:v>44797</c:v>
                </c:pt>
                <c:pt idx="191">
                  <c:v>44798</c:v>
                </c:pt>
                <c:pt idx="192">
                  <c:v>44799</c:v>
                </c:pt>
                <c:pt idx="193">
                  <c:v>44802</c:v>
                </c:pt>
                <c:pt idx="194">
                  <c:v>44803</c:v>
                </c:pt>
                <c:pt idx="195">
                  <c:v>44804</c:v>
                </c:pt>
                <c:pt idx="196">
                  <c:v>44805</c:v>
                </c:pt>
                <c:pt idx="197">
                  <c:v>44806</c:v>
                </c:pt>
                <c:pt idx="198">
                  <c:v>44810</c:v>
                </c:pt>
                <c:pt idx="199">
                  <c:v>44811</c:v>
                </c:pt>
                <c:pt idx="200">
                  <c:v>44812</c:v>
                </c:pt>
                <c:pt idx="201">
                  <c:v>44813</c:v>
                </c:pt>
                <c:pt idx="202">
                  <c:v>44816</c:v>
                </c:pt>
                <c:pt idx="203">
                  <c:v>44817</c:v>
                </c:pt>
                <c:pt idx="204">
                  <c:v>44818</c:v>
                </c:pt>
                <c:pt idx="205">
                  <c:v>44819</c:v>
                </c:pt>
                <c:pt idx="206">
                  <c:v>44820</c:v>
                </c:pt>
                <c:pt idx="207">
                  <c:v>44823</c:v>
                </c:pt>
                <c:pt idx="208">
                  <c:v>44824</c:v>
                </c:pt>
                <c:pt idx="209">
                  <c:v>44825</c:v>
                </c:pt>
                <c:pt idx="210">
                  <c:v>44826</c:v>
                </c:pt>
                <c:pt idx="211">
                  <c:v>44827</c:v>
                </c:pt>
                <c:pt idx="212">
                  <c:v>44830</c:v>
                </c:pt>
                <c:pt idx="213">
                  <c:v>44831</c:v>
                </c:pt>
                <c:pt idx="214">
                  <c:v>44832</c:v>
                </c:pt>
                <c:pt idx="215">
                  <c:v>44833</c:v>
                </c:pt>
                <c:pt idx="216">
                  <c:v>44834</c:v>
                </c:pt>
                <c:pt idx="217">
                  <c:v>44837</c:v>
                </c:pt>
                <c:pt idx="218">
                  <c:v>44838</c:v>
                </c:pt>
                <c:pt idx="219">
                  <c:v>44839</c:v>
                </c:pt>
                <c:pt idx="220">
                  <c:v>44840</c:v>
                </c:pt>
                <c:pt idx="221">
                  <c:v>44841</c:v>
                </c:pt>
                <c:pt idx="222">
                  <c:v>44844</c:v>
                </c:pt>
                <c:pt idx="223">
                  <c:v>44845</c:v>
                </c:pt>
                <c:pt idx="224">
                  <c:v>44846</c:v>
                </c:pt>
                <c:pt idx="225">
                  <c:v>44847</c:v>
                </c:pt>
                <c:pt idx="226">
                  <c:v>44848</c:v>
                </c:pt>
                <c:pt idx="227">
                  <c:v>44851</c:v>
                </c:pt>
                <c:pt idx="228">
                  <c:v>44852</c:v>
                </c:pt>
                <c:pt idx="229">
                  <c:v>44853</c:v>
                </c:pt>
                <c:pt idx="230">
                  <c:v>44854</c:v>
                </c:pt>
                <c:pt idx="231">
                  <c:v>44855</c:v>
                </c:pt>
                <c:pt idx="232">
                  <c:v>44858</c:v>
                </c:pt>
                <c:pt idx="233">
                  <c:v>44859</c:v>
                </c:pt>
                <c:pt idx="234">
                  <c:v>44860</c:v>
                </c:pt>
                <c:pt idx="235">
                  <c:v>44861</c:v>
                </c:pt>
                <c:pt idx="236">
                  <c:v>44862</c:v>
                </c:pt>
                <c:pt idx="237">
                  <c:v>44865</c:v>
                </c:pt>
                <c:pt idx="238">
                  <c:v>44866</c:v>
                </c:pt>
                <c:pt idx="239">
                  <c:v>44867</c:v>
                </c:pt>
                <c:pt idx="240">
                  <c:v>44868</c:v>
                </c:pt>
                <c:pt idx="241">
                  <c:v>44869</c:v>
                </c:pt>
                <c:pt idx="242">
                  <c:v>44872</c:v>
                </c:pt>
                <c:pt idx="243">
                  <c:v>44873</c:v>
                </c:pt>
                <c:pt idx="244">
                  <c:v>44874</c:v>
                </c:pt>
                <c:pt idx="245">
                  <c:v>44875</c:v>
                </c:pt>
                <c:pt idx="246">
                  <c:v>44876</c:v>
                </c:pt>
                <c:pt idx="247">
                  <c:v>44879</c:v>
                </c:pt>
                <c:pt idx="248">
                  <c:v>44880</c:v>
                </c:pt>
                <c:pt idx="249">
                  <c:v>44881</c:v>
                </c:pt>
                <c:pt idx="250">
                  <c:v>44882</c:v>
                </c:pt>
                <c:pt idx="251">
                  <c:v>44883</c:v>
                </c:pt>
                <c:pt idx="252">
                  <c:v>44886</c:v>
                </c:pt>
                <c:pt idx="253">
                  <c:v>44887</c:v>
                </c:pt>
                <c:pt idx="254">
                  <c:v>44888</c:v>
                </c:pt>
                <c:pt idx="255">
                  <c:v>44890</c:v>
                </c:pt>
                <c:pt idx="256">
                  <c:v>44893</c:v>
                </c:pt>
                <c:pt idx="257">
                  <c:v>44894</c:v>
                </c:pt>
                <c:pt idx="258">
                  <c:v>44895</c:v>
                </c:pt>
                <c:pt idx="259">
                  <c:v>44896</c:v>
                </c:pt>
                <c:pt idx="260">
                  <c:v>44897</c:v>
                </c:pt>
                <c:pt idx="261">
                  <c:v>44900</c:v>
                </c:pt>
                <c:pt idx="262">
                  <c:v>44901</c:v>
                </c:pt>
                <c:pt idx="263">
                  <c:v>44902</c:v>
                </c:pt>
                <c:pt idx="264">
                  <c:v>44903</c:v>
                </c:pt>
                <c:pt idx="265">
                  <c:v>44904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44914</c:v>
                </c:pt>
                <c:pt idx="272">
                  <c:v>44915</c:v>
                </c:pt>
                <c:pt idx="273">
                  <c:v>44916</c:v>
                </c:pt>
                <c:pt idx="274">
                  <c:v>44917</c:v>
                </c:pt>
                <c:pt idx="275">
                  <c:v>44918</c:v>
                </c:pt>
                <c:pt idx="276">
                  <c:v>44922</c:v>
                </c:pt>
                <c:pt idx="277">
                  <c:v>44923</c:v>
                </c:pt>
                <c:pt idx="278">
                  <c:v>44924</c:v>
                </c:pt>
                <c:pt idx="279">
                  <c:v>44925</c:v>
                </c:pt>
                <c:pt idx="280">
                  <c:v>44929</c:v>
                </c:pt>
                <c:pt idx="281">
                  <c:v>44930</c:v>
                </c:pt>
                <c:pt idx="282">
                  <c:v>44931</c:v>
                </c:pt>
                <c:pt idx="283">
                  <c:v>44932</c:v>
                </c:pt>
                <c:pt idx="284">
                  <c:v>44935</c:v>
                </c:pt>
                <c:pt idx="285">
                  <c:v>44936</c:v>
                </c:pt>
                <c:pt idx="286">
                  <c:v>44937</c:v>
                </c:pt>
                <c:pt idx="287">
                  <c:v>44938</c:v>
                </c:pt>
                <c:pt idx="288">
                  <c:v>44939</c:v>
                </c:pt>
                <c:pt idx="289">
                  <c:v>44943</c:v>
                </c:pt>
                <c:pt idx="290">
                  <c:v>44944</c:v>
                </c:pt>
                <c:pt idx="291">
                  <c:v>44945</c:v>
                </c:pt>
                <c:pt idx="292">
                  <c:v>44946</c:v>
                </c:pt>
                <c:pt idx="293">
                  <c:v>44949</c:v>
                </c:pt>
                <c:pt idx="294">
                  <c:v>44950</c:v>
                </c:pt>
                <c:pt idx="295">
                  <c:v>44951</c:v>
                </c:pt>
                <c:pt idx="296">
                  <c:v>44952</c:v>
                </c:pt>
                <c:pt idx="297">
                  <c:v>44953</c:v>
                </c:pt>
                <c:pt idx="298">
                  <c:v>44956</c:v>
                </c:pt>
                <c:pt idx="299">
                  <c:v>44957</c:v>
                </c:pt>
                <c:pt idx="300">
                  <c:v>44958</c:v>
                </c:pt>
                <c:pt idx="301">
                  <c:v>44959</c:v>
                </c:pt>
                <c:pt idx="302">
                  <c:v>44960</c:v>
                </c:pt>
                <c:pt idx="303">
                  <c:v>44963</c:v>
                </c:pt>
                <c:pt idx="304">
                  <c:v>44964</c:v>
                </c:pt>
                <c:pt idx="305">
                  <c:v>44965</c:v>
                </c:pt>
                <c:pt idx="306">
                  <c:v>44966</c:v>
                </c:pt>
                <c:pt idx="307">
                  <c:v>44967</c:v>
                </c:pt>
                <c:pt idx="308">
                  <c:v>44970</c:v>
                </c:pt>
                <c:pt idx="309">
                  <c:v>44971</c:v>
                </c:pt>
                <c:pt idx="310">
                  <c:v>44972</c:v>
                </c:pt>
                <c:pt idx="311">
                  <c:v>44973</c:v>
                </c:pt>
                <c:pt idx="312">
                  <c:v>44974</c:v>
                </c:pt>
                <c:pt idx="313">
                  <c:v>44978</c:v>
                </c:pt>
                <c:pt idx="314">
                  <c:v>44979</c:v>
                </c:pt>
                <c:pt idx="315">
                  <c:v>44980</c:v>
                </c:pt>
                <c:pt idx="316">
                  <c:v>44981</c:v>
                </c:pt>
                <c:pt idx="317">
                  <c:v>44984</c:v>
                </c:pt>
                <c:pt idx="318">
                  <c:v>44985</c:v>
                </c:pt>
                <c:pt idx="319">
                  <c:v>44986</c:v>
                </c:pt>
                <c:pt idx="320">
                  <c:v>44987</c:v>
                </c:pt>
                <c:pt idx="321">
                  <c:v>44988</c:v>
                </c:pt>
                <c:pt idx="322">
                  <c:v>44991</c:v>
                </c:pt>
                <c:pt idx="323">
                  <c:v>44992</c:v>
                </c:pt>
                <c:pt idx="324">
                  <c:v>44993</c:v>
                </c:pt>
                <c:pt idx="325">
                  <c:v>44994</c:v>
                </c:pt>
                <c:pt idx="326">
                  <c:v>44995</c:v>
                </c:pt>
                <c:pt idx="327">
                  <c:v>44998</c:v>
                </c:pt>
                <c:pt idx="328">
                  <c:v>44999</c:v>
                </c:pt>
                <c:pt idx="329">
                  <c:v>45000</c:v>
                </c:pt>
                <c:pt idx="330">
                  <c:v>45001</c:v>
                </c:pt>
                <c:pt idx="331">
                  <c:v>45002</c:v>
                </c:pt>
                <c:pt idx="332">
                  <c:v>45005</c:v>
                </c:pt>
                <c:pt idx="333">
                  <c:v>45006</c:v>
                </c:pt>
                <c:pt idx="334">
                  <c:v>45007</c:v>
                </c:pt>
                <c:pt idx="335">
                  <c:v>45008</c:v>
                </c:pt>
                <c:pt idx="336">
                  <c:v>45009</c:v>
                </c:pt>
                <c:pt idx="337">
                  <c:v>45012</c:v>
                </c:pt>
                <c:pt idx="338">
                  <c:v>45013</c:v>
                </c:pt>
                <c:pt idx="339">
                  <c:v>45014</c:v>
                </c:pt>
                <c:pt idx="340">
                  <c:v>45015</c:v>
                </c:pt>
                <c:pt idx="341">
                  <c:v>45016</c:v>
                </c:pt>
                <c:pt idx="342">
                  <c:v>45019</c:v>
                </c:pt>
                <c:pt idx="343">
                  <c:v>45020</c:v>
                </c:pt>
                <c:pt idx="344">
                  <c:v>45021</c:v>
                </c:pt>
                <c:pt idx="345">
                  <c:v>45022</c:v>
                </c:pt>
                <c:pt idx="346">
                  <c:v>45027</c:v>
                </c:pt>
                <c:pt idx="347">
                  <c:v>45028</c:v>
                </c:pt>
                <c:pt idx="348">
                  <c:v>45029</c:v>
                </c:pt>
                <c:pt idx="349">
                  <c:v>45030</c:v>
                </c:pt>
                <c:pt idx="350">
                  <c:v>45033</c:v>
                </c:pt>
                <c:pt idx="351">
                  <c:v>45034</c:v>
                </c:pt>
                <c:pt idx="352">
                  <c:v>45035</c:v>
                </c:pt>
                <c:pt idx="353">
                  <c:v>45036</c:v>
                </c:pt>
                <c:pt idx="354">
                  <c:v>45037</c:v>
                </c:pt>
                <c:pt idx="355">
                  <c:v>45040</c:v>
                </c:pt>
                <c:pt idx="356">
                  <c:v>45041</c:v>
                </c:pt>
                <c:pt idx="357">
                  <c:v>45042</c:v>
                </c:pt>
                <c:pt idx="358">
                  <c:v>45043</c:v>
                </c:pt>
                <c:pt idx="359">
                  <c:v>45044</c:v>
                </c:pt>
                <c:pt idx="360">
                  <c:v>45048</c:v>
                </c:pt>
                <c:pt idx="361">
                  <c:v>45049</c:v>
                </c:pt>
                <c:pt idx="362">
                  <c:v>45050</c:v>
                </c:pt>
                <c:pt idx="363">
                  <c:v>45051</c:v>
                </c:pt>
                <c:pt idx="364">
                  <c:v>45054</c:v>
                </c:pt>
                <c:pt idx="365">
                  <c:v>45055</c:v>
                </c:pt>
                <c:pt idx="366">
                  <c:v>45056</c:v>
                </c:pt>
                <c:pt idx="367">
                  <c:v>45057</c:v>
                </c:pt>
                <c:pt idx="368">
                  <c:v>45058</c:v>
                </c:pt>
                <c:pt idx="369">
                  <c:v>45061</c:v>
                </c:pt>
                <c:pt idx="370">
                  <c:v>45062</c:v>
                </c:pt>
                <c:pt idx="371">
                  <c:v>45063</c:v>
                </c:pt>
                <c:pt idx="372">
                  <c:v>45065</c:v>
                </c:pt>
                <c:pt idx="373">
                  <c:v>45068</c:v>
                </c:pt>
                <c:pt idx="374">
                  <c:v>45069</c:v>
                </c:pt>
                <c:pt idx="375">
                  <c:v>45070</c:v>
                </c:pt>
                <c:pt idx="376">
                  <c:v>45071</c:v>
                </c:pt>
                <c:pt idx="377">
                  <c:v>45072</c:v>
                </c:pt>
                <c:pt idx="378">
                  <c:v>45076</c:v>
                </c:pt>
                <c:pt idx="379">
                  <c:v>45077</c:v>
                </c:pt>
                <c:pt idx="380">
                  <c:v>45078</c:v>
                </c:pt>
                <c:pt idx="381">
                  <c:v>45079</c:v>
                </c:pt>
                <c:pt idx="382">
                  <c:v>45082</c:v>
                </c:pt>
                <c:pt idx="383">
                  <c:v>45083</c:v>
                </c:pt>
                <c:pt idx="384">
                  <c:v>45084</c:v>
                </c:pt>
                <c:pt idx="385">
                  <c:v>45085</c:v>
                </c:pt>
                <c:pt idx="386">
                  <c:v>45086</c:v>
                </c:pt>
                <c:pt idx="387">
                  <c:v>45089</c:v>
                </c:pt>
                <c:pt idx="388">
                  <c:v>45090</c:v>
                </c:pt>
                <c:pt idx="389">
                  <c:v>45091</c:v>
                </c:pt>
                <c:pt idx="390">
                  <c:v>45092</c:v>
                </c:pt>
                <c:pt idx="391">
                  <c:v>45093</c:v>
                </c:pt>
                <c:pt idx="392">
                  <c:v>45097</c:v>
                </c:pt>
                <c:pt idx="393">
                  <c:v>45098</c:v>
                </c:pt>
                <c:pt idx="394">
                  <c:v>45099</c:v>
                </c:pt>
                <c:pt idx="395">
                  <c:v>45100</c:v>
                </c:pt>
                <c:pt idx="396">
                  <c:v>45103</c:v>
                </c:pt>
                <c:pt idx="397">
                  <c:v>45104</c:v>
                </c:pt>
                <c:pt idx="398">
                  <c:v>45105</c:v>
                </c:pt>
                <c:pt idx="399">
                  <c:v>45106</c:v>
                </c:pt>
                <c:pt idx="400">
                  <c:v>45107</c:v>
                </c:pt>
                <c:pt idx="401">
                  <c:v>45110</c:v>
                </c:pt>
                <c:pt idx="402">
                  <c:v>45112</c:v>
                </c:pt>
                <c:pt idx="403">
                  <c:v>45113</c:v>
                </c:pt>
                <c:pt idx="404">
                  <c:v>45114</c:v>
                </c:pt>
                <c:pt idx="405">
                  <c:v>45117</c:v>
                </c:pt>
                <c:pt idx="406">
                  <c:v>45118</c:v>
                </c:pt>
                <c:pt idx="407">
                  <c:v>45119</c:v>
                </c:pt>
                <c:pt idx="408">
                  <c:v>45120</c:v>
                </c:pt>
                <c:pt idx="409">
                  <c:v>45121</c:v>
                </c:pt>
                <c:pt idx="410">
                  <c:v>45124</c:v>
                </c:pt>
                <c:pt idx="411">
                  <c:v>45125</c:v>
                </c:pt>
                <c:pt idx="412">
                  <c:v>45126</c:v>
                </c:pt>
                <c:pt idx="413">
                  <c:v>45127</c:v>
                </c:pt>
                <c:pt idx="414">
                  <c:v>45128</c:v>
                </c:pt>
                <c:pt idx="415">
                  <c:v>45131</c:v>
                </c:pt>
                <c:pt idx="416">
                  <c:v>45132</c:v>
                </c:pt>
                <c:pt idx="417">
                  <c:v>45133</c:v>
                </c:pt>
                <c:pt idx="418">
                  <c:v>45134</c:v>
                </c:pt>
                <c:pt idx="419">
                  <c:v>45135</c:v>
                </c:pt>
                <c:pt idx="420">
                  <c:v>45138</c:v>
                </c:pt>
                <c:pt idx="421">
                  <c:v>45140</c:v>
                </c:pt>
                <c:pt idx="422">
                  <c:v>45141</c:v>
                </c:pt>
                <c:pt idx="423">
                  <c:v>45142</c:v>
                </c:pt>
                <c:pt idx="424">
                  <c:v>45145</c:v>
                </c:pt>
                <c:pt idx="425">
                  <c:v>45146</c:v>
                </c:pt>
                <c:pt idx="426">
                  <c:v>45147</c:v>
                </c:pt>
                <c:pt idx="427">
                  <c:v>45148</c:v>
                </c:pt>
                <c:pt idx="428">
                  <c:v>45149</c:v>
                </c:pt>
                <c:pt idx="429">
                  <c:v>45152</c:v>
                </c:pt>
                <c:pt idx="430">
                  <c:v>45153</c:v>
                </c:pt>
                <c:pt idx="431">
                  <c:v>45154</c:v>
                </c:pt>
                <c:pt idx="432">
                  <c:v>45155</c:v>
                </c:pt>
                <c:pt idx="433">
                  <c:v>45156</c:v>
                </c:pt>
                <c:pt idx="434">
                  <c:v>45159</c:v>
                </c:pt>
                <c:pt idx="435">
                  <c:v>45160</c:v>
                </c:pt>
                <c:pt idx="436">
                  <c:v>45161</c:v>
                </c:pt>
                <c:pt idx="437">
                  <c:v>45162</c:v>
                </c:pt>
                <c:pt idx="438">
                  <c:v>45163</c:v>
                </c:pt>
                <c:pt idx="439">
                  <c:v>45166</c:v>
                </c:pt>
                <c:pt idx="440">
                  <c:v>45167</c:v>
                </c:pt>
                <c:pt idx="441">
                  <c:v>45168</c:v>
                </c:pt>
                <c:pt idx="442">
                  <c:v>45169</c:v>
                </c:pt>
                <c:pt idx="443">
                  <c:v>45170</c:v>
                </c:pt>
                <c:pt idx="444">
                  <c:v>45174</c:v>
                </c:pt>
                <c:pt idx="445">
                  <c:v>45175</c:v>
                </c:pt>
                <c:pt idx="446">
                  <c:v>45176</c:v>
                </c:pt>
                <c:pt idx="447">
                  <c:v>45177</c:v>
                </c:pt>
                <c:pt idx="448">
                  <c:v>45180</c:v>
                </c:pt>
                <c:pt idx="449">
                  <c:v>45181</c:v>
                </c:pt>
                <c:pt idx="450">
                  <c:v>45182</c:v>
                </c:pt>
                <c:pt idx="451">
                  <c:v>45183</c:v>
                </c:pt>
                <c:pt idx="452">
                  <c:v>45184</c:v>
                </c:pt>
                <c:pt idx="453">
                  <c:v>45187</c:v>
                </c:pt>
                <c:pt idx="454">
                  <c:v>45188</c:v>
                </c:pt>
                <c:pt idx="455">
                  <c:v>45189</c:v>
                </c:pt>
                <c:pt idx="456">
                  <c:v>45190</c:v>
                </c:pt>
                <c:pt idx="457">
                  <c:v>45191</c:v>
                </c:pt>
                <c:pt idx="458">
                  <c:v>45194</c:v>
                </c:pt>
                <c:pt idx="459">
                  <c:v>45195</c:v>
                </c:pt>
                <c:pt idx="460">
                  <c:v>45196</c:v>
                </c:pt>
                <c:pt idx="461">
                  <c:v>45197</c:v>
                </c:pt>
                <c:pt idx="462">
                  <c:v>45198</c:v>
                </c:pt>
                <c:pt idx="463">
                  <c:v>45201</c:v>
                </c:pt>
                <c:pt idx="464">
                  <c:v>45202</c:v>
                </c:pt>
                <c:pt idx="465">
                  <c:v>45203</c:v>
                </c:pt>
                <c:pt idx="466">
                  <c:v>45204</c:v>
                </c:pt>
                <c:pt idx="467">
                  <c:v>45205</c:v>
                </c:pt>
                <c:pt idx="468">
                  <c:v>45208</c:v>
                </c:pt>
                <c:pt idx="469">
                  <c:v>45209</c:v>
                </c:pt>
                <c:pt idx="470">
                  <c:v>45210</c:v>
                </c:pt>
                <c:pt idx="471">
                  <c:v>45211</c:v>
                </c:pt>
                <c:pt idx="472">
                  <c:v>45212</c:v>
                </c:pt>
                <c:pt idx="473">
                  <c:v>45215</c:v>
                </c:pt>
                <c:pt idx="474">
                  <c:v>45216</c:v>
                </c:pt>
                <c:pt idx="475">
                  <c:v>45217</c:v>
                </c:pt>
                <c:pt idx="476">
                  <c:v>45218</c:v>
                </c:pt>
                <c:pt idx="477">
                  <c:v>45219</c:v>
                </c:pt>
                <c:pt idx="478">
                  <c:v>45222</c:v>
                </c:pt>
                <c:pt idx="479">
                  <c:v>45223</c:v>
                </c:pt>
                <c:pt idx="480">
                  <c:v>45224</c:v>
                </c:pt>
                <c:pt idx="481">
                  <c:v>45225</c:v>
                </c:pt>
                <c:pt idx="482">
                  <c:v>45226</c:v>
                </c:pt>
                <c:pt idx="483">
                  <c:v>45229</c:v>
                </c:pt>
                <c:pt idx="484">
                  <c:v>45230</c:v>
                </c:pt>
                <c:pt idx="485">
                  <c:v>45231</c:v>
                </c:pt>
                <c:pt idx="486">
                  <c:v>45232</c:v>
                </c:pt>
                <c:pt idx="487">
                  <c:v>45233</c:v>
                </c:pt>
                <c:pt idx="488">
                  <c:v>45236</c:v>
                </c:pt>
                <c:pt idx="489">
                  <c:v>45237</c:v>
                </c:pt>
                <c:pt idx="490">
                  <c:v>45238</c:v>
                </c:pt>
                <c:pt idx="491">
                  <c:v>45239</c:v>
                </c:pt>
                <c:pt idx="492">
                  <c:v>45240</c:v>
                </c:pt>
                <c:pt idx="493">
                  <c:v>45243</c:v>
                </c:pt>
                <c:pt idx="494">
                  <c:v>45244</c:v>
                </c:pt>
                <c:pt idx="495">
                  <c:v>45245</c:v>
                </c:pt>
                <c:pt idx="496">
                  <c:v>45246</c:v>
                </c:pt>
                <c:pt idx="497">
                  <c:v>45247</c:v>
                </c:pt>
                <c:pt idx="498">
                  <c:v>45250</c:v>
                </c:pt>
                <c:pt idx="499">
                  <c:v>45251</c:v>
                </c:pt>
                <c:pt idx="500">
                  <c:v>45252</c:v>
                </c:pt>
                <c:pt idx="501">
                  <c:v>45254</c:v>
                </c:pt>
                <c:pt idx="502">
                  <c:v>45257</c:v>
                </c:pt>
                <c:pt idx="503">
                  <c:v>45258</c:v>
                </c:pt>
                <c:pt idx="504">
                  <c:v>45259</c:v>
                </c:pt>
                <c:pt idx="505">
                  <c:v>45260</c:v>
                </c:pt>
                <c:pt idx="506">
                  <c:v>45261</c:v>
                </c:pt>
                <c:pt idx="507">
                  <c:v>45264</c:v>
                </c:pt>
                <c:pt idx="508">
                  <c:v>45265</c:v>
                </c:pt>
                <c:pt idx="509">
                  <c:v>45266</c:v>
                </c:pt>
                <c:pt idx="510">
                  <c:v>45267</c:v>
                </c:pt>
                <c:pt idx="511">
                  <c:v>45268</c:v>
                </c:pt>
                <c:pt idx="512">
                  <c:v>45271</c:v>
                </c:pt>
                <c:pt idx="513">
                  <c:v>45272</c:v>
                </c:pt>
                <c:pt idx="514">
                  <c:v>45273</c:v>
                </c:pt>
                <c:pt idx="515">
                  <c:v>45274</c:v>
                </c:pt>
                <c:pt idx="516">
                  <c:v>45275</c:v>
                </c:pt>
                <c:pt idx="517">
                  <c:v>45278</c:v>
                </c:pt>
                <c:pt idx="518">
                  <c:v>45279</c:v>
                </c:pt>
                <c:pt idx="519">
                  <c:v>45280</c:v>
                </c:pt>
                <c:pt idx="520">
                  <c:v>45281</c:v>
                </c:pt>
                <c:pt idx="521">
                  <c:v>45282</c:v>
                </c:pt>
                <c:pt idx="522">
                  <c:v>45287</c:v>
                </c:pt>
                <c:pt idx="523">
                  <c:v>45288</c:v>
                </c:pt>
                <c:pt idx="524">
                  <c:v>45289</c:v>
                </c:pt>
                <c:pt idx="525">
                  <c:v>45294</c:v>
                </c:pt>
                <c:pt idx="526">
                  <c:v>45295</c:v>
                </c:pt>
                <c:pt idx="527">
                  <c:v>45296</c:v>
                </c:pt>
                <c:pt idx="528">
                  <c:v>45299</c:v>
                </c:pt>
                <c:pt idx="529">
                  <c:v>45300</c:v>
                </c:pt>
                <c:pt idx="530">
                  <c:v>45301</c:v>
                </c:pt>
                <c:pt idx="531">
                  <c:v>45302</c:v>
                </c:pt>
                <c:pt idx="532">
                  <c:v>45303</c:v>
                </c:pt>
                <c:pt idx="533">
                  <c:v>45307</c:v>
                </c:pt>
                <c:pt idx="534">
                  <c:v>45308</c:v>
                </c:pt>
                <c:pt idx="535">
                  <c:v>45309</c:v>
                </c:pt>
                <c:pt idx="536">
                  <c:v>45310</c:v>
                </c:pt>
                <c:pt idx="537">
                  <c:v>45313</c:v>
                </c:pt>
                <c:pt idx="538">
                  <c:v>45314</c:v>
                </c:pt>
                <c:pt idx="539">
                  <c:v>45315</c:v>
                </c:pt>
                <c:pt idx="540">
                  <c:v>45316</c:v>
                </c:pt>
                <c:pt idx="541">
                  <c:v>45317</c:v>
                </c:pt>
                <c:pt idx="542">
                  <c:v>45320</c:v>
                </c:pt>
                <c:pt idx="543">
                  <c:v>45321</c:v>
                </c:pt>
                <c:pt idx="544">
                  <c:v>45322</c:v>
                </c:pt>
                <c:pt idx="545">
                  <c:v>45323</c:v>
                </c:pt>
                <c:pt idx="546">
                  <c:v>45324</c:v>
                </c:pt>
                <c:pt idx="547">
                  <c:v>45327</c:v>
                </c:pt>
                <c:pt idx="548">
                  <c:v>45328</c:v>
                </c:pt>
                <c:pt idx="549">
                  <c:v>45329</c:v>
                </c:pt>
                <c:pt idx="550">
                  <c:v>45330</c:v>
                </c:pt>
                <c:pt idx="551">
                  <c:v>45331</c:v>
                </c:pt>
                <c:pt idx="552">
                  <c:v>45334</c:v>
                </c:pt>
                <c:pt idx="553">
                  <c:v>45335</c:v>
                </c:pt>
                <c:pt idx="554">
                  <c:v>45336</c:v>
                </c:pt>
                <c:pt idx="555">
                  <c:v>45337</c:v>
                </c:pt>
                <c:pt idx="556">
                  <c:v>45338</c:v>
                </c:pt>
                <c:pt idx="557">
                  <c:v>45342</c:v>
                </c:pt>
                <c:pt idx="558">
                  <c:v>45343</c:v>
                </c:pt>
                <c:pt idx="559">
                  <c:v>45344</c:v>
                </c:pt>
                <c:pt idx="560">
                  <c:v>45345</c:v>
                </c:pt>
                <c:pt idx="561">
                  <c:v>45348</c:v>
                </c:pt>
                <c:pt idx="562">
                  <c:v>45349</c:v>
                </c:pt>
                <c:pt idx="563">
                  <c:v>45350</c:v>
                </c:pt>
                <c:pt idx="564">
                  <c:v>45351</c:v>
                </c:pt>
                <c:pt idx="565">
                  <c:v>45352</c:v>
                </c:pt>
                <c:pt idx="566">
                  <c:v>45355</c:v>
                </c:pt>
                <c:pt idx="567">
                  <c:v>45356</c:v>
                </c:pt>
                <c:pt idx="568">
                  <c:v>45357</c:v>
                </c:pt>
                <c:pt idx="569">
                  <c:v>45358</c:v>
                </c:pt>
                <c:pt idx="570">
                  <c:v>45359</c:v>
                </c:pt>
                <c:pt idx="571">
                  <c:v>45362</c:v>
                </c:pt>
                <c:pt idx="572">
                  <c:v>45363</c:v>
                </c:pt>
                <c:pt idx="573">
                  <c:v>45364</c:v>
                </c:pt>
                <c:pt idx="574">
                  <c:v>45365</c:v>
                </c:pt>
                <c:pt idx="575">
                  <c:v>45366</c:v>
                </c:pt>
                <c:pt idx="576">
                  <c:v>45369</c:v>
                </c:pt>
                <c:pt idx="577">
                  <c:v>45370</c:v>
                </c:pt>
                <c:pt idx="578">
                  <c:v>45371</c:v>
                </c:pt>
                <c:pt idx="579">
                  <c:v>45372</c:v>
                </c:pt>
                <c:pt idx="580">
                  <c:v>45373</c:v>
                </c:pt>
                <c:pt idx="581">
                  <c:v>45376</c:v>
                </c:pt>
                <c:pt idx="582">
                  <c:v>45377</c:v>
                </c:pt>
                <c:pt idx="583">
                  <c:v>45378</c:v>
                </c:pt>
                <c:pt idx="584">
                  <c:v>45379</c:v>
                </c:pt>
                <c:pt idx="585">
                  <c:v>45384</c:v>
                </c:pt>
                <c:pt idx="586">
                  <c:v>45385</c:v>
                </c:pt>
                <c:pt idx="587">
                  <c:v>45386</c:v>
                </c:pt>
                <c:pt idx="588">
                  <c:v>45387</c:v>
                </c:pt>
                <c:pt idx="589">
                  <c:v>45390</c:v>
                </c:pt>
                <c:pt idx="590">
                  <c:v>45391</c:v>
                </c:pt>
                <c:pt idx="591">
                  <c:v>45392</c:v>
                </c:pt>
                <c:pt idx="592">
                  <c:v>45393</c:v>
                </c:pt>
                <c:pt idx="593">
                  <c:v>45394</c:v>
                </c:pt>
                <c:pt idx="594">
                  <c:v>45397</c:v>
                </c:pt>
                <c:pt idx="595">
                  <c:v>45398</c:v>
                </c:pt>
                <c:pt idx="596">
                  <c:v>45399</c:v>
                </c:pt>
                <c:pt idx="597">
                  <c:v>45400</c:v>
                </c:pt>
                <c:pt idx="598">
                  <c:v>45401</c:v>
                </c:pt>
                <c:pt idx="599">
                  <c:v>45404</c:v>
                </c:pt>
                <c:pt idx="600">
                  <c:v>45405</c:v>
                </c:pt>
                <c:pt idx="601">
                  <c:v>45406</c:v>
                </c:pt>
                <c:pt idx="602">
                  <c:v>45407</c:v>
                </c:pt>
                <c:pt idx="603">
                  <c:v>45408</c:v>
                </c:pt>
                <c:pt idx="604">
                  <c:v>45411</c:v>
                </c:pt>
                <c:pt idx="605">
                  <c:v>45412</c:v>
                </c:pt>
                <c:pt idx="606">
                  <c:v>45414</c:v>
                </c:pt>
                <c:pt idx="607">
                  <c:v>45415</c:v>
                </c:pt>
                <c:pt idx="608">
                  <c:v>45418</c:v>
                </c:pt>
                <c:pt idx="609">
                  <c:v>45419</c:v>
                </c:pt>
                <c:pt idx="610">
                  <c:v>45420</c:v>
                </c:pt>
                <c:pt idx="611">
                  <c:v>45422</c:v>
                </c:pt>
                <c:pt idx="612">
                  <c:v>45425</c:v>
                </c:pt>
                <c:pt idx="613">
                  <c:v>45426</c:v>
                </c:pt>
                <c:pt idx="614">
                  <c:v>45427</c:v>
                </c:pt>
                <c:pt idx="615">
                  <c:v>45428</c:v>
                </c:pt>
                <c:pt idx="616">
                  <c:v>45429</c:v>
                </c:pt>
                <c:pt idx="617">
                  <c:v>45433</c:v>
                </c:pt>
                <c:pt idx="618">
                  <c:v>45434</c:v>
                </c:pt>
                <c:pt idx="619">
                  <c:v>45435</c:v>
                </c:pt>
                <c:pt idx="620">
                  <c:v>45436</c:v>
                </c:pt>
                <c:pt idx="621">
                  <c:v>45440</c:v>
                </c:pt>
                <c:pt idx="622">
                  <c:v>45441</c:v>
                </c:pt>
                <c:pt idx="623">
                  <c:v>45442</c:v>
                </c:pt>
                <c:pt idx="624">
                  <c:v>45443</c:v>
                </c:pt>
                <c:pt idx="625">
                  <c:v>45446</c:v>
                </c:pt>
                <c:pt idx="626">
                  <c:v>45447</c:v>
                </c:pt>
                <c:pt idx="627">
                  <c:v>45448</c:v>
                </c:pt>
                <c:pt idx="628">
                  <c:v>45449</c:v>
                </c:pt>
                <c:pt idx="629">
                  <c:v>45450</c:v>
                </c:pt>
                <c:pt idx="630">
                  <c:v>45453</c:v>
                </c:pt>
                <c:pt idx="631">
                  <c:v>45454</c:v>
                </c:pt>
                <c:pt idx="632">
                  <c:v>45455</c:v>
                </c:pt>
                <c:pt idx="633">
                  <c:v>45456</c:v>
                </c:pt>
                <c:pt idx="634">
                  <c:v>45457</c:v>
                </c:pt>
                <c:pt idx="635">
                  <c:v>45460</c:v>
                </c:pt>
                <c:pt idx="636">
                  <c:v>45461</c:v>
                </c:pt>
                <c:pt idx="637">
                  <c:v>45463</c:v>
                </c:pt>
                <c:pt idx="638">
                  <c:v>45464</c:v>
                </c:pt>
                <c:pt idx="639">
                  <c:v>45467</c:v>
                </c:pt>
                <c:pt idx="640">
                  <c:v>45468</c:v>
                </c:pt>
                <c:pt idx="641">
                  <c:v>45469</c:v>
                </c:pt>
                <c:pt idx="642">
                  <c:v>45470</c:v>
                </c:pt>
                <c:pt idx="643">
                  <c:v>45471</c:v>
                </c:pt>
                <c:pt idx="644">
                  <c:v>45474</c:v>
                </c:pt>
                <c:pt idx="645">
                  <c:v>45475</c:v>
                </c:pt>
                <c:pt idx="646">
                  <c:v>45476</c:v>
                </c:pt>
                <c:pt idx="647">
                  <c:v>45478</c:v>
                </c:pt>
                <c:pt idx="648">
                  <c:v>45481</c:v>
                </c:pt>
                <c:pt idx="649">
                  <c:v>45482</c:v>
                </c:pt>
                <c:pt idx="650">
                  <c:v>45483</c:v>
                </c:pt>
                <c:pt idx="651">
                  <c:v>45484</c:v>
                </c:pt>
                <c:pt idx="652">
                  <c:v>45485</c:v>
                </c:pt>
                <c:pt idx="653">
                  <c:v>45488</c:v>
                </c:pt>
                <c:pt idx="654">
                  <c:v>45489</c:v>
                </c:pt>
                <c:pt idx="655">
                  <c:v>45490</c:v>
                </c:pt>
                <c:pt idx="656">
                  <c:v>45491</c:v>
                </c:pt>
                <c:pt idx="657">
                  <c:v>45492</c:v>
                </c:pt>
                <c:pt idx="658">
                  <c:v>45495</c:v>
                </c:pt>
                <c:pt idx="659">
                  <c:v>45496</c:v>
                </c:pt>
                <c:pt idx="660">
                  <c:v>45497</c:v>
                </c:pt>
                <c:pt idx="661">
                  <c:v>45498</c:v>
                </c:pt>
                <c:pt idx="662">
                  <c:v>45499</c:v>
                </c:pt>
                <c:pt idx="663">
                  <c:v>45502</c:v>
                </c:pt>
                <c:pt idx="664">
                  <c:v>45503</c:v>
                </c:pt>
                <c:pt idx="665">
                  <c:v>45504</c:v>
                </c:pt>
                <c:pt idx="666">
                  <c:v>45506</c:v>
                </c:pt>
                <c:pt idx="667">
                  <c:v>45509</c:v>
                </c:pt>
                <c:pt idx="668">
                  <c:v>45510</c:v>
                </c:pt>
                <c:pt idx="669">
                  <c:v>45511</c:v>
                </c:pt>
                <c:pt idx="670">
                  <c:v>45512</c:v>
                </c:pt>
                <c:pt idx="671">
                  <c:v>45513</c:v>
                </c:pt>
                <c:pt idx="672">
                  <c:v>45516</c:v>
                </c:pt>
                <c:pt idx="673">
                  <c:v>45517</c:v>
                </c:pt>
                <c:pt idx="674">
                  <c:v>45518</c:v>
                </c:pt>
                <c:pt idx="675">
                  <c:v>45519</c:v>
                </c:pt>
                <c:pt idx="676">
                  <c:v>45520</c:v>
                </c:pt>
                <c:pt idx="677">
                  <c:v>45523</c:v>
                </c:pt>
                <c:pt idx="678">
                  <c:v>45524</c:v>
                </c:pt>
                <c:pt idx="679">
                  <c:v>45525</c:v>
                </c:pt>
                <c:pt idx="680">
                  <c:v>45526</c:v>
                </c:pt>
                <c:pt idx="681">
                  <c:v>45527</c:v>
                </c:pt>
                <c:pt idx="682">
                  <c:v>45530</c:v>
                </c:pt>
                <c:pt idx="683">
                  <c:v>45531</c:v>
                </c:pt>
                <c:pt idx="684">
                  <c:v>45532</c:v>
                </c:pt>
                <c:pt idx="685">
                  <c:v>45533</c:v>
                </c:pt>
                <c:pt idx="686">
                  <c:v>45534</c:v>
                </c:pt>
                <c:pt idx="687">
                  <c:v>45538</c:v>
                </c:pt>
                <c:pt idx="688">
                  <c:v>45539</c:v>
                </c:pt>
                <c:pt idx="689">
                  <c:v>45540</c:v>
                </c:pt>
                <c:pt idx="690">
                  <c:v>45541</c:v>
                </c:pt>
                <c:pt idx="691">
                  <c:v>45544</c:v>
                </c:pt>
                <c:pt idx="692">
                  <c:v>45545</c:v>
                </c:pt>
                <c:pt idx="693">
                  <c:v>45546</c:v>
                </c:pt>
                <c:pt idx="694">
                  <c:v>45547</c:v>
                </c:pt>
                <c:pt idx="695">
                  <c:v>45548</c:v>
                </c:pt>
                <c:pt idx="696">
                  <c:v>45551</c:v>
                </c:pt>
                <c:pt idx="697">
                  <c:v>45552</c:v>
                </c:pt>
                <c:pt idx="698">
                  <c:v>45553</c:v>
                </c:pt>
                <c:pt idx="699">
                  <c:v>45554</c:v>
                </c:pt>
                <c:pt idx="700">
                  <c:v>45555</c:v>
                </c:pt>
                <c:pt idx="701">
                  <c:v>45558</c:v>
                </c:pt>
                <c:pt idx="702">
                  <c:v>45559</c:v>
                </c:pt>
                <c:pt idx="703">
                  <c:v>45560</c:v>
                </c:pt>
                <c:pt idx="704">
                  <c:v>45561</c:v>
                </c:pt>
                <c:pt idx="705">
                  <c:v>45562</c:v>
                </c:pt>
                <c:pt idx="706">
                  <c:v>45565</c:v>
                </c:pt>
                <c:pt idx="707">
                  <c:v>45566</c:v>
                </c:pt>
                <c:pt idx="708">
                  <c:v>45567</c:v>
                </c:pt>
                <c:pt idx="709">
                  <c:v>45568</c:v>
                </c:pt>
                <c:pt idx="710">
                  <c:v>45569</c:v>
                </c:pt>
                <c:pt idx="711">
                  <c:v>45572</c:v>
                </c:pt>
                <c:pt idx="712">
                  <c:v>45573</c:v>
                </c:pt>
                <c:pt idx="713">
                  <c:v>45574</c:v>
                </c:pt>
                <c:pt idx="714">
                  <c:v>45575</c:v>
                </c:pt>
                <c:pt idx="715">
                  <c:v>45576</c:v>
                </c:pt>
                <c:pt idx="716">
                  <c:v>45579</c:v>
                </c:pt>
                <c:pt idx="717">
                  <c:v>45580</c:v>
                </c:pt>
                <c:pt idx="718">
                  <c:v>45581</c:v>
                </c:pt>
                <c:pt idx="719">
                  <c:v>45582</c:v>
                </c:pt>
                <c:pt idx="720">
                  <c:v>45583</c:v>
                </c:pt>
                <c:pt idx="721">
                  <c:v>45586</c:v>
                </c:pt>
                <c:pt idx="722">
                  <c:v>45587</c:v>
                </c:pt>
                <c:pt idx="723">
                  <c:v>45588</c:v>
                </c:pt>
                <c:pt idx="724">
                  <c:v>45589</c:v>
                </c:pt>
                <c:pt idx="725">
                  <c:v>45590</c:v>
                </c:pt>
                <c:pt idx="726">
                  <c:v>45593</c:v>
                </c:pt>
                <c:pt idx="727">
                  <c:v>45594</c:v>
                </c:pt>
                <c:pt idx="728">
                  <c:v>45595</c:v>
                </c:pt>
                <c:pt idx="729">
                  <c:v>45596</c:v>
                </c:pt>
                <c:pt idx="730">
                  <c:v>45597</c:v>
                </c:pt>
                <c:pt idx="731">
                  <c:v>45600</c:v>
                </c:pt>
                <c:pt idx="732">
                  <c:v>45601</c:v>
                </c:pt>
                <c:pt idx="733">
                  <c:v>45602</c:v>
                </c:pt>
                <c:pt idx="734">
                  <c:v>45603</c:v>
                </c:pt>
                <c:pt idx="735">
                  <c:v>45604</c:v>
                </c:pt>
                <c:pt idx="736">
                  <c:v>45607</c:v>
                </c:pt>
                <c:pt idx="737">
                  <c:v>45608</c:v>
                </c:pt>
                <c:pt idx="738">
                  <c:v>45609</c:v>
                </c:pt>
                <c:pt idx="739">
                  <c:v>45610</c:v>
                </c:pt>
                <c:pt idx="740">
                  <c:v>45611</c:v>
                </c:pt>
                <c:pt idx="741">
                  <c:v>45614</c:v>
                </c:pt>
                <c:pt idx="742">
                  <c:v>45615</c:v>
                </c:pt>
                <c:pt idx="743">
                  <c:v>45616</c:v>
                </c:pt>
                <c:pt idx="744">
                  <c:v>45617</c:v>
                </c:pt>
                <c:pt idx="745">
                  <c:v>45618</c:v>
                </c:pt>
                <c:pt idx="746">
                  <c:v>45621</c:v>
                </c:pt>
                <c:pt idx="747">
                  <c:v>45622</c:v>
                </c:pt>
                <c:pt idx="748">
                  <c:v>45623</c:v>
                </c:pt>
                <c:pt idx="749">
                  <c:v>45625</c:v>
                </c:pt>
                <c:pt idx="750">
                  <c:v>45628</c:v>
                </c:pt>
                <c:pt idx="751">
                  <c:v>45629</c:v>
                </c:pt>
                <c:pt idx="752">
                  <c:v>45630</c:v>
                </c:pt>
                <c:pt idx="753">
                  <c:v>45631</c:v>
                </c:pt>
                <c:pt idx="754">
                  <c:v>45632</c:v>
                </c:pt>
                <c:pt idx="755">
                  <c:v>45635</c:v>
                </c:pt>
                <c:pt idx="756">
                  <c:v>45636</c:v>
                </c:pt>
                <c:pt idx="757">
                  <c:v>45637</c:v>
                </c:pt>
                <c:pt idx="758">
                  <c:v>45638</c:v>
                </c:pt>
                <c:pt idx="759">
                  <c:v>45639</c:v>
                </c:pt>
                <c:pt idx="760">
                  <c:v>45642</c:v>
                </c:pt>
                <c:pt idx="761">
                  <c:v>45643</c:v>
                </c:pt>
                <c:pt idx="762">
                  <c:v>45644</c:v>
                </c:pt>
                <c:pt idx="763">
                  <c:v>45645</c:v>
                </c:pt>
                <c:pt idx="764">
                  <c:v>45646</c:v>
                </c:pt>
                <c:pt idx="765">
                  <c:v>45649</c:v>
                </c:pt>
                <c:pt idx="766">
                  <c:v>45653</c:v>
                </c:pt>
                <c:pt idx="767">
                  <c:v>45656</c:v>
                </c:pt>
                <c:pt idx="768">
                  <c:v>45660</c:v>
                </c:pt>
                <c:pt idx="769">
                  <c:v>45663</c:v>
                </c:pt>
                <c:pt idx="770">
                  <c:v>45664</c:v>
                </c:pt>
                <c:pt idx="771">
                  <c:v>45665</c:v>
                </c:pt>
                <c:pt idx="772">
                  <c:v>45667</c:v>
                </c:pt>
                <c:pt idx="773">
                  <c:v>45670</c:v>
                </c:pt>
                <c:pt idx="774">
                  <c:v>45671</c:v>
                </c:pt>
                <c:pt idx="775">
                  <c:v>45672</c:v>
                </c:pt>
                <c:pt idx="776">
                  <c:v>45673</c:v>
                </c:pt>
                <c:pt idx="777">
                  <c:v>45674</c:v>
                </c:pt>
                <c:pt idx="778">
                  <c:v>45678</c:v>
                </c:pt>
                <c:pt idx="779">
                  <c:v>45679</c:v>
                </c:pt>
                <c:pt idx="780">
                  <c:v>45680</c:v>
                </c:pt>
                <c:pt idx="781">
                  <c:v>45681</c:v>
                </c:pt>
                <c:pt idx="782">
                  <c:v>45684</c:v>
                </c:pt>
                <c:pt idx="783">
                  <c:v>45685</c:v>
                </c:pt>
                <c:pt idx="784">
                  <c:v>45686</c:v>
                </c:pt>
                <c:pt idx="785">
                  <c:v>45687</c:v>
                </c:pt>
                <c:pt idx="786">
                  <c:v>45688</c:v>
                </c:pt>
                <c:pt idx="787">
                  <c:v>45691</c:v>
                </c:pt>
                <c:pt idx="788">
                  <c:v>45692</c:v>
                </c:pt>
                <c:pt idx="789">
                  <c:v>45693</c:v>
                </c:pt>
                <c:pt idx="790">
                  <c:v>45694</c:v>
                </c:pt>
                <c:pt idx="791">
                  <c:v>45695</c:v>
                </c:pt>
                <c:pt idx="792">
                  <c:v>45698</c:v>
                </c:pt>
                <c:pt idx="793">
                  <c:v>45699</c:v>
                </c:pt>
                <c:pt idx="794">
                  <c:v>45700</c:v>
                </c:pt>
                <c:pt idx="795">
                  <c:v>45701</c:v>
                </c:pt>
                <c:pt idx="796">
                  <c:v>45702</c:v>
                </c:pt>
                <c:pt idx="797">
                  <c:v>45706</c:v>
                </c:pt>
                <c:pt idx="798">
                  <c:v>45707</c:v>
                </c:pt>
                <c:pt idx="799">
                  <c:v>45708</c:v>
                </c:pt>
                <c:pt idx="800">
                  <c:v>45709</c:v>
                </c:pt>
                <c:pt idx="801">
                  <c:v>45712</c:v>
                </c:pt>
                <c:pt idx="802">
                  <c:v>45713</c:v>
                </c:pt>
                <c:pt idx="803">
                  <c:v>45714</c:v>
                </c:pt>
                <c:pt idx="804">
                  <c:v>45715</c:v>
                </c:pt>
                <c:pt idx="805">
                  <c:v>45716</c:v>
                </c:pt>
                <c:pt idx="806">
                  <c:v>45719</c:v>
                </c:pt>
                <c:pt idx="807">
                  <c:v>45720</c:v>
                </c:pt>
                <c:pt idx="808">
                  <c:v>45721</c:v>
                </c:pt>
                <c:pt idx="809">
                  <c:v>45722</c:v>
                </c:pt>
                <c:pt idx="810">
                  <c:v>45723</c:v>
                </c:pt>
                <c:pt idx="811">
                  <c:v>45726</c:v>
                </c:pt>
                <c:pt idx="812">
                  <c:v>45727</c:v>
                </c:pt>
                <c:pt idx="813">
                  <c:v>45728</c:v>
                </c:pt>
                <c:pt idx="814">
                  <c:v>45729</c:v>
                </c:pt>
              </c:numCache>
            </c:numRef>
          </c:cat>
          <c:val>
            <c:numRef>
              <c:f>Data!$BO$656:$BO$1470</c:f>
              <c:numCache>
                <c:formatCode>General</c:formatCode>
                <c:ptCount val="815"/>
                <c:pt idx="0">
                  <c:v>3.7706975081929961E-5</c:v>
                </c:pt>
                <c:pt idx="1">
                  <c:v>4.3841507396651187E-5</c:v>
                </c:pt>
                <c:pt idx="2">
                  <c:v>4.0329217638229053E-5</c:v>
                </c:pt>
                <c:pt idx="3">
                  <c:v>3.9043925062484403E-5</c:v>
                </c:pt>
                <c:pt idx="4">
                  <c:v>3.8220233046154901E-5</c:v>
                </c:pt>
                <c:pt idx="5">
                  <c:v>3.7897686354049814E-5</c:v>
                </c:pt>
                <c:pt idx="6">
                  <c:v>3.5726332441696821E-5</c:v>
                </c:pt>
                <c:pt idx="7">
                  <c:v>3.5021596758162575E-5</c:v>
                </c:pt>
                <c:pt idx="8">
                  <c:v>5.229865435658295E-5</c:v>
                </c:pt>
                <c:pt idx="9">
                  <c:v>4.7744340050677303E-5</c:v>
                </c:pt>
                <c:pt idx="10">
                  <c:v>7.9183588804824129E-5</c:v>
                </c:pt>
                <c:pt idx="11">
                  <c:v>6.8493381699228739E-5</c:v>
                </c:pt>
                <c:pt idx="12">
                  <c:v>6.3218428948654947E-5</c:v>
                </c:pt>
                <c:pt idx="13">
                  <c:v>6.650676071797226E-5</c:v>
                </c:pt>
                <c:pt idx="14">
                  <c:v>6.5592233876804552E-5</c:v>
                </c:pt>
                <c:pt idx="15">
                  <c:v>5.7391933230734762E-5</c:v>
                </c:pt>
                <c:pt idx="16">
                  <c:v>8.9220864564599711E-5</c:v>
                </c:pt>
                <c:pt idx="17">
                  <c:v>9.3702427647479554E-5</c:v>
                </c:pt>
                <c:pt idx="18">
                  <c:v>8.5826986942871315E-5</c:v>
                </c:pt>
                <c:pt idx="19">
                  <c:v>7.3354002519907557E-5</c:v>
                </c:pt>
                <c:pt idx="20">
                  <c:v>6.3477160092618811E-5</c:v>
                </c:pt>
                <c:pt idx="21">
                  <c:v>5.8584549319172865E-5</c:v>
                </c:pt>
                <c:pt idx="22">
                  <c:v>6.9537776627870028E-5</c:v>
                </c:pt>
                <c:pt idx="23">
                  <c:v>7.3658992866697026E-5</c:v>
                </c:pt>
                <c:pt idx="24">
                  <c:v>1.249981862975004E-4</c:v>
                </c:pt>
                <c:pt idx="25">
                  <c:v>1.0893517301790811E-4</c:v>
                </c:pt>
                <c:pt idx="26">
                  <c:v>1.0528159818720722E-4</c:v>
                </c:pt>
                <c:pt idx="27">
                  <c:v>9.6232410918681944E-5</c:v>
                </c:pt>
                <c:pt idx="28">
                  <c:v>8.2293582464721941E-5</c:v>
                </c:pt>
                <c:pt idx="29">
                  <c:v>7.4983653196850474E-5</c:v>
                </c:pt>
                <c:pt idx="30">
                  <c:v>7.0553798106157308E-5</c:v>
                </c:pt>
                <c:pt idx="31">
                  <c:v>7.0519117213159487E-5</c:v>
                </c:pt>
                <c:pt idx="32">
                  <c:v>6.2890083270956227E-5</c:v>
                </c:pt>
                <c:pt idx="33">
                  <c:v>5.7478086808383054E-5</c:v>
                </c:pt>
                <c:pt idx="34">
                  <c:v>5.4489741559880782E-5</c:v>
                </c:pt>
                <c:pt idx="35">
                  <c:v>4.9921474486576954E-5</c:v>
                </c:pt>
                <c:pt idx="36">
                  <c:v>4.5122125632033645E-5</c:v>
                </c:pt>
                <c:pt idx="37">
                  <c:v>5.2461535540167779E-5</c:v>
                </c:pt>
                <c:pt idx="38">
                  <c:v>4.7117420280650068E-5</c:v>
                </c:pt>
                <c:pt idx="39">
                  <c:v>7.7885774816372361E-5</c:v>
                </c:pt>
                <c:pt idx="40">
                  <c:v>7.8361423092050751E-5</c:v>
                </c:pt>
                <c:pt idx="41">
                  <c:v>6.8762392580335282E-5</c:v>
                </c:pt>
                <c:pt idx="42">
                  <c:v>6.2096197250408576E-5</c:v>
                </c:pt>
                <c:pt idx="43">
                  <c:v>6.2683115104369689E-5</c:v>
                </c:pt>
                <c:pt idx="44">
                  <c:v>5.5121158471519669E-5</c:v>
                </c:pt>
                <c:pt idx="45">
                  <c:v>4.918934888072364E-5</c:v>
                </c:pt>
                <c:pt idx="46">
                  <c:v>4.563558429008356E-5</c:v>
                </c:pt>
                <c:pt idx="47">
                  <c:v>7.9727387026282798E-5</c:v>
                </c:pt>
                <c:pt idx="48">
                  <c:v>2.7829481615005612E-4</c:v>
                </c:pt>
                <c:pt idx="49">
                  <c:v>2.2841105556462403E-4</c:v>
                </c:pt>
                <c:pt idx="50">
                  <c:v>2.0833306325779833E-4</c:v>
                </c:pt>
                <c:pt idx="51">
                  <c:v>1.7536840323881204E-4</c:v>
                </c:pt>
                <c:pt idx="52">
                  <c:v>1.485377744130747E-4</c:v>
                </c:pt>
                <c:pt idx="53">
                  <c:v>1.3697815987210438E-4</c:v>
                </c:pt>
                <c:pt idx="54">
                  <c:v>1.3026176934267648E-4</c:v>
                </c:pt>
                <c:pt idx="55">
                  <c:v>1.0811469251166185E-4</c:v>
                </c:pt>
                <c:pt idx="56">
                  <c:v>1.0559287950240159E-4</c:v>
                </c:pt>
                <c:pt idx="57">
                  <c:v>9.715459800703713E-5</c:v>
                </c:pt>
                <c:pt idx="58">
                  <c:v>8.4917575368055541E-5</c:v>
                </c:pt>
                <c:pt idx="59">
                  <c:v>7.3941200199577797E-5</c:v>
                </c:pt>
                <c:pt idx="60">
                  <c:v>1.073238006163303E-4</c:v>
                </c:pt>
                <c:pt idx="61">
                  <c:v>9.290466678603668E-5</c:v>
                </c:pt>
                <c:pt idx="62">
                  <c:v>8.5004033435647048E-5</c:v>
                </c:pt>
                <c:pt idx="63">
                  <c:v>1.1285224172125896E-4</c:v>
                </c:pt>
                <c:pt idx="64">
                  <c:v>1.1826731221365642E-4</c:v>
                </c:pt>
                <c:pt idx="65">
                  <c:v>9.8796605023468453E-5</c:v>
                </c:pt>
                <c:pt idx="66">
                  <c:v>9.6394633602162516E-5</c:v>
                </c:pt>
                <c:pt idx="67">
                  <c:v>8.5699363927538801E-5</c:v>
                </c:pt>
                <c:pt idx="68">
                  <c:v>7.5698711137781792E-5</c:v>
                </c:pt>
                <c:pt idx="69">
                  <c:v>6.5620927143138994E-5</c:v>
                </c:pt>
                <c:pt idx="70">
                  <c:v>1.5039408965954583E-4</c:v>
                </c:pt>
                <c:pt idx="71">
                  <c:v>2.5314483156116928E-4</c:v>
                </c:pt>
                <c:pt idx="72">
                  <c:v>2.045015403543468E-4</c:v>
                </c:pt>
                <c:pt idx="73">
                  <c:v>1.8171075406210287E-4</c:v>
                </c:pt>
                <c:pt idx="74">
                  <c:v>1.4855765052441708E-4</c:v>
                </c:pt>
                <c:pt idx="75">
                  <c:v>1.6124273539285785E-4</c:v>
                </c:pt>
                <c:pt idx="76">
                  <c:v>2.7977759319595008E-4</c:v>
                </c:pt>
                <c:pt idx="77">
                  <c:v>2.3555561237021262E-4</c:v>
                </c:pt>
                <c:pt idx="78">
                  <c:v>2.1542240534248475E-4</c:v>
                </c:pt>
                <c:pt idx="79">
                  <c:v>3.9665741055027679E-4</c:v>
                </c:pt>
                <c:pt idx="80">
                  <c:v>3.2834231280962382E-4</c:v>
                </c:pt>
                <c:pt idx="81">
                  <c:v>2.7549155242871372E-4</c:v>
                </c:pt>
                <c:pt idx="82">
                  <c:v>2.5821944679289567E-4</c:v>
                </c:pt>
                <c:pt idx="83">
                  <c:v>2.0849290732418498E-4</c:v>
                </c:pt>
                <c:pt idx="84">
                  <c:v>2.194079127284578E-4</c:v>
                </c:pt>
                <c:pt idx="85">
                  <c:v>2.0407591858598618E-4</c:v>
                </c:pt>
                <c:pt idx="86">
                  <c:v>1.8084981811311769E-4</c:v>
                </c:pt>
                <c:pt idx="87">
                  <c:v>1.4797466692570224E-4</c:v>
                </c:pt>
                <c:pt idx="88">
                  <c:v>1.2295202049639661E-4</c:v>
                </c:pt>
                <c:pt idx="89">
                  <c:v>1.125523894155424E-4</c:v>
                </c:pt>
                <c:pt idx="90">
                  <c:v>9.5217089747135213E-5</c:v>
                </c:pt>
                <c:pt idx="91">
                  <c:v>8.071872002612078E-5</c:v>
                </c:pt>
                <c:pt idx="92">
                  <c:v>7.0392589087991793E-5</c:v>
                </c:pt>
                <c:pt idx="93">
                  <c:v>8.8889456232475785E-5</c:v>
                </c:pt>
                <c:pt idx="94">
                  <c:v>8.1943505407195815E-5</c:v>
                </c:pt>
                <c:pt idx="95">
                  <c:v>7.6634511117380921E-5</c:v>
                </c:pt>
                <c:pt idx="96">
                  <c:v>6.6346872686759179E-5</c:v>
                </c:pt>
                <c:pt idx="97">
                  <c:v>8.3114850105470207E-5</c:v>
                </c:pt>
                <c:pt idx="98">
                  <c:v>7.2352092516545926E-5</c:v>
                </c:pt>
                <c:pt idx="99">
                  <c:v>6.5697964809367183E-5</c:v>
                </c:pt>
                <c:pt idx="100">
                  <c:v>6.0044707985275071E-5</c:v>
                </c:pt>
                <c:pt idx="101">
                  <c:v>7.005067923094114E-5</c:v>
                </c:pt>
                <c:pt idx="102">
                  <c:v>6.1284522667734008E-5</c:v>
                </c:pt>
                <c:pt idx="103">
                  <c:v>7.4353234056350579E-5</c:v>
                </c:pt>
                <c:pt idx="104">
                  <c:v>6.4260961685388182E-5</c:v>
                </c:pt>
                <c:pt idx="105">
                  <c:v>6.4980996140230339E-5</c:v>
                </c:pt>
                <c:pt idx="106">
                  <c:v>9.1228064920976907E-5</c:v>
                </c:pt>
                <c:pt idx="107">
                  <c:v>7.8277419725294962E-5</c:v>
                </c:pt>
                <c:pt idx="108">
                  <c:v>6.7412482332968133E-5</c:v>
                </c:pt>
                <c:pt idx="109">
                  <c:v>6.0556893733975405E-5</c:v>
                </c:pt>
                <c:pt idx="110">
                  <c:v>8.1919356387921439E-5</c:v>
                </c:pt>
                <c:pt idx="111">
                  <c:v>9.2636902937769135E-5</c:v>
                </c:pt>
                <c:pt idx="112">
                  <c:v>9.2575644703303967E-5</c:v>
                </c:pt>
                <c:pt idx="113">
                  <c:v>7.8835153997640147E-5</c:v>
                </c:pt>
                <c:pt idx="114">
                  <c:v>7.1338333095757276E-5</c:v>
                </c:pt>
                <c:pt idx="115">
                  <c:v>8.577047608877695E-5</c:v>
                </c:pt>
                <c:pt idx="116">
                  <c:v>7.4119762176108535E-5</c:v>
                </c:pt>
                <c:pt idx="117">
                  <c:v>7.8708236878344284E-5</c:v>
                </c:pt>
                <c:pt idx="118">
                  <c:v>6.7685747338358299E-5</c:v>
                </c:pt>
                <c:pt idx="119">
                  <c:v>8.0804557866302816E-5</c:v>
                </c:pt>
                <c:pt idx="120">
                  <c:v>1.5412311929291641E-4</c:v>
                </c:pt>
                <c:pt idx="121">
                  <c:v>1.3717654344244182E-4</c:v>
                </c:pt>
                <c:pt idx="122">
                  <c:v>1.136907026107105E-4</c:v>
                </c:pt>
                <c:pt idx="123">
                  <c:v>9.7526705544232942E-5</c:v>
                </c:pt>
                <c:pt idx="124">
                  <c:v>1.0483441495583312E-4</c:v>
                </c:pt>
                <c:pt idx="125">
                  <c:v>8.8669063150144376E-5</c:v>
                </c:pt>
                <c:pt idx="126">
                  <c:v>7.9032007702690114E-5</c:v>
                </c:pt>
                <c:pt idx="127">
                  <c:v>9.1626286016166853E-5</c:v>
                </c:pt>
                <c:pt idx="128">
                  <c:v>1.5504325527154335E-4</c:v>
                </c:pt>
                <c:pt idx="129">
                  <c:v>1.2755276609276341E-4</c:v>
                </c:pt>
                <c:pt idx="130">
                  <c:v>1.3354355700230939E-4</c:v>
                </c:pt>
                <c:pt idx="131">
                  <c:v>1.1101228831430181E-4</c:v>
                </c:pt>
                <c:pt idx="132">
                  <c:v>9.3088858711296135E-5</c:v>
                </c:pt>
                <c:pt idx="133">
                  <c:v>1.0498733595864842E-4</c:v>
                </c:pt>
                <c:pt idx="134">
                  <c:v>8.9634395127990537E-5</c:v>
                </c:pt>
                <c:pt idx="135">
                  <c:v>9.0771276732871009E-5</c:v>
                </c:pt>
                <c:pt idx="136">
                  <c:v>8.0528921663337378E-5</c:v>
                </c:pt>
                <c:pt idx="137">
                  <c:v>6.9577497704597955E-5</c:v>
                </c:pt>
                <c:pt idx="138">
                  <c:v>6.0541961981535434E-5</c:v>
                </c:pt>
                <c:pt idx="139">
                  <c:v>5.8202793350821997E-5</c:v>
                </c:pt>
                <c:pt idx="140">
                  <c:v>7.4353076405150068E-5</c:v>
                </c:pt>
                <c:pt idx="141">
                  <c:v>1.2708653171126036E-4</c:v>
                </c:pt>
                <c:pt idx="142">
                  <c:v>1.4675181048340641E-4</c:v>
                </c:pt>
                <c:pt idx="143">
                  <c:v>1.6769129748106163E-4</c:v>
                </c:pt>
                <c:pt idx="144">
                  <c:v>1.4636285817668938E-4</c:v>
                </c:pt>
                <c:pt idx="145">
                  <c:v>2.3709430388277412E-4</c:v>
                </c:pt>
                <c:pt idx="146">
                  <c:v>1.9266294521803426E-4</c:v>
                </c:pt>
                <c:pt idx="147">
                  <c:v>1.5812142276015536E-4</c:v>
                </c:pt>
                <c:pt idx="148">
                  <c:v>1.3301720414223524E-4</c:v>
                </c:pt>
                <c:pt idx="149">
                  <c:v>1.1750858142771468E-4</c:v>
                </c:pt>
                <c:pt idx="150">
                  <c:v>2.7635902311439972E-4</c:v>
                </c:pt>
                <c:pt idx="151">
                  <c:v>2.3122810897104141E-4</c:v>
                </c:pt>
                <c:pt idx="152">
                  <c:v>1.9863337657058933E-4</c:v>
                </c:pt>
                <c:pt idx="153">
                  <c:v>1.6174945772533047E-4</c:v>
                </c:pt>
                <c:pt idx="154">
                  <c:v>1.3887680024222539E-4</c:v>
                </c:pt>
                <c:pt idx="155">
                  <c:v>1.1592368974134905E-4</c:v>
                </c:pt>
                <c:pt idx="156">
                  <c:v>1.0252767278727868E-4</c:v>
                </c:pt>
                <c:pt idx="157">
                  <c:v>1.1007470973437708E-4</c:v>
                </c:pt>
                <c:pt idx="158">
                  <c:v>1.0449136608497426E-4</c:v>
                </c:pt>
                <c:pt idx="159">
                  <c:v>9.4423368502681712E-5</c:v>
                </c:pt>
                <c:pt idx="160">
                  <c:v>8.0176249018285063E-5</c:v>
                </c:pt>
                <c:pt idx="161">
                  <c:v>7.0960830016973648E-5</c:v>
                </c:pt>
                <c:pt idx="162">
                  <c:v>9.3232033189927563E-5</c:v>
                </c:pt>
                <c:pt idx="163">
                  <c:v>9.2355660955736627E-5</c:v>
                </c:pt>
                <c:pt idx="164">
                  <c:v>1.1908045249679075E-4</c:v>
                </c:pt>
                <c:pt idx="165">
                  <c:v>1.0027606301672508E-4</c:v>
                </c:pt>
                <c:pt idx="166">
                  <c:v>9.9306003104446131E-5</c:v>
                </c:pt>
                <c:pt idx="167">
                  <c:v>8.8343651144117159E-5</c:v>
                </c:pt>
                <c:pt idx="168">
                  <c:v>8.1827730745054353E-5</c:v>
                </c:pt>
                <c:pt idx="169">
                  <c:v>7.1836846927282274E-5</c:v>
                </c:pt>
                <c:pt idx="170">
                  <c:v>6.3564283637515645E-5</c:v>
                </c:pt>
                <c:pt idx="171">
                  <c:v>5.6639006062515999E-5</c:v>
                </c:pt>
                <c:pt idx="172">
                  <c:v>5.2765322160377667E-5</c:v>
                </c:pt>
                <c:pt idx="173">
                  <c:v>5.3465585566230328E-5</c:v>
                </c:pt>
                <c:pt idx="174">
                  <c:v>4.8193119997616055E-5</c:v>
                </c:pt>
                <c:pt idx="175">
                  <c:v>4.4628193553847612E-5</c:v>
                </c:pt>
                <c:pt idx="176">
                  <c:v>4.5218010266398279E-5</c:v>
                </c:pt>
                <c:pt idx="177">
                  <c:v>4.2045901819132949E-5</c:v>
                </c:pt>
                <c:pt idx="178">
                  <c:v>4.6107569876175056E-5</c:v>
                </c:pt>
                <c:pt idx="179">
                  <c:v>4.4258614480244196E-5</c:v>
                </c:pt>
                <c:pt idx="180">
                  <c:v>4.1963107573425826E-5</c:v>
                </c:pt>
                <c:pt idx="181">
                  <c:v>3.9442527300247865E-5</c:v>
                </c:pt>
                <c:pt idx="182">
                  <c:v>3.6878015205698627E-5</c:v>
                </c:pt>
                <c:pt idx="183">
                  <c:v>3.5660084074619378E-5</c:v>
                </c:pt>
                <c:pt idx="184">
                  <c:v>3.6067383215431432E-5</c:v>
                </c:pt>
                <c:pt idx="185">
                  <c:v>3.6158188401304318E-5</c:v>
                </c:pt>
                <c:pt idx="186">
                  <c:v>3.4307390428905916E-5</c:v>
                </c:pt>
                <c:pt idx="187">
                  <c:v>3.4635161381312207E-5</c:v>
                </c:pt>
                <c:pt idx="188">
                  <c:v>3.3241650121842735E-5</c:v>
                </c:pt>
                <c:pt idx="189">
                  <c:v>3.7763765021903496E-5</c:v>
                </c:pt>
                <c:pt idx="190">
                  <c:v>6.2608852882847226E-5</c:v>
                </c:pt>
                <c:pt idx="191">
                  <c:v>6.2638447664042384E-5</c:v>
                </c:pt>
                <c:pt idx="192">
                  <c:v>5.8126728668681755E-5</c:v>
                </c:pt>
                <c:pt idx="193">
                  <c:v>6.8769686116093999E-5</c:v>
                </c:pt>
                <c:pt idx="194">
                  <c:v>6.2335682764294177E-5</c:v>
                </c:pt>
                <c:pt idx="195">
                  <c:v>5.5001196819230006E-5</c:v>
                </c:pt>
                <c:pt idx="196">
                  <c:v>5.015742744504373E-5</c:v>
                </c:pt>
                <c:pt idx="197">
                  <c:v>8.9650466925695791E-5</c:v>
                </c:pt>
                <c:pt idx="198">
                  <c:v>1.4152505173673687E-4</c:v>
                </c:pt>
                <c:pt idx="199">
                  <c:v>1.2092292554218771E-4</c:v>
                </c:pt>
                <c:pt idx="200">
                  <c:v>1.0181091802827473E-4</c:v>
                </c:pt>
                <c:pt idx="201">
                  <c:v>8.6066701156516987E-5</c:v>
                </c:pt>
                <c:pt idx="202">
                  <c:v>8.8226670387625056E-5</c:v>
                </c:pt>
                <c:pt idx="203">
                  <c:v>8.4962725269006897E-5</c:v>
                </c:pt>
                <c:pt idx="204">
                  <c:v>8.4186694732560376E-5</c:v>
                </c:pt>
                <c:pt idx="205">
                  <c:v>9.4554637669770085E-5</c:v>
                </c:pt>
                <c:pt idx="206">
                  <c:v>8.0179427546045137E-5</c:v>
                </c:pt>
                <c:pt idx="207">
                  <c:v>9.16572310413756E-5</c:v>
                </c:pt>
                <c:pt idx="208">
                  <c:v>7.7884954593842736E-5</c:v>
                </c:pt>
                <c:pt idx="209">
                  <c:v>9.196250433435516E-5</c:v>
                </c:pt>
                <c:pt idx="210">
                  <c:v>8.0955919498349057E-5</c:v>
                </c:pt>
                <c:pt idx="211">
                  <c:v>9.2170244683399688E-5</c:v>
                </c:pt>
                <c:pt idx="212">
                  <c:v>1.1256042948675395E-4</c:v>
                </c:pt>
                <c:pt idx="213">
                  <c:v>1.0011373625947743E-4</c:v>
                </c:pt>
                <c:pt idx="214">
                  <c:v>8.8531117105873403E-5</c:v>
                </c:pt>
                <c:pt idx="215">
                  <c:v>8.7740485958248343E-5</c:v>
                </c:pt>
                <c:pt idx="216">
                  <c:v>8.6749619348196514E-5</c:v>
                </c:pt>
                <c:pt idx="217">
                  <c:v>1.0142239882029202E-4</c:v>
                </c:pt>
                <c:pt idx="218">
                  <c:v>8.6217887996742441E-5</c:v>
                </c:pt>
                <c:pt idx="219">
                  <c:v>1.9477530238935076E-4</c:v>
                </c:pt>
                <c:pt idx="220">
                  <c:v>1.7499679509322205E-4</c:v>
                </c:pt>
                <c:pt idx="221">
                  <c:v>1.5292378712492149E-4</c:v>
                </c:pt>
                <c:pt idx="222">
                  <c:v>1.3487920248167308E-4</c:v>
                </c:pt>
                <c:pt idx="223">
                  <c:v>1.1457820159167875E-4</c:v>
                </c:pt>
                <c:pt idx="224">
                  <c:v>9.9858015865031841E-5</c:v>
                </c:pt>
                <c:pt idx="225">
                  <c:v>8.4365283394179105E-5</c:v>
                </c:pt>
                <c:pt idx="226">
                  <c:v>7.3232101807111738E-5</c:v>
                </c:pt>
                <c:pt idx="227">
                  <c:v>7.7393598096940324E-5</c:v>
                </c:pt>
                <c:pt idx="228">
                  <c:v>1.0493567824850419E-4</c:v>
                </c:pt>
                <c:pt idx="229">
                  <c:v>9.6529095407089913E-5</c:v>
                </c:pt>
                <c:pt idx="230">
                  <c:v>9.3049563527340266E-5</c:v>
                </c:pt>
                <c:pt idx="231">
                  <c:v>7.9074107610570461E-5</c:v>
                </c:pt>
                <c:pt idx="232">
                  <c:v>7.1868836408097239E-5</c:v>
                </c:pt>
                <c:pt idx="233">
                  <c:v>1.0338243158225074E-4</c:v>
                </c:pt>
                <c:pt idx="234">
                  <c:v>1.2713892140639606E-4</c:v>
                </c:pt>
                <c:pt idx="235">
                  <c:v>1.0802691857845638E-4</c:v>
                </c:pt>
                <c:pt idx="236">
                  <c:v>1.0556106072013264E-4</c:v>
                </c:pt>
                <c:pt idx="237">
                  <c:v>9.4112005449397819E-5</c:v>
                </c:pt>
                <c:pt idx="238">
                  <c:v>8.3547672800489073E-5</c:v>
                </c:pt>
                <c:pt idx="239">
                  <c:v>7.3854720248879528E-5</c:v>
                </c:pt>
                <c:pt idx="240">
                  <c:v>6.449397401339867E-5</c:v>
                </c:pt>
                <c:pt idx="241">
                  <c:v>6.7681925274557024E-5</c:v>
                </c:pt>
                <c:pt idx="242">
                  <c:v>6.6422425577592056E-5</c:v>
                </c:pt>
                <c:pt idx="243">
                  <c:v>5.9749549782949777E-5</c:v>
                </c:pt>
                <c:pt idx="244">
                  <c:v>6.0045740349961416E-5</c:v>
                </c:pt>
                <c:pt idx="245">
                  <c:v>6.0296827646833975E-5</c:v>
                </c:pt>
                <c:pt idx="246">
                  <c:v>1.0919971443493388E-4</c:v>
                </c:pt>
                <c:pt idx="247">
                  <c:v>9.1644797088736871E-5</c:v>
                </c:pt>
                <c:pt idx="248">
                  <c:v>9.654118100408475E-5</c:v>
                </c:pt>
                <c:pt idx="249">
                  <c:v>8.2499677647397205E-5</c:v>
                </c:pt>
                <c:pt idx="250">
                  <c:v>8.0054446089997572E-5</c:v>
                </c:pt>
                <c:pt idx="251">
                  <c:v>6.9151181247134504E-5</c:v>
                </c:pt>
                <c:pt idx="252">
                  <c:v>7.9638330513598355E-5</c:v>
                </c:pt>
                <c:pt idx="253">
                  <c:v>7.0232325982812766E-5</c:v>
                </c:pt>
                <c:pt idx="254">
                  <c:v>6.116238817076587E-5</c:v>
                </c:pt>
                <c:pt idx="255">
                  <c:v>5.4386150315965354E-5</c:v>
                </c:pt>
                <c:pt idx="256">
                  <c:v>5.4862599783122722E-5</c:v>
                </c:pt>
                <c:pt idx="257">
                  <c:v>4.901224410262731E-5</c:v>
                </c:pt>
                <c:pt idx="258">
                  <c:v>5.2517390107392406E-5</c:v>
                </c:pt>
                <c:pt idx="259">
                  <c:v>5.0030016561647033E-5</c:v>
                </c:pt>
                <c:pt idx="260">
                  <c:v>5.9209209006428208E-5</c:v>
                </c:pt>
                <c:pt idx="261">
                  <c:v>5.4192914344864232E-5</c:v>
                </c:pt>
                <c:pt idx="262">
                  <c:v>4.8461149929317099E-5</c:v>
                </c:pt>
                <c:pt idx="263">
                  <c:v>5.2229618463545822E-5</c:v>
                </c:pt>
                <c:pt idx="264">
                  <c:v>5.8304965177232018E-5</c:v>
                </c:pt>
                <c:pt idx="265">
                  <c:v>5.1707543788625367E-5</c:v>
                </c:pt>
                <c:pt idx="266">
                  <c:v>5.1281227659747173E-5</c:v>
                </c:pt>
                <c:pt idx="267">
                  <c:v>4.7560560545350146E-5</c:v>
                </c:pt>
                <c:pt idx="268">
                  <c:v>5.5653511589311662E-5</c:v>
                </c:pt>
                <c:pt idx="269">
                  <c:v>5.0258603154037104E-5</c:v>
                </c:pt>
                <c:pt idx="270">
                  <c:v>1.3535568118133804E-4</c:v>
                </c:pt>
                <c:pt idx="271">
                  <c:v>1.2660539347682205E-4</c:v>
                </c:pt>
                <c:pt idx="272">
                  <c:v>1.0525640428924319E-4</c:v>
                </c:pt>
                <c:pt idx="273">
                  <c:v>1.0445933372217459E-4</c:v>
                </c:pt>
                <c:pt idx="274">
                  <c:v>1.3142840306412375E-4</c:v>
                </c:pt>
                <c:pt idx="275">
                  <c:v>1.151247359082883E-4</c:v>
                </c:pt>
                <c:pt idx="276">
                  <c:v>9.7348457793453323E-5</c:v>
                </c:pt>
                <c:pt idx="277">
                  <c:v>8.375325955912091E-5</c:v>
                </c:pt>
                <c:pt idx="278">
                  <c:v>7.2488414529848924E-5</c:v>
                </c:pt>
                <c:pt idx="279">
                  <c:v>6.52293841161709E-5</c:v>
                </c:pt>
                <c:pt idx="280">
                  <c:v>7.6883896135068822E-5</c:v>
                </c:pt>
                <c:pt idx="281">
                  <c:v>1.4309806013405415E-4</c:v>
                </c:pt>
                <c:pt idx="282">
                  <c:v>1.4905421668710573E-4</c:v>
                </c:pt>
                <c:pt idx="283">
                  <c:v>1.3073722302802841E-4</c:v>
                </c:pt>
                <c:pt idx="284">
                  <c:v>1.1733366907063701E-4</c:v>
                </c:pt>
                <c:pt idx="285">
                  <c:v>1.0328078347317402E-4</c:v>
                </c:pt>
                <c:pt idx="286">
                  <c:v>8.9830966966269573E-5</c:v>
                </c:pt>
                <c:pt idx="287">
                  <c:v>8.4439340486910824E-5</c:v>
                </c:pt>
                <c:pt idx="288">
                  <c:v>7.4141331677247008E-5</c:v>
                </c:pt>
                <c:pt idx="289">
                  <c:v>6.4104529931231189E-5</c:v>
                </c:pt>
                <c:pt idx="290">
                  <c:v>7.0036495233459132E-5</c:v>
                </c:pt>
                <c:pt idx="291">
                  <c:v>6.2245333169326218E-5</c:v>
                </c:pt>
                <c:pt idx="292">
                  <c:v>6.7536450379277016E-5</c:v>
                </c:pt>
                <c:pt idx="293">
                  <c:v>6.0373686498258677E-5</c:v>
                </c:pt>
                <c:pt idx="294">
                  <c:v>6.7113021349944781E-5</c:v>
                </c:pt>
                <c:pt idx="295">
                  <c:v>5.8581858055827285E-5</c:v>
                </c:pt>
                <c:pt idx="296">
                  <c:v>5.1892745392204622E-5</c:v>
                </c:pt>
                <c:pt idx="297">
                  <c:v>5.4969831551471068E-5</c:v>
                </c:pt>
                <c:pt idx="298">
                  <c:v>4.9298352563678428E-5</c:v>
                </c:pt>
                <c:pt idx="299">
                  <c:v>4.7094371276637154E-5</c:v>
                </c:pt>
                <c:pt idx="300">
                  <c:v>5.256840068057699E-5</c:v>
                </c:pt>
                <c:pt idx="301">
                  <c:v>5.5224234571298026E-5</c:v>
                </c:pt>
                <c:pt idx="302">
                  <c:v>4.9434330241994674E-5</c:v>
                </c:pt>
                <c:pt idx="303">
                  <c:v>7.4194926601648981E-5</c:v>
                </c:pt>
                <c:pt idx="304">
                  <c:v>6.8972793263975438E-5</c:v>
                </c:pt>
                <c:pt idx="305">
                  <c:v>6.2768787465071333E-5</c:v>
                </c:pt>
                <c:pt idx="306">
                  <c:v>5.7204236913913668E-5</c:v>
                </c:pt>
                <c:pt idx="307">
                  <c:v>5.4649154762998815E-5</c:v>
                </c:pt>
                <c:pt idx="308">
                  <c:v>5.7424225829809793E-5</c:v>
                </c:pt>
                <c:pt idx="309">
                  <c:v>5.8134262124283104E-5</c:v>
                </c:pt>
                <c:pt idx="310">
                  <c:v>5.2116590255922061E-5</c:v>
                </c:pt>
                <c:pt idx="311">
                  <c:v>4.869421965634596E-5</c:v>
                </c:pt>
                <c:pt idx="312">
                  <c:v>5.0910306175545799E-5</c:v>
                </c:pt>
                <c:pt idx="313">
                  <c:v>5.0153358338332598E-5</c:v>
                </c:pt>
                <c:pt idx="314">
                  <c:v>4.6031400634085152E-5</c:v>
                </c:pt>
                <c:pt idx="315">
                  <c:v>4.2413721603716032E-5</c:v>
                </c:pt>
                <c:pt idx="316">
                  <c:v>4.2287451604673332E-5</c:v>
                </c:pt>
                <c:pt idx="317">
                  <c:v>4.4009847057415019E-5</c:v>
                </c:pt>
                <c:pt idx="318">
                  <c:v>4.2118815641336961E-5</c:v>
                </c:pt>
                <c:pt idx="319">
                  <c:v>5.5699270883262371E-5</c:v>
                </c:pt>
                <c:pt idx="320">
                  <c:v>5.1694763585095785E-5</c:v>
                </c:pt>
                <c:pt idx="321">
                  <c:v>6.0456306484779523E-5</c:v>
                </c:pt>
                <c:pt idx="322">
                  <c:v>5.4046987466818042E-5</c:v>
                </c:pt>
                <c:pt idx="323">
                  <c:v>5.0420941525575273E-5</c:v>
                </c:pt>
                <c:pt idx="324">
                  <c:v>5.3416228611800123E-5</c:v>
                </c:pt>
                <c:pt idx="325">
                  <c:v>4.9591959189987779E-5</c:v>
                </c:pt>
                <c:pt idx="326">
                  <c:v>5.1679451162004489E-5</c:v>
                </c:pt>
                <c:pt idx="327">
                  <c:v>8.651944332365951E-5</c:v>
                </c:pt>
                <c:pt idx="328">
                  <c:v>9.5608263048137373E-5</c:v>
                </c:pt>
                <c:pt idx="329">
                  <c:v>8.9963908281090238E-5</c:v>
                </c:pt>
                <c:pt idx="330">
                  <c:v>1.2626872850682417E-4</c:v>
                </c:pt>
                <c:pt idx="331">
                  <c:v>1.5789664124735649E-4</c:v>
                </c:pt>
                <c:pt idx="332">
                  <c:v>1.4360055237477897E-4</c:v>
                </c:pt>
                <c:pt idx="333">
                  <c:v>1.1972172836935446E-4</c:v>
                </c:pt>
                <c:pt idx="334">
                  <c:v>1.2773660842464217E-4</c:v>
                </c:pt>
                <c:pt idx="335">
                  <c:v>1.0626351380186807E-4</c:v>
                </c:pt>
                <c:pt idx="336">
                  <c:v>9.4268211312111485E-5</c:v>
                </c:pt>
                <c:pt idx="337">
                  <c:v>8.8733932406236495E-5</c:v>
                </c:pt>
                <c:pt idx="338">
                  <c:v>1.0471103929304579E-4</c:v>
                </c:pt>
                <c:pt idx="339">
                  <c:v>9.1496632212163188E-5</c:v>
                </c:pt>
                <c:pt idx="340">
                  <c:v>9.6408576975641231E-5</c:v>
                </c:pt>
                <c:pt idx="341">
                  <c:v>8.7185855295739899E-5</c:v>
                </c:pt>
                <c:pt idx="342">
                  <c:v>8.0738430159362637E-5</c:v>
                </c:pt>
                <c:pt idx="343">
                  <c:v>6.946896345620145E-5</c:v>
                </c:pt>
                <c:pt idx="344">
                  <c:v>6.0874608789681346E-5</c:v>
                </c:pt>
                <c:pt idx="345">
                  <c:v>5.5729178754817014E-5</c:v>
                </c:pt>
                <c:pt idx="346">
                  <c:v>6.4810399679134974E-5</c:v>
                </c:pt>
                <c:pt idx="347">
                  <c:v>5.8177041518567171E-5</c:v>
                </c:pt>
                <c:pt idx="348">
                  <c:v>5.2817609293155364E-5</c:v>
                </c:pt>
                <c:pt idx="349">
                  <c:v>4.8189170928797418E-5</c:v>
                </c:pt>
                <c:pt idx="350">
                  <c:v>5.1649869987109086E-5</c:v>
                </c:pt>
                <c:pt idx="351">
                  <c:v>4.7523864281371595E-5</c:v>
                </c:pt>
                <c:pt idx="352">
                  <c:v>4.5698191666308593E-5</c:v>
                </c:pt>
                <c:pt idx="353">
                  <c:v>4.1842422428612764E-5</c:v>
                </c:pt>
                <c:pt idx="354">
                  <c:v>3.9417780024113733E-5</c:v>
                </c:pt>
                <c:pt idx="355">
                  <c:v>4.2226460661483004E-5</c:v>
                </c:pt>
                <c:pt idx="356">
                  <c:v>3.9108881991522655E-5</c:v>
                </c:pt>
                <c:pt idx="357">
                  <c:v>3.8899753132231148E-5</c:v>
                </c:pt>
                <c:pt idx="358">
                  <c:v>6.0051665259041253E-5</c:v>
                </c:pt>
                <c:pt idx="359">
                  <c:v>5.3053144643297016E-5</c:v>
                </c:pt>
                <c:pt idx="360">
                  <c:v>5.3801362045006126E-5</c:v>
                </c:pt>
                <c:pt idx="361">
                  <c:v>4.8348278319175261E-5</c:v>
                </c:pt>
                <c:pt idx="362">
                  <c:v>5.1356669002220132E-5</c:v>
                </c:pt>
                <c:pt idx="363">
                  <c:v>4.8893029989428971E-5</c:v>
                </c:pt>
                <c:pt idx="364">
                  <c:v>5.4685140209209676E-5</c:v>
                </c:pt>
                <c:pt idx="365">
                  <c:v>5.0627600486049341E-5</c:v>
                </c:pt>
                <c:pt idx="366">
                  <c:v>4.8216337149586868E-5</c:v>
                </c:pt>
                <c:pt idx="367">
                  <c:v>5.4189166064157779E-5</c:v>
                </c:pt>
                <c:pt idx="368">
                  <c:v>5.4679157868909754E-5</c:v>
                </c:pt>
                <c:pt idx="369">
                  <c:v>5.0699399651013797E-5</c:v>
                </c:pt>
                <c:pt idx="370">
                  <c:v>4.5902129261496325E-5</c:v>
                </c:pt>
                <c:pt idx="371">
                  <c:v>4.5566008256855693E-5</c:v>
                </c:pt>
                <c:pt idx="372">
                  <c:v>4.8912985287907383E-5</c:v>
                </c:pt>
                <c:pt idx="373">
                  <c:v>6.3674551134415436E-5</c:v>
                </c:pt>
                <c:pt idx="374">
                  <c:v>5.6226857468154789E-5</c:v>
                </c:pt>
                <c:pt idx="375">
                  <c:v>5.5024083803529797E-5</c:v>
                </c:pt>
                <c:pt idx="376">
                  <c:v>6.0282185311642065E-5</c:v>
                </c:pt>
                <c:pt idx="377">
                  <c:v>5.6905897038166022E-5</c:v>
                </c:pt>
                <c:pt idx="378">
                  <c:v>6.3764162977616735E-5</c:v>
                </c:pt>
                <c:pt idx="379">
                  <c:v>8.105473279521268E-5</c:v>
                </c:pt>
                <c:pt idx="380">
                  <c:v>7.4179897910388995E-5</c:v>
                </c:pt>
                <c:pt idx="381">
                  <c:v>7.1078407685368022E-5</c:v>
                </c:pt>
                <c:pt idx="382">
                  <c:v>8.583337067623068E-5</c:v>
                </c:pt>
                <c:pt idx="383">
                  <c:v>7.4139596435003711E-5</c:v>
                </c:pt>
                <c:pt idx="384">
                  <c:v>6.7194489421663726E-5</c:v>
                </c:pt>
                <c:pt idx="385">
                  <c:v>7.4280214788630865E-5</c:v>
                </c:pt>
                <c:pt idx="386">
                  <c:v>6.5903795145757013E-5</c:v>
                </c:pt>
                <c:pt idx="387">
                  <c:v>6.0938335787977398E-5</c:v>
                </c:pt>
                <c:pt idx="388">
                  <c:v>5.6203702982041628E-5</c:v>
                </c:pt>
                <c:pt idx="389">
                  <c:v>5.0780022327296104E-5</c:v>
                </c:pt>
                <c:pt idx="390">
                  <c:v>4.8432136438198169E-5</c:v>
                </c:pt>
                <c:pt idx="391">
                  <c:v>4.4602543461935323E-5</c:v>
                </c:pt>
                <c:pt idx="392">
                  <c:v>4.8684809761965276E-5</c:v>
                </c:pt>
                <c:pt idx="393">
                  <c:v>7.6003760826532225E-5</c:v>
                </c:pt>
                <c:pt idx="394">
                  <c:v>6.7577948968228427E-5</c:v>
                </c:pt>
                <c:pt idx="395">
                  <c:v>5.9055395276253999E-5</c:v>
                </c:pt>
                <c:pt idx="396">
                  <c:v>5.3888873703897821E-5</c:v>
                </c:pt>
                <c:pt idx="397">
                  <c:v>5.5324874588524663E-5</c:v>
                </c:pt>
                <c:pt idx="398">
                  <c:v>4.9336131059408331E-5</c:v>
                </c:pt>
                <c:pt idx="399">
                  <c:v>4.6556221068258391E-5</c:v>
                </c:pt>
                <c:pt idx="400">
                  <c:v>4.265112875896029E-5</c:v>
                </c:pt>
                <c:pt idx="401">
                  <c:v>5.3150195857747912E-5</c:v>
                </c:pt>
                <c:pt idx="402">
                  <c:v>5.1813121786321276E-5</c:v>
                </c:pt>
                <c:pt idx="403">
                  <c:v>4.7301611625988727E-5</c:v>
                </c:pt>
                <c:pt idx="404">
                  <c:v>9.1805867889516255E-5</c:v>
                </c:pt>
                <c:pt idx="405">
                  <c:v>9.2718981917330393E-5</c:v>
                </c:pt>
                <c:pt idx="406">
                  <c:v>8.1338533516476399E-5</c:v>
                </c:pt>
                <c:pt idx="407">
                  <c:v>7.1706242213645294E-5</c:v>
                </c:pt>
                <c:pt idx="408">
                  <c:v>6.5960432431343567E-5</c:v>
                </c:pt>
                <c:pt idx="409">
                  <c:v>5.7685865354513992E-5</c:v>
                </c:pt>
                <c:pt idx="410">
                  <c:v>6.0377087294409224E-5</c:v>
                </c:pt>
                <c:pt idx="411">
                  <c:v>7.4012453531885247E-5</c:v>
                </c:pt>
                <c:pt idx="412">
                  <c:v>8.3164300651106935E-5</c:v>
                </c:pt>
                <c:pt idx="413">
                  <c:v>7.1490516816941803E-5</c:v>
                </c:pt>
                <c:pt idx="414">
                  <c:v>6.9647445302146305E-5</c:v>
                </c:pt>
                <c:pt idx="415">
                  <c:v>6.0608334415766251E-5</c:v>
                </c:pt>
                <c:pt idx="416">
                  <c:v>5.4479937728310629E-5</c:v>
                </c:pt>
                <c:pt idx="417">
                  <c:v>5.1963646067368126E-5</c:v>
                </c:pt>
                <c:pt idx="418">
                  <c:v>4.9285282997275638E-5</c:v>
                </c:pt>
                <c:pt idx="419">
                  <c:v>8.5559328311234941E-5</c:v>
                </c:pt>
                <c:pt idx="420">
                  <c:v>7.6439026769796684E-5</c:v>
                </c:pt>
                <c:pt idx="421">
                  <c:v>6.5977050234940253E-5</c:v>
                </c:pt>
                <c:pt idx="422">
                  <c:v>6.8070763670504414E-5</c:v>
                </c:pt>
                <c:pt idx="423">
                  <c:v>7.7180685708340399E-5</c:v>
                </c:pt>
                <c:pt idx="424">
                  <c:v>6.6626614850759264E-5</c:v>
                </c:pt>
                <c:pt idx="425">
                  <c:v>5.8293683682052329E-5</c:v>
                </c:pt>
                <c:pt idx="426">
                  <c:v>5.4566665846294339E-5</c:v>
                </c:pt>
                <c:pt idx="427">
                  <c:v>4.9423910843886159E-5</c:v>
                </c:pt>
                <c:pt idx="428">
                  <c:v>5.0109621944625464E-5</c:v>
                </c:pt>
                <c:pt idx="429">
                  <c:v>5.056790669217254E-5</c:v>
                </c:pt>
                <c:pt idx="430">
                  <c:v>4.654519311983954E-5</c:v>
                </c:pt>
                <c:pt idx="431">
                  <c:v>6.0445682015833425E-5</c:v>
                </c:pt>
                <c:pt idx="432">
                  <c:v>5.3411498521340603E-5</c:v>
                </c:pt>
                <c:pt idx="433">
                  <c:v>6.1436731885761088E-5</c:v>
                </c:pt>
                <c:pt idx="434">
                  <c:v>5.6653470699071531E-5</c:v>
                </c:pt>
                <c:pt idx="435">
                  <c:v>5.0481852855136007E-5</c:v>
                </c:pt>
                <c:pt idx="436">
                  <c:v>4.6441608028002084E-5</c:v>
                </c:pt>
                <c:pt idx="437">
                  <c:v>5.3921690172640488E-5</c:v>
                </c:pt>
                <c:pt idx="438">
                  <c:v>4.8246912308880634E-5</c:v>
                </c:pt>
                <c:pt idx="439">
                  <c:v>4.4253449061471864E-5</c:v>
                </c:pt>
                <c:pt idx="440">
                  <c:v>4.7478041262376933E-5</c:v>
                </c:pt>
                <c:pt idx="441">
                  <c:v>4.9499123769135404E-5</c:v>
                </c:pt>
                <c:pt idx="442">
                  <c:v>4.5062416918071881E-5</c:v>
                </c:pt>
                <c:pt idx="443">
                  <c:v>4.276471420726148E-5</c:v>
                </c:pt>
                <c:pt idx="444">
                  <c:v>4.2453459295948132E-5</c:v>
                </c:pt>
                <c:pt idx="445">
                  <c:v>5.4930451166955518E-5</c:v>
                </c:pt>
                <c:pt idx="446">
                  <c:v>5.043615329880139E-5</c:v>
                </c:pt>
                <c:pt idx="447">
                  <c:v>5.1184922903391144E-5</c:v>
                </c:pt>
                <c:pt idx="448">
                  <c:v>4.8458020989395961E-5</c:v>
                </c:pt>
                <c:pt idx="449">
                  <c:v>4.4612354173117963E-5</c:v>
                </c:pt>
                <c:pt idx="450">
                  <c:v>4.1196167818630483E-5</c:v>
                </c:pt>
                <c:pt idx="451">
                  <c:v>3.8389504798173214E-5</c:v>
                </c:pt>
                <c:pt idx="452">
                  <c:v>5.362795817197493E-5</c:v>
                </c:pt>
                <c:pt idx="453">
                  <c:v>5.9428471777406191E-5</c:v>
                </c:pt>
                <c:pt idx="454">
                  <c:v>6.5584519633837682E-5</c:v>
                </c:pt>
                <c:pt idx="455">
                  <c:v>5.7939087937981823E-5</c:v>
                </c:pt>
                <c:pt idx="456">
                  <c:v>5.9866220068711774E-5</c:v>
                </c:pt>
                <c:pt idx="457">
                  <c:v>5.8405650601741122E-5</c:v>
                </c:pt>
                <c:pt idx="458">
                  <c:v>5.7428598437438316E-5</c:v>
                </c:pt>
                <c:pt idx="459">
                  <c:v>5.0985895702316876E-5</c:v>
                </c:pt>
                <c:pt idx="460">
                  <c:v>5.0237236704682751E-5</c:v>
                </c:pt>
                <c:pt idx="461">
                  <c:v>5.1394137754710718E-5</c:v>
                </c:pt>
                <c:pt idx="462">
                  <c:v>4.7765701474569242E-5</c:v>
                </c:pt>
                <c:pt idx="463">
                  <c:v>4.5903397367472352E-5</c:v>
                </c:pt>
                <c:pt idx="464">
                  <c:v>5.3759785805916964E-5</c:v>
                </c:pt>
                <c:pt idx="465">
                  <c:v>6.0242390001518808E-5</c:v>
                </c:pt>
                <c:pt idx="466">
                  <c:v>5.3256052663689368E-5</c:v>
                </c:pt>
                <c:pt idx="467">
                  <c:v>4.8607235195285574E-5</c:v>
                </c:pt>
                <c:pt idx="468">
                  <c:v>4.7696642740376268E-5</c:v>
                </c:pt>
                <c:pt idx="469">
                  <c:v>4.3637815014358467E-5</c:v>
                </c:pt>
                <c:pt idx="470">
                  <c:v>7.9327517470497545E-5</c:v>
                </c:pt>
                <c:pt idx="471">
                  <c:v>6.9739389652197014E-5</c:v>
                </c:pt>
                <c:pt idx="472">
                  <c:v>6.4645543690065545E-5</c:v>
                </c:pt>
                <c:pt idx="473">
                  <c:v>6.4107736680664673E-5</c:v>
                </c:pt>
                <c:pt idx="474">
                  <c:v>5.637673015986454E-5</c:v>
                </c:pt>
                <c:pt idx="475">
                  <c:v>5.6918921889459647E-5</c:v>
                </c:pt>
                <c:pt idx="476">
                  <c:v>7.3974242306031664E-5</c:v>
                </c:pt>
                <c:pt idx="477">
                  <c:v>1.2847644821599666E-4</c:v>
                </c:pt>
                <c:pt idx="478">
                  <c:v>1.1966527461040005E-4</c:v>
                </c:pt>
                <c:pt idx="479">
                  <c:v>1.0017270788780397E-4</c:v>
                </c:pt>
                <c:pt idx="480">
                  <c:v>8.7202270710598398E-5</c:v>
                </c:pt>
                <c:pt idx="481">
                  <c:v>7.5108565202528782E-5</c:v>
                </c:pt>
                <c:pt idx="482">
                  <c:v>6.6307736361088249E-5</c:v>
                </c:pt>
                <c:pt idx="483">
                  <c:v>6.051333702521568E-5</c:v>
                </c:pt>
                <c:pt idx="484">
                  <c:v>5.7975443549685682E-5</c:v>
                </c:pt>
                <c:pt idx="485">
                  <c:v>5.1520886402718378E-5</c:v>
                </c:pt>
                <c:pt idx="486">
                  <c:v>6.3112269214426889E-5</c:v>
                </c:pt>
                <c:pt idx="487">
                  <c:v>6.5460787370624836E-5</c:v>
                </c:pt>
                <c:pt idx="488">
                  <c:v>5.7478180143452626E-5</c:v>
                </c:pt>
                <c:pt idx="489">
                  <c:v>5.1035323490354358E-5</c:v>
                </c:pt>
                <c:pt idx="490">
                  <c:v>4.6012526677038739E-5</c:v>
                </c:pt>
                <c:pt idx="491">
                  <c:v>4.2766911909735146E-5</c:v>
                </c:pt>
                <c:pt idx="492">
                  <c:v>4.2648042004665129E-5</c:v>
                </c:pt>
                <c:pt idx="493">
                  <c:v>4.9490321704127939E-5</c:v>
                </c:pt>
                <c:pt idx="494">
                  <c:v>4.632839135414307E-5</c:v>
                </c:pt>
                <c:pt idx="495">
                  <c:v>6.222733966686599E-5</c:v>
                </c:pt>
                <c:pt idx="496">
                  <c:v>5.4820065078364132E-5</c:v>
                </c:pt>
                <c:pt idx="497">
                  <c:v>5.4207553684548905E-5</c:v>
                </c:pt>
                <c:pt idx="498">
                  <c:v>5.9639316145460643E-5</c:v>
                </c:pt>
                <c:pt idx="499">
                  <c:v>5.2730038076253811E-5</c:v>
                </c:pt>
                <c:pt idx="500">
                  <c:v>4.9474481758593075E-5</c:v>
                </c:pt>
                <c:pt idx="501">
                  <c:v>4.7828444599483047E-5</c:v>
                </c:pt>
                <c:pt idx="502">
                  <c:v>4.6151452723311922E-5</c:v>
                </c:pt>
                <c:pt idx="503">
                  <c:v>4.6252900578953429E-5</c:v>
                </c:pt>
                <c:pt idx="504">
                  <c:v>4.6697889129743041E-5</c:v>
                </c:pt>
                <c:pt idx="505">
                  <c:v>4.4790241106491919E-5</c:v>
                </c:pt>
                <c:pt idx="506">
                  <c:v>4.43026396476152E-5</c:v>
                </c:pt>
                <c:pt idx="507">
                  <c:v>4.2009404706001279E-5</c:v>
                </c:pt>
                <c:pt idx="508">
                  <c:v>4.3979255468839842E-5</c:v>
                </c:pt>
                <c:pt idx="509">
                  <c:v>4.0617891088258338E-5</c:v>
                </c:pt>
                <c:pt idx="510">
                  <c:v>3.9404989446618453E-5</c:v>
                </c:pt>
                <c:pt idx="511">
                  <c:v>3.8170492251711766E-5</c:v>
                </c:pt>
                <c:pt idx="512">
                  <c:v>4.8603043765691695E-5</c:v>
                </c:pt>
                <c:pt idx="513">
                  <c:v>4.8051179397718372E-5</c:v>
                </c:pt>
                <c:pt idx="514">
                  <c:v>4.4130493491142982E-5</c:v>
                </c:pt>
                <c:pt idx="515">
                  <c:v>4.2181822677749059E-5</c:v>
                </c:pt>
                <c:pt idx="516">
                  <c:v>3.9530045877310003E-5</c:v>
                </c:pt>
                <c:pt idx="517">
                  <c:v>3.731590409695065E-5</c:v>
                </c:pt>
                <c:pt idx="518">
                  <c:v>3.6690875773851262E-5</c:v>
                </c:pt>
                <c:pt idx="519">
                  <c:v>3.481977243583845E-5</c:v>
                </c:pt>
                <c:pt idx="520">
                  <c:v>3.325446368341924E-5</c:v>
                </c:pt>
                <c:pt idx="521">
                  <c:v>3.2196836813419693E-5</c:v>
                </c:pt>
                <c:pt idx="522">
                  <c:v>3.1676584188657775E-5</c:v>
                </c:pt>
                <c:pt idx="523">
                  <c:v>3.2537924476854915E-5</c:v>
                </c:pt>
                <c:pt idx="524">
                  <c:v>3.5133348951845146E-5</c:v>
                </c:pt>
                <c:pt idx="525">
                  <c:v>4.0998486989915139E-5</c:v>
                </c:pt>
                <c:pt idx="526">
                  <c:v>3.9308505103016721E-5</c:v>
                </c:pt>
                <c:pt idx="527">
                  <c:v>4.0114087623242445E-5</c:v>
                </c:pt>
                <c:pt idx="528">
                  <c:v>3.9077296837121091E-5</c:v>
                </c:pt>
                <c:pt idx="529">
                  <c:v>3.8845480158373428E-5</c:v>
                </c:pt>
                <c:pt idx="530">
                  <c:v>3.6785194116625885E-5</c:v>
                </c:pt>
                <c:pt idx="531">
                  <c:v>3.4838786060158324E-5</c:v>
                </c:pt>
                <c:pt idx="532">
                  <c:v>4.4822362267981237E-5</c:v>
                </c:pt>
                <c:pt idx="533">
                  <c:v>4.7162542614428995E-5</c:v>
                </c:pt>
                <c:pt idx="534">
                  <c:v>4.2945039575489597E-5</c:v>
                </c:pt>
                <c:pt idx="535">
                  <c:v>4.7051217839836075E-5</c:v>
                </c:pt>
                <c:pt idx="536">
                  <c:v>4.4441795311356713E-5</c:v>
                </c:pt>
                <c:pt idx="537">
                  <c:v>4.2221979512723198E-5</c:v>
                </c:pt>
                <c:pt idx="538">
                  <c:v>5.6906534975975039E-5</c:v>
                </c:pt>
                <c:pt idx="539">
                  <c:v>6.8386636918331124E-5</c:v>
                </c:pt>
                <c:pt idx="540">
                  <c:v>6.2172423627110632E-5</c:v>
                </c:pt>
                <c:pt idx="541">
                  <c:v>5.4875542287965095E-5</c:v>
                </c:pt>
                <c:pt idx="542">
                  <c:v>8.6163742004290145E-5</c:v>
                </c:pt>
                <c:pt idx="543">
                  <c:v>7.5255222906744695E-5</c:v>
                </c:pt>
                <c:pt idx="544">
                  <c:v>6.5161311095264616E-5</c:v>
                </c:pt>
                <c:pt idx="545">
                  <c:v>7.0152562704779313E-5</c:v>
                </c:pt>
                <c:pt idx="546">
                  <c:v>7.6791245601673863E-5</c:v>
                </c:pt>
                <c:pt idx="547">
                  <c:v>6.6925468180874671E-5</c:v>
                </c:pt>
                <c:pt idx="548">
                  <c:v>5.9799520850482103E-5</c:v>
                </c:pt>
                <c:pt idx="549">
                  <c:v>5.3816520325716081E-5</c:v>
                </c:pt>
                <c:pt idx="550">
                  <c:v>4.9515198249007498E-5</c:v>
                </c:pt>
                <c:pt idx="551">
                  <c:v>5.0554836846541286E-5</c:v>
                </c:pt>
                <c:pt idx="552">
                  <c:v>4.8159025922563091E-5</c:v>
                </c:pt>
                <c:pt idx="553">
                  <c:v>5.262160337238371E-5</c:v>
                </c:pt>
                <c:pt idx="554">
                  <c:v>4.873375903499013E-5</c:v>
                </c:pt>
                <c:pt idx="555">
                  <c:v>4.9923844933461125E-5</c:v>
                </c:pt>
                <c:pt idx="556">
                  <c:v>5.0734173611406642E-5</c:v>
                </c:pt>
                <c:pt idx="557">
                  <c:v>4.6515850085902866E-5</c:v>
                </c:pt>
                <c:pt idx="558">
                  <c:v>6.6271243107661907E-5</c:v>
                </c:pt>
                <c:pt idx="559">
                  <c:v>5.878570968380299E-5</c:v>
                </c:pt>
                <c:pt idx="560">
                  <c:v>5.4026381466673612E-5</c:v>
                </c:pt>
                <c:pt idx="561">
                  <c:v>6.1752039274155787E-5</c:v>
                </c:pt>
                <c:pt idx="562">
                  <c:v>5.6451039247329662E-5</c:v>
                </c:pt>
                <c:pt idx="563">
                  <c:v>5.0386509655933018E-5</c:v>
                </c:pt>
                <c:pt idx="564">
                  <c:v>4.6201557274417185E-5</c:v>
                </c:pt>
                <c:pt idx="565">
                  <c:v>4.28341501585653E-5</c:v>
                </c:pt>
                <c:pt idx="566">
                  <c:v>4.2838638590403022E-5</c:v>
                </c:pt>
                <c:pt idx="567">
                  <c:v>3.9821798305684128E-5</c:v>
                </c:pt>
                <c:pt idx="568">
                  <c:v>3.7388883641735387E-5</c:v>
                </c:pt>
                <c:pt idx="569">
                  <c:v>4.2684645345790505E-5</c:v>
                </c:pt>
                <c:pt idx="570">
                  <c:v>4.031294197869191E-5</c:v>
                </c:pt>
                <c:pt idx="571">
                  <c:v>4.3034779047641523E-5</c:v>
                </c:pt>
                <c:pt idx="572">
                  <c:v>4.1215620400202475E-5</c:v>
                </c:pt>
                <c:pt idx="573">
                  <c:v>4.4430511403913554E-5</c:v>
                </c:pt>
                <c:pt idx="574">
                  <c:v>4.1620821503010879E-5</c:v>
                </c:pt>
                <c:pt idx="575">
                  <c:v>4.3572576630540689E-5</c:v>
                </c:pt>
                <c:pt idx="576">
                  <c:v>4.2176169900773677E-5</c:v>
                </c:pt>
                <c:pt idx="577">
                  <c:v>4.1901405065714116E-5</c:v>
                </c:pt>
                <c:pt idx="578">
                  <c:v>4.1020762619605341E-5</c:v>
                </c:pt>
                <c:pt idx="579">
                  <c:v>3.9886866205988302E-5</c:v>
                </c:pt>
                <c:pt idx="580">
                  <c:v>4.4854844646485161E-5</c:v>
                </c:pt>
                <c:pt idx="581">
                  <c:v>4.3898555376573735E-5</c:v>
                </c:pt>
                <c:pt idx="582">
                  <c:v>4.060726751896389E-5</c:v>
                </c:pt>
                <c:pt idx="583">
                  <c:v>3.9764482677517903E-5</c:v>
                </c:pt>
                <c:pt idx="584">
                  <c:v>3.7801015437892297E-5</c:v>
                </c:pt>
                <c:pt idx="585">
                  <c:v>3.6225379429842349E-5</c:v>
                </c:pt>
                <c:pt idx="586">
                  <c:v>5.3337484264043682E-5</c:v>
                </c:pt>
                <c:pt idx="587">
                  <c:v>4.82831928613803E-5</c:v>
                </c:pt>
                <c:pt idx="588">
                  <c:v>4.9632225157478845E-5</c:v>
                </c:pt>
                <c:pt idx="589">
                  <c:v>8.4630467705732414E-5</c:v>
                </c:pt>
                <c:pt idx="590">
                  <c:v>7.5164019701627686E-5</c:v>
                </c:pt>
                <c:pt idx="591">
                  <c:v>6.6701921517132767E-5</c:v>
                </c:pt>
                <c:pt idx="592">
                  <c:v>5.838542369813428E-5</c:v>
                </c:pt>
                <c:pt idx="593">
                  <c:v>5.2672090438488214E-5</c:v>
                </c:pt>
                <c:pt idx="594">
                  <c:v>5.5297564232970848E-5</c:v>
                </c:pt>
                <c:pt idx="595">
                  <c:v>4.960393845291212E-5</c:v>
                </c:pt>
                <c:pt idx="596">
                  <c:v>8.8342656126530266E-5</c:v>
                </c:pt>
                <c:pt idx="597">
                  <c:v>7.6638769494976412E-5</c:v>
                </c:pt>
                <c:pt idx="598">
                  <c:v>6.6055855238691908E-5</c:v>
                </c:pt>
                <c:pt idx="599">
                  <c:v>6.2666459295112277E-5</c:v>
                </c:pt>
                <c:pt idx="600">
                  <c:v>5.619199705148672E-5</c:v>
                </c:pt>
                <c:pt idx="601">
                  <c:v>7.2201170746170887E-5</c:v>
                </c:pt>
                <c:pt idx="602">
                  <c:v>7.305820370396299E-5</c:v>
                </c:pt>
                <c:pt idx="603">
                  <c:v>7.6605149055567655E-5</c:v>
                </c:pt>
                <c:pt idx="604">
                  <c:v>7.3897755083671899E-5</c:v>
                </c:pt>
                <c:pt idx="605">
                  <c:v>6.406200457202109E-5</c:v>
                </c:pt>
                <c:pt idx="606">
                  <c:v>6.1850328128699205E-5</c:v>
                </c:pt>
                <c:pt idx="607">
                  <c:v>5.7407326713516864E-5</c:v>
                </c:pt>
                <c:pt idx="608">
                  <c:v>5.5513636437475992E-5</c:v>
                </c:pt>
                <c:pt idx="609">
                  <c:v>5.2838277521179219E-5</c:v>
                </c:pt>
                <c:pt idx="610">
                  <c:v>8.5501052019680061E-5</c:v>
                </c:pt>
                <c:pt idx="611">
                  <c:v>8.1561856549659055E-5</c:v>
                </c:pt>
                <c:pt idx="612">
                  <c:v>9.4194774289617922E-5</c:v>
                </c:pt>
                <c:pt idx="613">
                  <c:v>8.0037374267751129E-5</c:v>
                </c:pt>
                <c:pt idx="614">
                  <c:v>6.898236335924128E-5</c:v>
                </c:pt>
                <c:pt idx="615">
                  <c:v>7.3656727979232194E-5</c:v>
                </c:pt>
                <c:pt idx="616">
                  <c:v>6.5974303070944238E-5</c:v>
                </c:pt>
                <c:pt idx="617">
                  <c:v>6.6012263012174747E-5</c:v>
                </c:pt>
                <c:pt idx="618">
                  <c:v>5.902719101241126E-5</c:v>
                </c:pt>
                <c:pt idx="619">
                  <c:v>5.4053202488223067E-5</c:v>
                </c:pt>
                <c:pt idx="620">
                  <c:v>4.8403070016800026E-5</c:v>
                </c:pt>
                <c:pt idx="621">
                  <c:v>4.5128019381898591E-5</c:v>
                </c:pt>
                <c:pt idx="622">
                  <c:v>4.7299921232260793E-5</c:v>
                </c:pt>
                <c:pt idx="623">
                  <c:v>4.6783373320123291E-5</c:v>
                </c:pt>
                <c:pt idx="624">
                  <c:v>5.0961169700364569E-5</c:v>
                </c:pt>
                <c:pt idx="625">
                  <c:v>5.9708099772846355E-5</c:v>
                </c:pt>
                <c:pt idx="626">
                  <c:v>5.281135131270868E-5</c:v>
                </c:pt>
                <c:pt idx="627">
                  <c:v>4.736750113683044E-5</c:v>
                </c:pt>
                <c:pt idx="628">
                  <c:v>6.274870789805394E-5</c:v>
                </c:pt>
                <c:pt idx="629">
                  <c:v>6.3188153387950757E-5</c:v>
                </c:pt>
                <c:pt idx="630">
                  <c:v>5.5676721411565197E-5</c:v>
                </c:pt>
                <c:pt idx="631">
                  <c:v>6.2595603085871911E-5</c:v>
                </c:pt>
                <c:pt idx="632">
                  <c:v>5.9100477008271532E-5</c:v>
                </c:pt>
                <c:pt idx="633">
                  <c:v>6.1053557072920291E-5</c:v>
                </c:pt>
                <c:pt idx="634">
                  <c:v>5.8760937702559379E-5</c:v>
                </c:pt>
                <c:pt idx="635">
                  <c:v>5.4601758409819498E-5</c:v>
                </c:pt>
                <c:pt idx="636">
                  <c:v>5.0424392561118408E-5</c:v>
                </c:pt>
                <c:pt idx="637">
                  <c:v>4.7327122770791759E-5</c:v>
                </c:pt>
                <c:pt idx="638">
                  <c:v>4.9588026913521799E-5</c:v>
                </c:pt>
                <c:pt idx="639">
                  <c:v>5.7704549481854482E-5</c:v>
                </c:pt>
                <c:pt idx="640">
                  <c:v>7.1785793186815861E-5</c:v>
                </c:pt>
                <c:pt idx="641">
                  <c:v>6.7100935071298066E-5</c:v>
                </c:pt>
                <c:pt idx="642">
                  <c:v>6.3430508253276591E-5</c:v>
                </c:pt>
                <c:pt idx="643">
                  <c:v>5.5821894847111218E-5</c:v>
                </c:pt>
                <c:pt idx="644">
                  <c:v>4.9833925876727726E-5</c:v>
                </c:pt>
                <c:pt idx="645">
                  <c:v>4.810915673009167E-5</c:v>
                </c:pt>
                <c:pt idx="646">
                  <c:v>4.5136235547367435E-5</c:v>
                </c:pt>
                <c:pt idx="647">
                  <c:v>4.1396072581302101E-5</c:v>
                </c:pt>
                <c:pt idx="648">
                  <c:v>3.8555787611996157E-5</c:v>
                </c:pt>
                <c:pt idx="649">
                  <c:v>3.8229389863749753E-5</c:v>
                </c:pt>
                <c:pt idx="650">
                  <c:v>3.6126761453985991E-5</c:v>
                </c:pt>
                <c:pt idx="651">
                  <c:v>4.7011855481378541E-5</c:v>
                </c:pt>
                <c:pt idx="652">
                  <c:v>5.336650705311105E-5</c:v>
                </c:pt>
                <c:pt idx="653">
                  <c:v>5.9148507527157166E-5</c:v>
                </c:pt>
                <c:pt idx="654">
                  <c:v>5.9116480306042708E-5</c:v>
                </c:pt>
                <c:pt idx="655">
                  <c:v>5.2647684803703143E-5</c:v>
                </c:pt>
                <c:pt idx="656">
                  <c:v>5.2283047737213875E-5</c:v>
                </c:pt>
                <c:pt idx="657">
                  <c:v>5.392437462456813E-5</c:v>
                </c:pt>
                <c:pt idx="658">
                  <c:v>5.3460457866814239E-5</c:v>
                </c:pt>
                <c:pt idx="659">
                  <c:v>6.2485230284556814E-5</c:v>
                </c:pt>
                <c:pt idx="660">
                  <c:v>5.5254589812680802E-5</c:v>
                </c:pt>
                <c:pt idx="661">
                  <c:v>5.4686178824078109E-5</c:v>
                </c:pt>
                <c:pt idx="662">
                  <c:v>5.7950386179583075E-5</c:v>
                </c:pt>
                <c:pt idx="663">
                  <c:v>6.9356487021050622E-5</c:v>
                </c:pt>
                <c:pt idx="664">
                  <c:v>6.1013476579665096E-5</c:v>
                </c:pt>
                <c:pt idx="665">
                  <c:v>5.8098316737819212E-5</c:v>
                </c:pt>
                <c:pt idx="666">
                  <c:v>5.2695363409304259E-5</c:v>
                </c:pt>
                <c:pt idx="667">
                  <c:v>2.3060069454627189E-4</c:v>
                </c:pt>
                <c:pt idx="668">
                  <c:v>2.9830706082316523E-4</c:v>
                </c:pt>
                <c:pt idx="669">
                  <c:v>2.410751460053725E-4</c:v>
                </c:pt>
                <c:pt idx="670">
                  <c:v>3.1403212084770945E-4</c:v>
                </c:pt>
                <c:pt idx="671">
                  <c:v>2.5251158742681056E-4</c:v>
                </c:pt>
                <c:pt idx="672">
                  <c:v>2.0551322206475186E-4</c:v>
                </c:pt>
                <c:pt idx="673">
                  <c:v>1.6720131693075829E-4</c:v>
                </c:pt>
                <c:pt idx="674">
                  <c:v>1.4008168647722382E-4</c:v>
                </c:pt>
                <c:pt idx="675">
                  <c:v>1.3648413538096962E-4</c:v>
                </c:pt>
                <c:pt idx="676">
                  <c:v>1.1900107617382915E-4</c:v>
                </c:pt>
                <c:pt idx="677">
                  <c:v>1.007118276188873E-4</c:v>
                </c:pt>
                <c:pt idx="678">
                  <c:v>9.2110451283689926E-5</c:v>
                </c:pt>
                <c:pt idx="679">
                  <c:v>7.8260511062399715E-5</c:v>
                </c:pt>
                <c:pt idx="680">
                  <c:v>6.758183515580961E-5</c:v>
                </c:pt>
                <c:pt idx="681">
                  <c:v>6.1856780854011075E-5</c:v>
                </c:pt>
                <c:pt idx="682">
                  <c:v>5.6118563143577526E-5</c:v>
                </c:pt>
                <c:pt idx="683">
                  <c:v>5.0002408667901196E-5</c:v>
                </c:pt>
                <c:pt idx="684">
                  <c:v>4.8259378829690219E-5</c:v>
                </c:pt>
                <c:pt idx="685">
                  <c:v>4.6337920496784333E-5</c:v>
                </c:pt>
                <c:pt idx="686">
                  <c:v>4.6734826359450706E-5</c:v>
                </c:pt>
                <c:pt idx="687">
                  <c:v>4.2926796742933539E-5</c:v>
                </c:pt>
                <c:pt idx="688">
                  <c:v>4.6806711707594543E-5</c:v>
                </c:pt>
                <c:pt idx="689">
                  <c:v>7.0294635241924291E-5</c:v>
                </c:pt>
                <c:pt idx="690">
                  <c:v>8.1226474535489636E-5</c:v>
                </c:pt>
                <c:pt idx="691">
                  <c:v>8.4561285111544487E-5</c:v>
                </c:pt>
                <c:pt idx="692">
                  <c:v>7.7531835815060785E-5</c:v>
                </c:pt>
                <c:pt idx="693">
                  <c:v>6.700573464965731E-5</c:v>
                </c:pt>
                <c:pt idx="694">
                  <c:v>6.0236662078494131E-5</c:v>
                </c:pt>
                <c:pt idx="695">
                  <c:v>5.6727184471241025E-5</c:v>
                </c:pt>
                <c:pt idx="696">
                  <c:v>5.3429417065241365E-5</c:v>
                </c:pt>
                <c:pt idx="697">
                  <c:v>4.8843276313263157E-5</c:v>
                </c:pt>
                <c:pt idx="698">
                  <c:v>4.5627284981181396E-5</c:v>
                </c:pt>
                <c:pt idx="699">
                  <c:v>4.5320927290230787E-5</c:v>
                </c:pt>
                <c:pt idx="700">
                  <c:v>4.7217445182610196E-5</c:v>
                </c:pt>
                <c:pt idx="701">
                  <c:v>5.8091383605455299E-5</c:v>
                </c:pt>
                <c:pt idx="702">
                  <c:v>5.2483771923941317E-5</c:v>
                </c:pt>
                <c:pt idx="703">
                  <c:v>5.4041595138416948E-5</c:v>
                </c:pt>
                <c:pt idx="704">
                  <c:v>5.8048921203966147E-5</c:v>
                </c:pt>
                <c:pt idx="705">
                  <c:v>5.5090557649450898E-5</c:v>
                </c:pt>
                <c:pt idx="706">
                  <c:v>4.9721917290958056E-5</c:v>
                </c:pt>
                <c:pt idx="707">
                  <c:v>4.898321161966087E-5</c:v>
                </c:pt>
                <c:pt idx="708">
                  <c:v>5.0860690415577212E-5</c:v>
                </c:pt>
                <c:pt idx="709">
                  <c:v>4.7057602950711583E-5</c:v>
                </c:pt>
                <c:pt idx="710">
                  <c:v>5.4530418255533907E-5</c:v>
                </c:pt>
                <c:pt idx="711">
                  <c:v>4.8941090150290131E-5</c:v>
                </c:pt>
                <c:pt idx="712">
                  <c:v>4.4461574075481745E-5</c:v>
                </c:pt>
                <c:pt idx="713">
                  <c:v>4.0819688979790846E-5</c:v>
                </c:pt>
                <c:pt idx="714">
                  <c:v>5.0329873344355946E-5</c:v>
                </c:pt>
                <c:pt idx="715">
                  <c:v>4.7395274996203885E-5</c:v>
                </c:pt>
                <c:pt idx="716">
                  <c:v>4.8820028495189684E-5</c:v>
                </c:pt>
                <c:pt idx="717">
                  <c:v>5.4868610548347371E-5</c:v>
                </c:pt>
                <c:pt idx="718">
                  <c:v>5.0522227510654496E-5</c:v>
                </c:pt>
                <c:pt idx="719">
                  <c:v>4.6202383468719529E-5</c:v>
                </c:pt>
                <c:pt idx="720">
                  <c:v>5.4025611632682E-5</c:v>
                </c:pt>
                <c:pt idx="721">
                  <c:v>4.8792277237641044E-5</c:v>
                </c:pt>
                <c:pt idx="722">
                  <c:v>4.8158887534292081E-5</c:v>
                </c:pt>
                <c:pt idx="723">
                  <c:v>5.2912921598822394E-5</c:v>
                </c:pt>
                <c:pt idx="724">
                  <c:v>4.7696980332470955E-5</c:v>
                </c:pt>
                <c:pt idx="725">
                  <c:v>4.4001561447640367E-5</c:v>
                </c:pt>
                <c:pt idx="726">
                  <c:v>4.0569152436268866E-5</c:v>
                </c:pt>
                <c:pt idx="727">
                  <c:v>4.0556164312981105E-5</c:v>
                </c:pt>
                <c:pt idx="728">
                  <c:v>5.5704621636569125E-5</c:v>
                </c:pt>
                <c:pt idx="729">
                  <c:v>6.6805086053595519E-5</c:v>
                </c:pt>
                <c:pt idx="730">
                  <c:v>8.8715344754289658E-5</c:v>
                </c:pt>
                <c:pt idx="731">
                  <c:v>1.066307508769989E-4</c:v>
                </c:pt>
                <c:pt idx="732">
                  <c:v>9.4487282065930974E-5</c:v>
                </c:pt>
                <c:pt idx="733">
                  <c:v>8.1016583355320617E-5</c:v>
                </c:pt>
                <c:pt idx="734">
                  <c:v>6.9841962796195821E-5</c:v>
                </c:pt>
                <c:pt idx="735">
                  <c:v>6.5652971647368508E-5</c:v>
                </c:pt>
                <c:pt idx="736">
                  <c:v>7.1705191170769812E-5</c:v>
                </c:pt>
                <c:pt idx="737">
                  <c:v>7.3481769131301559E-5</c:v>
                </c:pt>
                <c:pt idx="738">
                  <c:v>1.0013481677608818E-4</c:v>
                </c:pt>
                <c:pt idx="739">
                  <c:v>8.4554619205010458E-5</c:v>
                </c:pt>
                <c:pt idx="740">
                  <c:v>7.8889290455621939E-5</c:v>
                </c:pt>
                <c:pt idx="741">
                  <c:v>9.2973921647721336E-5</c:v>
                </c:pt>
                <c:pt idx="742">
                  <c:v>7.9032667778650476E-5</c:v>
                </c:pt>
                <c:pt idx="743">
                  <c:v>7.8062274541701424E-5</c:v>
                </c:pt>
                <c:pt idx="744">
                  <c:v>6.7173651039848092E-5</c:v>
                </c:pt>
                <c:pt idx="745">
                  <c:v>6.1516487413008417E-5</c:v>
                </c:pt>
                <c:pt idx="746">
                  <c:v>7.0728915675636285E-5</c:v>
                </c:pt>
                <c:pt idx="747">
                  <c:v>6.2909382529889739E-5</c:v>
                </c:pt>
                <c:pt idx="748">
                  <c:v>5.7466096203773038E-5</c:v>
                </c:pt>
                <c:pt idx="749">
                  <c:v>5.1145472509806631E-5</c:v>
                </c:pt>
                <c:pt idx="750">
                  <c:v>6.1231455098781438E-5</c:v>
                </c:pt>
                <c:pt idx="751">
                  <c:v>5.8321853693718838E-5</c:v>
                </c:pt>
                <c:pt idx="752">
                  <c:v>5.1712484611924946E-5</c:v>
                </c:pt>
                <c:pt idx="753">
                  <c:v>4.9117366526851429E-5</c:v>
                </c:pt>
                <c:pt idx="754">
                  <c:v>4.4519370783088733E-5</c:v>
                </c:pt>
                <c:pt idx="755">
                  <c:v>4.0965158640376211E-5</c:v>
                </c:pt>
                <c:pt idx="756">
                  <c:v>3.8439952448795101E-5</c:v>
                </c:pt>
                <c:pt idx="757">
                  <c:v>5.075092822609664E-5</c:v>
                </c:pt>
                <c:pt idx="758">
                  <c:v>4.7385750582376886E-5</c:v>
                </c:pt>
                <c:pt idx="759">
                  <c:v>4.4313222954986939E-5</c:v>
                </c:pt>
                <c:pt idx="760">
                  <c:v>4.1174583614667365E-5</c:v>
                </c:pt>
                <c:pt idx="761">
                  <c:v>3.8288630117750353E-5</c:v>
                </c:pt>
                <c:pt idx="762">
                  <c:v>3.755528559948303E-5</c:v>
                </c:pt>
                <c:pt idx="763">
                  <c:v>4.60661982882093E-5</c:v>
                </c:pt>
                <c:pt idx="764">
                  <c:v>9.485703359688137E-5</c:v>
                </c:pt>
                <c:pt idx="765">
                  <c:v>8.1322000445879206E-5</c:v>
                </c:pt>
                <c:pt idx="766">
                  <c:v>8.1464586309358449E-5</c:v>
                </c:pt>
                <c:pt idx="767">
                  <c:v>8.0860098885011909E-5</c:v>
                </c:pt>
                <c:pt idx="768">
                  <c:v>6.9506421898968691E-5</c:v>
                </c:pt>
                <c:pt idx="769">
                  <c:v>6.1024887400723363E-5</c:v>
                </c:pt>
                <c:pt idx="770">
                  <c:v>5.8553919220893542E-5</c:v>
                </c:pt>
                <c:pt idx="771">
                  <c:v>7.2186426568148469E-5</c:v>
                </c:pt>
                <c:pt idx="772">
                  <c:v>6.4662184623435286E-5</c:v>
                </c:pt>
                <c:pt idx="773">
                  <c:v>6.3835884394517744E-5</c:v>
                </c:pt>
                <c:pt idx="774">
                  <c:v>6.4342270520819424E-5</c:v>
                </c:pt>
                <c:pt idx="775">
                  <c:v>5.6409298073481718E-5</c:v>
                </c:pt>
                <c:pt idx="776">
                  <c:v>5.6703926571561985E-5</c:v>
                </c:pt>
                <c:pt idx="777">
                  <c:v>7.6770256652371839E-5</c:v>
                </c:pt>
                <c:pt idx="778">
                  <c:v>6.8483547326042847E-5</c:v>
                </c:pt>
                <c:pt idx="779">
                  <c:v>7.413362690300362E-5</c:v>
                </c:pt>
                <c:pt idx="780">
                  <c:v>7.3173950075406299E-5</c:v>
                </c:pt>
                <c:pt idx="781">
                  <c:v>6.6496531379644057E-5</c:v>
                </c:pt>
                <c:pt idx="782">
                  <c:v>5.8551547737219725E-5</c:v>
                </c:pt>
                <c:pt idx="783">
                  <c:v>6.7643305873653652E-5</c:v>
                </c:pt>
                <c:pt idx="784">
                  <c:v>6.0390576972488547E-5</c:v>
                </c:pt>
                <c:pt idx="785">
                  <c:v>5.8456225406384181E-5</c:v>
                </c:pt>
                <c:pt idx="786">
                  <c:v>5.6788565180991762E-5</c:v>
                </c:pt>
                <c:pt idx="787">
                  <c:v>5.0533310592475132E-5</c:v>
                </c:pt>
                <c:pt idx="788">
                  <c:v>4.7849149881483718E-5</c:v>
                </c:pt>
                <c:pt idx="789">
                  <c:v>4.8068482216419323E-5</c:v>
                </c:pt>
                <c:pt idx="790">
                  <c:v>5.3530472931962171E-5</c:v>
                </c:pt>
                <c:pt idx="791">
                  <c:v>4.973172295585313E-5</c:v>
                </c:pt>
                <c:pt idx="792">
                  <c:v>4.5799671967000977E-5</c:v>
                </c:pt>
                <c:pt idx="793">
                  <c:v>4.2933134596450878E-5</c:v>
                </c:pt>
                <c:pt idx="794">
                  <c:v>4.3543512862448744E-5</c:v>
                </c:pt>
                <c:pt idx="795">
                  <c:v>4.043888048423425E-5</c:v>
                </c:pt>
                <c:pt idx="796">
                  <c:v>8.6381846544615317E-5</c:v>
                </c:pt>
                <c:pt idx="797">
                  <c:v>8.382083426257495E-5</c:v>
                </c:pt>
                <c:pt idx="798">
                  <c:v>7.4216408314290442E-5</c:v>
                </c:pt>
                <c:pt idx="799">
                  <c:v>7.1960381294403151E-5</c:v>
                </c:pt>
                <c:pt idx="800">
                  <c:v>6.2463542594849261E-5</c:v>
                </c:pt>
                <c:pt idx="801">
                  <c:v>7.207676100022561E-5</c:v>
                </c:pt>
                <c:pt idx="802">
                  <c:v>6.2493010072081582E-5</c:v>
                </c:pt>
                <c:pt idx="803">
                  <c:v>5.933942758822862E-5</c:v>
                </c:pt>
                <c:pt idx="804">
                  <c:v>5.2741365373639678E-5</c:v>
                </c:pt>
                <c:pt idx="805">
                  <c:v>5.3239451193179006E-5</c:v>
                </c:pt>
                <c:pt idx="806">
                  <c:v>4.95048162569337E-5</c:v>
                </c:pt>
                <c:pt idx="807">
                  <c:v>6.6926568448557488E-5</c:v>
                </c:pt>
                <c:pt idx="808">
                  <c:v>7.9451369181915177E-5</c:v>
                </c:pt>
                <c:pt idx="809">
                  <c:v>7.7721846898332248E-5</c:v>
                </c:pt>
                <c:pt idx="810">
                  <c:v>7.2659914726095701E-5</c:v>
                </c:pt>
                <c:pt idx="811">
                  <c:v>6.4809122641041917E-5</c:v>
                </c:pt>
                <c:pt idx="812">
                  <c:v>6.0104547582768428E-5</c:v>
                </c:pt>
                <c:pt idx="813">
                  <c:v>1.3985002295537391E-4</c:v>
                </c:pt>
                <c:pt idx="814">
                  <c:v>1.4307698175841844E-4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C-4967-9435-00988288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0893192"/>
        <c:axId val="860895240"/>
      </c:lineChart>
      <c:dateAx>
        <c:axId val="860893192"/>
        <c:scaling>
          <c:orientation val="minMax"/>
        </c:scaling>
        <c:delete val="0"/>
        <c:axPos val="b"/>
        <c:numFmt formatCode="d/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95240"/>
        <c:crosses val="autoZero"/>
        <c:auto val="1"/>
        <c:lblOffset val="100"/>
        <c:baseTimeUnit val="days"/>
      </c:dateAx>
      <c:valAx>
        <c:axId val="86089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89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306384</xdr:colOff>
      <xdr:row>44</xdr:row>
      <xdr:rowOff>100075</xdr:rowOff>
    </xdr:from>
    <xdr:to>
      <xdr:col>60</xdr:col>
      <xdr:colOff>319711</xdr:colOff>
      <xdr:row>66</xdr:row>
      <xdr:rowOff>57791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CC7C39-DA77-5B41-BDF3-C8C4D5AD0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229864</xdr:colOff>
      <xdr:row>68</xdr:row>
      <xdr:rowOff>57311</xdr:rowOff>
    </xdr:from>
    <xdr:to>
      <xdr:col>60</xdr:col>
      <xdr:colOff>214487</xdr:colOff>
      <xdr:row>86</xdr:row>
      <xdr:rowOff>121881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A53C93-E43F-EB4B-84F6-0515929CC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404091</xdr:colOff>
      <xdr:row>913</xdr:row>
      <xdr:rowOff>86592</xdr:rowOff>
    </xdr:from>
    <xdr:to>
      <xdr:col>34</xdr:col>
      <xdr:colOff>48491</xdr:colOff>
      <xdr:row>929</xdr:row>
      <xdr:rowOff>120459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DC52FC-86C8-1247-89E0-47961D51D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457200</xdr:colOff>
      <xdr:row>1471</xdr:row>
      <xdr:rowOff>66675</xdr:rowOff>
    </xdr:from>
    <xdr:to>
      <xdr:col>64</xdr:col>
      <xdr:colOff>114300</xdr:colOff>
      <xdr:row>1488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E6F9D1-C43B-7608-BC3F-52232DBB4D4B}"/>
            </a:ext>
            <a:ext uri="{147F2762-F138-4A5C-976F-8EAC2B608ADB}">
              <a16:predDERef xmlns:a16="http://schemas.microsoft.com/office/drawing/2014/main" pred="{01DC52FC-86C8-1247-89E0-47961D51D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276225</xdr:colOff>
      <xdr:row>1471</xdr:row>
      <xdr:rowOff>57150</xdr:rowOff>
    </xdr:from>
    <xdr:to>
      <xdr:col>68</xdr:col>
      <xdr:colOff>1276350</xdr:colOff>
      <xdr:row>1488</xdr:row>
      <xdr:rowOff>47625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C9855127-E5A0-C703-769E-79CEB678C46A}"/>
            </a:ext>
            <a:ext uri="{147F2762-F138-4A5C-976F-8EAC2B608ADB}">
              <a16:predDERef xmlns:a16="http://schemas.microsoft.com/office/drawing/2014/main" pred="{AFE6F9D1-C43B-7608-BC3F-52232DBB4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C831092-FFDA-3142-AC2A-0A166F1CFD5D}">
  <we:reference id="wa104100404" version="3.0.0.1" store="it-IT" storeType="OMEX"/>
  <we:alternateReferences>
    <we:reference id="WA104100404" version="3.0.0.1" store="" storeType="OMEX"/>
  </we:alternateReferences>
  <we:properties>
    <we:property name="UniqueID" value="&quot;202532174360081744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6D857E1-7116-E34A-903E-51FC38BCBF1A}">
  <we:reference id="wa104379190" version="2.0.0.0" store="it-IT" storeType="OMEX"/>
  <we:alternateReferences>
    <we:reference id="WA104379190" version="2.0.0.0" store="" storeType="OMEX"/>
  </we:alternateReferences>
  <we:properties/>
  <we:bindings>
    <we:binding id="RangeSelect" type="matrix" appref="{5A04B09B-C27E-364C-A2C8-75C387E5610A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7EE5-8784-EE4E-A5E5-F4DC128F163C}">
  <dimension ref="A1"/>
  <sheetViews>
    <sheetView workbookViewId="0">
      <selection sqref="A1:D4"/>
    </sheetView>
  </sheetViews>
  <sheetFormatPr baseColWidth="10" defaultColWidth="11.5" defaultRowHeight="13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E026-9123-4E47-AF5D-1ABED6761805}">
  <dimension ref="A1:CA1473"/>
  <sheetViews>
    <sheetView tabSelected="1" topLeftCell="BI1458" zoomScale="133" workbookViewId="0">
      <selection activeCell="BO1470" sqref="BO1470"/>
    </sheetView>
  </sheetViews>
  <sheetFormatPr baseColWidth="10" defaultColWidth="8.83203125" defaultRowHeight="13" x14ac:dyDescent="0.15"/>
  <cols>
    <col min="1" max="2" width="8.83203125" customWidth="1"/>
    <col min="3" max="3" width="8.6640625" customWidth="1"/>
    <col min="4" max="5" width="8.83203125" customWidth="1"/>
    <col min="6" max="6" width="10.83203125" customWidth="1"/>
    <col min="9" max="9" width="13.33203125" customWidth="1"/>
    <col min="10" max="11" width="15.5" customWidth="1"/>
    <col min="12" max="12" width="17.33203125" style="22" customWidth="1"/>
    <col min="13" max="13" width="15.5" customWidth="1"/>
    <col min="14" max="14" width="16.6640625" customWidth="1"/>
    <col min="15" max="15" width="9.1640625" customWidth="1"/>
    <col min="16" max="16" width="7.5" customWidth="1"/>
    <col min="17" max="17" width="16.6640625" customWidth="1"/>
    <col min="18" max="18" width="15.5" customWidth="1"/>
    <col min="19" max="19" width="16.6640625" customWidth="1"/>
    <col min="20" max="20" width="17.33203125" customWidth="1"/>
    <col min="21" max="21" width="12.6640625" customWidth="1"/>
    <col min="22" max="22" width="18.1640625" customWidth="1"/>
    <col min="23" max="23" width="14.5" customWidth="1"/>
    <col min="24" max="24" width="13.33203125" customWidth="1"/>
    <col min="25" max="25" width="19.1640625" style="8" customWidth="1"/>
    <col min="26" max="30" width="15" style="8" customWidth="1"/>
    <col min="31" max="31" width="16" style="8" customWidth="1"/>
    <col min="32" max="32" width="17.6640625" style="8" customWidth="1"/>
    <col min="33" max="34" width="17.33203125" style="8" customWidth="1"/>
    <col min="35" max="35" width="21.5" style="8" customWidth="1"/>
    <col min="36" max="36" width="24" style="8" customWidth="1"/>
    <col min="37" max="38" width="19.1640625" customWidth="1"/>
    <col min="39" max="40" width="17.6640625" customWidth="1"/>
    <col min="41" max="41" width="18.5" customWidth="1"/>
    <col min="42" max="42" width="18.33203125" customWidth="1"/>
    <col min="43" max="43" width="16.6640625" customWidth="1"/>
    <col min="44" max="44" width="15.33203125" customWidth="1"/>
    <col min="46" max="46" width="16.6640625" customWidth="1"/>
    <col min="47" max="47" width="20.1640625" customWidth="1"/>
    <col min="48" max="48" width="20.83203125" customWidth="1"/>
    <col min="49" max="49" width="20.6640625" customWidth="1"/>
    <col min="50" max="50" width="20.83203125" bestFit="1" customWidth="1"/>
    <col min="56" max="56" width="14" bestFit="1" customWidth="1"/>
    <col min="58" max="58" width="10" customWidth="1"/>
    <col min="60" max="60" width="12.33203125" bestFit="1" customWidth="1"/>
    <col min="61" max="61" width="11" customWidth="1"/>
    <col min="62" max="62" width="21.5" customWidth="1"/>
    <col min="63" max="63" width="25.5" customWidth="1"/>
    <col min="64" max="64" width="26.83203125" customWidth="1"/>
    <col min="65" max="65" width="11.6640625" customWidth="1"/>
    <col min="66" max="66" width="10.1640625" customWidth="1"/>
    <col min="67" max="67" width="28.6640625" customWidth="1"/>
    <col min="68" max="68" width="14.6640625" customWidth="1"/>
    <col min="69" max="69" width="20.5" customWidth="1"/>
    <col min="70" max="70" width="12.33203125" bestFit="1" customWidth="1"/>
    <col min="71" max="72" width="9" bestFit="1" customWidth="1"/>
    <col min="75" max="75" width="9.83203125" bestFit="1" customWidth="1"/>
    <col min="76" max="76" width="18.83203125" customWidth="1"/>
    <col min="77" max="77" width="20.1640625" customWidth="1"/>
    <col min="78" max="78" width="25.83203125" customWidth="1"/>
    <col min="79" max="79" width="23.83203125" customWidth="1"/>
    <col min="80" max="80" width="41.6640625" customWidth="1"/>
  </cols>
  <sheetData>
    <row r="1" spans="1:79" ht="15" x14ac:dyDescent="0.15">
      <c r="A1" s="4" t="s">
        <v>0</v>
      </c>
      <c r="B1" s="2"/>
      <c r="C1" s="2" t="s">
        <v>1</v>
      </c>
      <c r="D1" s="2" t="s">
        <v>2</v>
      </c>
      <c r="E1" s="2" t="s">
        <v>3</v>
      </c>
      <c r="G1" s="2" t="s">
        <v>4</v>
      </c>
      <c r="I1" s="2" t="s">
        <v>5</v>
      </c>
      <c r="J1" s="14" t="s">
        <v>6</v>
      </c>
      <c r="K1" s="2" t="s">
        <v>7</v>
      </c>
      <c r="L1" s="2"/>
      <c r="M1" s="2"/>
      <c r="N1" s="2" t="s">
        <v>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9</v>
      </c>
      <c r="AL1" s="2" t="s">
        <v>10</v>
      </c>
      <c r="AM1" s="2"/>
      <c r="AN1" s="2"/>
      <c r="AO1" s="7" t="s">
        <v>11</v>
      </c>
      <c r="AP1" s="7" t="s">
        <v>12</v>
      </c>
      <c r="AQ1" s="7" t="s">
        <v>13</v>
      </c>
      <c r="AR1" s="7" t="s">
        <v>14</v>
      </c>
      <c r="BI1" t="s">
        <v>15</v>
      </c>
      <c r="BJ1" t="s">
        <v>16</v>
      </c>
      <c r="BK1" t="s">
        <v>17</v>
      </c>
      <c r="BM1" t="s">
        <v>18</v>
      </c>
      <c r="BO1" t="s">
        <v>19</v>
      </c>
      <c r="BP1" s="12" t="s">
        <v>20</v>
      </c>
      <c r="BQ1" s="12" t="s">
        <v>21</v>
      </c>
      <c r="BR1" t="s">
        <v>22</v>
      </c>
      <c r="BS1" s="12" t="s">
        <v>23</v>
      </c>
      <c r="BT1" s="12" t="s">
        <v>24</v>
      </c>
      <c r="BW1" t="s">
        <v>25</v>
      </c>
      <c r="BX1" t="s">
        <v>26</v>
      </c>
      <c r="BZ1" t="s">
        <v>27</v>
      </c>
    </row>
    <row r="2" spans="1:79" x14ac:dyDescent="0.15">
      <c r="A2" s="5">
        <v>43542</v>
      </c>
      <c r="B2" s="1"/>
      <c r="C2">
        <v>94.16</v>
      </c>
      <c r="D2">
        <v>99.82</v>
      </c>
      <c r="E2">
        <v>78.153649999999999</v>
      </c>
      <c r="G2" s="3">
        <v>1.4599999999999999E-3</v>
      </c>
      <c r="L2"/>
      <c r="Y2"/>
      <c r="Z2"/>
      <c r="AA2"/>
      <c r="AB2"/>
      <c r="AC2"/>
      <c r="AD2"/>
      <c r="AE2"/>
      <c r="AF2"/>
      <c r="AG2"/>
      <c r="AH2"/>
      <c r="AI2"/>
      <c r="AJ2"/>
      <c r="BJ2">
        <f>G2^2</f>
        <v>2.1315999999999996E-6</v>
      </c>
      <c r="BK2">
        <f>BJ2</f>
        <v>2.1315999999999996E-6</v>
      </c>
      <c r="BM2">
        <v>0.94</v>
      </c>
      <c r="BO2">
        <f>BJ2</f>
        <v>2.1315999999999996E-6</v>
      </c>
      <c r="BP2">
        <f xml:space="preserve"> -0.5 * (LN(2 * PI()) + LN(BO2) + (BJ2) / BO2)</f>
        <v>5.11038031005722</v>
      </c>
      <c r="BQ2">
        <f>SUM(BP2:BP1470)</f>
        <v>4962.2446819092429</v>
      </c>
      <c r="BR2">
        <v>5.9398251857390765E-6</v>
      </c>
      <c r="BS2">
        <v>0.14242018880808127</v>
      </c>
      <c r="BT2">
        <v>0.78437881905653672</v>
      </c>
      <c r="BX2">
        <f>SUM(BZ2:BZ4)</f>
        <v>1.0883485299854057</v>
      </c>
      <c r="BY2" t="s">
        <v>1</v>
      </c>
      <c r="BZ2">
        <f>BF6 * (AX5/AX8)</f>
        <v>-0.30143979831531947</v>
      </c>
    </row>
    <row r="3" spans="1:79" x14ac:dyDescent="0.15">
      <c r="A3" s="5">
        <v>43543</v>
      </c>
      <c r="B3" s="1"/>
      <c r="C3">
        <v>94.6</v>
      </c>
      <c r="D3">
        <v>99.62</v>
      </c>
      <c r="E3">
        <v>78.019599999999997</v>
      </c>
      <c r="G3" s="3">
        <v>3.05212656561115E-3</v>
      </c>
      <c r="I3" s="15">
        <f>(C3-C2)/C2</f>
        <v>4.6728971962616585E-3</v>
      </c>
      <c r="J3" s="15">
        <f>(D3-D2)/D2</f>
        <v>-2.0036064916849191E-3</v>
      </c>
      <c r="K3" s="15">
        <f>(E3-E2)/E2</f>
        <v>-1.7152109978229039E-3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S3" t="s">
        <v>28</v>
      </c>
      <c r="AT3" s="10" t="s">
        <v>29</v>
      </c>
      <c r="BJ3">
        <f t="shared" ref="BJ3:BJ65" si="0">G3^2</f>
        <v>9.3154765725093134E-6</v>
      </c>
      <c r="BK3">
        <f>$BM$2 * BK2 + (1 - $BM$2) * BJ2</f>
        <v>2.1315999999999996E-6</v>
      </c>
      <c r="BO3">
        <f t="shared" ref="BO3:BO66" si="1" xml:space="preserve"> $BR$2 + $BS$2 * BJ2 + $BT$2 * BO2</f>
        <v>7.9153899509032952E-6</v>
      </c>
      <c r="BP3">
        <f xml:space="preserve"> -0.5 * (LN(2 * PI()) + LN(BO3) + (BJ3) / BO3)</f>
        <v>4.3659714797948226</v>
      </c>
      <c r="BY3" t="s">
        <v>2</v>
      </c>
      <c r="BZ3">
        <f>BF7 * (AX6/AX8)</f>
        <v>0.72177585484962248</v>
      </c>
    </row>
    <row r="4" spans="1:79" x14ac:dyDescent="0.15">
      <c r="A4" s="5">
        <v>43544</v>
      </c>
      <c r="B4" s="1"/>
      <c r="C4">
        <v>94.66</v>
      </c>
      <c r="D4">
        <v>97.86</v>
      </c>
      <c r="E4">
        <v>77.818510000000003</v>
      </c>
      <c r="G4" s="3">
        <v>-6.5717422198005001E-3</v>
      </c>
      <c r="I4" s="15">
        <f t="shared" ref="I4:I67" si="2">(C4-C3)/C3</f>
        <v>6.3424947145879782E-4</v>
      </c>
      <c r="J4" s="15">
        <f t="shared" ref="J4:J67" si="3">(D4-D3)/D3</f>
        <v>-1.7667135113431088E-2</v>
      </c>
      <c r="K4" s="15">
        <f t="shared" ref="K4:K67" si="4">(E4-E3)/E3</f>
        <v>-2.5774292613650104E-3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T4" s="7" t="s">
        <v>30</v>
      </c>
      <c r="AU4" s="7" t="s">
        <v>31</v>
      </c>
      <c r="AV4" s="7" t="s">
        <v>32</v>
      </c>
      <c r="AW4" s="7" t="s">
        <v>33</v>
      </c>
      <c r="AX4" s="13" t="s">
        <v>34</v>
      </c>
      <c r="AY4" s="13" t="s">
        <v>35</v>
      </c>
      <c r="BC4" t="s">
        <v>36</v>
      </c>
      <c r="BF4" t="s">
        <v>37</v>
      </c>
      <c r="BJ4">
        <f t="shared" si="0"/>
        <v>4.3187795803508403E-5</v>
      </c>
      <c r="BK4">
        <f t="shared" ref="BK4:BK66" si="5">$BM$2 * BK3 + (1 - $BM$2) * BJ3</f>
        <v>2.5626325943505591E-6</v>
      </c>
      <c r="BO4">
        <f t="shared" si="1"/>
        <v>1.3475201340094616E-5</v>
      </c>
      <c r="BP4">
        <f t="shared" ref="BP4:BP65" si="6" xml:space="preserve"> -0.5 * (LN(2 * PI()) + LN(BO4) + (BJ4) / BO4)</f>
        <v>3.0858995463613867</v>
      </c>
      <c r="BY4" t="s">
        <v>3</v>
      </c>
      <c r="BZ4">
        <f>BF8 * (AX7/AX8)</f>
        <v>0.66801247345110271</v>
      </c>
    </row>
    <row r="5" spans="1:79" x14ac:dyDescent="0.15">
      <c r="A5" s="5">
        <v>43545</v>
      </c>
      <c r="B5" s="1"/>
      <c r="C5">
        <v>95.44</v>
      </c>
      <c r="D5">
        <v>97.62</v>
      </c>
      <c r="E5">
        <v>78.053116000000003</v>
      </c>
      <c r="G5" s="3">
        <v>-9.7862077349930511E-4</v>
      </c>
      <c r="I5" s="15">
        <f t="shared" si="2"/>
        <v>8.2400169025987867E-3</v>
      </c>
      <c r="J5" s="15">
        <f t="shared" si="3"/>
        <v>-2.452483139178366E-3</v>
      </c>
      <c r="K5" s="15">
        <f t="shared" si="4"/>
        <v>3.0147840147543227E-3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T5" t="s">
        <v>1</v>
      </c>
      <c r="AU5" t="s">
        <v>38</v>
      </c>
      <c r="AV5" s="9">
        <v>-30000</v>
      </c>
      <c r="AW5" s="8">
        <f>C908</f>
        <v>112.14</v>
      </c>
      <c r="AX5" s="11">
        <f>AV5*AW5</f>
        <v>-3364200</v>
      </c>
      <c r="AY5" s="27">
        <f>AV5*AW5/$AX$8</f>
        <v>-0.39429311291986557</v>
      </c>
      <c r="BD5" t="s">
        <v>39</v>
      </c>
      <c r="BF5" t="s">
        <v>40</v>
      </c>
      <c r="BH5" t="s">
        <v>41</v>
      </c>
      <c r="BJ5">
        <f t="shared" si="0"/>
        <v>9.5769861832437828E-7</v>
      </c>
      <c r="BK5">
        <f t="shared" si="5"/>
        <v>5.0001423869000318E-6</v>
      </c>
      <c r="BO5">
        <f xml:space="preserve"> $BR$2 + $BS$2 * BJ4 + $BT$2 * BO4</f>
        <v>2.266030173197208E-5</v>
      </c>
      <c r="BP5">
        <f t="shared" si="6"/>
        <v>4.4073778215056549</v>
      </c>
    </row>
    <row r="6" spans="1:79" x14ac:dyDescent="0.15">
      <c r="A6" s="5">
        <v>43546</v>
      </c>
      <c r="B6" s="1"/>
      <c r="C6">
        <v>93.86</v>
      </c>
      <c r="D6">
        <v>96.44</v>
      </c>
      <c r="E6">
        <v>77.952575999999993</v>
      </c>
      <c r="G6" s="3">
        <v>-1.42406741962318E-2</v>
      </c>
      <c r="I6" s="15">
        <f t="shared" si="2"/>
        <v>-1.6554903604358743E-2</v>
      </c>
      <c r="J6" s="15">
        <f t="shared" si="3"/>
        <v>-1.2087686949395686E-2</v>
      </c>
      <c r="K6" s="15">
        <f t="shared" si="4"/>
        <v>-1.2880971978109035E-3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T6" t="s">
        <v>2</v>
      </c>
      <c r="AU6" t="s">
        <v>42</v>
      </c>
      <c r="AV6" s="9">
        <v>70000</v>
      </c>
      <c r="AW6" s="8">
        <f>D908</f>
        <v>80.12</v>
      </c>
      <c r="AX6" s="11">
        <f>AV6*AW6</f>
        <v>5608400</v>
      </c>
      <c r="AY6" s="27">
        <f t="shared" ref="AY6:AY7" si="7">AV6*AW6/$AX$8</f>
        <v>0.6573192718922104</v>
      </c>
      <c r="BC6" t="s">
        <v>1</v>
      </c>
      <c r="BD6">
        <f>_xlfn.COVARIANCE.S(I3:I1470, G3:G1470)</f>
        <v>6.8952324078183356E-5</v>
      </c>
      <c r="BF6">
        <f>BD6/BH6</f>
        <v>0.76450688190585459</v>
      </c>
      <c r="BH6">
        <f>_xlfn.VAR.S(G2:G1470)</f>
        <v>9.0191894553376311E-5</v>
      </c>
      <c r="BJ6">
        <f t="shared" si="0"/>
        <v>2.0279680156322222E-4</v>
      </c>
      <c r="BK6">
        <f t="shared" si="5"/>
        <v>4.7575957607854925E-6</v>
      </c>
      <c r="BO6">
        <f t="shared" si="1"/>
        <v>2.3850481515771124E-5</v>
      </c>
      <c r="BP6">
        <f t="shared" si="6"/>
        <v>0.15149510203456273</v>
      </c>
      <c r="BZ6" t="s">
        <v>43</v>
      </c>
    </row>
    <row r="7" spans="1:79" ht="28" x14ac:dyDescent="0.15">
      <c r="A7" s="5">
        <v>43549</v>
      </c>
      <c r="B7" s="1"/>
      <c r="C7">
        <v>94.06</v>
      </c>
      <c r="D7">
        <v>96.64</v>
      </c>
      <c r="E7">
        <v>77.516890000000004</v>
      </c>
      <c r="G7" s="3">
        <v>-1.4937968111781101E-3</v>
      </c>
      <c r="I7" s="15">
        <f t="shared" si="2"/>
        <v>2.1308331557639338E-3</v>
      </c>
      <c r="J7" s="15">
        <f t="shared" si="3"/>
        <v>2.0738282870178646E-3</v>
      </c>
      <c r="K7" s="15">
        <f t="shared" si="4"/>
        <v>-5.5891161313256646E-3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T7" t="s">
        <v>3</v>
      </c>
      <c r="AU7" t="s">
        <v>42</v>
      </c>
      <c r="AV7" s="9">
        <v>80000</v>
      </c>
      <c r="AW7">
        <f>E908</f>
        <v>78.600390000000004</v>
      </c>
      <c r="AX7" s="11">
        <f>AV7*AW7</f>
        <v>6288031.2000000002</v>
      </c>
      <c r="AY7" s="27">
        <f t="shared" si="7"/>
        <v>0.73697384102765529</v>
      </c>
      <c r="BC7" t="s">
        <v>2</v>
      </c>
      <c r="BD7">
        <f>_xlfn.COVARIANCE.S(J3:J1470, G3:G1470)</f>
        <v>9.9036091858942577E-5</v>
      </c>
      <c r="BF7">
        <f>BD7/BH6</f>
        <v>1.0980597796438591</v>
      </c>
      <c r="BJ7">
        <f t="shared" si="0"/>
        <v>2.2314289130858901E-6</v>
      </c>
      <c r="BK7">
        <f t="shared" si="5"/>
        <v>1.6639948108931708E-5</v>
      </c>
      <c r="BO7">
        <f t="shared" si="1"/>
        <v>5.3529996479318489E-5</v>
      </c>
      <c r="BP7">
        <f t="shared" si="6"/>
        <v>3.9778528668107072</v>
      </c>
      <c r="BZ7" t="s">
        <v>44</v>
      </c>
      <c r="CA7" s="46" t="s">
        <v>45</v>
      </c>
    </row>
    <row r="8" spans="1:79" x14ac:dyDescent="0.15">
      <c r="A8" s="5">
        <v>43550</v>
      </c>
      <c r="B8" s="1"/>
      <c r="C8">
        <v>95.2</v>
      </c>
      <c r="D8">
        <v>96.52</v>
      </c>
      <c r="E8">
        <v>79.025009999999995</v>
      </c>
      <c r="G8" s="3">
        <v>9.0053852550975293E-3</v>
      </c>
      <c r="I8" s="15">
        <f>(C8-C7)/C7</f>
        <v>1.2119923453115038E-2</v>
      </c>
      <c r="J8" s="15">
        <f>(D8-D7)/D7</f>
        <v>-1.2417218543046829E-3</v>
      </c>
      <c r="K8" s="15">
        <f>(E8-E7)/E7</f>
        <v>1.9455372887121646E-2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T8" s="7" t="s">
        <v>46</v>
      </c>
      <c r="AX8" s="11">
        <f>SUM(AX5:AX7)</f>
        <v>8532231.1999999993</v>
      </c>
      <c r="AY8" s="27">
        <f>SUM(AY5:AY7)</f>
        <v>1</v>
      </c>
      <c r="BC8" t="s">
        <v>3</v>
      </c>
      <c r="BD8">
        <f>_xlfn.COVARIANCE.S(K3:K1470, G3:G1470)</f>
        <v>8.1752305457448478E-5</v>
      </c>
      <c r="BF8">
        <f>BD8/BH6</f>
        <v>0.90642630207825148</v>
      </c>
      <c r="BJ8">
        <f t="shared" si="0"/>
        <v>8.1096963592728E-5</v>
      </c>
      <c r="BK8">
        <f>$BM$2 * BK7 + (1 - $BM$2) * BJ7</f>
        <v>1.5775436957180956E-5</v>
      </c>
      <c r="BO8">
        <f xml:space="preserve"> $BR$2 + $BS$2 * BJ7 + $BT$2 * BO7</f>
        <v>4.8245421135400989E-5</v>
      </c>
      <c r="BP8">
        <f t="shared" si="6"/>
        <v>3.2102034822312246</v>
      </c>
      <c r="BY8" t="s">
        <v>47</v>
      </c>
      <c r="BZ8" s="22">
        <f xml:space="preserve"> 2.33 * BX2 * SQRT(BK1470) * AP1470</f>
        <v>396544.50829575566</v>
      </c>
      <c r="CA8" s="47">
        <f xml:space="preserve"> 1.645 * BX2 * SQRT(BK1470) * AP1470</f>
        <v>279963.82667232538</v>
      </c>
    </row>
    <row r="9" spans="1:79" x14ac:dyDescent="0.15">
      <c r="A9" s="5">
        <v>43551</v>
      </c>
      <c r="B9" s="1"/>
      <c r="C9">
        <v>95.3</v>
      </c>
      <c r="D9">
        <v>96.82</v>
      </c>
      <c r="E9">
        <v>79.108789999999999</v>
      </c>
      <c r="G9" s="3">
        <v>1.3782473000700701E-4</v>
      </c>
      <c r="I9" s="15">
        <f t="shared" si="2"/>
        <v>1.0504201680671672E-3</v>
      </c>
      <c r="J9" s="15">
        <f t="shared" si="3"/>
        <v>3.1081641110650348E-3</v>
      </c>
      <c r="K9" s="15">
        <f t="shared" si="4"/>
        <v>1.0601706978588729E-3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BJ9">
        <f t="shared" si="0"/>
        <v>1.8995656201504377E-8</v>
      </c>
      <c r="BK9">
        <f t="shared" si="5"/>
        <v>1.969472855531378E-5</v>
      </c>
      <c r="BO9">
        <f t="shared" si="1"/>
        <v>5.5332356507448594E-5</v>
      </c>
      <c r="BP9">
        <f t="shared" si="6"/>
        <v>3.9819661722250568</v>
      </c>
      <c r="BY9" t="s">
        <v>48</v>
      </c>
      <c r="BZ9" s="22">
        <f xml:space="preserve"> 2.33 * BX2 * SQRT(BO1470) * AP1470</f>
        <v>493190.87488000526</v>
      </c>
      <c r="CA9" s="22">
        <f xml:space="preserve"> 1.645 * BX2 * SQRT(BO1470) * AP1470</f>
        <v>348196.99106335139</v>
      </c>
    </row>
    <row r="10" spans="1:79" x14ac:dyDescent="0.15">
      <c r="A10" s="5">
        <v>43552</v>
      </c>
      <c r="B10" s="1"/>
      <c r="C10">
        <v>95.2</v>
      </c>
      <c r="D10">
        <v>96.86</v>
      </c>
      <c r="E10">
        <v>79.896360000000001</v>
      </c>
      <c r="G10" s="3">
        <v>1.6332357284076701E-3</v>
      </c>
      <c r="I10" s="15">
        <f t="shared" si="2"/>
        <v>-1.0493179433367715E-3</v>
      </c>
      <c r="J10" s="15">
        <f t="shared" si="3"/>
        <v>4.1313778145017822E-4</v>
      </c>
      <c r="K10" s="15">
        <f t="shared" si="4"/>
        <v>9.9555308582017533E-3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BJ10">
        <f t="shared" si="0"/>
        <v>2.6674589445473328E-6</v>
      </c>
      <c r="BK10">
        <f t="shared" si="5"/>
        <v>1.8514184581367043E-5</v>
      </c>
      <c r="BO10">
        <f t="shared" si="1"/>
        <v>4.9344059003609636E-5</v>
      </c>
      <c r="BP10">
        <f t="shared" si="6"/>
        <v>4.012378878531222</v>
      </c>
    </row>
    <row r="11" spans="1:79" x14ac:dyDescent="0.15">
      <c r="A11" s="5">
        <v>43553</v>
      </c>
      <c r="B11" s="1"/>
      <c r="C11">
        <v>94.9</v>
      </c>
      <c r="D11">
        <v>97.28</v>
      </c>
      <c r="E11">
        <v>80.248244999999997</v>
      </c>
      <c r="G11" s="3">
        <v>7.6454722046108703E-3</v>
      </c>
      <c r="I11" s="15">
        <f t="shared" si="2"/>
        <v>-3.1512605042016508E-3</v>
      </c>
      <c r="J11" s="15">
        <f t="shared" si="3"/>
        <v>4.3361552756556029E-3</v>
      </c>
      <c r="K11" s="15">
        <f t="shared" si="4"/>
        <v>4.4042682294912535E-3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T11" s="6" t="s">
        <v>49</v>
      </c>
      <c r="BJ11">
        <f t="shared" si="0"/>
        <v>5.8453245231477402E-5</v>
      </c>
      <c r="BK11">
        <f t="shared" si="5"/>
        <v>1.7563381043157857E-5</v>
      </c>
      <c r="BO11">
        <f t="shared" si="1"/>
        <v>4.5024159920966709E-5</v>
      </c>
      <c r="BP11">
        <f t="shared" si="6"/>
        <v>3.4360851374040404</v>
      </c>
    </row>
    <row r="12" spans="1:79" x14ac:dyDescent="0.15">
      <c r="A12" s="5">
        <v>43556</v>
      </c>
      <c r="B12" s="1"/>
      <c r="C12">
        <v>94.63</v>
      </c>
      <c r="D12">
        <v>98.22</v>
      </c>
      <c r="E12">
        <v>80.466089999999994</v>
      </c>
      <c r="G12" s="3">
        <v>6.3580598834789203E-3</v>
      </c>
      <c r="I12" s="15">
        <f t="shared" si="2"/>
        <v>-2.8451001053741857E-3</v>
      </c>
      <c r="J12" s="15">
        <f t="shared" si="3"/>
        <v>9.6628289473683973E-3</v>
      </c>
      <c r="K12" s="15">
        <f t="shared" si="4"/>
        <v>2.7146388061196473E-3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U12" s="12" t="s">
        <v>50</v>
      </c>
      <c r="AV12" s="12" t="s">
        <v>51</v>
      </c>
      <c r="AX12" s="12"/>
      <c r="BJ12">
        <f t="shared" si="0"/>
        <v>4.0424925481903981E-5</v>
      </c>
      <c r="BK12">
        <f t="shared" si="5"/>
        <v>2.0016772894457032E-5</v>
      </c>
      <c r="BO12">
        <f t="shared" si="1"/>
        <v>4.9580744795871681E-5</v>
      </c>
      <c r="BP12">
        <f t="shared" si="6"/>
        <v>3.6293478814865949</v>
      </c>
    </row>
    <row r="13" spans="1:79" ht="15" x14ac:dyDescent="0.15">
      <c r="A13" s="5">
        <v>43557</v>
      </c>
      <c r="B13" s="1"/>
      <c r="C13">
        <v>94.81</v>
      </c>
      <c r="D13">
        <v>99.02</v>
      </c>
      <c r="E13">
        <v>79.477440000000001</v>
      </c>
      <c r="G13" s="3">
        <v>-1.60774093771132E-4</v>
      </c>
      <c r="I13" s="15">
        <f t="shared" si="2"/>
        <v>1.9021451970834494E-3</v>
      </c>
      <c r="J13" s="15">
        <f t="shared" si="3"/>
        <v>8.1449806556709147E-3</v>
      </c>
      <c r="K13" s="15">
        <f t="shared" si="4"/>
        <v>-1.2286542070081855E-2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T13" s="2" t="s">
        <v>52</v>
      </c>
      <c r="AU13" s="21">
        <f>_xlfn.STDEV.S(I783:I907)</f>
        <v>1.0892765242933689E-2</v>
      </c>
      <c r="AV13" s="21">
        <f>_xlfn.STDEV.S(I658:I907)</f>
        <v>1.1354304961264711E-2</v>
      </c>
      <c r="BJ13">
        <f t="shared" si="0"/>
        <v>2.5848309227928748E-8</v>
      </c>
      <c r="BK13">
        <f>$BM$2 * BK12 + (1 - $BM$2) * BJ12</f>
        <v>2.1241262049703851E-5</v>
      </c>
      <c r="BO13">
        <f t="shared" si="1"/>
        <v>5.0587236756353816E-5</v>
      </c>
      <c r="BP13">
        <f t="shared" si="6"/>
        <v>4.0267116100300173</v>
      </c>
    </row>
    <row r="14" spans="1:79" ht="15" x14ac:dyDescent="0.15">
      <c r="A14" s="5">
        <v>43558</v>
      </c>
      <c r="B14" s="1"/>
      <c r="C14">
        <v>95.39</v>
      </c>
      <c r="D14">
        <v>99.72</v>
      </c>
      <c r="E14">
        <v>79.175820000000002</v>
      </c>
      <c r="G14" s="3">
        <v>3.5147712425607201E-3</v>
      </c>
      <c r="I14" s="15">
        <f t="shared" si="2"/>
        <v>6.117498154203125E-3</v>
      </c>
      <c r="J14" s="15">
        <f t="shared" si="3"/>
        <v>7.0692789335488069E-3</v>
      </c>
      <c r="K14" s="15">
        <f t="shared" si="4"/>
        <v>-3.7950391960284548E-3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T14" s="2" t="s">
        <v>53</v>
      </c>
      <c r="AU14" s="15">
        <f>_xlfn.STDEV.S(J783:J907)</f>
        <v>1.4702154930576125E-2</v>
      </c>
      <c r="AV14" s="15">
        <f>_xlfn.STDEV.S(J658:J907)</f>
        <v>1.5881258736507E-2</v>
      </c>
      <c r="BJ14">
        <f t="shared" si="0"/>
        <v>1.2353616887531829E-5</v>
      </c>
      <c r="BK14">
        <f t="shared" si="5"/>
        <v>1.9968337225275295E-5</v>
      </c>
      <c r="BO14">
        <f t="shared" si="1"/>
        <v>4.5623063533101923E-5</v>
      </c>
      <c r="BP14">
        <f t="shared" si="6"/>
        <v>3.9432222126731022</v>
      </c>
    </row>
    <row r="15" spans="1:79" ht="15" x14ac:dyDescent="0.15">
      <c r="A15" s="5">
        <v>43559</v>
      </c>
      <c r="B15" s="1"/>
      <c r="C15">
        <v>95.28</v>
      </c>
      <c r="D15">
        <v>99.72</v>
      </c>
      <c r="E15">
        <v>78.924459999999996</v>
      </c>
      <c r="G15" s="3">
        <v>-6.6694235795816594E-4</v>
      </c>
      <c r="I15" s="15">
        <f t="shared" si="2"/>
        <v>-1.153160708669666E-3</v>
      </c>
      <c r="J15" s="15">
        <f t="shared" si="3"/>
        <v>0</v>
      </c>
      <c r="K15" s="15">
        <f t="shared" si="4"/>
        <v>-3.1747066212892438E-3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T15" s="2" t="s">
        <v>54</v>
      </c>
      <c r="AU15" s="15">
        <f>_xlfn.STDEV.S(K783:K907)</f>
        <v>1.042807110640845E-2</v>
      </c>
      <c r="AV15" s="15">
        <f>_xlfn.STDEV.S(K658:K907)</f>
        <v>1.1183487708681402E-2</v>
      </c>
      <c r="BJ15">
        <f t="shared" si="0"/>
        <v>4.4481210883879835E-7</v>
      </c>
      <c r="BK15">
        <f t="shared" si="5"/>
        <v>1.9511454005010686E-5</v>
      </c>
      <c r="BO15">
        <f t="shared" si="1"/>
        <v>4.3484994331159896E-5</v>
      </c>
      <c r="BP15">
        <f t="shared" si="6"/>
        <v>4.097494238274475</v>
      </c>
    </row>
    <row r="16" spans="1:79" ht="15" x14ac:dyDescent="0.15">
      <c r="A16" s="5">
        <v>43560</v>
      </c>
      <c r="B16" s="1"/>
      <c r="C16">
        <v>95.67</v>
      </c>
      <c r="D16">
        <v>99.32</v>
      </c>
      <c r="E16">
        <v>78.974739999999997</v>
      </c>
      <c r="G16" s="3">
        <v>-2.3585003173772702E-3</v>
      </c>
      <c r="I16" s="15">
        <f t="shared" si="2"/>
        <v>4.0931989924433308E-3</v>
      </c>
      <c r="J16" s="15">
        <f t="shared" si="3"/>
        <v>-4.0112314480546096E-3</v>
      </c>
      <c r="K16" s="15">
        <f t="shared" si="4"/>
        <v>6.3706485923376314E-4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T16" s="2" t="s">
        <v>55</v>
      </c>
      <c r="AV16" s="28">
        <f>AV36</f>
        <v>1.364880179259193E-2</v>
      </c>
      <c r="BJ16">
        <f t="shared" si="0"/>
        <v>5.5625237470686846E-6</v>
      </c>
      <c r="BK16">
        <f t="shared" si="5"/>
        <v>1.8367455491240373E-5</v>
      </c>
      <c r="BO16">
        <f t="shared" si="1"/>
        <v>4.0111883910419416E-5</v>
      </c>
      <c r="BP16">
        <f t="shared" si="6"/>
        <v>4.0736428193546654</v>
      </c>
    </row>
    <row r="17" spans="1:68" ht="15" x14ac:dyDescent="0.15">
      <c r="A17" s="5">
        <v>43563</v>
      </c>
      <c r="B17" s="1"/>
      <c r="C17">
        <v>95.72</v>
      </c>
      <c r="D17">
        <v>99.88</v>
      </c>
      <c r="E17">
        <v>79.443923999999996</v>
      </c>
      <c r="G17" s="3">
        <v>6.4762826931019602E-4</v>
      </c>
      <c r="I17" s="15">
        <f t="shared" si="2"/>
        <v>5.2262987352354087E-4</v>
      </c>
      <c r="J17" s="15">
        <f t="shared" si="3"/>
        <v>5.6383407168747717E-3</v>
      </c>
      <c r="K17" s="15">
        <f t="shared" si="4"/>
        <v>5.9409375706713126E-3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T17" s="2"/>
      <c r="AU17" s="12" t="s">
        <v>56</v>
      </c>
      <c r="AV17" s="12" t="s">
        <v>57</v>
      </c>
      <c r="BJ17">
        <f t="shared" si="0"/>
        <v>4.1942237520971977E-7</v>
      </c>
      <c r="BK17">
        <f t="shared" si="5"/>
        <v>1.7599159586590073E-5</v>
      </c>
      <c r="BO17">
        <f t="shared" si="1"/>
        <v>3.8194952999833718E-5</v>
      </c>
      <c r="BP17">
        <f t="shared" si="6"/>
        <v>4.1619745054686845</v>
      </c>
    </row>
    <row r="18" spans="1:68" ht="15" x14ac:dyDescent="0.15">
      <c r="A18" s="5">
        <v>43564</v>
      </c>
      <c r="B18" s="1"/>
      <c r="C18">
        <v>96.62</v>
      </c>
      <c r="D18">
        <v>99.52</v>
      </c>
      <c r="E18">
        <v>80.382239999999996</v>
      </c>
      <c r="G18" s="3">
        <v>3.6541584395397499E-3</v>
      </c>
      <c r="I18" s="15">
        <f t="shared" si="2"/>
        <v>9.4024237358964237E-3</v>
      </c>
      <c r="J18" s="15">
        <f t="shared" si="3"/>
        <v>-3.6043251902282683E-3</v>
      </c>
      <c r="K18" s="15">
        <f t="shared" si="4"/>
        <v>1.1811048004124273E-2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S18">
        <v>1.1000000000000001</v>
      </c>
      <c r="AT18" s="2" t="s">
        <v>58</v>
      </c>
      <c r="AU18" s="22">
        <f>$AU$22*AU13*ABS(AX5)</f>
        <v>85383.877134546623</v>
      </c>
      <c r="AV18" s="22">
        <f>$AU$22*AV13*ABS(AX5)</f>
        <v>89001.695909100104</v>
      </c>
      <c r="BJ18">
        <f t="shared" si="0"/>
        <v>1.335287390125958E-5</v>
      </c>
      <c r="BK18">
        <f t="shared" si="5"/>
        <v>1.6568375353907252E-5</v>
      </c>
      <c r="BO18">
        <f t="shared" si="1"/>
        <v>3.5958871527536273E-5</v>
      </c>
      <c r="BP18">
        <f t="shared" si="6"/>
        <v>4.0119601313105573</v>
      </c>
    </row>
    <row r="19" spans="1:68" ht="15" x14ac:dyDescent="0.15">
      <c r="A19" s="5">
        <v>43565</v>
      </c>
      <c r="B19" s="1"/>
      <c r="C19">
        <v>97.12</v>
      </c>
      <c r="D19">
        <v>99.34</v>
      </c>
      <c r="E19">
        <v>77.94641</v>
      </c>
      <c r="G19" s="3">
        <v>-2.7038879296066298E-3</v>
      </c>
      <c r="I19" s="15">
        <f t="shared" si="2"/>
        <v>5.1749120264955491E-3</v>
      </c>
      <c r="J19" s="15">
        <f t="shared" si="3"/>
        <v>-1.8086816720256492E-3</v>
      </c>
      <c r="K19" s="15">
        <f t="shared" si="4"/>
        <v>-3.0303086851025746E-2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S19">
        <v>1.1000000000000001</v>
      </c>
      <c r="AT19" s="2" t="s">
        <v>59</v>
      </c>
      <c r="AU19" s="22">
        <f>$AU$22*AU14*ABS(AX6)</f>
        <v>192121.46811045855</v>
      </c>
      <c r="AV19" s="22">
        <f>$AU$22*AV14*ABS(AX6)</f>
        <v>207529.49198993426</v>
      </c>
      <c r="BJ19">
        <f t="shared" si="0"/>
        <v>7.3110099358724271E-6</v>
      </c>
      <c r="BK19">
        <f t="shared" si="5"/>
        <v>1.637544526674839E-5</v>
      </c>
      <c r="BO19">
        <f t="shared" si="1"/>
        <v>3.6046921191261591E-5</v>
      </c>
      <c r="BP19">
        <f t="shared" si="6"/>
        <v>4.0949963869026904</v>
      </c>
    </row>
    <row r="20" spans="1:68" ht="15" x14ac:dyDescent="0.15">
      <c r="A20" s="5">
        <v>43566</v>
      </c>
      <c r="B20" s="1"/>
      <c r="C20">
        <v>96.37</v>
      </c>
      <c r="D20">
        <v>99.58</v>
      </c>
      <c r="E20">
        <v>77.984319999999997</v>
      </c>
      <c r="G20" s="3">
        <v>-7.3814557815121695E-4</v>
      </c>
      <c r="I20" s="15">
        <f t="shared" si="2"/>
        <v>-7.7224052718286654E-3</v>
      </c>
      <c r="J20" s="15">
        <f t="shared" si="3"/>
        <v>2.4159452385745408E-3</v>
      </c>
      <c r="K20" s="15">
        <f t="shared" si="4"/>
        <v>4.8635979514639042E-4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S20">
        <v>1.1000000000000001</v>
      </c>
      <c r="AT20" s="2" t="s">
        <v>60</v>
      </c>
      <c r="AU20" s="22">
        <f>$AU$22*AU15*ABS(AX7)</f>
        <v>152782.84498189163</v>
      </c>
      <c r="AV20" s="22">
        <f>$AU$22*AV15*ABS(AX7)</f>
        <v>163850.53875422204</v>
      </c>
      <c r="BJ20">
        <f t="shared" si="0"/>
        <v>5.4485889454419435E-7</v>
      </c>
      <c r="BK20">
        <f t="shared" si="5"/>
        <v>1.5831579146895834E-5</v>
      </c>
      <c r="BO20">
        <f t="shared" si="1"/>
        <v>3.5255502075809598E-5</v>
      </c>
      <c r="BP20">
        <f t="shared" si="6"/>
        <v>4.1997786547832385</v>
      </c>
    </row>
    <row r="21" spans="1:68" x14ac:dyDescent="0.15">
      <c r="A21" s="5">
        <v>43567</v>
      </c>
      <c r="B21" s="1"/>
      <c r="C21">
        <v>95.53</v>
      </c>
      <c r="D21">
        <v>99.4</v>
      </c>
      <c r="E21">
        <v>76.771150000000006</v>
      </c>
      <c r="G21" s="3">
        <v>-6.7383675608476603E-3</v>
      </c>
      <c r="I21" s="15">
        <f t="shared" si="2"/>
        <v>-8.7164055203901979E-3</v>
      </c>
      <c r="J21" s="15">
        <f t="shared" si="3"/>
        <v>-1.8075918859207934E-3</v>
      </c>
      <c r="K21" s="15">
        <f t="shared" si="4"/>
        <v>-1.5556588811699468E-2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T21" s="13" t="s">
        <v>61</v>
      </c>
      <c r="AU21" s="22">
        <f>AU38</f>
        <v>430288.19022689678</v>
      </c>
      <c r="AV21" s="22">
        <f>AV38</f>
        <v>460381.7266532564</v>
      </c>
      <c r="BJ21">
        <f t="shared" si="0"/>
        <v>4.5405597385084044E-5</v>
      </c>
      <c r="BK21">
        <f t="shared" si="5"/>
        <v>1.4914375931754735E-5</v>
      </c>
      <c r="BO21">
        <f t="shared" si="1"/>
        <v>3.3671093175842635E-5</v>
      </c>
      <c r="BP21">
        <f t="shared" si="6"/>
        <v>3.5562449915106407</v>
      </c>
    </row>
    <row r="22" spans="1:68" x14ac:dyDescent="0.15">
      <c r="A22" s="5">
        <v>43570</v>
      </c>
      <c r="B22" s="1"/>
      <c r="C22">
        <v>94.36</v>
      </c>
      <c r="D22">
        <v>100.85</v>
      </c>
      <c r="E22">
        <v>76.828019999999995</v>
      </c>
      <c r="G22" s="3">
        <v>3.0370319680568195E-3</v>
      </c>
      <c r="I22" s="15">
        <f t="shared" si="2"/>
        <v>-1.2247461530409313E-2</v>
      </c>
      <c r="J22" s="15">
        <f t="shared" si="3"/>
        <v>1.4587525150905318E-2</v>
      </c>
      <c r="K22" s="15">
        <f t="shared" si="4"/>
        <v>7.4077306383959747E-4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T22" s="29" t="s">
        <v>62</v>
      </c>
      <c r="AU22" s="30">
        <v>2.33</v>
      </c>
      <c r="AV22" s="29" t="s">
        <v>63</v>
      </c>
      <c r="BJ22">
        <f t="shared" si="0"/>
        <v>9.2235631749990784E-6</v>
      </c>
      <c r="BK22">
        <f t="shared" si="5"/>
        <v>1.6743849218954494E-5</v>
      </c>
      <c r="BO22">
        <f t="shared" si="1"/>
        <v>3.8817391239876526E-5</v>
      </c>
      <c r="BP22">
        <f t="shared" si="6"/>
        <v>4.0405754612134164</v>
      </c>
    </row>
    <row r="23" spans="1:68" x14ac:dyDescent="0.15">
      <c r="A23" s="5">
        <v>43571</v>
      </c>
      <c r="B23" s="1"/>
      <c r="C23">
        <v>94.9</v>
      </c>
      <c r="D23">
        <v>102.1</v>
      </c>
      <c r="E23">
        <v>76.638459999999995</v>
      </c>
      <c r="G23" s="3">
        <v>6.9511222493907595E-3</v>
      </c>
      <c r="I23" s="15">
        <f t="shared" si="2"/>
        <v>5.7227638830013383E-3</v>
      </c>
      <c r="J23" s="15">
        <f t="shared" si="3"/>
        <v>1.2394645513138325E-2</v>
      </c>
      <c r="K23" s="15">
        <f t="shared" si="4"/>
        <v>-2.4673289771101766E-3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BJ23">
        <f t="shared" si="0"/>
        <v>4.8318100525975253E-5</v>
      </c>
      <c r="BK23">
        <f t="shared" si="5"/>
        <v>1.6292632056317169E-5</v>
      </c>
      <c r="BO23">
        <f t="shared" si="1"/>
        <v>3.7700986294195615E-5</v>
      </c>
      <c r="BP23">
        <f t="shared" si="6"/>
        <v>3.5331667680582206</v>
      </c>
    </row>
    <row r="24" spans="1:68" ht="14" thickBot="1" x14ac:dyDescent="0.2">
      <c r="A24" s="5">
        <v>43572</v>
      </c>
      <c r="B24" s="1"/>
      <c r="C24">
        <v>95.09</v>
      </c>
      <c r="D24">
        <v>102.7</v>
      </c>
      <c r="E24">
        <v>74.629140000000007</v>
      </c>
      <c r="G24" s="3">
        <v>1.7488256691255899E-3</v>
      </c>
      <c r="I24" s="15">
        <f t="shared" si="2"/>
        <v>2.0021074815595123E-3</v>
      </c>
      <c r="J24" s="15">
        <f t="shared" si="3"/>
        <v>5.8765915768854904E-3</v>
      </c>
      <c r="K24" s="15">
        <f t="shared" si="4"/>
        <v>-2.6218167745019776E-2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S24">
        <v>1.2</v>
      </c>
      <c r="AT24" s="12" t="s">
        <v>64</v>
      </c>
      <c r="AU24" s="12"/>
      <c r="BJ24">
        <f t="shared" si="0"/>
        <v>3.0583912209925673E-6</v>
      </c>
      <c r="BK24">
        <f t="shared" si="5"/>
        <v>1.8214160164496658E-5</v>
      </c>
      <c r="BO24">
        <f t="shared" si="1"/>
        <v>4.2393153292204152E-5</v>
      </c>
      <c r="BP24">
        <f t="shared" si="6"/>
        <v>4.0792515516169372</v>
      </c>
    </row>
    <row r="25" spans="1:68" x14ac:dyDescent="0.15">
      <c r="A25" s="5">
        <v>43573</v>
      </c>
      <c r="B25" s="1"/>
      <c r="C25">
        <v>95.85</v>
      </c>
      <c r="D25">
        <v>102.85</v>
      </c>
      <c r="E25">
        <v>73.008414999999999</v>
      </c>
      <c r="G25" s="3">
        <v>-2.6449629887483799E-3</v>
      </c>
      <c r="I25" s="15">
        <f t="shared" si="2"/>
        <v>7.9924282258911645E-3</v>
      </c>
      <c r="J25" s="15">
        <f t="shared" si="3"/>
        <v>1.4605647517039091E-3</v>
      </c>
      <c r="K25" s="15">
        <f t="shared" si="4"/>
        <v>-2.1717053151088263E-2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T25" s="25"/>
      <c r="AU25" s="25" t="s">
        <v>5</v>
      </c>
      <c r="AV25" s="25" t="s">
        <v>6</v>
      </c>
      <c r="AW25" s="25" t="s">
        <v>7</v>
      </c>
      <c r="BJ25">
        <f t="shared" si="0"/>
        <v>6.9958292118487619E-6</v>
      </c>
      <c r="BK25">
        <f t="shared" si="5"/>
        <v>1.7304814027886411E-5</v>
      </c>
      <c r="BO25">
        <f t="shared" si="1"/>
        <v>3.9627693356303644E-5</v>
      </c>
      <c r="BP25">
        <f t="shared" si="6"/>
        <v>4.0607831975718067</v>
      </c>
    </row>
    <row r="26" spans="1:68" x14ac:dyDescent="0.15">
      <c r="A26" s="5">
        <v>43578</v>
      </c>
      <c r="B26" s="1"/>
      <c r="C26">
        <v>97.19</v>
      </c>
      <c r="D26">
        <v>98.04</v>
      </c>
      <c r="E26">
        <v>73.851950000000002</v>
      </c>
      <c r="G26" s="3">
        <v>6.6716208821613297E-3</v>
      </c>
      <c r="I26" s="15">
        <f t="shared" si="2"/>
        <v>1.3980177360459088E-2</v>
      </c>
      <c r="J26" s="15">
        <f t="shared" si="3"/>
        <v>-4.6767136606708684E-2</v>
      </c>
      <c r="K26" s="15">
        <f t="shared" si="4"/>
        <v>1.1553942103797251E-2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T26" s="12" t="s">
        <v>5</v>
      </c>
      <c r="AU26">
        <v>1</v>
      </c>
      <c r="AX26">
        <f>VARP(Data!$I$658:$I$907)</f>
        <v>1.2840456018878684E-4</v>
      </c>
      <c r="BJ26">
        <f t="shared" si="0"/>
        <v>4.4510525195291119E-5</v>
      </c>
      <c r="BK26">
        <f t="shared" si="5"/>
        <v>1.6686274938924152E-5</v>
      </c>
      <c r="BO26">
        <f t="shared" si="1"/>
        <v>3.8019295819711686E-5</v>
      </c>
      <c r="BP26">
        <f t="shared" si="6"/>
        <v>3.5844022734982137</v>
      </c>
    </row>
    <row r="27" spans="1:68" x14ac:dyDescent="0.15">
      <c r="A27" s="5">
        <v>43579</v>
      </c>
      <c r="B27" s="1"/>
      <c r="C27">
        <v>97.16</v>
      </c>
      <c r="D27">
        <v>97.82</v>
      </c>
      <c r="E27">
        <v>75.652755999999997</v>
      </c>
      <c r="G27" s="3">
        <v>2.1375636563689599E-3</v>
      </c>
      <c r="I27" s="15">
        <f t="shared" si="2"/>
        <v>-3.0867373186542994E-4</v>
      </c>
      <c r="J27" s="15">
        <f t="shared" si="3"/>
        <v>-2.2439820481437479E-3</v>
      </c>
      <c r="K27" s="15">
        <f t="shared" si="4"/>
        <v>2.438400069327884E-2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T27" s="12" t="s">
        <v>6</v>
      </c>
      <c r="AU27">
        <v>0.24031038564592799</v>
      </c>
      <c r="AV27">
        <v>1</v>
      </c>
      <c r="BJ27">
        <f t="shared" si="0"/>
        <v>4.569178385029437E-6</v>
      </c>
      <c r="BK27">
        <f t="shared" si="5"/>
        <v>1.8355729954306171E-5</v>
      </c>
      <c r="BO27">
        <f t="shared" si="1"/>
        <v>4.2100552944425876E-5</v>
      </c>
      <c r="BP27">
        <f t="shared" si="6"/>
        <v>4.0645212446174419</v>
      </c>
    </row>
    <row r="28" spans="1:68" ht="14" thickBot="1" x14ac:dyDescent="0.2">
      <c r="A28" s="5">
        <v>43580</v>
      </c>
      <c r="B28" s="1"/>
      <c r="C28">
        <v>97.26</v>
      </c>
      <c r="D28">
        <v>98.28</v>
      </c>
      <c r="E28">
        <v>77.69999</v>
      </c>
      <c r="G28" s="3">
        <v>3.9758094997590599E-3</v>
      </c>
      <c r="I28" s="15">
        <f t="shared" si="2"/>
        <v>1.0292301358584657E-3</v>
      </c>
      <c r="J28" s="15">
        <f t="shared" si="3"/>
        <v>4.7025148231446328E-3</v>
      </c>
      <c r="K28" s="15">
        <f t="shared" si="4"/>
        <v>2.7060930866814728E-2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T28" s="26" t="s">
        <v>7</v>
      </c>
      <c r="AU28" s="24">
        <v>0.49650531359614269</v>
      </c>
      <c r="AV28" s="24">
        <v>0.28588517930895091</v>
      </c>
      <c r="AW28" s="24">
        <v>1</v>
      </c>
      <c r="BJ28">
        <f t="shared" si="0"/>
        <v>1.5807061178374388E-5</v>
      </c>
      <c r="BK28">
        <f t="shared" si="5"/>
        <v>1.7528536860149566E-5</v>
      </c>
      <c r="BO28">
        <f t="shared" si="1"/>
        <v>3.9613350434208739E-5</v>
      </c>
      <c r="BP28">
        <f t="shared" si="6"/>
        <v>3.9497168067267099</v>
      </c>
    </row>
    <row r="29" spans="1:68" x14ac:dyDescent="0.15">
      <c r="A29" s="5">
        <v>43581</v>
      </c>
      <c r="B29" s="1"/>
      <c r="C29">
        <v>97.52</v>
      </c>
      <c r="D29">
        <v>98.14</v>
      </c>
      <c r="E29">
        <v>78.287620000000004</v>
      </c>
      <c r="G29" s="3">
        <v>3.1169557771528701E-3</v>
      </c>
      <c r="I29" s="15">
        <f t="shared" si="2"/>
        <v>2.6732469668927709E-3</v>
      </c>
      <c r="J29" s="15">
        <f t="shared" si="3"/>
        <v>-1.4245014245014302E-3</v>
      </c>
      <c r="K29" s="15">
        <f t="shared" si="4"/>
        <v>7.5628066361399056E-3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BJ29">
        <f t="shared" si="0"/>
        <v>9.7154133167266516E-6</v>
      </c>
      <c r="BK29">
        <f t="shared" si="5"/>
        <v>1.7425248319243057E-5</v>
      </c>
      <c r="BO29">
        <f t="shared" si="1"/>
        <v>3.9262942855721447E-5</v>
      </c>
      <c r="BP29">
        <f t="shared" si="6"/>
        <v>4.0299537447353471</v>
      </c>
    </row>
    <row r="30" spans="1:68" ht="14" thickBot="1" x14ac:dyDescent="0.2">
      <c r="A30" s="5">
        <v>43584</v>
      </c>
      <c r="B30" s="1"/>
      <c r="C30">
        <v>97.46</v>
      </c>
      <c r="D30">
        <v>98.24</v>
      </c>
      <c r="E30">
        <v>78.287620000000004</v>
      </c>
      <c r="G30" s="3">
        <v>1.6670290006881501E-3</v>
      </c>
      <c r="I30" s="15">
        <f t="shared" si="2"/>
        <v>-6.1525840853160658E-4</v>
      </c>
      <c r="J30" s="15">
        <f t="shared" si="3"/>
        <v>1.0189525168126587E-3</v>
      </c>
      <c r="K30" s="15">
        <f t="shared" si="4"/>
        <v>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S30">
        <v>1.2</v>
      </c>
      <c r="AT30" s="12" t="s">
        <v>65</v>
      </c>
      <c r="BJ30">
        <f t="shared" si="0"/>
        <v>2.7789856891353322E-6</v>
      </c>
      <c r="BK30">
        <f t="shared" si="5"/>
        <v>1.6962658219092073E-5</v>
      </c>
      <c r="BO30">
        <f t="shared" si="1"/>
        <v>3.8120516934510904E-5</v>
      </c>
      <c r="BP30">
        <f t="shared" si="6"/>
        <v>4.1319904260117548</v>
      </c>
    </row>
    <row r="31" spans="1:68" x14ac:dyDescent="0.15">
      <c r="A31" s="5">
        <v>43585</v>
      </c>
      <c r="B31" s="1"/>
      <c r="C31">
        <v>98.05</v>
      </c>
      <c r="D31">
        <v>98.06</v>
      </c>
      <c r="E31">
        <v>78.865769999999998</v>
      </c>
      <c r="G31" s="3">
        <v>3.0038264804308403E-3</v>
      </c>
      <c r="I31" s="15">
        <f t="shared" si="2"/>
        <v>6.0537656474451409E-3</v>
      </c>
      <c r="J31" s="15">
        <f t="shared" si="3"/>
        <v>-1.8322475570031822E-3</v>
      </c>
      <c r="K31" s="15">
        <f t="shared" si="4"/>
        <v>7.3849479649527438E-3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T31" s="25"/>
      <c r="AU31" s="25" t="s">
        <v>5</v>
      </c>
      <c r="AV31" s="25" t="s">
        <v>6</v>
      </c>
      <c r="AW31" s="25" t="s">
        <v>7</v>
      </c>
      <c r="BJ31">
        <f t="shared" si="0"/>
        <v>9.0229735245375287E-6</v>
      </c>
      <c r="BK31">
        <f t="shared" si="5"/>
        <v>1.6111637867294668E-5</v>
      </c>
      <c r="BO31">
        <f t="shared" si="1"/>
        <v>3.6236534907197058E-5</v>
      </c>
      <c r="BP31">
        <f t="shared" si="6"/>
        <v>4.0692817617922614</v>
      </c>
    </row>
    <row r="32" spans="1:68" x14ac:dyDescent="0.15">
      <c r="A32" s="5">
        <v>43587</v>
      </c>
      <c r="B32" s="1"/>
      <c r="C32">
        <v>97.34</v>
      </c>
      <c r="D32">
        <v>97.54</v>
      </c>
      <c r="E32">
        <v>78.808909999999997</v>
      </c>
      <c r="G32" s="3">
        <v>-2.42371151062603E-3</v>
      </c>
      <c r="I32" s="15">
        <f t="shared" si="2"/>
        <v>-7.2412034676184985E-3</v>
      </c>
      <c r="J32" s="15">
        <f t="shared" si="3"/>
        <v>-5.3028757903324092E-3</v>
      </c>
      <c r="K32" s="15">
        <f t="shared" si="4"/>
        <v>-7.2097184875010236E-4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T32" s="12" t="s">
        <v>5</v>
      </c>
      <c r="AU32" s="44">
        <f>VARP(Data!$I$658:$I$907)</f>
        <v>1.2840456018878684E-4</v>
      </c>
      <c r="AV32" s="44">
        <f>AU33</f>
        <v>4.3159594405625602E-5</v>
      </c>
      <c r="AW32" s="44">
        <f>AU34</f>
        <v>6.2794420728239407E-5</v>
      </c>
      <c r="BJ32">
        <f t="shared" si="0"/>
        <v>5.8743774867411122E-6</v>
      </c>
      <c r="BK32">
        <f t="shared" si="5"/>
        <v>1.5686318006729238E-5</v>
      </c>
      <c r="BO32">
        <f t="shared" si="1"/>
        <v>3.5648049235922232E-5</v>
      </c>
      <c r="BP32">
        <f t="shared" si="6"/>
        <v>4.1195754383757999</v>
      </c>
    </row>
    <row r="33" spans="1:68" x14ac:dyDescent="0.15">
      <c r="A33" s="5">
        <v>43588</v>
      </c>
      <c r="B33" s="1"/>
      <c r="C33">
        <v>97.19</v>
      </c>
      <c r="D33">
        <v>94.56</v>
      </c>
      <c r="E33">
        <v>79.320719999999994</v>
      </c>
      <c r="G33" s="3">
        <v>-4.17910420627998E-4</v>
      </c>
      <c r="I33" s="15">
        <f t="shared" si="2"/>
        <v>-1.5409903431272414E-3</v>
      </c>
      <c r="J33" s="15">
        <f t="shared" si="3"/>
        <v>-3.0551568587246298E-2</v>
      </c>
      <c r="K33" s="15">
        <f t="shared" si="4"/>
        <v>6.4943164421382938E-3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T33" s="12" t="s">
        <v>6</v>
      </c>
      <c r="AU33" s="44">
        <v>4.3159594405625602E-5</v>
      </c>
      <c r="AV33" s="44">
        <f>VARP(Data!$J$658:$J$907)</f>
        <v>2.5120552153965646E-4</v>
      </c>
      <c r="AW33" s="44">
        <f>AV34</f>
        <v>5.0572353617945557E-5</v>
      </c>
      <c r="BJ33">
        <f t="shared" si="0"/>
        <v>1.7464911966947022E-7</v>
      </c>
      <c r="BK33">
        <f t="shared" si="5"/>
        <v>1.509760157552995E-5</v>
      </c>
      <c r="BO33">
        <f t="shared" si="1"/>
        <v>3.4738029897872642E-5</v>
      </c>
      <c r="BP33">
        <f t="shared" si="6"/>
        <v>4.2123854182412401</v>
      </c>
    </row>
    <row r="34" spans="1:68" ht="14" thickBot="1" x14ac:dyDescent="0.2">
      <c r="A34" s="5">
        <v>43591</v>
      </c>
      <c r="B34" s="1"/>
      <c r="C34">
        <v>97.8</v>
      </c>
      <c r="D34">
        <v>92.72</v>
      </c>
      <c r="E34">
        <v>79.349143999999995</v>
      </c>
      <c r="G34" s="3">
        <v>-8.6991957067611408E-3</v>
      </c>
      <c r="I34" s="15">
        <f t="shared" si="2"/>
        <v>6.2763658812634987E-3</v>
      </c>
      <c r="J34" s="15">
        <f t="shared" si="3"/>
        <v>-1.9458544839255534E-2</v>
      </c>
      <c r="K34" s="15">
        <f t="shared" si="4"/>
        <v>3.5834268776179938E-4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T34" s="26" t="s">
        <v>7</v>
      </c>
      <c r="AU34" s="45">
        <v>6.2794420728239407E-5</v>
      </c>
      <c r="AV34" s="45">
        <v>5.0572353617945557E-5</v>
      </c>
      <c r="AW34" s="45">
        <f>VARP(Data!$K$658:$K$907)</f>
        <v>1.2457011574090707E-4</v>
      </c>
      <c r="BJ34">
        <f t="shared" si="0"/>
        <v>7.567600594453146E-5</v>
      </c>
      <c r="BK34">
        <f t="shared" si="5"/>
        <v>1.4202224428178319E-5</v>
      </c>
      <c r="BO34">
        <f t="shared" si="1"/>
        <v>3.3212473613981576E-5</v>
      </c>
      <c r="BP34">
        <f t="shared" si="6"/>
        <v>3.0980831396489403</v>
      </c>
    </row>
    <row r="35" spans="1:68" x14ac:dyDescent="0.15">
      <c r="A35" s="5">
        <v>43592</v>
      </c>
      <c r="B35" s="1"/>
      <c r="C35">
        <v>97.52</v>
      </c>
      <c r="D35">
        <v>91.34</v>
      </c>
      <c r="E35">
        <v>78.619349999999997</v>
      </c>
      <c r="G35" s="3">
        <v>-8.2695749249287395E-3</v>
      </c>
      <c r="I35" s="15">
        <f t="shared" si="2"/>
        <v>-2.8629856850715864E-3</v>
      </c>
      <c r="J35" s="15">
        <f t="shared" si="3"/>
        <v>-1.4883520276100038E-2</v>
      </c>
      <c r="K35" s="15">
        <f t="shared" si="4"/>
        <v>-9.1972510755755389E-3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BJ35">
        <f t="shared" si="0"/>
        <v>6.838586943901017E-5</v>
      </c>
      <c r="BK35">
        <f t="shared" si="5"/>
        <v>1.7890651319159511E-5</v>
      </c>
      <c r="BO35">
        <f t="shared" si="1"/>
        <v>4.2768777071881981E-5</v>
      </c>
      <c r="BP35">
        <f t="shared" si="6"/>
        <v>3.3114290081173543</v>
      </c>
    </row>
    <row r="36" spans="1:68" ht="15" x14ac:dyDescent="0.15">
      <c r="A36" s="5">
        <v>43593</v>
      </c>
      <c r="B36" s="1"/>
      <c r="C36">
        <v>98.4</v>
      </c>
      <c r="D36">
        <v>91.8</v>
      </c>
      <c r="E36">
        <v>79.159583999999995</v>
      </c>
      <c r="G36" s="3">
        <v>4.6550563459577497E-3</v>
      </c>
      <c r="I36" s="15">
        <f t="shared" si="2"/>
        <v>9.0237899917966543E-3</v>
      </c>
      <c r="J36" s="15">
        <f t="shared" si="3"/>
        <v>5.036128749726229E-3</v>
      </c>
      <c r="K36" s="15">
        <f t="shared" si="4"/>
        <v>6.8715144554107625E-3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T36" s="2" t="s">
        <v>55</v>
      </c>
      <c r="AV36" s="28" cm="1">
        <f t="array" ref="AV36">SQRT(MMULT(TRANSPOSE(AY5:AY7), MMULT(AU32:AW34, AY5:AY7)))</f>
        <v>1.364880179259193E-2</v>
      </c>
      <c r="BJ36">
        <f t="shared" si="0"/>
        <v>2.1669549584041517E-5</v>
      </c>
      <c r="BK36">
        <f t="shared" si="5"/>
        <v>2.0920364406350553E-5</v>
      </c>
      <c r="BO36">
        <f t="shared" si="1"/>
        <v>4.9226276475182774E-5</v>
      </c>
      <c r="BP36">
        <f t="shared" si="6"/>
        <v>3.8205015187398685</v>
      </c>
    </row>
    <row r="37" spans="1:68" x14ac:dyDescent="0.15">
      <c r="A37" s="5">
        <v>43594</v>
      </c>
      <c r="B37" s="1"/>
      <c r="C37">
        <v>96.93</v>
      </c>
      <c r="D37">
        <v>90.22</v>
      </c>
      <c r="E37">
        <v>77.425129999999996</v>
      </c>
      <c r="G37" s="3">
        <v>-1.9919999136794899E-2</v>
      </c>
      <c r="I37" s="15">
        <f t="shared" si="2"/>
        <v>-1.493902439024389E-2</v>
      </c>
      <c r="J37" s="15">
        <f t="shared" si="3"/>
        <v>-1.7211328976034841E-2</v>
      </c>
      <c r="K37" s="15">
        <f t="shared" si="4"/>
        <v>-2.1910852891798921E-2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S37">
        <v>1.2</v>
      </c>
      <c r="AT37" s="7" t="s">
        <v>66</v>
      </c>
      <c r="AV37" s="22">
        <f>$AU$22*AV36*AX8*SQRT(1)</f>
        <v>271339.52671886928</v>
      </c>
      <c r="BJ37">
        <f t="shared" si="0"/>
        <v>3.9680636560990952E-4</v>
      </c>
      <c r="BK37">
        <f t="shared" si="5"/>
        <v>2.0965315517012013E-5</v>
      </c>
      <c r="BO37">
        <f t="shared" si="1"/>
        <v>4.7638055137038781E-5</v>
      </c>
      <c r="BP37">
        <f t="shared" si="6"/>
        <v>-0.10780363837813489</v>
      </c>
    </row>
    <row r="38" spans="1:68" x14ac:dyDescent="0.15">
      <c r="A38" s="5">
        <v>43595</v>
      </c>
      <c r="B38" s="1"/>
      <c r="C38">
        <v>97.5</v>
      </c>
      <c r="D38">
        <v>90.72</v>
      </c>
      <c r="E38">
        <v>77.85163</v>
      </c>
      <c r="G38" s="3">
        <v>4.5107709234031203E-3</v>
      </c>
      <c r="I38" s="15">
        <f t="shared" si="2"/>
        <v>5.8805323429278154E-3</v>
      </c>
      <c r="J38" s="15">
        <f t="shared" si="3"/>
        <v>5.5420084238528046E-3</v>
      </c>
      <c r="K38" s="15">
        <f t="shared" si="4"/>
        <v>5.5085474186482393E-3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S38">
        <v>1.2</v>
      </c>
      <c r="AT38" s="13" t="s">
        <v>61</v>
      </c>
      <c r="AU38" s="22">
        <f>SUM(AU18:AU20)</f>
        <v>430288.19022689678</v>
      </c>
      <c r="AV38" s="22">
        <f>SUM(AV18:AV20)</f>
        <v>460381.7266532564</v>
      </c>
      <c r="BJ38">
        <f t="shared" si="0"/>
        <v>2.0347054323419037E-5</v>
      </c>
      <c r="BK38">
        <f t="shared" si="5"/>
        <v>4.3515778522585882E-5</v>
      </c>
      <c r="BO38">
        <f t="shared" si="1"/>
        <v>9.981934412669158E-5</v>
      </c>
      <c r="BP38">
        <f t="shared" si="6"/>
        <v>3.5852163540573869</v>
      </c>
    </row>
    <row r="39" spans="1:68" x14ac:dyDescent="0.15">
      <c r="A39" s="5">
        <v>43598</v>
      </c>
      <c r="B39" s="1"/>
      <c r="C39">
        <v>97.4</v>
      </c>
      <c r="D39">
        <v>89.32</v>
      </c>
      <c r="E39">
        <v>76.524730000000005</v>
      </c>
      <c r="G39" s="3">
        <v>-1.15759227480948E-2</v>
      </c>
      <c r="I39" s="15">
        <f t="shared" si="2"/>
        <v>-1.0256410256409673E-3</v>
      </c>
      <c r="J39" s="15">
        <f t="shared" si="3"/>
        <v>-1.5432098765432162E-2</v>
      </c>
      <c r="K39" s="15">
        <f t="shared" si="4"/>
        <v>-1.7043959130977667E-2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S39">
        <v>1.2</v>
      </c>
      <c r="AT39" s="7" t="s">
        <v>67</v>
      </c>
      <c r="AV39" s="22">
        <f>AV38-AV37</f>
        <v>189042.19993438711</v>
      </c>
      <c r="BJ39">
        <f t="shared" si="0"/>
        <v>1.3400198746985867E-4</v>
      </c>
      <c r="BK39">
        <f t="shared" si="5"/>
        <v>4.2125655070635872E-5</v>
      </c>
      <c r="BO39">
        <f t="shared" si="1"/>
        <v>8.7133835769261098E-5</v>
      </c>
      <c r="BP39">
        <f t="shared" si="6"/>
        <v>2.9861506397764632</v>
      </c>
    </row>
    <row r="40" spans="1:68" x14ac:dyDescent="0.15">
      <c r="A40" s="5">
        <v>43599</v>
      </c>
      <c r="B40" s="1"/>
      <c r="C40">
        <v>97.4</v>
      </c>
      <c r="D40">
        <v>90.14</v>
      </c>
      <c r="E40">
        <v>77.226100000000002</v>
      </c>
      <c r="G40" s="3">
        <v>4.36833562324379E-3</v>
      </c>
      <c r="I40" s="15">
        <f t="shared" si="2"/>
        <v>0</v>
      </c>
      <c r="J40" s="15">
        <f t="shared" si="3"/>
        <v>9.1804746977161601E-3</v>
      </c>
      <c r="K40" s="15">
        <f t="shared" si="4"/>
        <v>9.1652724550612217E-3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BJ40">
        <f t="shared" si="0"/>
        <v>1.9082356117300712E-5</v>
      </c>
      <c r="BK40">
        <f t="shared" si="5"/>
        <v>4.7638235014589244E-5</v>
      </c>
      <c r="BO40">
        <f t="shared" si="1"/>
        <v>9.3370348742413727E-5</v>
      </c>
      <c r="BP40">
        <f t="shared" si="6"/>
        <v>3.6183434497043754</v>
      </c>
    </row>
    <row r="41" spans="1:68" x14ac:dyDescent="0.15">
      <c r="A41" s="5">
        <v>43600</v>
      </c>
      <c r="B41" s="1"/>
      <c r="C41">
        <v>98.69</v>
      </c>
      <c r="D41">
        <v>91.36</v>
      </c>
      <c r="E41">
        <v>77.984319999999997</v>
      </c>
      <c r="G41" s="3">
        <v>8.1540269037840788E-3</v>
      </c>
      <c r="I41" s="15">
        <f t="shared" si="2"/>
        <v>1.3244353182751457E-2</v>
      </c>
      <c r="J41" s="15">
        <f t="shared" si="3"/>
        <v>1.3534501885955168E-2</v>
      </c>
      <c r="K41" s="15">
        <f t="shared" si="4"/>
        <v>9.8181832307988395E-3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BJ41">
        <f t="shared" si="0"/>
        <v>6.6488154747634565E-5</v>
      </c>
      <c r="BK41">
        <f t="shared" si="5"/>
        <v>4.5924882280751932E-5</v>
      </c>
      <c r="BO41">
        <f t="shared" si="1"/>
        <v>8.1895261828339555E-5</v>
      </c>
      <c r="BP41">
        <f t="shared" si="6"/>
        <v>3.3801621025483675</v>
      </c>
    </row>
    <row r="42" spans="1:68" x14ac:dyDescent="0.15">
      <c r="A42" s="5">
        <v>43601</v>
      </c>
      <c r="B42" s="1"/>
      <c r="C42">
        <v>100.42</v>
      </c>
      <c r="D42">
        <v>93.64</v>
      </c>
      <c r="E42">
        <v>79.462874999999997</v>
      </c>
      <c r="G42" s="3">
        <v>1.89675661219217E-2</v>
      </c>
      <c r="I42" s="15">
        <f t="shared" si="2"/>
        <v>1.7529638261222048E-2</v>
      </c>
      <c r="J42" s="15">
        <f t="shared" si="3"/>
        <v>2.4956217162872166E-2</v>
      </c>
      <c r="K42" s="15">
        <f t="shared" si="4"/>
        <v>1.8959644708064393E-2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S42">
        <v>1.3</v>
      </c>
      <c r="AT42" s="12" t="s">
        <v>68</v>
      </c>
      <c r="BJ42">
        <f t="shared" si="0"/>
        <v>3.597685645894718E-4</v>
      </c>
      <c r="BK42">
        <f t="shared" si="5"/>
        <v>4.7158678628764889E-5</v>
      </c>
      <c r="BO42">
        <f t="shared" si="1"/>
        <v>7.9645989497636972E-5</v>
      </c>
      <c r="BP42">
        <f t="shared" si="6"/>
        <v>1.541473004375864</v>
      </c>
    </row>
    <row r="43" spans="1:68" x14ac:dyDescent="0.15">
      <c r="A43" s="5">
        <v>43602</v>
      </c>
      <c r="B43" s="1"/>
      <c r="C43">
        <v>100.04</v>
      </c>
      <c r="D43">
        <v>93.44</v>
      </c>
      <c r="E43">
        <v>79.709305000000001</v>
      </c>
      <c r="G43" s="3">
        <v>-1.56249864826096E-4</v>
      </c>
      <c r="I43" s="15">
        <f t="shared" si="2"/>
        <v>-3.7841067516430535E-3</v>
      </c>
      <c r="J43" s="15">
        <f t="shared" si="3"/>
        <v>-2.1358393848782873E-3</v>
      </c>
      <c r="K43" s="15">
        <f t="shared" si="4"/>
        <v>3.1011966279851279E-3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BJ43">
        <f t="shared" si="0"/>
        <v>2.4414020258173272E-8</v>
      </c>
      <c r="BK43">
        <f t="shared" si="5"/>
        <v>6.5915271786407312E-5</v>
      </c>
      <c r="BO43">
        <f t="shared" si="1"/>
        <v>1.1965075926652984E-4</v>
      </c>
      <c r="BP43">
        <f t="shared" si="6"/>
        <v>3.596426143742542</v>
      </c>
    </row>
    <row r="44" spans="1:68" x14ac:dyDescent="0.15">
      <c r="A44" s="5">
        <v>43605</v>
      </c>
      <c r="B44" s="1"/>
      <c r="C44">
        <v>99.55</v>
      </c>
      <c r="D44">
        <v>94.08</v>
      </c>
      <c r="E44">
        <v>78.600390000000004</v>
      </c>
      <c r="G44" s="3">
        <v>-7.9716203109375609E-3</v>
      </c>
      <c r="I44" s="15">
        <f t="shared" si="2"/>
        <v>-4.8980407836866158E-3</v>
      </c>
      <c r="J44" s="15">
        <f t="shared" si="3"/>
        <v>6.8493150684931572E-3</v>
      </c>
      <c r="K44" s="15">
        <f t="shared" si="4"/>
        <v>-1.3911989321698339E-2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S44">
        <v>1.4</v>
      </c>
      <c r="AT44" s="28"/>
      <c r="AU44" s="28"/>
      <c r="AV44" s="28"/>
      <c r="BJ44">
        <f t="shared" si="0"/>
        <v>6.3546730381752248E-5</v>
      </c>
      <c r="BK44">
        <f t="shared" si="5"/>
        <v>6.1961820320438366E-5</v>
      </c>
      <c r="BO44">
        <f t="shared" si="1"/>
        <v>9.9794823487812459E-5</v>
      </c>
      <c r="BP44">
        <f t="shared" si="6"/>
        <v>3.3688716821612412</v>
      </c>
    </row>
    <row r="45" spans="1:68" x14ac:dyDescent="0.15">
      <c r="A45" s="5">
        <v>43606</v>
      </c>
      <c r="B45" s="1"/>
      <c r="C45">
        <v>99.07</v>
      </c>
      <c r="D45">
        <v>94.66</v>
      </c>
      <c r="E45">
        <v>79.244889999999998</v>
      </c>
      <c r="G45" s="3">
        <v>4.3917004000157897E-3</v>
      </c>
      <c r="I45" s="15">
        <f t="shared" si="2"/>
        <v>-4.8216976393772376E-3</v>
      </c>
      <c r="J45" s="15">
        <f t="shared" si="3"/>
        <v>6.1649659863945395E-3</v>
      </c>
      <c r="K45" s="15">
        <f t="shared" si="4"/>
        <v>8.1997048615152363E-3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T45" s="21"/>
      <c r="AU45" s="15"/>
      <c r="AV45" s="15"/>
      <c r="BJ45">
        <f t="shared" si="0"/>
        <v>1.9287032403498847E-5</v>
      </c>
      <c r="BK45">
        <f t="shared" si="5"/>
        <v>6.2056914924117198E-5</v>
      </c>
      <c r="BO45">
        <f t="shared" si="1"/>
        <v>9.3267108320170338E-5</v>
      </c>
      <c r="BP45">
        <f t="shared" si="6"/>
        <v>3.6176862378831767</v>
      </c>
    </row>
    <row r="46" spans="1:68" x14ac:dyDescent="0.15">
      <c r="A46" s="5">
        <v>43607</v>
      </c>
      <c r="B46" s="1"/>
      <c r="C46">
        <v>99.68</v>
      </c>
      <c r="D46">
        <v>94.5</v>
      </c>
      <c r="E46">
        <v>79.785129999999995</v>
      </c>
      <c r="G46" s="3">
        <v>2.1700552901682199E-3</v>
      </c>
      <c r="I46" s="15">
        <f t="shared" si="2"/>
        <v>6.1572625416373645E-3</v>
      </c>
      <c r="J46" s="15">
        <f t="shared" si="3"/>
        <v>-1.6902598774561229E-3</v>
      </c>
      <c r="K46" s="15">
        <f t="shared" si="4"/>
        <v>6.8173480965144527E-3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BJ46">
        <f t="shared" si="0"/>
        <v>4.7091399623870774E-6</v>
      </c>
      <c r="BK46">
        <f t="shared" si="5"/>
        <v>5.9490721972880095E-5</v>
      </c>
      <c r="BO46">
        <f t="shared" si="1"/>
        <v>8.184343226318626E-5</v>
      </c>
      <c r="BP46">
        <f t="shared" si="6"/>
        <v>3.7576435171486033</v>
      </c>
    </row>
    <row r="47" spans="1:68" x14ac:dyDescent="0.15">
      <c r="A47" s="5">
        <v>43608</v>
      </c>
      <c r="B47" s="1"/>
      <c r="C47">
        <v>99.32</v>
      </c>
      <c r="D47">
        <v>94.06</v>
      </c>
      <c r="E47">
        <v>80.277979999999999</v>
      </c>
      <c r="G47" s="3">
        <v>-5.2603254427531195E-3</v>
      </c>
      <c r="I47" s="15">
        <f t="shared" si="2"/>
        <v>-3.6115569823436358E-3</v>
      </c>
      <c r="J47" s="15">
        <f t="shared" si="3"/>
        <v>-4.6560846560846324E-3</v>
      </c>
      <c r="K47" s="15">
        <f t="shared" si="4"/>
        <v>6.177216230643533E-3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BJ47">
        <f t="shared" si="0"/>
        <v>2.7671023763675804E-5</v>
      </c>
      <c r="BK47">
        <f t="shared" si="5"/>
        <v>5.6203827052250514E-5</v>
      </c>
      <c r="BO47">
        <f t="shared" si="1"/>
        <v>7.0806756534437621E-5</v>
      </c>
      <c r="BP47">
        <f t="shared" si="6"/>
        <v>3.663441344674963</v>
      </c>
    </row>
    <row r="48" spans="1:68" x14ac:dyDescent="0.15">
      <c r="A48" s="5">
        <v>43609</v>
      </c>
      <c r="B48" s="1"/>
      <c r="C48">
        <v>99</v>
      </c>
      <c r="D48">
        <v>95.58</v>
      </c>
      <c r="E48">
        <v>82.694855000000004</v>
      </c>
      <c r="G48" s="3">
        <v>7.5650106396911694E-3</v>
      </c>
      <c r="I48" s="15">
        <f t="shared" si="2"/>
        <v>-3.2219089810712163E-3</v>
      </c>
      <c r="J48" s="15">
        <f t="shared" si="3"/>
        <v>1.6159897937486668E-2</v>
      </c>
      <c r="K48" s="15">
        <f t="shared" si="4"/>
        <v>3.0106325545311487E-2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BJ48">
        <f t="shared" si="0"/>
        <v>5.7229385978640593E-5</v>
      </c>
      <c r="BK48">
        <f t="shared" si="5"/>
        <v>5.4491858854936026E-5</v>
      </c>
      <c r="BO48">
        <f t="shared" si="1"/>
        <v>6.5420057686380582E-5</v>
      </c>
      <c r="BP48">
        <f t="shared" si="6"/>
        <v>3.4610029089731782</v>
      </c>
    </row>
    <row r="49" spans="1:68" x14ac:dyDescent="0.15">
      <c r="A49" s="5">
        <v>43613</v>
      </c>
      <c r="B49" s="1"/>
      <c r="C49">
        <v>98.72</v>
      </c>
      <c r="D49">
        <v>96.86</v>
      </c>
      <c r="E49">
        <v>83.841679999999997</v>
      </c>
      <c r="G49" s="3">
        <v>1.4464858828395699E-3</v>
      </c>
      <c r="I49" s="15">
        <f t="shared" si="2"/>
        <v>-2.8282828282828396E-3</v>
      </c>
      <c r="J49" s="15">
        <f t="shared" si="3"/>
        <v>1.3391922996442783E-2</v>
      </c>
      <c r="K49" s="15">
        <f t="shared" si="4"/>
        <v>1.38681541916966E-2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BJ49">
        <f t="shared" si="0"/>
        <v>2.0923214092541699E-6</v>
      </c>
      <c r="BK49">
        <f t="shared" si="5"/>
        <v>5.4656110482358295E-5</v>
      </c>
      <c r="BO49">
        <f t="shared" si="1"/>
        <v>6.5404552732841335E-5</v>
      </c>
      <c r="BP49">
        <f t="shared" si="6"/>
        <v>3.8825255833682042</v>
      </c>
    </row>
    <row r="50" spans="1:68" x14ac:dyDescent="0.15">
      <c r="A50" s="5">
        <v>43614</v>
      </c>
      <c r="B50" s="1"/>
      <c r="C50">
        <v>98.35</v>
      </c>
      <c r="D50">
        <v>94.94</v>
      </c>
      <c r="E50">
        <v>82.382080000000002</v>
      </c>
      <c r="G50" s="3">
        <v>-1.43483487491264E-2</v>
      </c>
      <c r="I50" s="15">
        <f t="shared" si="2"/>
        <v>-3.7479740680713587E-3</v>
      </c>
      <c r="J50" s="15">
        <f t="shared" si="3"/>
        <v>-1.9822424117282692E-2</v>
      </c>
      <c r="K50" s="15">
        <f t="shared" si="4"/>
        <v>-1.7409002300526357E-2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T50" s="12"/>
      <c r="AU50" s="12"/>
      <c r="AV50" s="12"/>
      <c r="BJ50">
        <f t="shared" si="0"/>
        <v>2.0587511182655713E-4</v>
      </c>
      <c r="BK50">
        <f t="shared" si="5"/>
        <v>5.1502283137972041E-5</v>
      </c>
      <c r="BO50">
        <f t="shared" si="1"/>
        <v>5.7539759829399309E-5</v>
      </c>
      <c r="BP50">
        <f t="shared" si="6"/>
        <v>2.1735973263882071</v>
      </c>
    </row>
    <row r="51" spans="1:68" x14ac:dyDescent="0.15">
      <c r="A51" s="5">
        <v>43616</v>
      </c>
      <c r="B51" s="1"/>
      <c r="C51">
        <v>99.55</v>
      </c>
      <c r="D51">
        <v>95</v>
      </c>
      <c r="E51">
        <v>81.604889999999997</v>
      </c>
      <c r="G51" s="3">
        <v>-1.8851902809991999E-3</v>
      </c>
      <c r="I51" s="15">
        <f t="shared" si="2"/>
        <v>1.2201321809862765E-2</v>
      </c>
      <c r="J51" s="15">
        <f t="shared" si="3"/>
        <v>6.3197809142618785E-4</v>
      </c>
      <c r="K51" s="15">
        <f t="shared" si="4"/>
        <v>-9.4339691350352455E-3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T51" s="12"/>
      <c r="BJ51">
        <f t="shared" si="0"/>
        <v>3.5539423955738425E-6</v>
      </c>
      <c r="BK51">
        <f t="shared" si="5"/>
        <v>6.0764652859287156E-5</v>
      </c>
      <c r="BO51">
        <f t="shared" si="1"/>
        <v>8.0393566346743158E-5</v>
      </c>
      <c r="BP51">
        <f t="shared" si="6"/>
        <v>3.773246269027537</v>
      </c>
    </row>
    <row r="52" spans="1:68" x14ac:dyDescent="0.15">
      <c r="A52" s="5">
        <v>43619</v>
      </c>
      <c r="B52" s="1"/>
      <c r="C52">
        <v>101.44</v>
      </c>
      <c r="D52">
        <v>95.18</v>
      </c>
      <c r="E52">
        <v>82.903366000000005</v>
      </c>
      <c r="G52" s="3">
        <v>8.2685138313913706E-3</v>
      </c>
      <c r="I52" s="15">
        <f t="shared" si="2"/>
        <v>1.8985434455047721E-2</v>
      </c>
      <c r="J52" s="15">
        <f t="shared" si="3"/>
        <v>1.8947368421053351E-3</v>
      </c>
      <c r="K52" s="15">
        <f t="shared" si="4"/>
        <v>1.5911742543859908E-2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T52" s="12"/>
      <c r="BJ52">
        <f t="shared" si="0"/>
        <v>6.8368320979910409E-5</v>
      </c>
      <c r="BK52">
        <f t="shared" si="5"/>
        <v>5.733201023146435E-5</v>
      </c>
      <c r="BO52">
        <f t="shared" si="1"/>
        <v>6.9504988963531487E-5</v>
      </c>
      <c r="BP52">
        <f t="shared" si="6"/>
        <v>3.3762943594980359</v>
      </c>
    </row>
    <row r="53" spans="1:68" x14ac:dyDescent="0.15">
      <c r="A53" s="5">
        <v>43620</v>
      </c>
      <c r="B53" s="1"/>
      <c r="C53">
        <v>99.3</v>
      </c>
      <c r="D53">
        <v>96.42</v>
      </c>
      <c r="E53">
        <v>82.382080000000002</v>
      </c>
      <c r="G53" s="3">
        <v>-5.2211645141253505E-4</v>
      </c>
      <c r="I53" s="15">
        <f t="shared" si="2"/>
        <v>-2.1096214511041017E-2</v>
      </c>
      <c r="J53" s="15">
        <f t="shared" si="3"/>
        <v>1.3027947047699042E-2</v>
      </c>
      <c r="K53" s="15">
        <f t="shared" si="4"/>
        <v>-6.2878749699982438E-3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BJ53">
        <f t="shared" si="0"/>
        <v>2.7260558883561805E-7</v>
      </c>
      <c r="BK53">
        <f t="shared" si="5"/>
        <v>5.7994188876371114E-5</v>
      </c>
      <c r="BO53">
        <f t="shared" si="1"/>
        <v>7.0195095529941868E-5</v>
      </c>
      <c r="BP53">
        <f t="shared" si="6"/>
        <v>3.8612357526963357</v>
      </c>
    </row>
    <row r="54" spans="1:68" x14ac:dyDescent="0.15">
      <c r="A54" s="5">
        <v>43621</v>
      </c>
      <c r="B54" s="1"/>
      <c r="C54">
        <v>100.36</v>
      </c>
      <c r="D54">
        <v>96.8</v>
      </c>
      <c r="E54">
        <v>82.685370000000006</v>
      </c>
      <c r="G54" s="3">
        <v>6.3462122997943703E-3</v>
      </c>
      <c r="I54" s="15">
        <f t="shared" si="2"/>
        <v>1.0674723061430033E-2</v>
      </c>
      <c r="J54" s="15">
        <f t="shared" si="3"/>
        <v>3.941091059946022E-3</v>
      </c>
      <c r="K54" s="15">
        <f t="shared" si="4"/>
        <v>3.6815045213716871E-3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T54" s="12"/>
      <c r="AU54" s="12"/>
      <c r="AV54" s="12"/>
      <c r="BJ54">
        <f t="shared" si="0"/>
        <v>4.027441055406135E-5</v>
      </c>
      <c r="BK54">
        <f t="shared" si="5"/>
        <v>5.4530893879118986E-5</v>
      </c>
      <c r="BO54">
        <f t="shared" si="1"/>
        <v>6.1038195860507765E-5</v>
      </c>
      <c r="BP54">
        <f t="shared" si="6"/>
        <v>3.6031552895044054</v>
      </c>
    </row>
    <row r="55" spans="1:68" x14ac:dyDescent="0.15">
      <c r="A55" s="5">
        <v>43622</v>
      </c>
      <c r="B55" s="1"/>
      <c r="C55">
        <v>100.34</v>
      </c>
      <c r="D55">
        <v>97.08</v>
      </c>
      <c r="E55">
        <v>82.770675999999995</v>
      </c>
      <c r="G55" s="3">
        <v>2.4501631698205999E-3</v>
      </c>
      <c r="I55" s="15">
        <f t="shared" si="2"/>
        <v>-1.9928258270223218E-4</v>
      </c>
      <c r="J55" s="15">
        <f t="shared" si="3"/>
        <v>2.8925619834710863E-3</v>
      </c>
      <c r="K55" s="15">
        <f t="shared" si="4"/>
        <v>1.0316939985875197E-3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T55" s="12"/>
      <c r="BJ55">
        <f t="shared" si="0"/>
        <v>6.0032995587453298E-6</v>
      </c>
      <c r="BK55">
        <f t="shared" si="5"/>
        <v>5.3675504879615529E-5</v>
      </c>
      <c r="BO55">
        <f t="shared" si="1"/>
        <v>5.9552782327389341E-5</v>
      </c>
      <c r="BP55">
        <f t="shared" si="6"/>
        <v>3.8949820542594673</v>
      </c>
    </row>
    <row r="56" spans="1:68" x14ac:dyDescent="0.15">
      <c r="A56" s="5">
        <v>43623</v>
      </c>
      <c r="B56" s="1"/>
      <c r="C56">
        <v>101.4</v>
      </c>
      <c r="D56">
        <v>98.86</v>
      </c>
      <c r="E56">
        <v>82.742239999999995</v>
      </c>
      <c r="G56" s="3">
        <v>6.9035533131194208E-3</v>
      </c>
      <c r="I56" s="15">
        <f t="shared" si="2"/>
        <v>1.0564082120789339E-2</v>
      </c>
      <c r="J56" s="15">
        <f t="shared" si="3"/>
        <v>1.8335393489905243E-2</v>
      </c>
      <c r="K56" s="15">
        <f t="shared" si="4"/>
        <v>-3.4355162207445596E-4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T56" s="12"/>
      <c r="BJ56">
        <f t="shared" si="0"/>
        <v>4.7659048347082128E-5</v>
      </c>
      <c r="BK56">
        <f t="shared" si="5"/>
        <v>5.0815172560363318E-5</v>
      </c>
      <c r="BO56">
        <f t="shared" si="1"/>
        <v>5.3506757315855696E-5</v>
      </c>
      <c r="BP56">
        <f t="shared" si="6"/>
        <v>3.5535573541367467</v>
      </c>
    </row>
    <row r="57" spans="1:68" x14ac:dyDescent="0.15">
      <c r="A57" s="5">
        <v>43627</v>
      </c>
      <c r="B57" s="1"/>
      <c r="C57">
        <v>101.24</v>
      </c>
      <c r="D57">
        <v>98.76</v>
      </c>
      <c r="E57">
        <v>83.149795999999995</v>
      </c>
      <c r="G57" s="3">
        <v>8.8968425239439597E-3</v>
      </c>
      <c r="I57" s="15">
        <f t="shared" si="2"/>
        <v>-1.5779092702170689E-3</v>
      </c>
      <c r="J57" s="15">
        <f t="shared" si="3"/>
        <v>-1.0115314586283059E-3</v>
      </c>
      <c r="K57" s="15">
        <f t="shared" si="4"/>
        <v>4.925609942394593E-3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BJ57">
        <f t="shared" si="0"/>
        <v>7.9153806895857523E-5</v>
      </c>
      <c r="BK57">
        <f t="shared" si="5"/>
        <v>5.0625805107566448E-5</v>
      </c>
      <c r="BO57">
        <f t="shared" si="1"/>
        <v>5.4697002964699587E-5</v>
      </c>
      <c r="BP57">
        <f t="shared" si="6"/>
        <v>3.2643460712697916</v>
      </c>
    </row>
    <row r="58" spans="1:68" x14ac:dyDescent="0.15">
      <c r="A58" s="5">
        <v>43628</v>
      </c>
      <c r="B58" s="1"/>
      <c r="C58">
        <v>101.7</v>
      </c>
      <c r="D58">
        <v>99.04</v>
      </c>
      <c r="E58">
        <v>83.73742</v>
      </c>
      <c r="G58" s="3">
        <v>2.4258851951604E-3</v>
      </c>
      <c r="I58" s="15">
        <f t="shared" si="2"/>
        <v>4.5436586329514811E-3</v>
      </c>
      <c r="J58" s="15">
        <f t="shared" si="3"/>
        <v>2.8351559335763579E-3</v>
      </c>
      <c r="K58" s="15">
        <f t="shared" si="4"/>
        <v>7.0670528163413087E-3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BJ58">
        <f t="shared" si="0"/>
        <v>5.8849189800984117E-6</v>
      </c>
      <c r="BK58">
        <f t="shared" si="5"/>
        <v>5.2337485214863911E-5</v>
      </c>
      <c r="BO58">
        <f t="shared" si="1"/>
        <v>6.0116095900108457E-5</v>
      </c>
      <c r="BP58">
        <f t="shared" si="6"/>
        <v>3.8917316498304144</v>
      </c>
    </row>
    <row r="59" spans="1:68" x14ac:dyDescent="0.15">
      <c r="A59" s="5">
        <v>43629</v>
      </c>
      <c r="B59" s="1"/>
      <c r="C59">
        <v>101.16</v>
      </c>
      <c r="D59">
        <v>98.98</v>
      </c>
      <c r="E59">
        <v>84.353485000000006</v>
      </c>
      <c r="G59" s="3">
        <v>2.1264324048719799E-4</v>
      </c>
      <c r="I59" s="15">
        <f t="shared" si="2"/>
        <v>-5.3097345132743978E-3</v>
      </c>
      <c r="J59" s="15">
        <f t="shared" si="3"/>
        <v>-6.058158319870989E-4</v>
      </c>
      <c r="K59" s="15">
        <f t="shared" si="4"/>
        <v>7.3571051030710769E-3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BJ59">
        <f t="shared" si="0"/>
        <v>4.521714772489632E-8</v>
      </c>
      <c r="BK59">
        <f t="shared" si="5"/>
        <v>4.9550331240777982E-5</v>
      </c>
      <c r="BO59">
        <f t="shared" si="1"/>
        <v>5.3931748766421535E-5</v>
      </c>
      <c r="BP59">
        <f t="shared" si="6"/>
        <v>3.9945378709322767</v>
      </c>
    </row>
    <row r="60" spans="1:68" x14ac:dyDescent="0.15">
      <c r="A60" s="5">
        <v>43630</v>
      </c>
      <c r="B60" s="1"/>
      <c r="C60">
        <v>101.4</v>
      </c>
      <c r="D60">
        <v>98.86</v>
      </c>
      <c r="E60">
        <v>84.742090000000005</v>
      </c>
      <c r="G60" s="3">
        <v>-1.44099921414853E-3</v>
      </c>
      <c r="I60" s="15">
        <f t="shared" si="2"/>
        <v>2.3724792408067329E-3</v>
      </c>
      <c r="J60" s="15">
        <f t="shared" si="3"/>
        <v>-1.2123661345726869E-3</v>
      </c>
      <c r="K60" s="15">
        <f t="shared" si="4"/>
        <v>4.6068636049832233E-3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P60" s="12" t="s">
        <v>69</v>
      </c>
      <c r="BJ60">
        <f t="shared" si="0"/>
        <v>2.0764787351766809E-6</v>
      </c>
      <c r="BK60">
        <f t="shared" si="5"/>
        <v>4.6580024395194799E-5</v>
      </c>
      <c r="BO60">
        <f t="shared" si="1"/>
        <v>4.8249186427514971E-5</v>
      </c>
      <c r="BP60">
        <f t="shared" si="6"/>
        <v>4.0291089855721269</v>
      </c>
    </row>
    <row r="61" spans="1:68" x14ac:dyDescent="0.15">
      <c r="A61" s="5">
        <v>43633</v>
      </c>
      <c r="B61" s="1"/>
      <c r="C61">
        <v>101.5</v>
      </c>
      <c r="D61">
        <v>99.08</v>
      </c>
      <c r="E61">
        <v>84.997985999999997</v>
      </c>
      <c r="G61" s="3">
        <v>4.0215864935699798E-4</v>
      </c>
      <c r="I61" s="15">
        <f t="shared" si="2"/>
        <v>9.8619329388554547E-4</v>
      </c>
      <c r="J61" s="15">
        <f t="shared" si="3"/>
        <v>2.2253692089823879E-3</v>
      </c>
      <c r="K61" s="15">
        <f t="shared" si="4"/>
        <v>3.0197036679174751E-3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BJ61">
        <f t="shared" si="0"/>
        <v>1.6173157925264485E-7</v>
      </c>
      <c r="BK61">
        <f t="shared" si="5"/>
        <v>4.3909811655593711E-5</v>
      </c>
      <c r="BO61">
        <f t="shared" si="1"/>
        <v>4.4081197549711778E-5</v>
      </c>
      <c r="BP61">
        <f t="shared" si="6"/>
        <v>4.0939656061982497</v>
      </c>
    </row>
    <row r="62" spans="1:68" x14ac:dyDescent="0.15">
      <c r="A62" s="5">
        <v>43634</v>
      </c>
      <c r="B62" s="1"/>
      <c r="C62">
        <v>102.24</v>
      </c>
      <c r="D62">
        <v>99.76</v>
      </c>
      <c r="E62">
        <v>86.656623999999994</v>
      </c>
      <c r="G62" s="3">
        <v>1.39037978199803E-2</v>
      </c>
      <c r="I62" s="15">
        <f t="shared" si="2"/>
        <v>7.2906403940886195E-3</v>
      </c>
      <c r="J62" s="15">
        <f t="shared" si="3"/>
        <v>6.8631408962455268E-3</v>
      </c>
      <c r="K62" s="15">
        <f t="shared" si="4"/>
        <v>1.9513850598765908E-2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BJ62">
        <f t="shared" si="0"/>
        <v>1.9331559381888895E-4</v>
      </c>
      <c r="BK62">
        <f t="shared" si="5"/>
        <v>4.1284926851013243E-5</v>
      </c>
      <c r="BO62">
        <f t="shared" si="1"/>
        <v>4.0539216704433294E-5</v>
      </c>
      <c r="BP62">
        <f t="shared" si="6"/>
        <v>1.7533783204986171</v>
      </c>
    </row>
    <row r="63" spans="1:68" x14ac:dyDescent="0.15">
      <c r="A63" s="5">
        <v>43635</v>
      </c>
      <c r="B63" s="1"/>
      <c r="C63">
        <v>101.08</v>
      </c>
      <c r="D63">
        <v>99.86</v>
      </c>
      <c r="E63">
        <v>86.211160000000007</v>
      </c>
      <c r="G63" s="3">
        <v>-2.6930889368082999E-3</v>
      </c>
      <c r="I63" s="15">
        <f t="shared" si="2"/>
        <v>-1.1345852895148638E-2</v>
      </c>
      <c r="J63" s="15">
        <f t="shared" si="3"/>
        <v>1.0024057738572004E-3</v>
      </c>
      <c r="K63" s="15">
        <f t="shared" si="4"/>
        <v>-5.1405649036129885E-3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BJ63">
        <f t="shared" si="0"/>
        <v>7.2527280215592594E-6</v>
      </c>
      <c r="BK63">
        <f t="shared" si="5"/>
        <v>5.0406766869085789E-5</v>
      </c>
      <c r="BO63">
        <f t="shared" si="1"/>
        <v>6.5269971481072008E-5</v>
      </c>
      <c r="BP63">
        <f t="shared" si="6"/>
        <v>3.8439912534219021</v>
      </c>
    </row>
    <row r="64" spans="1:68" x14ac:dyDescent="0.15">
      <c r="A64" s="5">
        <v>43636</v>
      </c>
      <c r="B64" s="1"/>
      <c r="C64">
        <v>102</v>
      </c>
      <c r="D64">
        <v>99.56</v>
      </c>
      <c r="E64">
        <v>86.343850000000003</v>
      </c>
      <c r="G64" s="3">
        <v>1.6932764674955001E-3</v>
      </c>
      <c r="I64" s="15">
        <f t="shared" si="2"/>
        <v>9.1017016224772627E-3</v>
      </c>
      <c r="J64" s="15">
        <f t="shared" si="3"/>
        <v>-3.0042058882435124E-3</v>
      </c>
      <c r="K64" s="15">
        <f t="shared" si="4"/>
        <v>1.5391278808914836E-3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BJ64">
        <f t="shared" si="0"/>
        <v>2.8671851953740392E-6</v>
      </c>
      <c r="BK64">
        <f t="shared" si="5"/>
        <v>4.7817524538234191E-5</v>
      </c>
      <c r="BO64">
        <f t="shared" si="1"/>
        <v>5.8169143230120301E-5</v>
      </c>
      <c r="BP64">
        <f t="shared" si="6"/>
        <v>3.932493989475693</v>
      </c>
    </row>
    <row r="65" spans="1:68" x14ac:dyDescent="0.15">
      <c r="A65" s="5">
        <v>43637</v>
      </c>
      <c r="B65" s="1"/>
      <c r="C65">
        <v>101.52</v>
      </c>
      <c r="D65">
        <v>100</v>
      </c>
      <c r="E65">
        <v>85.415015999999994</v>
      </c>
      <c r="G65" s="3">
        <v>-5.5805284611766207E-3</v>
      </c>
      <c r="I65" s="15">
        <f t="shared" si="2"/>
        <v>-4.7058823529412151E-3</v>
      </c>
      <c r="J65" s="15">
        <f t="shared" si="3"/>
        <v>4.4194455604660279E-3</v>
      </c>
      <c r="K65" s="15">
        <f t="shared" si="4"/>
        <v>-1.0757384573423689E-2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BJ65">
        <f t="shared" si="0"/>
        <v>3.1142297906002304E-5</v>
      </c>
      <c r="BK65">
        <f t="shared" si="5"/>
        <v>4.5120504177662579E-5</v>
      </c>
      <c r="BO65">
        <f t="shared" si="1"/>
        <v>5.1974814114984283E-5</v>
      </c>
      <c r="BP65">
        <f t="shared" si="6"/>
        <v>3.7138468402152789</v>
      </c>
    </row>
    <row r="66" spans="1:68" x14ac:dyDescent="0.15">
      <c r="A66" s="5">
        <v>43640</v>
      </c>
      <c r="B66" s="1"/>
      <c r="C66">
        <v>101.02</v>
      </c>
      <c r="D66">
        <v>99.24</v>
      </c>
      <c r="E66">
        <v>85.509795999999994</v>
      </c>
      <c r="G66" s="3">
        <v>-2.4165843312550202E-3</v>
      </c>
      <c r="I66" s="15">
        <f t="shared" si="2"/>
        <v>-4.9251379038613083E-3</v>
      </c>
      <c r="J66" s="15">
        <f t="shared" si="3"/>
        <v>-7.6000000000000512E-3</v>
      </c>
      <c r="K66" s="15">
        <f t="shared" si="4"/>
        <v>1.1096409558712733E-3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BJ66">
        <f t="shared" ref="BJ66:BJ129" si="8">G66^2</f>
        <v>5.8398798300672736E-6</v>
      </c>
      <c r="BK66">
        <f t="shared" si="5"/>
        <v>4.428181180136296E-5</v>
      </c>
      <c r="BO66">
        <f t="shared" si="1"/>
        <v>5.114306044962383E-5</v>
      </c>
      <c r="BP66">
        <f t="shared" ref="BP66:BP129" si="9" xml:space="preserve"> -0.5 * (LN(2 * PI()) + LN(BO66) + (BJ66) / BO66)</f>
        <v>3.9644097692138751</v>
      </c>
    </row>
    <row r="67" spans="1:68" x14ac:dyDescent="0.15">
      <c r="A67" s="5">
        <v>43641</v>
      </c>
      <c r="B67" s="1"/>
      <c r="C67">
        <v>101</v>
      </c>
      <c r="D67">
        <v>99</v>
      </c>
      <c r="E67">
        <v>86.154300000000006</v>
      </c>
      <c r="G67" s="3">
        <v>4.5694087658087997E-6</v>
      </c>
      <c r="I67" s="15">
        <f t="shared" si="2"/>
        <v>-1.9798059790136627E-4</v>
      </c>
      <c r="J67" s="15">
        <f t="shared" si="3"/>
        <v>-2.4183796856105896E-3</v>
      </c>
      <c r="K67" s="15">
        <f t="shared" si="4"/>
        <v>7.5371949197494516E-3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BJ67">
        <f t="shared" si="8"/>
        <v>2.0879496469050297E-11</v>
      </c>
      <c r="BK67">
        <f t="shared" ref="BK67:BK130" si="10">$BM$2 * BK66 + (1 - $BM$2) * BJ66</f>
        <v>4.1975295883085215E-5</v>
      </c>
      <c r="BO67">
        <f t="shared" ref="BO67:BO130" si="11" xml:space="preserve"> $BR$2 + $BS$2 * BJ66 + $BT$2 * BO66</f>
        <v>4.6887075332166774E-5</v>
      </c>
      <c r="BP67">
        <f t="shared" si="9"/>
        <v>4.0649454940192973</v>
      </c>
    </row>
    <row r="68" spans="1:68" x14ac:dyDescent="0.15">
      <c r="A68" s="5">
        <v>43642</v>
      </c>
      <c r="B68" s="1"/>
      <c r="C68">
        <v>100.1</v>
      </c>
      <c r="D68">
        <v>99.08</v>
      </c>
      <c r="E68">
        <v>84.372439999999997</v>
      </c>
      <c r="G68" s="3">
        <v>-6.1384017587647801E-3</v>
      </c>
      <c r="I68" s="15">
        <f t="shared" ref="I68:I131" si="12">(C68-C67)/C67</f>
        <v>-8.9108910891089674E-3</v>
      </c>
      <c r="J68" s="15">
        <f t="shared" ref="J68:J131" si="13">(D68-D67)/D67</f>
        <v>8.0808080808079084E-4</v>
      </c>
      <c r="K68" s="15">
        <f t="shared" ref="K68:K131" si="14">(E68-E67)/E67</f>
        <v>-2.068219462058201E-2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BJ68">
        <f t="shared" si="8"/>
        <v>3.7679976152006547E-5</v>
      </c>
      <c r="BK68">
        <f t="shared" si="10"/>
        <v>3.9456779382869884E-5</v>
      </c>
      <c r="BO68">
        <f t="shared" si="11"/>
        <v>4.2717056937460753E-5</v>
      </c>
      <c r="BP68">
        <f t="shared" si="9"/>
        <v>3.6704762545776171</v>
      </c>
    </row>
    <row r="69" spans="1:68" x14ac:dyDescent="0.15">
      <c r="A69" s="5">
        <v>43643</v>
      </c>
      <c r="B69" s="1"/>
      <c r="C69">
        <v>100.56</v>
      </c>
      <c r="D69">
        <v>98.48</v>
      </c>
      <c r="E69">
        <v>84.552520000000001</v>
      </c>
      <c r="G69" s="3">
        <v>2.19871192177123E-3</v>
      </c>
      <c r="I69" s="15">
        <f t="shared" si="12"/>
        <v>4.5954045954046752E-3</v>
      </c>
      <c r="J69" s="15">
        <f t="shared" si="13"/>
        <v>-6.0557125555106414E-3</v>
      </c>
      <c r="K69" s="15">
        <f t="shared" si="14"/>
        <v>2.1343462391274189E-3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BJ69">
        <f t="shared" si="8"/>
        <v>4.8343341149389355E-6</v>
      </c>
      <c r="BK69">
        <f t="shared" si="10"/>
        <v>3.9350171189018081E-5</v>
      </c>
      <c r="BO69">
        <f t="shared" si="11"/>
        <v>4.4812569177768154E-5</v>
      </c>
      <c r="BP69">
        <f t="shared" si="9"/>
        <v>4.0336329262926425</v>
      </c>
    </row>
    <row r="70" spans="1:68" x14ac:dyDescent="0.15">
      <c r="A70" s="5">
        <v>43644</v>
      </c>
      <c r="B70" s="1"/>
      <c r="C70">
        <v>101.06</v>
      </c>
      <c r="D70">
        <v>99.24</v>
      </c>
      <c r="E70">
        <v>84.543045000000006</v>
      </c>
      <c r="G70" s="3">
        <v>3.9023984808021998E-3</v>
      </c>
      <c r="I70" s="15">
        <f t="shared" si="12"/>
        <v>4.9721559268098648E-3</v>
      </c>
      <c r="J70" s="15">
        <f t="shared" si="13"/>
        <v>7.7173030056863412E-3</v>
      </c>
      <c r="K70" s="15">
        <f t="shared" si="14"/>
        <v>-1.1206052758681578E-4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BJ70">
        <f t="shared" si="8"/>
        <v>1.5228713902967316E-5</v>
      </c>
      <c r="BK70">
        <f t="shared" si="10"/>
        <v>3.7279220964573326E-5</v>
      </c>
      <c r="BO70">
        <f t="shared" si="11"/>
        <v>4.1778362053697168E-5</v>
      </c>
      <c r="BP70">
        <f t="shared" si="9"/>
        <v>3.9403714749939698</v>
      </c>
    </row>
    <row r="71" spans="1:68" x14ac:dyDescent="0.15">
      <c r="A71" s="5">
        <v>43647</v>
      </c>
      <c r="B71" s="1"/>
      <c r="C71">
        <v>100.7</v>
      </c>
      <c r="D71">
        <v>99.4</v>
      </c>
      <c r="E71">
        <v>85.557180000000002</v>
      </c>
      <c r="G71" s="3">
        <v>7.2500465997216105E-3</v>
      </c>
      <c r="I71" s="15">
        <f t="shared" si="12"/>
        <v>-3.5622402533148569E-3</v>
      </c>
      <c r="J71" s="15">
        <f t="shared" si="13"/>
        <v>1.6122531237405362E-3</v>
      </c>
      <c r="K71" s="15">
        <f t="shared" si="14"/>
        <v>1.1995487032670706E-2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BJ71">
        <f t="shared" si="8"/>
        <v>5.2563175698134886E-5</v>
      </c>
      <c r="BK71">
        <f t="shared" si="10"/>
        <v>3.5956190540876967E-5</v>
      </c>
      <c r="BO71">
        <f t="shared" si="11"/>
        <v>4.0878763784899345E-5</v>
      </c>
      <c r="BP71">
        <f t="shared" si="9"/>
        <v>3.4905959667160005</v>
      </c>
    </row>
    <row r="72" spans="1:68" x14ac:dyDescent="0.15">
      <c r="A72" s="5">
        <v>43648</v>
      </c>
      <c r="B72" s="1"/>
      <c r="C72">
        <v>102.12</v>
      </c>
      <c r="D72">
        <v>101.05</v>
      </c>
      <c r="E72">
        <v>86.00264</v>
      </c>
      <c r="G72" s="3">
        <v>5.1075826775142099E-3</v>
      </c>
      <c r="I72" s="15">
        <f t="shared" si="12"/>
        <v>1.4101290963257216E-2</v>
      </c>
      <c r="J72" s="15">
        <f t="shared" si="13"/>
        <v>1.6599597585512993E-2</v>
      </c>
      <c r="K72" s="15">
        <f t="shared" si="14"/>
        <v>5.2065764673402872E-3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BJ72">
        <f t="shared" si="8"/>
        <v>2.6087400807643225E-5</v>
      </c>
      <c r="BK72">
        <f t="shared" si="10"/>
        <v>3.6952609650312446E-5</v>
      </c>
      <c r="BO72">
        <f t="shared" si="11"/>
        <v>4.5490319055110267E-5</v>
      </c>
      <c r="BP72">
        <f t="shared" si="9"/>
        <v>3.7933312357819924</v>
      </c>
    </row>
    <row r="73" spans="1:68" x14ac:dyDescent="0.15">
      <c r="A73" s="5">
        <v>43649</v>
      </c>
      <c r="B73" s="1"/>
      <c r="C73">
        <v>102.32</v>
      </c>
      <c r="D73">
        <v>101.5</v>
      </c>
      <c r="E73">
        <v>86.277503999999993</v>
      </c>
      <c r="G73" s="3">
        <v>4.5509035330650802E-3</v>
      </c>
      <c r="I73" s="15">
        <f t="shared" si="12"/>
        <v>1.9584802193496733E-3</v>
      </c>
      <c r="J73" s="15">
        <f t="shared" si="13"/>
        <v>4.4532409698169505E-3</v>
      </c>
      <c r="K73" s="15">
        <f t="shared" si="14"/>
        <v>3.1959949136444389E-3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BJ73">
        <f t="shared" si="8"/>
        <v>2.0710722967264231E-5</v>
      </c>
      <c r="BK73">
        <f t="shared" si="10"/>
        <v>3.6300697119752293E-5</v>
      </c>
      <c r="BO73">
        <f t="shared" si="11"/>
        <v>4.5336840473228179E-5</v>
      </c>
      <c r="BP73">
        <f t="shared" si="9"/>
        <v>3.8533473460238059</v>
      </c>
    </row>
    <row r="74" spans="1:68" x14ac:dyDescent="0.15">
      <c r="A74" s="5">
        <v>43651</v>
      </c>
      <c r="B74" s="1"/>
      <c r="C74">
        <v>101.9</v>
      </c>
      <c r="D74">
        <v>100.2</v>
      </c>
      <c r="E74">
        <v>85.064329999999998</v>
      </c>
      <c r="G74" s="3">
        <v>-8.5739193553018202E-3</v>
      </c>
      <c r="I74" s="15">
        <f t="shared" si="12"/>
        <v>-4.1047693510553899E-3</v>
      </c>
      <c r="J74" s="15">
        <f t="shared" si="13"/>
        <v>-1.2807881773398987E-2</v>
      </c>
      <c r="K74" s="15">
        <f t="shared" si="14"/>
        <v>-1.4061301541592987E-2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BJ74">
        <f t="shared" si="8"/>
        <v>7.3512093111219185E-5</v>
      </c>
      <c r="BK74">
        <f t="shared" si="10"/>
        <v>3.5365298670603011E-5</v>
      </c>
      <c r="BO74">
        <f t="shared" si="11"/>
        <v>4.4450707651234035E-5</v>
      </c>
      <c r="BP74">
        <f t="shared" si="9"/>
        <v>3.2647317850341144</v>
      </c>
    </row>
    <row r="75" spans="1:68" x14ac:dyDescent="0.15">
      <c r="A75" s="5">
        <v>43654</v>
      </c>
      <c r="B75" s="1"/>
      <c r="C75">
        <v>103.24</v>
      </c>
      <c r="D75">
        <v>100.4</v>
      </c>
      <c r="E75">
        <v>85.462400000000002</v>
      </c>
      <c r="G75" s="3">
        <v>1.39107830200768E-3</v>
      </c>
      <c r="I75" s="15">
        <f t="shared" si="12"/>
        <v>1.3150147203140228E-2</v>
      </c>
      <c r="J75" s="15">
        <f t="shared" si="13"/>
        <v>1.9960079840319646E-3</v>
      </c>
      <c r="K75" s="15">
        <f t="shared" si="14"/>
        <v>4.6796348128528625E-3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BJ75">
        <f t="shared" si="8"/>
        <v>1.9350988423165698E-6</v>
      </c>
      <c r="BK75">
        <f t="shared" si="10"/>
        <v>3.7654106337039986E-5</v>
      </c>
      <c r="BO75">
        <f t="shared" si="11"/>
        <v>5.1275624940018476E-5</v>
      </c>
      <c r="BP75">
        <f t="shared" si="9"/>
        <v>4.0013394215035829</v>
      </c>
    </row>
    <row r="76" spans="1:68" x14ac:dyDescent="0.15">
      <c r="A76" s="5">
        <v>43655</v>
      </c>
      <c r="B76" s="1"/>
      <c r="C76">
        <v>103</v>
      </c>
      <c r="D76">
        <v>100</v>
      </c>
      <c r="E76">
        <v>86.059520000000006</v>
      </c>
      <c r="G76" s="3">
        <v>-3.2780726841619102E-3</v>
      </c>
      <c r="I76" s="15">
        <f t="shared" si="12"/>
        <v>-2.3246803564509386E-3</v>
      </c>
      <c r="J76" s="15">
        <f t="shared" si="13"/>
        <v>-3.9840637450199766E-3</v>
      </c>
      <c r="K76" s="15">
        <f t="shared" si="14"/>
        <v>6.9869322649493094E-3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BJ76">
        <f t="shared" si="8"/>
        <v>1.074576052264847E-5</v>
      </c>
      <c r="BK76">
        <f t="shared" si="10"/>
        <v>3.5510965887356578E-5</v>
      </c>
      <c r="BO76">
        <f t="shared" si="11"/>
        <v>4.6434936465061695E-5</v>
      </c>
      <c r="BP76">
        <f t="shared" si="9"/>
        <v>3.9540829751605568</v>
      </c>
    </row>
    <row r="77" spans="1:68" x14ac:dyDescent="0.15">
      <c r="A77" s="5">
        <v>43656</v>
      </c>
      <c r="B77" s="1"/>
      <c r="C77">
        <v>102.84</v>
      </c>
      <c r="D77">
        <v>97.46</v>
      </c>
      <c r="E77">
        <v>85.623530000000002</v>
      </c>
      <c r="G77" s="3">
        <v>-2.38767836667075E-3</v>
      </c>
      <c r="I77" s="15">
        <f t="shared" si="12"/>
        <v>-1.5533980582523941E-3</v>
      </c>
      <c r="J77" s="15">
        <f t="shared" si="13"/>
        <v>-2.5400000000000061E-2</v>
      </c>
      <c r="K77" s="15">
        <f t="shared" si="14"/>
        <v>-5.0661449192373354E-3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BJ77">
        <f t="shared" si="8"/>
        <v>5.7010079826675006E-6</v>
      </c>
      <c r="BK77">
        <f t="shared" si="10"/>
        <v>3.4025053565474092E-5</v>
      </c>
      <c r="BO77">
        <f t="shared" si="11"/>
        <v>4.3892819055691501E-5</v>
      </c>
      <c r="BP77">
        <f t="shared" si="9"/>
        <v>4.0329990032065526</v>
      </c>
    </row>
    <row r="78" spans="1:68" x14ac:dyDescent="0.15">
      <c r="A78" s="5">
        <v>43657</v>
      </c>
      <c r="B78" s="1"/>
      <c r="C78">
        <v>102.04</v>
      </c>
      <c r="D78">
        <v>97.38</v>
      </c>
      <c r="E78">
        <v>84.817899999999995</v>
      </c>
      <c r="G78" s="3">
        <v>-5.83917771827446E-3</v>
      </c>
      <c r="I78" s="15">
        <f t="shared" si="12"/>
        <v>-7.7790742901594429E-3</v>
      </c>
      <c r="J78" s="15">
        <f t="shared" si="13"/>
        <v>-8.2084957931457311E-4</v>
      </c>
      <c r="K78" s="15">
        <f t="shared" si="14"/>
        <v>-9.4089790505017465E-3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BJ78">
        <f t="shared" si="8"/>
        <v>3.4095996425592927E-5</v>
      </c>
      <c r="BK78">
        <f t="shared" si="10"/>
        <v>3.232561083050569E-5</v>
      </c>
      <c r="BO78">
        <f t="shared" si="11"/>
        <v>4.1180361394992513E-5</v>
      </c>
      <c r="BP78">
        <f t="shared" si="9"/>
        <v>3.7158523110081152</v>
      </c>
    </row>
    <row r="79" spans="1:68" x14ac:dyDescent="0.15">
      <c r="A79" s="5">
        <v>43658</v>
      </c>
      <c r="B79" s="1"/>
      <c r="C79">
        <v>101.5</v>
      </c>
      <c r="D79">
        <v>96.24</v>
      </c>
      <c r="E79">
        <v>82.590590000000006</v>
      </c>
      <c r="G79" s="3">
        <v>-1.17968408139714E-2</v>
      </c>
      <c r="I79" s="15">
        <f t="shared" si="12"/>
        <v>-5.2920423363387514E-3</v>
      </c>
      <c r="J79" s="15">
        <f t="shared" si="13"/>
        <v>-1.1706715958102286E-2</v>
      </c>
      <c r="K79" s="15">
        <f t="shared" si="14"/>
        <v>-2.6259905043628629E-2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BJ79">
        <f t="shared" si="8"/>
        <v>1.3916545319018141E-4</v>
      </c>
      <c r="BK79">
        <f t="shared" si="10"/>
        <v>3.2431833966210924E-5</v>
      </c>
      <c r="BO79">
        <f t="shared" si="11"/>
        <v>4.3096786673597312E-5</v>
      </c>
      <c r="BP79">
        <f t="shared" si="9"/>
        <v>2.4925237389045862</v>
      </c>
    </row>
    <row r="80" spans="1:68" x14ac:dyDescent="0.15">
      <c r="A80" s="5">
        <v>43661</v>
      </c>
      <c r="B80" s="1"/>
      <c r="C80">
        <v>102.42</v>
      </c>
      <c r="D80">
        <v>96.2</v>
      </c>
      <c r="E80">
        <v>83.187700000000007</v>
      </c>
      <c r="G80" s="3">
        <v>4.6702642074864997E-3</v>
      </c>
      <c r="I80" s="15">
        <f t="shared" si="12"/>
        <v>9.0640394088670126E-3</v>
      </c>
      <c r="J80" s="15">
        <f t="shared" si="13"/>
        <v>-4.1562759767240279E-4</v>
      </c>
      <c r="K80" s="15">
        <f t="shared" si="14"/>
        <v>7.2297582569636641E-3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BJ80">
        <f t="shared" si="8"/>
        <v>2.1811367767729503E-5</v>
      </c>
      <c r="BK80">
        <f t="shared" si="10"/>
        <v>3.8835851119649155E-5</v>
      </c>
      <c r="BO80">
        <f t="shared" si="11"/>
        <v>5.9564001940814657E-5</v>
      </c>
      <c r="BP80">
        <f t="shared" si="9"/>
        <v>3.7621991874661895</v>
      </c>
    </row>
    <row r="81" spans="1:68" x14ac:dyDescent="0.15">
      <c r="A81" s="5">
        <v>43662</v>
      </c>
      <c r="B81" s="1"/>
      <c r="C81">
        <v>101.9</v>
      </c>
      <c r="D81">
        <v>96.24</v>
      </c>
      <c r="E81">
        <v>83.434129999999996</v>
      </c>
      <c r="G81" s="3">
        <v>4.2762553934263502E-3</v>
      </c>
      <c r="I81" s="15">
        <f t="shared" si="12"/>
        <v>-5.0771333723881665E-3</v>
      </c>
      <c r="J81" s="15">
        <f t="shared" si="13"/>
        <v>4.1580041580033304E-4</v>
      </c>
      <c r="K81" s="15">
        <f t="shared" si="14"/>
        <v>2.9623369801063076E-3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BJ81">
        <f t="shared" si="8"/>
        <v>1.8286360189807949E-5</v>
      </c>
      <c r="BK81">
        <f t="shared" si="10"/>
        <v>3.7814382118533979E-5</v>
      </c>
      <c r="BO81">
        <f t="shared" si="11"/>
        <v>5.5766945801999078E-5</v>
      </c>
      <c r="BP81">
        <f t="shared" si="9"/>
        <v>3.8142726883798854</v>
      </c>
    </row>
    <row r="82" spans="1:68" x14ac:dyDescent="0.15">
      <c r="A82" s="5">
        <v>43663</v>
      </c>
      <c r="B82" s="1"/>
      <c r="C82">
        <v>103.26</v>
      </c>
      <c r="D82">
        <v>96.8</v>
      </c>
      <c r="E82">
        <v>84.988510000000005</v>
      </c>
      <c r="G82" s="3">
        <v>9.2875809832513295E-3</v>
      </c>
      <c r="I82" s="15">
        <f t="shared" si="12"/>
        <v>1.3346418056918542E-2</v>
      </c>
      <c r="J82" s="15">
        <f t="shared" si="13"/>
        <v>5.8187863674148202E-3</v>
      </c>
      <c r="K82" s="15">
        <f t="shared" si="14"/>
        <v>1.8630025865913735E-2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BJ82">
        <f t="shared" si="8"/>
        <v>8.6259160520451737E-5</v>
      </c>
      <c r="BK82">
        <f t="shared" si="10"/>
        <v>3.6642700802810415E-5</v>
      </c>
      <c r="BO82">
        <f t="shared" si="11"/>
        <v>5.228658314714603E-5</v>
      </c>
      <c r="BP82">
        <f t="shared" si="9"/>
        <v>3.1855778696332533</v>
      </c>
    </row>
    <row r="83" spans="1:68" x14ac:dyDescent="0.15">
      <c r="A83" s="5">
        <v>43664</v>
      </c>
      <c r="B83" s="1"/>
      <c r="C83">
        <v>103.7</v>
      </c>
      <c r="D83">
        <v>97.02</v>
      </c>
      <c r="E83">
        <v>87.632850000000005</v>
      </c>
      <c r="G83" s="3">
        <v>6.8534234970172303E-3</v>
      </c>
      <c r="I83" s="15">
        <f t="shared" si="12"/>
        <v>4.2610885144295733E-3</v>
      </c>
      <c r="J83" s="15">
        <f t="shared" si="13"/>
        <v>2.2727272727272609E-3</v>
      </c>
      <c r="K83" s="15">
        <f t="shared" si="14"/>
        <v>3.111408824557578E-2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BJ83">
        <f t="shared" si="8"/>
        <v>4.696941362946788E-5</v>
      </c>
      <c r="BK83">
        <f t="shared" si="10"/>
        <v>3.9619688385868898E-5</v>
      </c>
      <c r="BO83">
        <f t="shared" si="11"/>
        <v>5.9237359454948217E-5</v>
      </c>
      <c r="BP83">
        <f t="shared" si="9"/>
        <v>3.5515895988266646</v>
      </c>
    </row>
    <row r="84" spans="1:68" x14ac:dyDescent="0.15">
      <c r="A84" s="5">
        <v>43665</v>
      </c>
      <c r="B84" s="1"/>
      <c r="C84">
        <v>102.6</v>
      </c>
      <c r="D84">
        <v>96.78</v>
      </c>
      <c r="E84">
        <v>87.860309999999998</v>
      </c>
      <c r="G84" s="3">
        <v>-7.3040896509525199E-3</v>
      </c>
      <c r="I84" s="15">
        <f t="shared" si="12"/>
        <v>-1.0607521697203554E-2</v>
      </c>
      <c r="J84" s="15">
        <f t="shared" si="13"/>
        <v>-2.4737167594309924E-3</v>
      </c>
      <c r="K84" s="15">
        <f t="shared" si="14"/>
        <v>2.5956019917187851E-3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BJ84">
        <f t="shared" si="8"/>
        <v>5.3349725629151703E-5</v>
      </c>
      <c r="BK84">
        <f t="shared" si="10"/>
        <v>4.0060671900484834E-5</v>
      </c>
      <c r="BO84">
        <f t="shared" si="11"/>
        <v>5.9093747996352613E-5</v>
      </c>
      <c r="BP84">
        <f t="shared" si="9"/>
        <v>3.4978551110499532</v>
      </c>
    </row>
    <row r="85" spans="1:68" x14ac:dyDescent="0.15">
      <c r="A85" s="5">
        <v>43668</v>
      </c>
      <c r="B85" s="1"/>
      <c r="C85">
        <v>102.62</v>
      </c>
      <c r="D85">
        <v>96.08</v>
      </c>
      <c r="E85">
        <v>87.670760000000001</v>
      </c>
      <c r="G85" s="3">
        <v>-1.47533317514714E-3</v>
      </c>
      <c r="I85" s="15">
        <f t="shared" si="12"/>
        <v>1.9493177387924204E-4</v>
      </c>
      <c r="J85" s="15">
        <f t="shared" si="13"/>
        <v>-7.2328993593718006E-3</v>
      </c>
      <c r="K85" s="15">
        <f t="shared" si="14"/>
        <v>-2.1574019030890855E-3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BJ85">
        <f t="shared" si="8"/>
        <v>2.1766079776897415E-6</v>
      </c>
      <c r="BK85">
        <f t="shared" si="10"/>
        <v>4.0858015124204847E-5</v>
      </c>
      <c r="BO85">
        <f t="shared" si="11"/>
        <v>5.9889787449705839E-5</v>
      </c>
      <c r="BP85">
        <f t="shared" si="9"/>
        <v>3.924391968032062</v>
      </c>
    </row>
    <row r="86" spans="1:68" x14ac:dyDescent="0.15">
      <c r="A86" s="5">
        <v>43669</v>
      </c>
      <c r="B86" s="1"/>
      <c r="C86">
        <v>103.1</v>
      </c>
      <c r="D86">
        <v>95.94</v>
      </c>
      <c r="E86">
        <v>87.623369999999994</v>
      </c>
      <c r="G86" s="3">
        <v>4.3114252686402496E-3</v>
      </c>
      <c r="I86" s="15">
        <f t="shared" si="12"/>
        <v>4.6774507893197204E-3</v>
      </c>
      <c r="J86" s="15">
        <f t="shared" si="13"/>
        <v>-1.4571190674438027E-3</v>
      </c>
      <c r="K86" s="15">
        <f t="shared" si="14"/>
        <v>-5.4054510306523118E-4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BJ86">
        <f t="shared" si="8"/>
        <v>1.8588387847069648E-5</v>
      </c>
      <c r="BK86">
        <f t="shared" si="10"/>
        <v>3.8537130695413937E-5</v>
      </c>
      <c r="BO86">
        <f t="shared" si="11"/>
        <v>5.3226098858230082E-5</v>
      </c>
      <c r="BP86">
        <f t="shared" si="9"/>
        <v>3.8269250881585046</v>
      </c>
    </row>
    <row r="87" spans="1:68" x14ac:dyDescent="0.15">
      <c r="A87" s="5">
        <v>43670</v>
      </c>
      <c r="B87" s="1"/>
      <c r="C87">
        <v>102.72</v>
      </c>
      <c r="D87">
        <v>95.96</v>
      </c>
      <c r="E87">
        <v>86.817740000000001</v>
      </c>
      <c r="G87" s="3">
        <v>-5.7671279455424598E-3</v>
      </c>
      <c r="I87" s="15">
        <f t="shared" si="12"/>
        <v>-3.6857419980600918E-3</v>
      </c>
      <c r="J87" s="15">
        <f t="shared" si="13"/>
        <v>2.0846362309772797E-4</v>
      </c>
      <c r="K87" s="15">
        <f t="shared" si="14"/>
        <v>-9.1942366517059736E-3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BJ87">
        <f t="shared" si="8"/>
        <v>3.3259764740256792E-5</v>
      </c>
      <c r="BK87">
        <f t="shared" si="10"/>
        <v>3.7340206124513283E-5</v>
      </c>
      <c r="BO87">
        <f t="shared" si="11"/>
        <v>5.0336611457961568E-5</v>
      </c>
      <c r="BP87">
        <f t="shared" si="9"/>
        <v>3.6990769113019626</v>
      </c>
    </row>
    <row r="88" spans="1:68" x14ac:dyDescent="0.15">
      <c r="A88" s="5">
        <v>43671</v>
      </c>
      <c r="B88" s="1"/>
      <c r="C88">
        <v>102.24</v>
      </c>
      <c r="D88">
        <v>96.14</v>
      </c>
      <c r="E88">
        <v>86.647139999999993</v>
      </c>
      <c r="G88" s="3">
        <v>-3.0941006649903803E-3</v>
      </c>
      <c r="I88" s="15">
        <f t="shared" si="12"/>
        <v>-4.6728971962617209E-3</v>
      </c>
      <c r="J88" s="15">
        <f t="shared" si="13"/>
        <v>1.8757815756565949E-3</v>
      </c>
      <c r="K88" s="15">
        <f t="shared" si="14"/>
        <v>-1.965036178089955E-3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BJ88">
        <f t="shared" si="8"/>
        <v>9.5734589250939138E-6</v>
      </c>
      <c r="BK88">
        <f t="shared" si="10"/>
        <v>3.7095379641457895E-5</v>
      </c>
      <c r="BO88">
        <f t="shared" si="11"/>
        <v>5.0159659010462444E-5</v>
      </c>
      <c r="BP88">
        <f t="shared" si="9"/>
        <v>3.9357813321489439</v>
      </c>
    </row>
    <row r="89" spans="1:68" x14ac:dyDescent="0.15">
      <c r="A89" s="5">
        <v>43672</v>
      </c>
      <c r="B89" s="1"/>
      <c r="C89">
        <v>104.04</v>
      </c>
      <c r="D89">
        <v>96.56</v>
      </c>
      <c r="E89">
        <v>87.623369999999994</v>
      </c>
      <c r="G89" s="3">
        <v>9.2188959688053098E-3</v>
      </c>
      <c r="I89" s="15">
        <f t="shared" si="12"/>
        <v>1.7605633802817013E-2</v>
      </c>
      <c r="J89" s="15">
        <f t="shared" si="13"/>
        <v>4.3686290825879102E-3</v>
      </c>
      <c r="K89" s="15">
        <f t="shared" si="14"/>
        <v>1.1266730788806198E-2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BJ89">
        <f t="shared" si="8"/>
        <v>8.4988042883654791E-5</v>
      </c>
      <c r="BK89">
        <f t="shared" si="10"/>
        <v>3.5444064398476048E-5</v>
      </c>
      <c r="BO89">
        <f t="shared" si="11"/>
        <v>4.6647453112302462E-5</v>
      </c>
      <c r="BP89">
        <f t="shared" si="9"/>
        <v>3.1565463468858903</v>
      </c>
    </row>
    <row r="90" spans="1:68" x14ac:dyDescent="0.15">
      <c r="A90" s="5">
        <v>43675</v>
      </c>
      <c r="B90" s="1"/>
      <c r="C90">
        <v>105.22</v>
      </c>
      <c r="D90">
        <v>97.1</v>
      </c>
      <c r="E90">
        <v>86.76088</v>
      </c>
      <c r="G90" s="3">
        <v>2.8005684838561197E-4</v>
      </c>
      <c r="I90" s="15">
        <f t="shared" si="12"/>
        <v>1.1341791618608156E-2</v>
      </c>
      <c r="J90" s="15">
        <f t="shared" si="13"/>
        <v>5.5923777961888153E-3</v>
      </c>
      <c r="K90" s="15">
        <f t="shared" si="14"/>
        <v>-9.843150291982539E-3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BJ90">
        <f t="shared" si="8"/>
        <v>7.8431838327681649E-8</v>
      </c>
      <c r="BK90">
        <f t="shared" si="10"/>
        <v>3.8416703107586773E-5</v>
      </c>
      <c r="BO90">
        <f t="shared" si="11"/>
        <v>5.4633112483881473E-5</v>
      </c>
      <c r="BP90">
        <f t="shared" si="9"/>
        <v>3.9877788634768674</v>
      </c>
    </row>
    <row r="91" spans="1:68" x14ac:dyDescent="0.15">
      <c r="A91" s="5">
        <v>43676</v>
      </c>
      <c r="B91" s="1"/>
      <c r="C91">
        <v>105.14</v>
      </c>
      <c r="D91">
        <v>95.32</v>
      </c>
      <c r="E91">
        <v>86.00264</v>
      </c>
      <c r="G91" s="3">
        <v>-8.0205776893008604E-3</v>
      </c>
      <c r="I91" s="15">
        <f t="shared" si="12"/>
        <v>-7.6031172780838523E-4</v>
      </c>
      <c r="J91" s="15">
        <f t="shared" si="13"/>
        <v>-1.833161688980434E-2</v>
      </c>
      <c r="K91" s="15">
        <f t="shared" si="14"/>
        <v>-8.739422652236822E-3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BJ91">
        <f t="shared" si="8"/>
        <v>6.4329666470110735E-5</v>
      </c>
      <c r="BK91">
        <f t="shared" si="10"/>
        <v>3.6116406831431226E-5</v>
      </c>
      <c r="BO91">
        <f t="shared" si="11"/>
        <v>4.8804051714452154E-5</v>
      </c>
      <c r="BP91">
        <f t="shared" si="9"/>
        <v>3.3858493622503616</v>
      </c>
    </row>
    <row r="92" spans="1:68" x14ac:dyDescent="0.15">
      <c r="A92" s="5">
        <v>43677</v>
      </c>
      <c r="B92" s="1"/>
      <c r="C92">
        <v>105.7</v>
      </c>
      <c r="D92">
        <v>96.56</v>
      </c>
      <c r="E92">
        <v>86.685059999999993</v>
      </c>
      <c r="G92" s="3">
        <v>2.8682865751108399E-3</v>
      </c>
      <c r="I92" s="15">
        <f t="shared" si="12"/>
        <v>5.3262316910785831E-3</v>
      </c>
      <c r="J92" s="15">
        <f t="shared" si="13"/>
        <v>1.3008812421317763E-2</v>
      </c>
      <c r="K92" s="15">
        <f t="shared" si="14"/>
        <v>7.9348726969310866E-3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BJ92">
        <f t="shared" si="8"/>
        <v>8.2270678769610719E-6</v>
      </c>
      <c r="BK92">
        <f t="shared" si="10"/>
        <v>3.7809202409752001E-5</v>
      </c>
      <c r="BO92">
        <f t="shared" si="11"/>
        <v>5.338253287932927E-5</v>
      </c>
      <c r="BP92">
        <f t="shared" si="9"/>
        <v>3.9230172730716961</v>
      </c>
    </row>
    <row r="93" spans="1:68" x14ac:dyDescent="0.15">
      <c r="A93" s="5">
        <v>43679</v>
      </c>
      <c r="B93" s="1"/>
      <c r="C93">
        <v>105.24</v>
      </c>
      <c r="D93">
        <v>96.2</v>
      </c>
      <c r="E93">
        <v>85.642489999999995</v>
      </c>
      <c r="G93" s="3">
        <v>-1.16524754874068E-2</v>
      </c>
      <c r="I93" s="15">
        <f t="shared" si="12"/>
        <v>-4.3519394512772751E-3</v>
      </c>
      <c r="J93" s="15">
        <f t="shared" si="13"/>
        <v>-3.7282518641259259E-3</v>
      </c>
      <c r="K93" s="15">
        <f t="shared" si="14"/>
        <v>-1.202710132518796E-2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BJ93">
        <f t="shared" si="8"/>
        <v>1.3578018498461633E-4</v>
      </c>
      <c r="BK93">
        <f t="shared" si="10"/>
        <v>3.6034274337784539E-5</v>
      </c>
      <c r="BO93">
        <f t="shared" si="11"/>
        <v>4.8983653844247803E-5</v>
      </c>
      <c r="BP93">
        <f t="shared" si="9"/>
        <v>2.6570989762111266</v>
      </c>
    </row>
    <row r="94" spans="1:68" x14ac:dyDescent="0.15">
      <c r="A94" s="5">
        <v>43682</v>
      </c>
      <c r="B94" s="1"/>
      <c r="C94">
        <v>102.92</v>
      </c>
      <c r="D94">
        <v>94.44</v>
      </c>
      <c r="E94">
        <v>84.334530000000001</v>
      </c>
      <c r="G94" s="3">
        <v>-2.0834447471711301E-2</v>
      </c>
      <c r="I94" s="15">
        <f t="shared" si="12"/>
        <v>-2.2044849866970671E-2</v>
      </c>
      <c r="J94" s="15">
        <f t="shared" si="13"/>
        <v>-1.8295218295218348E-2</v>
      </c>
      <c r="K94" s="15">
        <f t="shared" si="14"/>
        <v>-1.5272325687868188E-2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BJ94">
        <f t="shared" si="8"/>
        <v>4.3407420145149742E-4</v>
      </c>
      <c r="BK94">
        <f t="shared" si="10"/>
        <v>4.2019028976594452E-5</v>
      </c>
      <c r="BO94">
        <f t="shared" si="11"/>
        <v>6.369940532306961E-5</v>
      </c>
      <c r="BP94">
        <f t="shared" si="9"/>
        <v>0.50452148844949729</v>
      </c>
    </row>
    <row r="95" spans="1:68" x14ac:dyDescent="0.15">
      <c r="A95" s="5">
        <v>43683</v>
      </c>
      <c r="B95" s="1"/>
      <c r="C95">
        <v>102.48</v>
      </c>
      <c r="D95">
        <v>93.58</v>
      </c>
      <c r="E95">
        <v>84.050190000000001</v>
      </c>
      <c r="G95" s="3">
        <v>-4.74494601846631E-3</v>
      </c>
      <c r="I95" s="15">
        <f t="shared" si="12"/>
        <v>-4.2751651768363555E-3</v>
      </c>
      <c r="J95" s="15">
        <f t="shared" si="13"/>
        <v>-9.1063108852181222E-3</v>
      </c>
      <c r="K95" s="15">
        <f t="shared" si="14"/>
        <v>-3.3715727116757545E-3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BJ95">
        <f t="shared" si="8"/>
        <v>2.2514512718159289E-5</v>
      </c>
      <c r="BK95">
        <f t="shared" si="10"/>
        <v>6.5542339325088647E-5</v>
      </c>
      <c r="BO95">
        <f t="shared" si="11"/>
        <v>1.1772521923509145E-4</v>
      </c>
      <c r="BP95">
        <f t="shared" si="9"/>
        <v>3.5090169660598782</v>
      </c>
    </row>
    <row r="96" spans="1:68" x14ac:dyDescent="0.15">
      <c r="A96" s="5">
        <v>43684</v>
      </c>
      <c r="B96" s="1"/>
      <c r="C96">
        <v>103.9</v>
      </c>
      <c r="D96">
        <v>94.36</v>
      </c>
      <c r="E96">
        <v>81.604889999999997</v>
      </c>
      <c r="G96" s="3">
        <v>-2.0828592238389902E-3</v>
      </c>
      <c r="I96" s="15">
        <f t="shared" si="12"/>
        <v>1.385636221701797E-2</v>
      </c>
      <c r="J96" s="15">
        <f t="shared" si="13"/>
        <v>8.3351143406710966E-3</v>
      </c>
      <c r="K96" s="15">
        <f t="shared" si="14"/>
        <v>-2.9093331020429616E-2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BJ96">
        <f t="shared" si="8"/>
        <v>4.3383025463311604E-6</v>
      </c>
      <c r="BK96">
        <f t="shared" si="10"/>
        <v>6.2960669728672877E-5</v>
      </c>
      <c r="BO96">
        <f t="shared" si="11"/>
        <v>1.0148751477477418E-4</v>
      </c>
      <c r="BP96">
        <f t="shared" si="9"/>
        <v>3.6574752762852278</v>
      </c>
    </row>
    <row r="97" spans="1:68" x14ac:dyDescent="0.15">
      <c r="A97" s="5">
        <v>43685</v>
      </c>
      <c r="B97" s="1"/>
      <c r="C97">
        <v>105.56</v>
      </c>
      <c r="D97">
        <v>96.38</v>
      </c>
      <c r="E97">
        <v>84.353485000000006</v>
      </c>
      <c r="G97" s="3">
        <v>2.2820240698680799E-2</v>
      </c>
      <c r="I97" s="15">
        <f t="shared" si="12"/>
        <v>1.5976900866217482E-2</v>
      </c>
      <c r="J97" s="15">
        <f t="shared" si="13"/>
        <v>2.1407376006782493E-2</v>
      </c>
      <c r="K97" s="15">
        <f t="shared" si="14"/>
        <v>3.3681743826871266E-2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BJ97">
        <f t="shared" si="8"/>
        <v>5.2076338554572755E-4</v>
      </c>
      <c r="BK97">
        <f t="shared" si="10"/>
        <v>5.9443327697732373E-5</v>
      </c>
      <c r="BO97">
        <f t="shared" si="11"/>
        <v>8.6162344041514332E-5</v>
      </c>
      <c r="BP97">
        <f t="shared" si="9"/>
        <v>0.73871069884035645</v>
      </c>
    </row>
    <row r="98" spans="1:68" x14ac:dyDescent="0.15">
      <c r="A98" s="5">
        <v>43686</v>
      </c>
      <c r="B98" s="1"/>
      <c r="C98">
        <v>106.38</v>
      </c>
      <c r="D98">
        <v>97.24</v>
      </c>
      <c r="E98">
        <v>83.633160000000004</v>
      </c>
      <c r="G98" s="3">
        <v>-1.6720345273557501E-4</v>
      </c>
      <c r="I98" s="15">
        <f t="shared" si="12"/>
        <v>7.7680939749904619E-3</v>
      </c>
      <c r="J98" s="15">
        <f t="shared" si="13"/>
        <v>8.9230130732517073E-3</v>
      </c>
      <c r="K98" s="15">
        <f t="shared" si="14"/>
        <v>-8.5393626594088261E-3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BJ98">
        <f t="shared" si="8"/>
        <v>2.7956994606697667E-8</v>
      </c>
      <c r="BK98">
        <f t="shared" si="10"/>
        <v>8.7122531168612103E-5</v>
      </c>
      <c r="BO98">
        <f t="shared" si="11"/>
        <v>1.4769096254592325E-4</v>
      </c>
      <c r="BP98">
        <f t="shared" si="9"/>
        <v>3.4911610989615327</v>
      </c>
    </row>
    <row r="99" spans="1:68" x14ac:dyDescent="0.15">
      <c r="A99" s="5">
        <v>43689</v>
      </c>
      <c r="B99" s="1"/>
      <c r="C99">
        <v>106.4</v>
      </c>
      <c r="D99">
        <v>97.5</v>
      </c>
      <c r="E99">
        <v>84.315574999999995</v>
      </c>
      <c r="G99" s="3">
        <v>1.03544097769625E-3</v>
      </c>
      <c r="I99" s="15">
        <f t="shared" si="12"/>
        <v>1.880052641474923E-4</v>
      </c>
      <c r="J99" s="15">
        <f t="shared" si="13"/>
        <v>2.673796791443903E-3</v>
      </c>
      <c r="K99" s="15">
        <f t="shared" si="14"/>
        <v>8.1596223316205176E-3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BJ99">
        <f t="shared" si="8"/>
        <v>1.0721380182925662E-6</v>
      </c>
      <c r="BK99">
        <f t="shared" si="10"/>
        <v>8.1896856718171777E-5</v>
      </c>
      <c r="BO99">
        <f t="shared" si="11"/>
        <v>1.2178946961328394E-4</v>
      </c>
      <c r="BP99">
        <f t="shared" si="9"/>
        <v>3.5832681942581046</v>
      </c>
    </row>
    <row r="100" spans="1:68" x14ac:dyDescent="0.15">
      <c r="A100" s="5">
        <v>43690</v>
      </c>
      <c r="B100" s="1"/>
      <c r="C100">
        <v>106.28</v>
      </c>
      <c r="D100">
        <v>98.46</v>
      </c>
      <c r="E100">
        <v>84.002799999999993</v>
      </c>
      <c r="G100" s="3">
        <v>2.6870650305519301E-3</v>
      </c>
      <c r="I100" s="15">
        <f t="shared" si="12"/>
        <v>-1.1278195488722232E-3</v>
      </c>
      <c r="J100" s="15">
        <f t="shared" si="13"/>
        <v>9.8461538461537823E-3</v>
      </c>
      <c r="K100" s="15">
        <f t="shared" si="14"/>
        <v>-3.7095756033212373E-3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BJ100">
        <f t="shared" si="8"/>
        <v>7.2203184784150449E-6</v>
      </c>
      <c r="BK100">
        <f t="shared" si="10"/>
        <v>7.7047373596179027E-5</v>
      </c>
      <c r="BO100">
        <f t="shared" si="11"/>
        <v>1.0162159963352225E-4</v>
      </c>
      <c r="BP100">
        <f t="shared" si="9"/>
        <v>3.642663181255235</v>
      </c>
    </row>
    <row r="101" spans="1:68" x14ac:dyDescent="0.15">
      <c r="A101" s="5">
        <v>43691</v>
      </c>
      <c r="B101" s="1"/>
      <c r="C101">
        <v>106.06</v>
      </c>
      <c r="D101">
        <v>97.38</v>
      </c>
      <c r="E101">
        <v>83.026579999999996</v>
      </c>
      <c r="G101" s="3">
        <v>-1.6120478538604099E-2</v>
      </c>
      <c r="I101" s="15">
        <f t="shared" si="12"/>
        <v>-2.0700037636431959E-3</v>
      </c>
      <c r="J101" s="15">
        <f t="shared" si="13"/>
        <v>-1.0968921389396693E-2</v>
      </c>
      <c r="K101" s="15">
        <f t="shared" si="14"/>
        <v>-1.1621279290690286E-2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BJ101">
        <f t="shared" si="8"/>
        <v>2.5986982831359537E-4</v>
      </c>
      <c r="BK101">
        <f t="shared" si="10"/>
        <v>7.2857750289113184E-5</v>
      </c>
      <c r="BO101">
        <f t="shared" si="11"/>
        <v>8.6677974617867785E-5</v>
      </c>
      <c r="BP101">
        <f t="shared" si="9"/>
        <v>2.2586634222113937</v>
      </c>
    </row>
    <row r="102" spans="1:68" x14ac:dyDescent="0.15">
      <c r="A102" s="5">
        <v>43692</v>
      </c>
      <c r="B102" s="1"/>
      <c r="C102">
        <v>106.48</v>
      </c>
      <c r="D102">
        <v>97.36</v>
      </c>
      <c r="E102">
        <v>81.946100000000001</v>
      </c>
      <c r="G102" s="3">
        <v>-2.3081675029319403E-3</v>
      </c>
      <c r="I102" s="15">
        <f t="shared" si="12"/>
        <v>3.9600226287007517E-3</v>
      </c>
      <c r="J102" s="15">
        <f t="shared" si="13"/>
        <v>-2.0538098172105177E-4</v>
      </c>
      <c r="K102" s="15">
        <f t="shared" si="14"/>
        <v>-1.3013663817057073E-2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BJ102">
        <f t="shared" si="8"/>
        <v>5.3276372215910688E-6</v>
      </c>
      <c r="BK102">
        <f t="shared" si="10"/>
        <v>8.4078474970582129E-5</v>
      </c>
      <c r="BO102">
        <f t="shared" si="11"/>
        <v>1.1093890256866059E-4</v>
      </c>
      <c r="BP102">
        <f t="shared" si="9"/>
        <v>3.6103153520525715</v>
      </c>
    </row>
    <row r="103" spans="1:68" x14ac:dyDescent="0.15">
      <c r="A103" s="5">
        <v>43693</v>
      </c>
      <c r="B103" s="1"/>
      <c r="C103">
        <v>107.76</v>
      </c>
      <c r="D103">
        <v>98.82</v>
      </c>
      <c r="E103">
        <v>82.950749999999999</v>
      </c>
      <c r="G103" s="3">
        <v>1.2713555603897699E-2</v>
      </c>
      <c r="I103" s="15">
        <f t="shared" si="12"/>
        <v>1.2021036814425255E-2</v>
      </c>
      <c r="J103" s="15">
        <f t="shared" si="13"/>
        <v>1.499589153656526E-2</v>
      </c>
      <c r="K103" s="15">
        <f t="shared" si="14"/>
        <v>1.2259887901925753E-2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BJ103">
        <f t="shared" si="8"/>
        <v>1.6163449609339858E-4</v>
      </c>
      <c r="BK103">
        <f t="shared" si="10"/>
        <v>7.9353424705642654E-5</v>
      </c>
      <c r="BO103">
        <f t="shared" si="11"/>
        <v>9.371671366897321E-5</v>
      </c>
      <c r="BP103">
        <f t="shared" si="9"/>
        <v>2.8563216427308191</v>
      </c>
    </row>
    <row r="104" spans="1:68" x14ac:dyDescent="0.15">
      <c r="A104" s="5">
        <v>43696</v>
      </c>
      <c r="B104" s="1"/>
      <c r="C104">
        <v>109.08</v>
      </c>
      <c r="D104">
        <v>99.52</v>
      </c>
      <c r="E104">
        <v>83.301439999999999</v>
      </c>
      <c r="G104" s="3">
        <v>9.9918433740739891E-3</v>
      </c>
      <c r="I104" s="15">
        <f t="shared" si="12"/>
        <v>1.2249443207126886E-2</v>
      </c>
      <c r="J104" s="15">
        <f t="shared" si="13"/>
        <v>7.0835863185590257E-3</v>
      </c>
      <c r="K104" s="15">
        <f t="shared" si="14"/>
        <v>4.2276893216758159E-3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BJ104">
        <f t="shared" si="8"/>
        <v>9.9836934012026275E-5</v>
      </c>
      <c r="BK104">
        <f t="shared" si="10"/>
        <v>8.429028898890802E-5</v>
      </c>
      <c r="BO104">
        <f t="shared" si="11"/>
        <v>1.0246924583078877E-4</v>
      </c>
      <c r="BP104">
        <f t="shared" si="9"/>
        <v>3.18687978863607</v>
      </c>
    </row>
    <row r="105" spans="1:68" x14ac:dyDescent="0.15">
      <c r="A105" s="5">
        <v>43697</v>
      </c>
      <c r="B105" s="1"/>
      <c r="C105">
        <v>107.96</v>
      </c>
      <c r="D105">
        <v>99</v>
      </c>
      <c r="E105">
        <v>83.064490000000006</v>
      </c>
      <c r="G105" s="3">
        <v>-5.6188543396348198E-3</v>
      </c>
      <c r="I105" s="15">
        <f t="shared" si="12"/>
        <v>-1.0267693436010309E-2</v>
      </c>
      <c r="J105" s="15">
        <f t="shared" si="13"/>
        <v>-5.22508038585205E-3</v>
      </c>
      <c r="K105" s="15">
        <f t="shared" si="14"/>
        <v>-2.8444886426932489E-3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BJ105">
        <f t="shared" si="8"/>
        <v>3.1571524090033049E-5</v>
      </c>
      <c r="BK105">
        <f t="shared" si="10"/>
        <v>8.5223087690295123E-5</v>
      </c>
      <c r="BO105">
        <f t="shared" si="11"/>
        <v>1.0053332621211987E-4</v>
      </c>
      <c r="BP105">
        <f t="shared" si="9"/>
        <v>3.5265519168465018</v>
      </c>
    </row>
    <row r="106" spans="1:68" x14ac:dyDescent="0.15">
      <c r="A106" s="5">
        <v>43698</v>
      </c>
      <c r="B106" s="1"/>
      <c r="C106">
        <v>108.84</v>
      </c>
      <c r="D106">
        <v>99.7</v>
      </c>
      <c r="E106">
        <v>83.936454999999995</v>
      </c>
      <c r="G106" s="3">
        <v>7.9549230104316512E-3</v>
      </c>
      <c r="I106" s="15">
        <f t="shared" si="12"/>
        <v>8.1511670989256185E-3</v>
      </c>
      <c r="J106" s="15">
        <f t="shared" si="13"/>
        <v>7.0707070707070998E-3</v>
      </c>
      <c r="K106" s="15">
        <f t="shared" si="14"/>
        <v>1.04974460205557E-2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BJ106">
        <f t="shared" si="8"/>
        <v>6.3280800101894966E-5</v>
      </c>
      <c r="BK106">
        <f t="shared" si="10"/>
        <v>8.2003993874279392E-5</v>
      </c>
      <c r="BO106">
        <f t="shared" si="11"/>
        <v>8.9292459297688625E-5</v>
      </c>
      <c r="BP106">
        <f t="shared" si="9"/>
        <v>3.3885125129658862</v>
      </c>
    </row>
    <row r="107" spans="1:68" x14ac:dyDescent="0.15">
      <c r="A107" s="5">
        <v>43699</v>
      </c>
      <c r="B107" s="1"/>
      <c r="C107">
        <v>108.3</v>
      </c>
      <c r="D107">
        <v>99.56</v>
      </c>
      <c r="E107">
        <v>83.178229999999999</v>
      </c>
      <c r="G107" s="3">
        <v>-4.3265719605851596E-3</v>
      </c>
      <c r="I107" s="15">
        <f t="shared" si="12"/>
        <v>-4.9614112458655482E-3</v>
      </c>
      <c r="J107" s="15">
        <f t="shared" si="13"/>
        <v>-1.404212637913747E-3</v>
      </c>
      <c r="K107" s="15">
        <f t="shared" si="14"/>
        <v>-9.0333216955611959E-3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BJ107">
        <f t="shared" si="8"/>
        <v>1.871922493012171E-5</v>
      </c>
      <c r="BK107">
        <f t="shared" si="10"/>
        <v>8.088060224793632E-5</v>
      </c>
      <c r="BO107">
        <f t="shared" si="11"/>
        <v>8.4991402458752292E-5</v>
      </c>
      <c r="BP107">
        <f t="shared" si="9"/>
        <v>3.6574174672429178</v>
      </c>
    </row>
    <row r="108" spans="1:68" x14ac:dyDescent="0.15">
      <c r="A108" s="5">
        <v>43700</v>
      </c>
      <c r="B108" s="1"/>
      <c r="C108">
        <v>107.9</v>
      </c>
      <c r="D108">
        <v>98.8</v>
      </c>
      <c r="E108">
        <v>82.780150000000006</v>
      </c>
      <c r="G108" s="3">
        <v>-6.1722263564172293E-3</v>
      </c>
      <c r="I108" s="15">
        <f t="shared" si="12"/>
        <v>-3.6934441366573544E-3</v>
      </c>
      <c r="J108" s="15">
        <f t="shared" si="13"/>
        <v>-7.6335877862595929E-3</v>
      </c>
      <c r="K108" s="15">
        <f t="shared" si="14"/>
        <v>-4.7858676483016425E-3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BJ108">
        <f t="shared" si="8"/>
        <v>3.809637819485151E-5</v>
      </c>
      <c r="BK108">
        <f t="shared" si="10"/>
        <v>7.7150919608867441E-5</v>
      </c>
      <c r="BO108">
        <f t="shared" si="11"/>
        <v>7.5271276625182902E-5</v>
      </c>
      <c r="BP108">
        <f t="shared" si="9"/>
        <v>3.5752069118061272</v>
      </c>
    </row>
    <row r="109" spans="1:68" x14ac:dyDescent="0.15">
      <c r="A109" s="5">
        <v>43703</v>
      </c>
      <c r="B109" s="1"/>
      <c r="C109">
        <v>108.08</v>
      </c>
      <c r="D109">
        <v>98.92</v>
      </c>
      <c r="E109">
        <v>81.851320000000001</v>
      </c>
      <c r="G109" s="3">
        <v>-2.9911405909460696E-3</v>
      </c>
      <c r="I109" s="15">
        <f t="shared" si="12"/>
        <v>1.668211306765455E-3</v>
      </c>
      <c r="J109" s="15">
        <f t="shared" si="13"/>
        <v>1.2145748987854711E-3</v>
      </c>
      <c r="K109" s="15">
        <f t="shared" si="14"/>
        <v>-1.12204435483628E-2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BJ109">
        <f t="shared" si="8"/>
        <v>8.946922034805203E-6</v>
      </c>
      <c r="BK109">
        <f t="shared" si="10"/>
        <v>7.4807647124026474E-5</v>
      </c>
      <c r="BO109">
        <f t="shared" si="11"/>
        <v>7.0406713629292761E-5</v>
      </c>
      <c r="BP109">
        <f t="shared" si="9"/>
        <v>3.7981350132678036</v>
      </c>
    </row>
    <row r="110" spans="1:68" x14ac:dyDescent="0.15">
      <c r="A110" s="5">
        <v>43704</v>
      </c>
      <c r="B110" s="1"/>
      <c r="C110">
        <v>109.06</v>
      </c>
      <c r="D110">
        <v>98.58</v>
      </c>
      <c r="E110">
        <v>83.604730000000004</v>
      </c>
      <c r="G110" s="3">
        <v>7.23026763180589E-3</v>
      </c>
      <c r="I110" s="15">
        <f t="shared" si="12"/>
        <v>9.0673575129534053E-3</v>
      </c>
      <c r="J110" s="15">
        <f t="shared" si="13"/>
        <v>-3.4371209057824847E-3</v>
      </c>
      <c r="K110" s="15">
        <f t="shared" si="14"/>
        <v>2.1421890325043047E-2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BJ110">
        <f t="shared" si="8"/>
        <v>5.2276770027539953E-5</v>
      </c>
      <c r="BK110">
        <f t="shared" si="10"/>
        <v>7.0856003618673192E-5</v>
      </c>
      <c r="BO110">
        <f t="shared" si="11"/>
        <v>6.2439582401383647E-5</v>
      </c>
      <c r="BP110">
        <f t="shared" si="9"/>
        <v>3.5030982106314865</v>
      </c>
    </row>
    <row r="111" spans="1:68" x14ac:dyDescent="0.15">
      <c r="A111" s="5">
        <v>43705</v>
      </c>
      <c r="B111" s="1"/>
      <c r="C111">
        <v>109.28</v>
      </c>
      <c r="D111">
        <v>97.8</v>
      </c>
      <c r="E111">
        <v>83.036060000000006</v>
      </c>
      <c r="G111" s="3">
        <v>-2.8498316893800202E-3</v>
      </c>
      <c r="I111" s="15">
        <f t="shared" si="12"/>
        <v>2.0172382174949463E-3</v>
      </c>
      <c r="J111" s="15">
        <f t="shared" si="13"/>
        <v>-7.9123554473524167E-3</v>
      </c>
      <c r="K111" s="15">
        <f t="shared" si="14"/>
        <v>-6.8018878836161225E-3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BJ111">
        <f t="shared" si="8"/>
        <v>8.1215406577945801E-6</v>
      </c>
      <c r="BK111">
        <f t="shared" si="10"/>
        <v>6.9741249603205192E-5</v>
      </c>
      <c r="BO111">
        <f t="shared" si="11"/>
        <v>6.2361378549718571E-5</v>
      </c>
      <c r="BP111">
        <f t="shared" si="9"/>
        <v>3.8572269201313625</v>
      </c>
    </row>
    <row r="112" spans="1:68" x14ac:dyDescent="0.15">
      <c r="A112" s="5">
        <v>43706</v>
      </c>
      <c r="B112" s="1"/>
      <c r="C112">
        <v>110.3</v>
      </c>
      <c r="D112">
        <v>98.12</v>
      </c>
      <c r="E112">
        <v>83.263530000000003</v>
      </c>
      <c r="G112" s="3">
        <v>8.2277092322326998E-3</v>
      </c>
      <c r="I112" s="15">
        <f t="shared" si="12"/>
        <v>9.3338213762810766E-3</v>
      </c>
      <c r="J112" s="15">
        <f t="shared" si="13"/>
        <v>3.2719836400818751E-3</v>
      </c>
      <c r="K112" s="15">
        <f t="shared" si="14"/>
        <v>2.7394122505330419E-3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BJ112">
        <f t="shared" si="8"/>
        <v>6.7695199210167196E-5</v>
      </c>
      <c r="BK112">
        <f t="shared" si="10"/>
        <v>6.604406706648055E-5</v>
      </c>
      <c r="BO112">
        <f t="shared" si="11"/>
        <v>5.601144100120058E-5</v>
      </c>
      <c r="BP112">
        <f t="shared" si="9"/>
        <v>3.3717407977723255</v>
      </c>
    </row>
    <row r="113" spans="1:68" x14ac:dyDescent="0.15">
      <c r="A113" s="5">
        <v>43707</v>
      </c>
      <c r="B113" s="1"/>
      <c r="C113">
        <v>111</v>
      </c>
      <c r="D113">
        <v>95.16</v>
      </c>
      <c r="E113">
        <v>84.362970000000004</v>
      </c>
      <c r="G113" s="3">
        <v>5.8112891211081694E-3</v>
      </c>
      <c r="I113" s="15">
        <f t="shared" si="12"/>
        <v>6.3463281958295818E-3</v>
      </c>
      <c r="J113" s="15">
        <f t="shared" si="13"/>
        <v>-3.0167142274765673E-2</v>
      </c>
      <c r="K113" s="15">
        <f t="shared" si="14"/>
        <v>1.3204340483762834E-2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BJ113">
        <f t="shared" si="8"/>
        <v>3.3771081249110161E-5</v>
      </c>
      <c r="BK113">
        <f t="shared" si="10"/>
        <v>6.6143134995101747E-5</v>
      </c>
      <c r="BO113">
        <f t="shared" si="11"/>
        <v>5.9515176184828352E-5</v>
      </c>
      <c r="BP113">
        <f t="shared" si="9"/>
        <v>3.6619828417861484</v>
      </c>
    </row>
    <row r="114" spans="1:68" x14ac:dyDescent="0.15">
      <c r="A114" s="5">
        <v>43711</v>
      </c>
      <c r="B114" s="1"/>
      <c r="C114">
        <v>110.94</v>
      </c>
      <c r="D114">
        <v>96.94</v>
      </c>
      <c r="E114">
        <v>83.528909999999996</v>
      </c>
      <c r="G114" s="3">
        <v>-4.3401838598113801E-3</v>
      </c>
      <c r="I114" s="15">
        <f t="shared" si="12"/>
        <v>-5.4054054054056104E-4</v>
      </c>
      <c r="J114" s="15">
        <f t="shared" si="13"/>
        <v>1.8705338377469537E-2</v>
      </c>
      <c r="K114" s="15">
        <f t="shared" si="14"/>
        <v>-9.886565160046025E-3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BJ114">
        <f t="shared" si="8"/>
        <v>1.8837195936967209E-5</v>
      </c>
      <c r="BK114">
        <f t="shared" si="10"/>
        <v>6.4200811770342246E-5</v>
      </c>
      <c r="BO114">
        <f t="shared" si="11"/>
        <v>5.7431952565287777E-5</v>
      </c>
      <c r="BP114">
        <f t="shared" si="9"/>
        <v>3.7995205571786377</v>
      </c>
    </row>
    <row r="115" spans="1:68" x14ac:dyDescent="0.15">
      <c r="A115" s="5">
        <v>43712</v>
      </c>
      <c r="B115" s="1"/>
      <c r="C115">
        <v>112</v>
      </c>
      <c r="D115">
        <v>97.76</v>
      </c>
      <c r="E115">
        <v>83.149795999999995</v>
      </c>
      <c r="G115" s="3">
        <v>4.2520955904883301E-3</v>
      </c>
      <c r="I115" s="15">
        <f t="shared" si="12"/>
        <v>9.5547142599603594E-3</v>
      </c>
      <c r="J115" s="15">
        <f t="shared" si="13"/>
        <v>8.4588405199092984E-3</v>
      </c>
      <c r="K115" s="15">
        <f t="shared" si="14"/>
        <v>-4.5387159966531502E-3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BJ115">
        <f t="shared" si="8"/>
        <v>1.8080316910650299E-5</v>
      </c>
      <c r="BK115">
        <f t="shared" si="10"/>
        <v>6.1478994820339736E-5</v>
      </c>
      <c r="BO115">
        <f t="shared" si="11"/>
        <v>5.3671029316968234E-5</v>
      </c>
      <c r="BP115">
        <f t="shared" si="9"/>
        <v>3.8289435983815765</v>
      </c>
    </row>
    <row r="116" spans="1:68" x14ac:dyDescent="0.15">
      <c r="A116" s="5">
        <v>43713</v>
      </c>
      <c r="B116" s="1"/>
      <c r="C116">
        <v>111.9</v>
      </c>
      <c r="D116">
        <v>99.3</v>
      </c>
      <c r="E116">
        <v>83.576300000000003</v>
      </c>
      <c r="G116" s="3">
        <v>8.9413704149796606E-3</v>
      </c>
      <c r="I116" s="15">
        <f t="shared" si="12"/>
        <v>-8.9285714285709209E-4</v>
      </c>
      <c r="J116" s="15">
        <f t="shared" si="13"/>
        <v>1.5752864157119396E-2</v>
      </c>
      <c r="K116" s="15">
        <f t="shared" si="14"/>
        <v>5.1293451158919076E-3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BJ116">
        <f t="shared" si="8"/>
        <v>7.9948104897873551E-5</v>
      </c>
      <c r="BK116">
        <f t="shared" si="10"/>
        <v>5.8875074145758368E-5</v>
      </c>
      <c r="BO116">
        <f t="shared" si="11"/>
        <v>5.0613245927056143E-5</v>
      </c>
      <c r="BP116">
        <f t="shared" si="9"/>
        <v>3.2369157997604239</v>
      </c>
    </row>
    <row r="117" spans="1:68" x14ac:dyDescent="0.15">
      <c r="A117" s="5">
        <v>43714</v>
      </c>
      <c r="B117" s="1"/>
      <c r="C117">
        <v>113.2</v>
      </c>
      <c r="D117">
        <v>100.1</v>
      </c>
      <c r="E117">
        <v>84.258709999999994</v>
      </c>
      <c r="G117" s="3">
        <v>9.09013002789405E-3</v>
      </c>
      <c r="I117" s="15">
        <f t="shared" si="12"/>
        <v>1.1617515638963334E-2</v>
      </c>
      <c r="J117" s="15">
        <f t="shared" si="13"/>
        <v>8.0563947633433761E-3</v>
      </c>
      <c r="K117" s="15">
        <f t="shared" si="14"/>
        <v>8.1651137942214506E-3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BJ117">
        <f t="shared" si="8"/>
        <v>8.263046392402108E-5</v>
      </c>
      <c r="BK117">
        <f t="shared" si="10"/>
        <v>6.0139455990885284E-5</v>
      </c>
      <c r="BO117">
        <f t="shared" si="11"/>
        <v>5.7026007449024883E-5</v>
      </c>
      <c r="BP117">
        <f t="shared" si="9"/>
        <v>3.2425649649415869</v>
      </c>
    </row>
    <row r="118" spans="1:68" x14ac:dyDescent="0.15">
      <c r="A118" s="5">
        <v>43717</v>
      </c>
      <c r="B118" s="1"/>
      <c r="C118">
        <v>110.8</v>
      </c>
      <c r="D118">
        <v>101.75</v>
      </c>
      <c r="E118">
        <v>83.917500000000004</v>
      </c>
      <c r="G118" s="3">
        <v>-1.4341374724501298E-3</v>
      </c>
      <c r="I118" s="15">
        <f t="shared" si="12"/>
        <v>-2.1201413427561887E-2</v>
      </c>
      <c r="J118" s="15">
        <f t="shared" si="13"/>
        <v>1.6483516483516543E-2</v>
      </c>
      <c r="K118" s="15">
        <f t="shared" si="14"/>
        <v>-4.0495516724619873E-3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BJ118">
        <f t="shared" si="8"/>
        <v>2.056750289885647E-6</v>
      </c>
      <c r="BK118">
        <f t="shared" si="10"/>
        <v>6.1488916466873424E-5</v>
      </c>
      <c r="BO118">
        <f t="shared" si="11"/>
        <v>6.2438063837472906E-5</v>
      </c>
      <c r="BP118">
        <f t="shared" si="9"/>
        <v>3.9052588783206987</v>
      </c>
    </row>
    <row r="119" spans="1:68" x14ac:dyDescent="0.15">
      <c r="A119" s="5">
        <v>43718</v>
      </c>
      <c r="B119" s="1"/>
      <c r="C119">
        <v>109</v>
      </c>
      <c r="D119">
        <v>102.3</v>
      </c>
      <c r="E119">
        <v>82.751720000000006</v>
      </c>
      <c r="G119" s="3">
        <v>-3.8658454435030998E-3</v>
      </c>
      <c r="I119" s="15">
        <f t="shared" si="12"/>
        <v>-1.6245487364620913E-2</v>
      </c>
      <c r="J119" s="15">
        <f t="shared" si="13"/>
        <v>5.4054054054053771E-3</v>
      </c>
      <c r="K119" s="15">
        <f t="shared" si="14"/>
        <v>-1.3891977239550725E-2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BJ119">
        <f t="shared" si="8"/>
        <v>1.4944760993053679E-5</v>
      </c>
      <c r="BK119">
        <f t="shared" si="10"/>
        <v>5.792298649625415E-5</v>
      </c>
      <c r="BO119">
        <f t="shared" si="11"/>
        <v>5.5207842727369315E-5</v>
      </c>
      <c r="BP119">
        <f t="shared" si="9"/>
        <v>3.8479142533993036</v>
      </c>
    </row>
    <row r="120" spans="1:68" x14ac:dyDescent="0.15">
      <c r="A120" s="5">
        <v>43719</v>
      </c>
      <c r="B120" s="1"/>
      <c r="C120">
        <v>109.48</v>
      </c>
      <c r="D120">
        <v>102.9</v>
      </c>
      <c r="E120">
        <v>83.339349999999996</v>
      </c>
      <c r="G120" s="3">
        <v>7.7946033515015004E-3</v>
      </c>
      <c r="I120" s="15">
        <f t="shared" si="12"/>
        <v>4.403669724770679E-3</v>
      </c>
      <c r="J120" s="15">
        <f t="shared" si="13"/>
        <v>5.8651026392962709E-3</v>
      </c>
      <c r="K120" s="15">
        <f t="shared" si="14"/>
        <v>7.1011212818294298E-3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BJ120">
        <f t="shared" si="8"/>
        <v>6.0755841407238422E-5</v>
      </c>
      <c r="BK120">
        <f t="shared" si="10"/>
        <v>5.5344292966062119E-5</v>
      </c>
      <c r="BO120">
        <f t="shared" si="11"/>
        <v>5.1372123349214383E-5</v>
      </c>
      <c r="BP120">
        <f t="shared" si="9"/>
        <v>3.4279380696559079</v>
      </c>
    </row>
    <row r="121" spans="1:68" x14ac:dyDescent="0.15">
      <c r="A121" s="5">
        <v>43720</v>
      </c>
      <c r="B121" s="1"/>
      <c r="C121">
        <v>109.98</v>
      </c>
      <c r="D121">
        <v>103.25</v>
      </c>
      <c r="E121">
        <v>83.405690000000007</v>
      </c>
      <c r="G121" s="3">
        <v>-4.4495229769203598E-4</v>
      </c>
      <c r="I121" s="15">
        <f t="shared" si="12"/>
        <v>4.5670442089879425E-3</v>
      </c>
      <c r="J121" s="15">
        <f t="shared" si="13"/>
        <v>3.4013605442176314E-3</v>
      </c>
      <c r="K121" s="15">
        <f t="shared" si="14"/>
        <v>7.9602252717366948E-4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BJ121">
        <f t="shared" si="8"/>
        <v>1.979825472214222E-7</v>
      </c>
      <c r="BK121">
        <f t="shared" si="10"/>
        <v>5.5668985872532702E-5</v>
      </c>
      <c r="BO121">
        <f t="shared" si="11"/>
        <v>5.4887889035235327E-5</v>
      </c>
      <c r="BP121">
        <f t="shared" si="9"/>
        <v>3.9843668663184997</v>
      </c>
    </row>
    <row r="122" spans="1:68" x14ac:dyDescent="0.15">
      <c r="A122" s="5">
        <v>43721</v>
      </c>
      <c r="B122" s="1"/>
      <c r="C122">
        <v>106.26</v>
      </c>
      <c r="D122">
        <v>103.05</v>
      </c>
      <c r="E122">
        <v>82.135660000000001</v>
      </c>
      <c r="G122" s="3">
        <v>-4.6315025392672498E-3</v>
      </c>
      <c r="I122" s="15">
        <f t="shared" si="12"/>
        <v>-3.3824331696672108E-2</v>
      </c>
      <c r="J122" s="15">
        <f t="shared" si="13"/>
        <v>-1.9370460048426426E-3</v>
      </c>
      <c r="K122" s="15">
        <f t="shared" si="14"/>
        <v>-1.5227138580113724E-2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BJ122">
        <f t="shared" si="8"/>
        <v>2.1450815771238981E-5</v>
      </c>
      <c r="BK122">
        <f t="shared" si="10"/>
        <v>5.234072567301402E-5</v>
      </c>
      <c r="BO122">
        <f t="shared" si="11"/>
        <v>4.9020919479459173E-5</v>
      </c>
      <c r="BP122">
        <f t="shared" si="9"/>
        <v>3.823900711646727</v>
      </c>
    </row>
    <row r="123" spans="1:68" x14ac:dyDescent="0.15">
      <c r="A123" s="5">
        <v>43724</v>
      </c>
      <c r="B123" s="1"/>
      <c r="C123">
        <v>105.26</v>
      </c>
      <c r="D123">
        <v>102.2</v>
      </c>
      <c r="E123">
        <v>81.367940000000004</v>
      </c>
      <c r="G123" s="3">
        <v>-7.7784492017094397E-3</v>
      </c>
      <c r="I123" s="15">
        <f t="shared" si="12"/>
        <v>-9.4108789760963662E-3</v>
      </c>
      <c r="J123" s="15">
        <f t="shared" si="13"/>
        <v>-8.2484230955846127E-3</v>
      </c>
      <c r="K123" s="15">
        <f t="shared" si="14"/>
        <v>-9.3469754793471804E-3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BJ123">
        <f t="shared" si="8"/>
        <v>6.0504271983574221E-5</v>
      </c>
      <c r="BK123">
        <f t="shared" si="10"/>
        <v>5.0487331078907514E-5</v>
      </c>
      <c r="BO123">
        <f t="shared" si="11"/>
        <v>4.7445825348330062E-5</v>
      </c>
      <c r="BP123">
        <f t="shared" si="9"/>
        <v>3.421408190485244</v>
      </c>
    </row>
    <row r="124" spans="1:68" x14ac:dyDescent="0.15">
      <c r="A124" s="5">
        <v>43725</v>
      </c>
      <c r="B124" s="1"/>
      <c r="C124">
        <v>106.9</v>
      </c>
      <c r="D124">
        <v>101.6</v>
      </c>
      <c r="E124">
        <v>81.41534</v>
      </c>
      <c r="G124" s="3">
        <v>4.4764177086420399E-3</v>
      </c>
      <c r="I124" s="15">
        <f t="shared" si="12"/>
        <v>1.5580467414022425E-2</v>
      </c>
      <c r="J124" s="15">
        <f t="shared" si="13"/>
        <v>-5.8708414872799264E-3</v>
      </c>
      <c r="K124" s="15">
        <f t="shared" si="14"/>
        <v>5.8253901966789511E-4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BJ124">
        <f t="shared" si="8"/>
        <v>2.0038315502244051E-5</v>
      </c>
      <c r="BK124">
        <f t="shared" si="10"/>
        <v>5.108834753318752E-5</v>
      </c>
      <c r="BO124">
        <f t="shared" si="11"/>
        <v>5.1772355481221043E-5</v>
      </c>
      <c r="BP124">
        <f t="shared" si="9"/>
        <v>3.8218652684234962</v>
      </c>
    </row>
    <row r="125" spans="1:68" x14ac:dyDescent="0.15">
      <c r="A125" s="5">
        <v>43726</v>
      </c>
      <c r="B125" s="1"/>
      <c r="C125">
        <v>106.94</v>
      </c>
      <c r="D125">
        <v>102.1</v>
      </c>
      <c r="E125">
        <v>81.301599999999993</v>
      </c>
      <c r="G125" s="3">
        <v>5.0216385989631997E-4</v>
      </c>
      <c r="I125" s="15">
        <f t="shared" si="12"/>
        <v>3.7418147801676372E-4</v>
      </c>
      <c r="J125" s="15">
        <f t="shared" si="13"/>
        <v>4.921259842519685E-3</v>
      </c>
      <c r="K125" s="15">
        <f t="shared" si="14"/>
        <v>-1.3970340233180512E-3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BJ125">
        <f t="shared" si="8"/>
        <v>2.5216854218597087E-7</v>
      </c>
      <c r="BK125">
        <f t="shared" si="10"/>
        <v>4.9225345611330913E-5</v>
      </c>
      <c r="BO125">
        <f t="shared" si="11"/>
        <v>4.9402824915099952E-5</v>
      </c>
      <c r="BP125">
        <f t="shared" si="9"/>
        <v>4.0362607750043429</v>
      </c>
    </row>
    <row r="126" spans="1:68" x14ac:dyDescent="0.15">
      <c r="A126" s="5">
        <v>43727</v>
      </c>
      <c r="B126" s="1"/>
      <c r="C126">
        <v>107.22</v>
      </c>
      <c r="D126">
        <v>102.6</v>
      </c>
      <c r="E126">
        <v>81.396379999999994</v>
      </c>
      <c r="G126" s="3">
        <v>4.5527799172235799E-3</v>
      </c>
      <c r="I126" s="15">
        <f t="shared" si="12"/>
        <v>2.6182906302599693E-3</v>
      </c>
      <c r="J126" s="15">
        <f t="shared" si="13"/>
        <v>4.8971596474045058E-3</v>
      </c>
      <c r="K126" s="15">
        <f t="shared" si="14"/>
        <v>1.1657827152233178E-3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BJ126">
        <f t="shared" si="8"/>
        <v>2.0727804974674347E-5</v>
      </c>
      <c r="BK126">
        <f t="shared" si="10"/>
        <v>4.6286954987182219E-5</v>
      </c>
      <c r="BO126">
        <f t="shared" si="11"/>
        <v>4.4726268542091611E-5</v>
      </c>
      <c r="BP126">
        <f t="shared" si="9"/>
        <v>3.8568177803309083</v>
      </c>
    </row>
    <row r="127" spans="1:68" x14ac:dyDescent="0.15">
      <c r="A127" s="5">
        <v>43728</v>
      </c>
      <c r="B127" s="1"/>
      <c r="C127">
        <v>106.26</v>
      </c>
      <c r="D127">
        <v>102.25</v>
      </c>
      <c r="E127">
        <v>81.756540000000001</v>
      </c>
      <c r="G127" s="3">
        <v>-7.5770708858080506E-4</v>
      </c>
      <c r="I127" s="15">
        <f t="shared" si="12"/>
        <v>-8.9535534415220459E-3</v>
      </c>
      <c r="J127" s="15">
        <f t="shared" si="13"/>
        <v>-3.411306042884935E-3</v>
      </c>
      <c r="K127" s="15">
        <f t="shared" si="14"/>
        <v>4.4247668016686691E-3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BJ127">
        <f t="shared" si="8"/>
        <v>5.7412003208559995E-7</v>
      </c>
      <c r="BK127">
        <f t="shared" si="10"/>
        <v>4.4753405986431746E-5</v>
      </c>
      <c r="BO127">
        <f t="shared" si="11"/>
        <v>4.397422078366063E-5</v>
      </c>
      <c r="BP127">
        <f t="shared" si="9"/>
        <v>4.090487044386518</v>
      </c>
    </row>
    <row r="128" spans="1:68" x14ac:dyDescent="0.15">
      <c r="A128" s="5">
        <v>43731</v>
      </c>
      <c r="B128" s="1"/>
      <c r="C128">
        <v>107.12</v>
      </c>
      <c r="D128">
        <v>102.65</v>
      </c>
      <c r="E128">
        <v>81.178380000000004</v>
      </c>
      <c r="G128" s="3">
        <v>-5.9109101786102205E-3</v>
      </c>
      <c r="I128" s="15">
        <f t="shared" si="12"/>
        <v>8.0933559194428708E-3</v>
      </c>
      <c r="J128" s="15">
        <f t="shared" si="13"/>
        <v>3.9119804400978555E-3</v>
      </c>
      <c r="K128" s="15">
        <f t="shared" si="14"/>
        <v>-7.0717278397544334E-3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BJ128">
        <f t="shared" si="8"/>
        <v>3.4938859139597907E-5</v>
      </c>
      <c r="BK128">
        <f t="shared" si="10"/>
        <v>4.2102648829170978E-5</v>
      </c>
      <c r="BO128">
        <f t="shared" si="11"/>
        <v>4.0514038836326345E-5</v>
      </c>
      <c r="BP128">
        <f t="shared" si="9"/>
        <v>3.7067979981525072</v>
      </c>
    </row>
    <row r="129" spans="1:68" x14ac:dyDescent="0.15">
      <c r="A129" s="5">
        <v>43732</v>
      </c>
      <c r="B129" s="1"/>
      <c r="C129">
        <v>108.2</v>
      </c>
      <c r="D129">
        <v>102.4</v>
      </c>
      <c r="E129">
        <v>81.216300000000004</v>
      </c>
      <c r="G129" s="3">
        <v>-6.0830205324546795E-4</v>
      </c>
      <c r="I129" s="15">
        <f t="shared" si="12"/>
        <v>1.0082150858849871E-2</v>
      </c>
      <c r="J129" s="15">
        <f t="shared" si="13"/>
        <v>-2.4354603019970775E-3</v>
      </c>
      <c r="K129" s="15">
        <f t="shared" si="14"/>
        <v>4.6711944732082274E-4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BJ129">
        <f t="shared" si="8"/>
        <v>3.7003138798265212E-7</v>
      </c>
      <c r="BK129">
        <f t="shared" si="10"/>
        <v>4.1672821447796588E-5</v>
      </c>
      <c r="BO129">
        <f t="shared" si="11"/>
        <v>4.269417803878789E-5</v>
      </c>
      <c r="BP129">
        <f t="shared" si="9"/>
        <v>4.1074519520664774</v>
      </c>
    </row>
    <row r="130" spans="1:68" x14ac:dyDescent="0.15">
      <c r="A130" s="5">
        <v>43733</v>
      </c>
      <c r="B130" s="1"/>
      <c r="C130">
        <v>106.76</v>
      </c>
      <c r="D130">
        <v>102.45</v>
      </c>
      <c r="E130">
        <v>80.49597</v>
      </c>
      <c r="G130" s="3">
        <v>-7.6549755322690106E-3</v>
      </c>
      <c r="I130" s="15">
        <f t="shared" si="12"/>
        <v>-1.330868761552678E-2</v>
      </c>
      <c r="J130" s="15">
        <f t="shared" si="13"/>
        <v>4.8828124999997224E-4</v>
      </c>
      <c r="K130" s="15">
        <f t="shared" si="14"/>
        <v>-8.869278703905548E-3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BJ130">
        <f t="shared" ref="BJ130:BJ193" si="15">G130^2</f>
        <v>5.8598650399637221E-5</v>
      </c>
      <c r="BK130">
        <f t="shared" si="10"/>
        <v>3.9194654044207754E-5</v>
      </c>
      <c r="BO130">
        <f t="shared" si="11"/>
        <v>3.9480934076534451E-5</v>
      </c>
      <c r="BP130">
        <f t="shared" ref="BP130:BP193" si="16" xml:space="preserve"> -0.5 * (LN(2 * PI()) + LN(BO130) + (BJ130) / BO130)</f>
        <v>3.4087945361147076</v>
      </c>
    </row>
    <row r="131" spans="1:68" x14ac:dyDescent="0.15">
      <c r="A131" s="5">
        <v>43734</v>
      </c>
      <c r="B131" s="1"/>
      <c r="C131">
        <v>107.94</v>
      </c>
      <c r="D131">
        <v>104.25</v>
      </c>
      <c r="E131">
        <v>81.604889999999997</v>
      </c>
      <c r="G131" s="3">
        <v>9.6713855051186997E-3</v>
      </c>
      <c r="I131" s="15">
        <f t="shared" si="12"/>
        <v>1.1052828774821961E-2</v>
      </c>
      <c r="J131" s="15">
        <f t="shared" si="13"/>
        <v>1.7569546120058538E-2</v>
      </c>
      <c r="K131" s="15">
        <f t="shared" si="14"/>
        <v>1.3776093387035372E-2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BJ131">
        <f t="shared" si="15"/>
        <v>9.353569758862008E-5</v>
      </c>
      <c r="BK131">
        <f t="shared" ref="BK131:BK194" si="17">$BM$2 * BK130 + (1 - $BM$2) * BJ130</f>
        <v>4.0358893825533528E-5</v>
      </c>
      <c r="BO131">
        <f t="shared" ref="BO131:BO194" si="18" xml:space="preserve"> $BR$2 + $BS$2 * BJ130 + $BT$2 * BO130</f>
        <v>4.5253464485755233E-5</v>
      </c>
      <c r="BP131">
        <f t="shared" si="16"/>
        <v>3.0492126361661844</v>
      </c>
    </row>
    <row r="132" spans="1:68" x14ac:dyDescent="0.15">
      <c r="A132" s="5">
        <v>43735</v>
      </c>
      <c r="B132" s="1"/>
      <c r="C132">
        <v>107.7</v>
      </c>
      <c r="D132">
        <v>104</v>
      </c>
      <c r="E132">
        <v>81.870270000000005</v>
      </c>
      <c r="G132" s="3">
        <v>2.7070201024692597E-3</v>
      </c>
      <c r="I132" s="15">
        <f t="shared" ref="I132:I195" si="19">(C132-C131)/C131</f>
        <v>-2.2234574763757169E-3</v>
      </c>
      <c r="J132" s="15">
        <f t="shared" ref="J132:J195" si="20">(D132-D131)/D131</f>
        <v>-2.3980815347721821E-3</v>
      </c>
      <c r="K132" s="15">
        <f t="shared" ref="K132:K195" si="21">(E132-E131)/E131</f>
        <v>3.2520110008114403E-3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BJ132">
        <f t="shared" si="15"/>
        <v>7.3279578351726817E-6</v>
      </c>
      <c r="BK132">
        <f t="shared" si="17"/>
        <v>4.354950205131873E-5</v>
      </c>
      <c r="BO132">
        <f t="shared" si="18"/>
        <v>5.4757055928159555E-5</v>
      </c>
      <c r="BP132">
        <f t="shared" si="16"/>
        <v>3.9204502620054296</v>
      </c>
    </row>
    <row r="133" spans="1:68" x14ac:dyDescent="0.15">
      <c r="A133" s="5">
        <v>43738</v>
      </c>
      <c r="B133" s="1"/>
      <c r="C133">
        <v>108.28</v>
      </c>
      <c r="D133">
        <v>104.1</v>
      </c>
      <c r="E133">
        <v>82.021919999999994</v>
      </c>
      <c r="G133" s="3">
        <v>4.0356839337576302E-3</v>
      </c>
      <c r="I133" s="15">
        <f t="shared" si="19"/>
        <v>5.3853296193128904E-3</v>
      </c>
      <c r="J133" s="15">
        <f t="shared" si="20"/>
        <v>9.6153846153840684E-4</v>
      </c>
      <c r="K133" s="15">
        <f t="shared" si="21"/>
        <v>1.8523207508658441E-3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BJ133">
        <f t="shared" si="15"/>
        <v>1.6286744813189459E-5</v>
      </c>
      <c r="BK133">
        <f t="shared" si="17"/>
        <v>4.1376209398349963E-5</v>
      </c>
      <c r="BO133">
        <f t="shared" si="18"/>
        <v>4.9933749188144557E-5</v>
      </c>
      <c r="BP133">
        <f t="shared" si="16"/>
        <v>3.8703846540213362</v>
      </c>
    </row>
    <row r="134" spans="1:68" x14ac:dyDescent="0.15">
      <c r="A134" s="5">
        <v>43739</v>
      </c>
      <c r="B134" s="1"/>
      <c r="C134">
        <v>106.38</v>
      </c>
      <c r="D134">
        <v>103.8</v>
      </c>
      <c r="E134">
        <v>81.121510000000001</v>
      </c>
      <c r="G134" s="3">
        <v>-1.2484481770194501E-2</v>
      </c>
      <c r="I134" s="15">
        <f t="shared" si="19"/>
        <v>-1.7547100110823843E-2</v>
      </c>
      <c r="J134" s="15">
        <f t="shared" si="20"/>
        <v>-2.8818443804034311E-3</v>
      </c>
      <c r="K134" s="15">
        <f t="shared" si="21"/>
        <v>-1.0977675236083156E-2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BJ134">
        <f t="shared" si="15"/>
        <v>1.5586228507031882E-4</v>
      </c>
      <c r="BK134">
        <f t="shared" si="17"/>
        <v>3.9870841523240329E-5</v>
      </c>
      <c r="BO134">
        <f t="shared" si="18"/>
        <v>4.7426361676364682E-5</v>
      </c>
      <c r="BP134">
        <f t="shared" si="16"/>
        <v>2.4160245739965758</v>
      </c>
    </row>
    <row r="135" spans="1:68" x14ac:dyDescent="0.15">
      <c r="A135" s="5">
        <v>43740</v>
      </c>
      <c r="B135" s="1"/>
      <c r="C135">
        <v>105.26</v>
      </c>
      <c r="D135">
        <v>102.15</v>
      </c>
      <c r="E135">
        <v>79.756699999999995</v>
      </c>
      <c r="G135" s="3">
        <v>-1.9615258531737699E-2</v>
      </c>
      <c r="I135" s="15">
        <f t="shared" si="19"/>
        <v>-1.0528294792254093E-2</v>
      </c>
      <c r="J135" s="15">
        <f t="shared" si="20"/>
        <v>-1.5895953757225353E-2</v>
      </c>
      <c r="K135" s="15">
        <f t="shared" si="21"/>
        <v>-1.6824267694228148E-2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BJ135">
        <f t="shared" si="15"/>
        <v>3.8475836726690858E-4</v>
      </c>
      <c r="BK135">
        <f t="shared" si="17"/>
        <v>4.6830328136065043E-5</v>
      </c>
      <c r="BO135">
        <f t="shared" si="18"/>
        <v>6.5337994817367997E-5</v>
      </c>
      <c r="BP135">
        <f t="shared" si="16"/>
        <v>0.95466062434294674</v>
      </c>
    </row>
    <row r="136" spans="1:68" x14ac:dyDescent="0.15">
      <c r="A136" s="5">
        <v>43741</v>
      </c>
      <c r="B136" s="1"/>
      <c r="C136">
        <v>106.12</v>
      </c>
      <c r="D136">
        <v>102</v>
      </c>
      <c r="E136">
        <v>80.192679999999996</v>
      </c>
      <c r="G136" s="3">
        <v>3.2367862191517901E-4</v>
      </c>
      <c r="I136" s="15">
        <f t="shared" si="19"/>
        <v>8.1702451073532145E-3</v>
      </c>
      <c r="J136" s="15">
        <f t="shared" si="20"/>
        <v>-1.4684287812041672E-3</v>
      </c>
      <c r="K136" s="15">
        <f t="shared" si="21"/>
        <v>5.4663746117881093E-3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BJ136">
        <f t="shared" si="15"/>
        <v>1.0476785028490941E-7</v>
      </c>
      <c r="BK136">
        <f t="shared" si="17"/>
        <v>6.7106010483915674E-5</v>
      </c>
      <c r="BO136">
        <f t="shared" si="18"/>
        <v>1.1198692371175049E-4</v>
      </c>
      <c r="BP136">
        <f t="shared" si="16"/>
        <v>3.6291579215943131</v>
      </c>
    </row>
    <row r="137" spans="1:68" x14ac:dyDescent="0.15">
      <c r="A137" s="5">
        <v>43742</v>
      </c>
      <c r="B137" s="1"/>
      <c r="C137">
        <v>106.84</v>
      </c>
      <c r="D137">
        <v>101.8</v>
      </c>
      <c r="E137">
        <v>80.68553</v>
      </c>
      <c r="G137" s="3">
        <v>6.8934002014002706E-3</v>
      </c>
      <c r="I137" s="15">
        <f t="shared" si="19"/>
        <v>6.7847719562759033E-3</v>
      </c>
      <c r="J137" s="15">
        <f t="shared" si="20"/>
        <v>-1.9607843137255179E-3</v>
      </c>
      <c r="K137" s="15">
        <f t="shared" si="21"/>
        <v>6.1458227858204048E-3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BJ137">
        <f t="shared" si="15"/>
        <v>4.751896633666529E-5</v>
      </c>
      <c r="BK137">
        <f t="shared" si="17"/>
        <v>6.3085935925897828E-5</v>
      </c>
      <c r="BO137">
        <f t="shared" si="18"/>
        <v>9.3794917213554989E-5</v>
      </c>
      <c r="BP137">
        <f t="shared" si="16"/>
        <v>3.4649482917292951</v>
      </c>
    </row>
    <row r="138" spans="1:68" x14ac:dyDescent="0.15">
      <c r="A138" s="5">
        <v>43745</v>
      </c>
      <c r="B138" s="1"/>
      <c r="C138">
        <v>107.8</v>
      </c>
      <c r="D138">
        <v>103</v>
      </c>
      <c r="E138">
        <v>81.41534</v>
      </c>
      <c r="G138" s="3">
        <v>8.7859143646573604E-3</v>
      </c>
      <c r="I138" s="15">
        <f t="shared" si="19"/>
        <v>8.9853987270684544E-3</v>
      </c>
      <c r="J138" s="15">
        <f t="shared" si="20"/>
        <v>1.1787819253438142E-2</v>
      </c>
      <c r="K138" s="15">
        <f t="shared" si="21"/>
        <v>9.0451162680594711E-3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BJ138">
        <f t="shared" si="15"/>
        <v>7.7192291223092546E-5</v>
      </c>
      <c r="BK138">
        <f t="shared" si="17"/>
        <v>6.2151917750543877E-5</v>
      </c>
      <c r="BO138">
        <f t="shared" si="18"/>
        <v>8.6278231740845687E-5</v>
      </c>
      <c r="BP138">
        <f t="shared" si="16"/>
        <v>3.3126829660438042</v>
      </c>
    </row>
    <row r="139" spans="1:68" x14ac:dyDescent="0.15">
      <c r="A139" s="5">
        <v>43746</v>
      </c>
      <c r="B139" s="1"/>
      <c r="C139">
        <v>107.1</v>
      </c>
      <c r="D139">
        <v>102.3</v>
      </c>
      <c r="E139">
        <v>80.287459999999996</v>
      </c>
      <c r="G139" s="3">
        <v>-1.1481258505041801E-2</v>
      </c>
      <c r="I139" s="15">
        <f t="shared" si="19"/>
        <v>-6.49350649350652E-3</v>
      </c>
      <c r="J139" s="15">
        <f t="shared" si="20"/>
        <v>-6.7961165048543966E-3</v>
      </c>
      <c r="K139" s="15">
        <f t="shared" si="21"/>
        <v>-1.3853408952170496E-2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BJ139">
        <f t="shared" si="15"/>
        <v>1.3181929685959469E-4</v>
      </c>
      <c r="BK139">
        <f t="shared" si="17"/>
        <v>6.3054340158896801E-5</v>
      </c>
      <c r="BO139">
        <f t="shared" si="18"/>
        <v>8.4608383399431059E-5</v>
      </c>
      <c r="BP139">
        <f t="shared" si="16"/>
        <v>2.9908034034684436</v>
      </c>
    </row>
    <row r="140" spans="1:68" x14ac:dyDescent="0.15">
      <c r="A140" s="5">
        <v>43747</v>
      </c>
      <c r="B140" s="1"/>
      <c r="C140">
        <v>107.54</v>
      </c>
      <c r="D140">
        <v>102.5</v>
      </c>
      <c r="E140">
        <v>80.56232</v>
      </c>
      <c r="G140" s="3">
        <v>3.0418598871371199E-3</v>
      </c>
      <c r="I140" s="15">
        <f t="shared" si="19"/>
        <v>4.1083099906630439E-3</v>
      </c>
      <c r="J140" s="15">
        <f t="shared" si="20"/>
        <v>1.955034213098757E-3</v>
      </c>
      <c r="K140" s="15">
        <f t="shared" si="21"/>
        <v>3.4234486929839839E-3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BJ140">
        <f t="shared" si="15"/>
        <v>9.2529115729738524E-6</v>
      </c>
      <c r="BK140">
        <f t="shared" si="17"/>
        <v>6.7180237560938684E-5</v>
      </c>
      <c r="BO140">
        <f t="shared" si="18"/>
        <v>9.1078578186159484E-5</v>
      </c>
      <c r="BP140">
        <f t="shared" si="16"/>
        <v>3.6821591195042904</v>
      </c>
    </row>
    <row r="141" spans="1:68" x14ac:dyDescent="0.15">
      <c r="A141" s="5">
        <v>43748</v>
      </c>
      <c r="B141" s="1"/>
      <c r="C141">
        <v>107.54</v>
      </c>
      <c r="D141">
        <v>103</v>
      </c>
      <c r="E141">
        <v>80.94144</v>
      </c>
      <c r="G141" s="3">
        <v>7.4231221553144799E-3</v>
      </c>
      <c r="I141" s="15">
        <f t="shared" si="19"/>
        <v>0</v>
      </c>
      <c r="J141" s="15">
        <f t="shared" si="20"/>
        <v>4.8780487804878049E-3</v>
      </c>
      <c r="K141" s="15">
        <f t="shared" si="21"/>
        <v>4.70592207374366E-3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BJ141">
        <f t="shared" si="15"/>
        <v>5.5102742532720689E-5</v>
      </c>
      <c r="BK141">
        <f t="shared" si="17"/>
        <v>6.3704598001660789E-5</v>
      </c>
      <c r="BO141">
        <f t="shared" si="18"/>
        <v>7.8697734197994727E-5</v>
      </c>
      <c r="BP141">
        <f t="shared" si="16"/>
        <v>3.4559185278368201</v>
      </c>
    </row>
    <row r="142" spans="1:68" x14ac:dyDescent="0.15">
      <c r="A142" s="5">
        <v>43749</v>
      </c>
      <c r="B142" s="1"/>
      <c r="C142">
        <v>106.78</v>
      </c>
      <c r="D142">
        <v>103.55</v>
      </c>
      <c r="E142">
        <v>82.164090000000002</v>
      </c>
      <c r="G142" s="3">
        <v>1.1549071603047001E-2</v>
      </c>
      <c r="I142" s="15">
        <f t="shared" si="19"/>
        <v>-7.0671378091873259E-3</v>
      </c>
      <c r="J142" s="15">
        <f t="shared" si="20"/>
        <v>5.3398058252426906E-3</v>
      </c>
      <c r="K142" s="15">
        <f t="shared" si="21"/>
        <v>1.5105365063927718E-2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BJ142">
        <f t="shared" si="15"/>
        <v>1.3338105489230662E-4</v>
      </c>
      <c r="BK142">
        <f t="shared" si="17"/>
        <v>6.3188486673524375E-5</v>
      </c>
      <c r="BO142">
        <f t="shared" si="18"/>
        <v>7.5516403993740574E-5</v>
      </c>
      <c r="BP142">
        <f t="shared" si="16"/>
        <v>2.9435154275474607</v>
      </c>
    </row>
    <row r="143" spans="1:68" x14ac:dyDescent="0.15">
      <c r="A143" s="5">
        <v>43752</v>
      </c>
      <c r="B143" s="1"/>
      <c r="C143">
        <v>106.06</v>
      </c>
      <c r="D143">
        <v>101.3</v>
      </c>
      <c r="E143">
        <v>81.472200000000001</v>
      </c>
      <c r="G143" s="3">
        <v>-5.3059506313849402E-3</v>
      </c>
      <c r="I143" s="15">
        <f t="shared" si="19"/>
        <v>-6.7428357370293958E-3</v>
      </c>
      <c r="J143" s="15">
        <f t="shared" si="20"/>
        <v>-2.172863351038146E-2</v>
      </c>
      <c r="K143" s="15">
        <f t="shared" si="21"/>
        <v>-8.4208320204118454E-3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BJ143">
        <f t="shared" si="15"/>
        <v>2.8153112102694247E-5</v>
      </c>
      <c r="BK143">
        <f t="shared" si="17"/>
        <v>6.7400040766651311E-5</v>
      </c>
      <c r="BO143">
        <f t="shared" si="18"/>
        <v>8.4169447990929008E-5</v>
      </c>
      <c r="BP143">
        <f t="shared" si="16"/>
        <v>3.6051600593388105</v>
      </c>
    </row>
    <row r="144" spans="1:68" x14ac:dyDescent="0.15">
      <c r="A144" s="5">
        <v>43753</v>
      </c>
      <c r="B144" s="1"/>
      <c r="C144">
        <v>105.94</v>
      </c>
      <c r="D144">
        <v>102.9</v>
      </c>
      <c r="E144">
        <v>81.822879999999998</v>
      </c>
      <c r="G144" s="3">
        <v>8.4820867699193503E-3</v>
      </c>
      <c r="I144" s="15">
        <f t="shared" si="19"/>
        <v>-1.1314350367716815E-3</v>
      </c>
      <c r="J144" s="15">
        <f t="shared" si="20"/>
        <v>1.5794669299111636E-2</v>
      </c>
      <c r="K144" s="15">
        <f t="shared" si="21"/>
        <v>4.3042902977947937E-3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BJ144">
        <f t="shared" si="15"/>
        <v>7.1945795972440876E-5</v>
      </c>
      <c r="BK144">
        <f t="shared" si="17"/>
        <v>6.5045225046813878E-5</v>
      </c>
      <c r="BO144">
        <f t="shared" si="18"/>
        <v>7.5970128942705355E-5</v>
      </c>
      <c r="BP144">
        <f t="shared" si="16"/>
        <v>3.3501329193582041</v>
      </c>
    </row>
    <row r="145" spans="1:68" x14ac:dyDescent="0.15">
      <c r="A145" s="5">
        <v>43754</v>
      </c>
      <c r="B145" s="1"/>
      <c r="C145">
        <v>106.06</v>
      </c>
      <c r="D145">
        <v>102.2</v>
      </c>
      <c r="E145">
        <v>81.889229999999998</v>
      </c>
      <c r="G145" s="3">
        <v>-1.6181464226032699E-3</v>
      </c>
      <c r="I145" s="15">
        <f t="shared" si="19"/>
        <v>1.1327166320559236E-3</v>
      </c>
      <c r="J145" s="15">
        <f t="shared" si="20"/>
        <v>-6.8027210884354017E-3</v>
      </c>
      <c r="K145" s="15">
        <f t="shared" si="21"/>
        <v>8.1089788088612759E-4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BJ145">
        <f t="shared" si="15"/>
        <v>2.6183978449837602E-6</v>
      </c>
      <c r="BK145">
        <f t="shared" si="17"/>
        <v>6.5459259302351493E-5</v>
      </c>
      <c r="BO145">
        <f t="shared" si="18"/>
        <v>7.5775719055733845E-5</v>
      </c>
      <c r="BP145">
        <f t="shared" si="16"/>
        <v>3.8076505016388209</v>
      </c>
    </row>
    <row r="146" spans="1:68" x14ac:dyDescent="0.15">
      <c r="A146" s="5">
        <v>43755</v>
      </c>
      <c r="B146" s="1"/>
      <c r="C146">
        <v>103.96</v>
      </c>
      <c r="D146">
        <v>102.45</v>
      </c>
      <c r="E146">
        <v>81.642799999999994</v>
      </c>
      <c r="G146" s="3">
        <v>-2.3481199219813603E-3</v>
      </c>
      <c r="I146" s="15">
        <f t="shared" si="19"/>
        <v>-1.9800113143503759E-2</v>
      </c>
      <c r="J146" s="15">
        <f t="shared" si="20"/>
        <v>2.446183953033268E-3</v>
      </c>
      <c r="K146" s="15">
        <f t="shared" si="21"/>
        <v>-3.0093090385634805E-3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BJ146">
        <f t="shared" si="15"/>
        <v>5.5136671680057494E-6</v>
      </c>
      <c r="BK146">
        <f t="shared" si="17"/>
        <v>6.168880761490942E-5</v>
      </c>
      <c r="BO146">
        <f t="shared" si="18"/>
        <v>6.5749606927292763E-5</v>
      </c>
      <c r="BP146">
        <f t="shared" si="16"/>
        <v>3.8539606208444694</v>
      </c>
    </row>
    <row r="147" spans="1:68" x14ac:dyDescent="0.15">
      <c r="A147" s="5">
        <v>43756</v>
      </c>
      <c r="B147" s="1"/>
      <c r="C147">
        <v>103.12</v>
      </c>
      <c r="D147">
        <v>102.8</v>
      </c>
      <c r="E147">
        <v>81.045689999999993</v>
      </c>
      <c r="G147" s="3">
        <v>-4.3404481979884002E-3</v>
      </c>
      <c r="I147" s="15">
        <f t="shared" si="19"/>
        <v>-8.0800307810695391E-3</v>
      </c>
      <c r="J147" s="15">
        <f t="shared" si="20"/>
        <v>3.4163006344557767E-3</v>
      </c>
      <c r="K147" s="15">
        <f t="shared" si="21"/>
        <v>-7.3136884085308286E-3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BJ147">
        <f t="shared" si="15"/>
        <v>1.8839490559420749E-5</v>
      </c>
      <c r="BK147">
        <f t="shared" si="17"/>
        <v>5.8318299188095197E-5</v>
      </c>
      <c r="BO147">
        <f t="shared" si="18"/>
        <v>5.8297681739892757E-5</v>
      </c>
      <c r="BP147">
        <f t="shared" si="16"/>
        <v>3.7944554810664544</v>
      </c>
    </row>
    <row r="148" spans="1:68" x14ac:dyDescent="0.15">
      <c r="A148" s="5">
        <v>43759</v>
      </c>
      <c r="B148" s="1"/>
      <c r="C148">
        <v>102.02</v>
      </c>
      <c r="D148">
        <v>103.4</v>
      </c>
      <c r="E148">
        <v>80.695009999999996</v>
      </c>
      <c r="G148" s="3">
        <v>2.6015187308279196E-3</v>
      </c>
      <c r="I148" s="15">
        <f t="shared" si="19"/>
        <v>-1.0667183863460128E-2</v>
      </c>
      <c r="J148" s="15">
        <f t="shared" si="20"/>
        <v>5.8365758754864647E-3</v>
      </c>
      <c r="K148" s="15">
        <f t="shared" si="21"/>
        <v>-4.3269420002469841E-3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BJ148">
        <f t="shared" si="15"/>
        <v>6.7678997068485098E-6</v>
      </c>
      <c r="BK148">
        <f t="shared" si="17"/>
        <v>5.5949570670374728E-5</v>
      </c>
      <c r="BO148">
        <f t="shared" si="18"/>
        <v>5.4350415745130752E-5</v>
      </c>
      <c r="BP148">
        <f t="shared" si="16"/>
        <v>3.9288289037557393</v>
      </c>
    </row>
    <row r="149" spans="1:68" x14ac:dyDescent="0.15">
      <c r="A149" s="5">
        <v>43760</v>
      </c>
      <c r="B149" s="1"/>
      <c r="C149">
        <v>102.5</v>
      </c>
      <c r="D149">
        <v>103.4</v>
      </c>
      <c r="E149">
        <v>81.462715000000003</v>
      </c>
      <c r="G149" s="3">
        <v>2.5950245120358499E-3</v>
      </c>
      <c r="I149" s="15">
        <f t="shared" si="19"/>
        <v>4.7049598118016466E-3</v>
      </c>
      <c r="J149" s="15">
        <f t="shared" si="20"/>
        <v>0</v>
      </c>
      <c r="K149" s="15">
        <f t="shared" si="21"/>
        <v>9.5136613775747298E-3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BJ149">
        <f t="shared" si="15"/>
        <v>6.7341522180669011E-6</v>
      </c>
      <c r="BK149">
        <f t="shared" si="17"/>
        <v>5.2998670412563154E-5</v>
      </c>
      <c r="BO149">
        <f t="shared" si="18"/>
        <v>4.9535025657220054E-5</v>
      </c>
      <c r="BP149">
        <f t="shared" si="16"/>
        <v>3.9695030994117335</v>
      </c>
    </row>
    <row r="150" spans="1:68" x14ac:dyDescent="0.15">
      <c r="A150" s="5">
        <v>43761</v>
      </c>
      <c r="B150" s="1"/>
      <c r="C150">
        <v>102.5</v>
      </c>
      <c r="D150">
        <v>102.9</v>
      </c>
      <c r="E150">
        <v>81.007779999999997</v>
      </c>
      <c r="G150" s="3">
        <v>6.1611364370595101E-4</v>
      </c>
      <c r="I150" s="15">
        <f t="shared" si="19"/>
        <v>0</v>
      </c>
      <c r="J150" s="15">
        <f t="shared" si="20"/>
        <v>-4.8355899419729202E-3</v>
      </c>
      <c r="K150" s="15">
        <f t="shared" si="21"/>
        <v>-5.5845793992994964E-3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BJ150">
        <f t="shared" si="15"/>
        <v>3.7959602196062356E-7</v>
      </c>
      <c r="BK150">
        <f t="shared" si="17"/>
        <v>5.0222799320893377E-5</v>
      </c>
      <c r="BO150">
        <f t="shared" si="18"/>
        <v>4.5753129343044041E-5</v>
      </c>
      <c r="BP150">
        <f t="shared" si="16"/>
        <v>4.073038343960028</v>
      </c>
    </row>
    <row r="151" spans="1:68" x14ac:dyDescent="0.15">
      <c r="A151" s="5">
        <v>43762</v>
      </c>
      <c r="B151" s="1"/>
      <c r="C151">
        <v>104.02</v>
      </c>
      <c r="D151">
        <v>104</v>
      </c>
      <c r="E151">
        <v>81.860793999999999</v>
      </c>
      <c r="G151" s="3">
        <v>8.2812543293366795E-3</v>
      </c>
      <c r="I151" s="15">
        <f t="shared" si="19"/>
        <v>1.4829268292682888E-2</v>
      </c>
      <c r="J151" s="15">
        <f t="shared" si="20"/>
        <v>1.0689990281826961E-2</v>
      </c>
      <c r="K151" s="15">
        <f t="shared" si="21"/>
        <v>1.0530025634574874E-2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BJ151">
        <f t="shared" si="15"/>
        <v>6.8579173267157493E-5</v>
      </c>
      <c r="BK151">
        <f t="shared" si="17"/>
        <v>4.7232207122957407E-5</v>
      </c>
      <c r="BO151">
        <f t="shared" si="18"/>
        <v>4.1881672885095368E-5</v>
      </c>
      <c r="BP151">
        <f t="shared" si="16"/>
        <v>3.3026672465200346</v>
      </c>
    </row>
    <row r="152" spans="1:68" x14ac:dyDescent="0.15">
      <c r="A152" s="5">
        <v>43763</v>
      </c>
      <c r="B152" s="1"/>
      <c r="C152">
        <v>104.68</v>
      </c>
      <c r="D152">
        <v>104.25</v>
      </c>
      <c r="E152">
        <v>82.363129999999998</v>
      </c>
      <c r="G152" s="3">
        <v>8.9606967482191904E-3</v>
      </c>
      <c r="I152" s="15">
        <f t="shared" si="19"/>
        <v>6.3449336666026807E-3</v>
      </c>
      <c r="J152" s="15">
        <f t="shared" si="20"/>
        <v>2.403846153846154E-3</v>
      </c>
      <c r="K152" s="15">
        <f t="shared" si="21"/>
        <v>6.1364662551403994E-3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BJ152">
        <f t="shared" si="15"/>
        <v>8.0294086213545974E-5</v>
      </c>
      <c r="BK152">
        <f t="shared" si="17"/>
        <v>4.8513025091609415E-5</v>
      </c>
      <c r="BO152">
        <f t="shared" si="18"/>
        <v>4.8557981108473045E-5</v>
      </c>
      <c r="BP152">
        <f t="shared" si="16"/>
        <v>3.2206517870926272</v>
      </c>
    </row>
    <row r="153" spans="1:68" x14ac:dyDescent="0.15">
      <c r="A153" s="5">
        <v>43766</v>
      </c>
      <c r="B153" s="1"/>
      <c r="C153">
        <v>104.46</v>
      </c>
      <c r="D153">
        <v>104.25</v>
      </c>
      <c r="E153">
        <v>82.325209999999998</v>
      </c>
      <c r="G153" s="3">
        <v>3.4038223753798304E-3</v>
      </c>
      <c r="I153" s="15">
        <f t="shared" si="19"/>
        <v>-2.1016431027895783E-3</v>
      </c>
      <c r="J153" s="15">
        <f t="shared" si="20"/>
        <v>0</v>
      </c>
      <c r="K153" s="15">
        <f t="shared" si="21"/>
        <v>-4.6040018148897123E-4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BJ153">
        <f t="shared" si="15"/>
        <v>1.1586006763136391E-5</v>
      </c>
      <c r="BK153">
        <f t="shared" si="17"/>
        <v>5.0419888758925612E-5</v>
      </c>
      <c r="BO153">
        <f t="shared" si="18"/>
        <v>5.546317598207835E-5</v>
      </c>
      <c r="BP153">
        <f t="shared" si="16"/>
        <v>3.8765093534696238</v>
      </c>
    </row>
    <row r="154" spans="1:68" x14ac:dyDescent="0.15">
      <c r="A154" s="5">
        <v>43767</v>
      </c>
      <c r="B154" s="1"/>
      <c r="C154">
        <v>104.74</v>
      </c>
      <c r="D154">
        <v>103.9</v>
      </c>
      <c r="E154">
        <v>83.064490000000006</v>
      </c>
      <c r="G154" s="3">
        <v>2.5307123736086901E-3</v>
      </c>
      <c r="I154" s="15">
        <f t="shared" si="19"/>
        <v>2.6804518475971773E-3</v>
      </c>
      <c r="J154" s="15">
        <f t="shared" si="20"/>
        <v>-3.3573141486810008E-3</v>
      </c>
      <c r="K154" s="15">
        <f t="shared" si="21"/>
        <v>8.9799953137077691E-3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BJ154">
        <f t="shared" si="15"/>
        <v>6.4045051179361299E-6</v>
      </c>
      <c r="BK154">
        <f t="shared" si="17"/>
        <v>4.808985583917826E-5</v>
      </c>
      <c r="BO154">
        <f t="shared" si="18"/>
        <v>5.1094046934424157E-5</v>
      </c>
      <c r="BP154">
        <f t="shared" si="16"/>
        <v>3.9593090577717689</v>
      </c>
    </row>
    <row r="155" spans="1:68" x14ac:dyDescent="0.15">
      <c r="A155" s="5">
        <v>43768</v>
      </c>
      <c r="B155" s="1"/>
      <c r="C155">
        <v>105.86</v>
      </c>
      <c r="D155">
        <v>104.15</v>
      </c>
      <c r="E155">
        <v>82.258865</v>
      </c>
      <c r="G155" s="3">
        <v>-2.6689919941380499E-4</v>
      </c>
      <c r="I155" s="15">
        <f t="shared" si="19"/>
        <v>1.0693144930303653E-2</v>
      </c>
      <c r="J155" s="15">
        <f t="shared" si="20"/>
        <v>2.406159769008662E-3</v>
      </c>
      <c r="K155" s="15">
        <f t="shared" si="21"/>
        <v>-9.6987894586484085E-3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BJ155">
        <f t="shared" si="15"/>
        <v>7.1235182647730039E-8</v>
      </c>
      <c r="BK155">
        <f t="shared" si="17"/>
        <v>4.5588734795903734E-5</v>
      </c>
      <c r="BO155">
        <f t="shared" si="18"/>
        <v>4.6929044209100747E-5</v>
      </c>
      <c r="BP155">
        <f t="shared" si="16"/>
        <v>4.0637393972301226</v>
      </c>
    </row>
    <row r="156" spans="1:68" x14ac:dyDescent="0.15">
      <c r="A156" s="5">
        <v>43769</v>
      </c>
      <c r="B156" s="1"/>
      <c r="C156">
        <v>105.32</v>
      </c>
      <c r="D156">
        <v>103.3</v>
      </c>
      <c r="E156">
        <v>81.595405999999997</v>
      </c>
      <c r="G156" s="3">
        <v>-3.42626187355599E-3</v>
      </c>
      <c r="I156" s="15">
        <f t="shared" si="19"/>
        <v>-5.1010768940110167E-3</v>
      </c>
      <c r="J156" s="15">
        <f t="shared" si="20"/>
        <v>-8.1613058089295108E-3</v>
      </c>
      <c r="K156" s="15">
        <f t="shared" si="21"/>
        <v>-8.0655015116000341E-3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BJ156">
        <f t="shared" si="15"/>
        <v>1.1739270426183403E-5</v>
      </c>
      <c r="BK156">
        <f t="shared" si="17"/>
        <v>4.2857684819108369E-5</v>
      </c>
      <c r="BO156">
        <f t="shared" si="18"/>
        <v>4.2760118790087993E-5</v>
      </c>
      <c r="BP156">
        <f t="shared" si="16"/>
        <v>3.973744896294308</v>
      </c>
    </row>
    <row r="157" spans="1:68" x14ac:dyDescent="0.15">
      <c r="A157" s="5">
        <v>43770</v>
      </c>
      <c r="B157" s="1"/>
      <c r="C157">
        <v>105.04</v>
      </c>
      <c r="D157">
        <v>103.4</v>
      </c>
      <c r="E157">
        <v>81.936615000000003</v>
      </c>
      <c r="G157" s="3">
        <v>3.1730219256003102E-3</v>
      </c>
      <c r="I157" s="15">
        <f t="shared" si="19"/>
        <v>-2.6585643752372479E-3</v>
      </c>
      <c r="J157" s="15">
        <f t="shared" si="20"/>
        <v>9.6805421103590055E-4</v>
      </c>
      <c r="K157" s="15">
        <f t="shared" si="21"/>
        <v>4.1817182697761971E-3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BJ157">
        <f t="shared" si="15"/>
        <v>1.00680681403403E-5</v>
      </c>
      <c r="BK157">
        <f t="shared" si="17"/>
        <v>4.099057995553287E-5</v>
      </c>
      <c r="BO157">
        <f t="shared" si="18"/>
        <v>4.1151865775591687E-5</v>
      </c>
      <c r="BP157">
        <f t="shared" si="16"/>
        <v>4.0078539025116813</v>
      </c>
    </row>
    <row r="158" spans="1:68" x14ac:dyDescent="0.15">
      <c r="A158" s="5">
        <v>43773</v>
      </c>
      <c r="B158" s="1"/>
      <c r="C158">
        <v>104.68</v>
      </c>
      <c r="D158">
        <v>103.75</v>
      </c>
      <c r="E158">
        <v>82.799109999999999</v>
      </c>
      <c r="G158" s="3">
        <v>8.2741259220857604E-3</v>
      </c>
      <c r="I158" s="15">
        <f t="shared" si="19"/>
        <v>-3.4272658035034214E-3</v>
      </c>
      <c r="J158" s="15">
        <f t="shared" si="20"/>
        <v>3.3849129593809895E-3</v>
      </c>
      <c r="K158" s="15">
        <f t="shared" si="21"/>
        <v>1.0526368461767618E-2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BJ158">
        <f t="shared" si="15"/>
        <v>6.846115977453153E-5</v>
      </c>
      <c r="BK158">
        <f t="shared" si="17"/>
        <v>3.9135229246621317E-5</v>
      </c>
      <c r="BO158">
        <f t="shared" si="18"/>
        <v>3.9652373230250687E-5</v>
      </c>
      <c r="BP158">
        <f t="shared" si="16"/>
        <v>3.2854744814257004</v>
      </c>
    </row>
    <row r="159" spans="1:68" x14ac:dyDescent="0.15">
      <c r="A159" s="5">
        <v>43774</v>
      </c>
      <c r="B159" s="1"/>
      <c r="C159">
        <v>103.78</v>
      </c>
      <c r="D159">
        <v>103.65</v>
      </c>
      <c r="E159">
        <v>82.031400000000005</v>
      </c>
      <c r="G159" s="3">
        <v>-6.1998461810781605E-3</v>
      </c>
      <c r="I159" s="15">
        <f t="shared" si="19"/>
        <v>-8.5976308750478191E-3</v>
      </c>
      <c r="J159" s="15">
        <f t="shared" si="20"/>
        <v>-9.6385542168669219E-4</v>
      </c>
      <c r="K159" s="15">
        <f t="shared" si="21"/>
        <v>-9.2719595657488815E-3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BJ159">
        <f t="shared" si="15"/>
        <v>3.8438092669029453E-5</v>
      </c>
      <c r="BK159">
        <f t="shared" si="17"/>
        <v>4.089478507829593E-5</v>
      </c>
      <c r="BO159">
        <f t="shared" si="18"/>
        <v>4.6792558173981138E-5</v>
      </c>
      <c r="BP159">
        <f t="shared" si="16"/>
        <v>3.6552259627532195</v>
      </c>
    </row>
    <row r="160" spans="1:68" x14ac:dyDescent="0.15">
      <c r="A160" s="5">
        <v>43775</v>
      </c>
      <c r="B160" s="1"/>
      <c r="C160">
        <v>104.84</v>
      </c>
      <c r="D160">
        <v>105.7</v>
      </c>
      <c r="E160">
        <v>82.410510000000002</v>
      </c>
      <c r="G160" s="3">
        <v>4.3913316122881005E-3</v>
      </c>
      <c r="I160" s="15">
        <f t="shared" si="19"/>
        <v>1.0213914048949724E-2</v>
      </c>
      <c r="J160" s="15">
        <f t="shared" si="20"/>
        <v>1.9778099372889504E-2</v>
      </c>
      <c r="K160" s="15">
        <f t="shared" si="21"/>
        <v>4.6215229777865205E-3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BJ160">
        <f t="shared" si="15"/>
        <v>1.9283793329080808E-5</v>
      </c>
      <c r="BK160">
        <f t="shared" si="17"/>
        <v>4.0747383533739945E-5</v>
      </c>
      <c r="BO160">
        <f t="shared" si="18"/>
        <v>4.8117277122226398E-5</v>
      </c>
      <c r="BP160">
        <f t="shared" si="16"/>
        <v>3.851612837500872</v>
      </c>
    </row>
    <row r="161" spans="1:68" x14ac:dyDescent="0.15">
      <c r="A161" s="5">
        <v>43776</v>
      </c>
      <c r="B161" s="1"/>
      <c r="C161">
        <v>104.16</v>
      </c>
      <c r="D161">
        <v>107.3</v>
      </c>
      <c r="E161">
        <v>81.946100000000001</v>
      </c>
      <c r="G161" s="3">
        <v>8.4119905202495405E-4</v>
      </c>
      <c r="I161" s="15">
        <f t="shared" si="19"/>
        <v>-6.4860740175506177E-3</v>
      </c>
      <c r="J161" s="15">
        <f t="shared" si="20"/>
        <v>1.5137180700094554E-2</v>
      </c>
      <c r="K161" s="15">
        <f t="shared" si="21"/>
        <v>-5.6353249118346778E-3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BJ161">
        <f t="shared" si="15"/>
        <v>7.0761584512768132E-7</v>
      </c>
      <c r="BK161">
        <f t="shared" si="17"/>
        <v>3.9459568121460401E-5</v>
      </c>
      <c r="BO161">
        <f t="shared" si="18"/>
        <v>4.6428399677950841E-5</v>
      </c>
      <c r="BP161">
        <f t="shared" si="16"/>
        <v>4.0622405722434838</v>
      </c>
    </row>
    <row r="162" spans="1:68" x14ac:dyDescent="0.15">
      <c r="A162" s="5">
        <v>43777</v>
      </c>
      <c r="B162" s="1"/>
      <c r="C162">
        <v>104.12</v>
      </c>
      <c r="D162">
        <v>106.65</v>
      </c>
      <c r="E162">
        <v>82.931799999999996</v>
      </c>
      <c r="G162" s="3">
        <v>-1.6986059125512201E-3</v>
      </c>
      <c r="I162" s="15">
        <f t="shared" si="19"/>
        <v>-3.8402457757288829E-4</v>
      </c>
      <c r="J162" s="15">
        <f t="shared" si="20"/>
        <v>-6.0577819198508057E-3</v>
      </c>
      <c r="K162" s="15">
        <f t="shared" si="21"/>
        <v>1.2028638336662687E-2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BJ162">
        <f t="shared" si="15"/>
        <v>2.885262046153963E-6</v>
      </c>
      <c r="BK162">
        <f t="shared" si="17"/>
        <v>3.7134450984880436E-5</v>
      </c>
      <c r="BO162">
        <f t="shared" si="18"/>
        <v>4.2458057278081725E-5</v>
      </c>
      <c r="BP162">
        <f t="shared" si="16"/>
        <v>4.0805806036197536</v>
      </c>
    </row>
    <row r="163" spans="1:68" x14ac:dyDescent="0.15">
      <c r="A163" s="5">
        <v>43780</v>
      </c>
      <c r="B163" s="1"/>
      <c r="C163">
        <v>104.34</v>
      </c>
      <c r="D163">
        <v>106.35</v>
      </c>
      <c r="E163">
        <v>83.51943</v>
      </c>
      <c r="G163" s="3">
        <v>-3.8503166858616601E-4</v>
      </c>
      <c r="I163" s="15">
        <f t="shared" si="19"/>
        <v>2.1129466000768234E-3</v>
      </c>
      <c r="J163" s="15">
        <f t="shared" si="20"/>
        <v>-2.8129395218003876E-3</v>
      </c>
      <c r="K163" s="15">
        <f t="shared" si="21"/>
        <v>7.0857017452895556E-3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BJ163">
        <f t="shared" si="15"/>
        <v>1.4824938581424717E-7</v>
      </c>
      <c r="BK163">
        <f t="shared" si="17"/>
        <v>3.5079499648556843E-5</v>
      </c>
      <c r="BO163">
        <f t="shared" si="18"/>
        <v>3.9653945578329654E-5</v>
      </c>
      <c r="BP163">
        <f t="shared" si="16"/>
        <v>4.1468522299086583</v>
      </c>
    </row>
    <row r="164" spans="1:68" x14ac:dyDescent="0.15">
      <c r="A164" s="5">
        <v>43781</v>
      </c>
      <c r="B164" s="1"/>
      <c r="C164">
        <v>103.78</v>
      </c>
      <c r="D164">
        <v>106.35</v>
      </c>
      <c r="E164">
        <v>84.163929999999993</v>
      </c>
      <c r="G164" s="3">
        <v>8.6284008334258601E-4</v>
      </c>
      <c r="I164" s="15">
        <f t="shared" si="19"/>
        <v>-5.3670691968564525E-3</v>
      </c>
      <c r="J164" s="15">
        <f t="shared" si="20"/>
        <v>0</v>
      </c>
      <c r="K164" s="15">
        <f t="shared" si="21"/>
        <v>7.7167672241057394E-3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BJ164">
        <f t="shared" si="15"/>
        <v>7.4449300942264072E-7</v>
      </c>
      <c r="BK164">
        <f t="shared" si="17"/>
        <v>3.2983624632792287E-5</v>
      </c>
      <c r="BO164">
        <f t="shared" si="18"/>
        <v>3.7064653894919808E-5</v>
      </c>
      <c r="BP164">
        <f t="shared" si="16"/>
        <v>4.1724416837505256</v>
      </c>
    </row>
    <row r="165" spans="1:68" x14ac:dyDescent="0.15">
      <c r="A165" s="5">
        <v>43782</v>
      </c>
      <c r="B165" s="1"/>
      <c r="C165">
        <v>104.64</v>
      </c>
      <c r="D165">
        <v>105.8</v>
      </c>
      <c r="E165">
        <v>84.097589999999997</v>
      </c>
      <c r="G165" s="3">
        <v>-1.44813966659085E-3</v>
      </c>
      <c r="I165" s="15">
        <f t="shared" si="19"/>
        <v>8.2867604548082421E-3</v>
      </c>
      <c r="J165" s="15">
        <f t="shared" si="20"/>
        <v>-5.171603196991041E-3</v>
      </c>
      <c r="K165" s="15">
        <f t="shared" si="21"/>
        <v>-7.8822364877681851E-4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BJ165">
        <f t="shared" si="15"/>
        <v>2.0971084939538582E-6</v>
      </c>
      <c r="BK165">
        <f t="shared" si="17"/>
        <v>3.1049276735390104E-5</v>
      </c>
      <c r="BO165">
        <f t="shared" si="18"/>
        <v>3.5118585471543809E-5</v>
      </c>
      <c r="BP165">
        <f t="shared" si="16"/>
        <v>4.17959396951382</v>
      </c>
    </row>
    <row r="166" spans="1:68" x14ac:dyDescent="0.15">
      <c r="A166" s="5">
        <v>43783</v>
      </c>
      <c r="B166" s="1"/>
      <c r="C166">
        <v>103.52</v>
      </c>
      <c r="D166">
        <v>105.7</v>
      </c>
      <c r="E166">
        <v>83.61421</v>
      </c>
      <c r="G166" s="3">
        <v>-6.4070582994090099E-3</v>
      </c>
      <c r="I166" s="15">
        <f t="shared" si="19"/>
        <v>-1.0703363914373131E-2</v>
      </c>
      <c r="J166" s="15">
        <f t="shared" si="20"/>
        <v>-9.4517958412092924E-4</v>
      </c>
      <c r="K166" s="15">
        <f t="shared" si="21"/>
        <v>-5.7478460441018203E-3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BJ166">
        <f t="shared" si="15"/>
        <v>4.1050396052025873E-5</v>
      </c>
      <c r="BK166">
        <f t="shared" si="17"/>
        <v>2.9312146640903928E-5</v>
      </c>
      <c r="BO166">
        <f t="shared" si="18"/>
        <v>3.3784770372504599E-5</v>
      </c>
      <c r="BP166">
        <f t="shared" si="16"/>
        <v>3.6212835657411171</v>
      </c>
    </row>
    <row r="167" spans="1:68" x14ac:dyDescent="0.15">
      <c r="A167" s="5">
        <v>43784</v>
      </c>
      <c r="B167" s="1"/>
      <c r="C167">
        <v>104.06</v>
      </c>
      <c r="D167">
        <v>106.05</v>
      </c>
      <c r="E167">
        <v>84.069145000000006</v>
      </c>
      <c r="G167" s="3">
        <v>7.5138801243415099E-3</v>
      </c>
      <c r="I167" s="15">
        <f t="shared" si="19"/>
        <v>5.216383307573476E-3</v>
      </c>
      <c r="J167" s="15">
        <f t="shared" si="20"/>
        <v>3.3112582781456416E-3</v>
      </c>
      <c r="K167" s="15">
        <f t="shared" si="21"/>
        <v>5.4408814004223219E-3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BJ167">
        <f t="shared" si="15"/>
        <v>5.6458394522974383E-5</v>
      </c>
      <c r="BK167">
        <f t="shared" si="17"/>
        <v>3.0016441605571245E-5</v>
      </c>
      <c r="BO167">
        <f t="shared" si="18"/>
        <v>3.8286288628996543E-5</v>
      </c>
      <c r="BP167">
        <f t="shared" si="16"/>
        <v>3.4289521110256214</v>
      </c>
    </row>
    <row r="168" spans="1:68" x14ac:dyDescent="0.15">
      <c r="A168" s="5">
        <v>43787</v>
      </c>
      <c r="B168" s="1"/>
      <c r="C168">
        <v>104.32</v>
      </c>
      <c r="D168">
        <v>106.2</v>
      </c>
      <c r="E168">
        <v>84.543045000000006</v>
      </c>
      <c r="G168" s="3">
        <v>3.5941481393124601E-3</v>
      </c>
      <c r="I168" s="15">
        <f t="shared" si="19"/>
        <v>2.4985585239284155E-3</v>
      </c>
      <c r="J168" s="15">
        <f t="shared" si="20"/>
        <v>1.414427157001468E-3</v>
      </c>
      <c r="K168" s="15">
        <f t="shared" si="21"/>
        <v>5.6370265214425626E-3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BJ168">
        <f t="shared" si="15"/>
        <v>1.2917900847323219E-5</v>
      </c>
      <c r="BK168">
        <f t="shared" si="17"/>
        <v>3.1602958780615434E-5</v>
      </c>
      <c r="BO168">
        <f t="shared" si="18"/>
        <v>4.4011594254372248E-5</v>
      </c>
      <c r="BP168">
        <f t="shared" si="16"/>
        <v>3.949834536437026</v>
      </c>
    </row>
    <row r="169" spans="1:68" x14ac:dyDescent="0.15">
      <c r="A169" s="5">
        <v>43788</v>
      </c>
      <c r="B169" s="1"/>
      <c r="C169">
        <v>104.08</v>
      </c>
      <c r="D169">
        <v>106.6</v>
      </c>
      <c r="E169">
        <v>84.552520000000001</v>
      </c>
      <c r="G169" s="3">
        <v>1.8203334949347099E-3</v>
      </c>
      <c r="I169" s="15">
        <f t="shared" si="19"/>
        <v>-2.3006134969324665E-3</v>
      </c>
      <c r="J169" s="15">
        <f t="shared" si="20"/>
        <v>3.7664783427494488E-3</v>
      </c>
      <c r="K169" s="15">
        <f t="shared" si="21"/>
        <v>1.1207308655602353E-4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BJ169">
        <f t="shared" si="15"/>
        <v>3.3136140327812155E-6</v>
      </c>
      <c r="BK169">
        <f t="shared" si="17"/>
        <v>3.04818553046179E-5</v>
      </c>
      <c r="BO169">
        <f t="shared" si="18"/>
        <v>4.2301357389458888E-5</v>
      </c>
      <c r="BP169">
        <f t="shared" si="16"/>
        <v>4.0772404004892513</v>
      </c>
    </row>
    <row r="170" spans="1:68" x14ac:dyDescent="0.15">
      <c r="A170" s="5">
        <v>43789</v>
      </c>
      <c r="B170" s="1"/>
      <c r="C170">
        <v>104.3</v>
      </c>
      <c r="D170">
        <v>106.45</v>
      </c>
      <c r="E170">
        <v>85.168589999999995</v>
      </c>
      <c r="G170" s="3">
        <v>1.9023797375516899E-3</v>
      </c>
      <c r="I170" s="15">
        <f t="shared" si="19"/>
        <v>2.113758647194455E-3</v>
      </c>
      <c r="J170" s="15">
        <f t="shared" si="20"/>
        <v>-1.4071294559098637E-3</v>
      </c>
      <c r="K170" s="15">
        <f t="shared" si="21"/>
        <v>7.2862405520260475E-3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BJ170">
        <f t="shared" si="15"/>
        <v>3.6190486658472365E-6</v>
      </c>
      <c r="BK170">
        <f t="shared" si="17"/>
        <v>2.8851760828307699E-5</v>
      </c>
      <c r="BO170">
        <f t="shared" si="18"/>
        <v>3.9592039475557151E-5</v>
      </c>
      <c r="BP170">
        <f t="shared" si="16"/>
        <v>4.1037984618907455</v>
      </c>
    </row>
    <row r="171" spans="1:68" x14ac:dyDescent="0.15">
      <c r="A171" s="5">
        <v>43790</v>
      </c>
      <c r="B171" s="1"/>
      <c r="C171">
        <v>103.22</v>
      </c>
      <c r="D171">
        <v>105.85</v>
      </c>
      <c r="E171">
        <v>84.903205999999997</v>
      </c>
      <c r="G171" s="3">
        <v>-4.5622579454157501E-3</v>
      </c>
      <c r="I171" s="15">
        <f t="shared" si="19"/>
        <v>-1.0354745925215708E-2</v>
      </c>
      <c r="J171" s="15">
        <f t="shared" si="20"/>
        <v>-5.6364490371067031E-3</v>
      </c>
      <c r="K171" s="15">
        <f t="shared" si="21"/>
        <v>-3.1159844257137217E-3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BJ171">
        <f t="shared" si="15"/>
        <v>2.0814197560509142E-5</v>
      </c>
      <c r="BK171">
        <f t="shared" si="17"/>
        <v>2.7337798098560072E-5</v>
      </c>
      <c r="BO171">
        <f t="shared" si="18"/>
        <v>3.7510407947911981E-5</v>
      </c>
      <c r="BP171">
        <f t="shared" si="16"/>
        <v>3.8990618954891429</v>
      </c>
    </row>
    <row r="172" spans="1:68" x14ac:dyDescent="0.15">
      <c r="A172" s="5">
        <v>43791</v>
      </c>
      <c r="B172" s="1"/>
      <c r="C172">
        <v>103.1</v>
      </c>
      <c r="D172">
        <v>105.9</v>
      </c>
      <c r="E172">
        <v>85.092765999999997</v>
      </c>
      <c r="G172" s="3">
        <v>3.0065268870225199E-3</v>
      </c>
      <c r="I172" s="15">
        <f t="shared" si="19"/>
        <v>-1.1625653943034737E-3</v>
      </c>
      <c r="J172" s="15">
        <f t="shared" si="20"/>
        <v>4.7236655644791091E-4</v>
      </c>
      <c r="K172" s="15">
        <f t="shared" si="21"/>
        <v>2.2326600953090059E-3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BJ172">
        <f t="shared" si="15"/>
        <v>9.0392039223893245E-6</v>
      </c>
      <c r="BK172">
        <f t="shared" si="17"/>
        <v>2.6946382066277015E-5</v>
      </c>
      <c r="BO172">
        <f t="shared" si="18"/>
        <v>3.8326556620707627E-5</v>
      </c>
      <c r="BP172">
        <f t="shared" si="16"/>
        <v>4.0478217188239602</v>
      </c>
    </row>
    <row r="173" spans="1:68" x14ac:dyDescent="0.15">
      <c r="A173" s="5">
        <v>43794</v>
      </c>
      <c r="B173" s="1"/>
      <c r="C173">
        <v>104.22</v>
      </c>
      <c r="D173">
        <v>105.9</v>
      </c>
      <c r="E173">
        <v>86.09742</v>
      </c>
      <c r="G173" s="3">
        <v>9.5650597780267896E-3</v>
      </c>
      <c r="I173" s="15">
        <f t="shared" si="19"/>
        <v>1.0863239573229919E-2</v>
      </c>
      <c r="J173" s="15">
        <f t="shared" si="20"/>
        <v>0</v>
      </c>
      <c r="K173" s="15">
        <f t="shared" si="21"/>
        <v>1.1806573545864077E-2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BJ173">
        <f t="shared" si="15"/>
        <v>9.1490368557225896E-5</v>
      </c>
      <c r="BK173">
        <f t="shared" si="17"/>
        <v>2.5871951377643753E-5</v>
      </c>
      <c r="BO173">
        <f t="shared" si="18"/>
        <v>3.7289729535694653E-5</v>
      </c>
      <c r="BP173">
        <f t="shared" si="16"/>
        <v>2.9527075453536309</v>
      </c>
    </row>
    <row r="174" spans="1:68" x14ac:dyDescent="0.15">
      <c r="A174" s="5">
        <v>43795</v>
      </c>
      <c r="B174" s="1"/>
      <c r="C174">
        <v>104</v>
      </c>
      <c r="D174">
        <v>106.45</v>
      </c>
      <c r="E174">
        <v>86.722970000000004</v>
      </c>
      <c r="G174" s="3">
        <v>3.6598825827591701E-3</v>
      </c>
      <c r="I174" s="15">
        <f t="shared" si="19"/>
        <v>-2.1109192093647943E-3</v>
      </c>
      <c r="J174" s="15">
        <f t="shared" si="20"/>
        <v>5.193578847969756E-3</v>
      </c>
      <c r="K174" s="15">
        <f t="shared" si="21"/>
        <v>7.2656067975091941E-3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BJ174">
        <f t="shared" si="15"/>
        <v>1.3394740519583933E-5</v>
      </c>
      <c r="BK174">
        <f t="shared" si="17"/>
        <v>2.9809056408418686E-5</v>
      </c>
      <c r="BO174">
        <f t="shared" si="18"/>
        <v>4.8219174765925961E-5</v>
      </c>
      <c r="BP174">
        <f t="shared" si="16"/>
        <v>3.9120440304801134</v>
      </c>
    </row>
    <row r="175" spans="1:68" x14ac:dyDescent="0.15">
      <c r="A175" s="5">
        <v>43796</v>
      </c>
      <c r="B175" s="1"/>
      <c r="C175">
        <v>104.38</v>
      </c>
      <c r="D175">
        <v>106.85</v>
      </c>
      <c r="E175">
        <v>87.282160000000005</v>
      </c>
      <c r="G175" s="3">
        <v>2.12494077379088E-3</v>
      </c>
      <c r="I175" s="15">
        <f t="shared" si="19"/>
        <v>3.65384615384611E-3</v>
      </c>
      <c r="J175" s="15">
        <f t="shared" si="20"/>
        <v>3.7576326914043352E-3</v>
      </c>
      <c r="K175" s="15">
        <f t="shared" si="21"/>
        <v>6.4480033375240832E-3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BJ175">
        <f t="shared" si="15"/>
        <v>4.5153732921189837E-6</v>
      </c>
      <c r="BK175">
        <f t="shared" si="17"/>
        <v>2.88241974550886E-5</v>
      </c>
      <c r="BO175">
        <f t="shared" si="18"/>
        <v>4.5669606018351237E-5</v>
      </c>
      <c r="BP175">
        <f t="shared" si="16"/>
        <v>4.0286650337565959</v>
      </c>
    </row>
    <row r="176" spans="1:68" x14ac:dyDescent="0.15">
      <c r="A176" s="5">
        <v>43798</v>
      </c>
      <c r="B176" s="1"/>
      <c r="C176">
        <v>103.92</v>
      </c>
      <c r="D176">
        <v>108.3</v>
      </c>
      <c r="E176">
        <v>87.253730000000004</v>
      </c>
      <c r="G176" s="3">
        <v>-3.4207664759338102E-3</v>
      </c>
      <c r="I176" s="15">
        <f t="shared" si="19"/>
        <v>-4.4069745161907812E-3</v>
      </c>
      <c r="J176" s="15">
        <f t="shared" si="20"/>
        <v>1.3570425830603677E-2</v>
      </c>
      <c r="K176" s="15">
        <f t="shared" si="21"/>
        <v>-3.2572521120009145E-4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BJ176">
        <f t="shared" si="15"/>
        <v>1.1701643282872618E-5</v>
      </c>
      <c r="BK176">
        <f t="shared" si="17"/>
        <v>2.7365668005310423E-5</v>
      </c>
      <c r="BO176">
        <f t="shared" si="18"/>
        <v>4.2405177137993277E-5</v>
      </c>
      <c r="BP176">
        <f t="shared" si="16"/>
        <v>3.9772072877531981</v>
      </c>
    </row>
    <row r="177" spans="1:68" x14ac:dyDescent="0.15">
      <c r="A177" s="5">
        <v>43801</v>
      </c>
      <c r="B177" s="1"/>
      <c r="C177">
        <v>102.54</v>
      </c>
      <c r="D177">
        <v>106.5</v>
      </c>
      <c r="E177">
        <v>85.680400000000006</v>
      </c>
      <c r="G177" s="3">
        <v>-1.3799934622108E-2</v>
      </c>
      <c r="I177" s="15">
        <f t="shared" si="19"/>
        <v>-1.3279445727482636E-2</v>
      </c>
      <c r="J177" s="15">
        <f t="shared" si="20"/>
        <v>-1.6620498614958422E-2</v>
      </c>
      <c r="K177" s="15">
        <f t="shared" si="21"/>
        <v>-1.8031664663504914E-2</v>
      </c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BJ177">
        <f t="shared" si="15"/>
        <v>1.9043819557445509E-4</v>
      </c>
      <c r="BK177">
        <f t="shared" si="17"/>
        <v>2.6425826521964153E-5</v>
      </c>
      <c r="BO177">
        <f t="shared" si="18"/>
        <v>4.0868098196833025E-5</v>
      </c>
      <c r="BP177">
        <f t="shared" si="16"/>
        <v>1.8037292429712473</v>
      </c>
    </row>
    <row r="178" spans="1:68" x14ac:dyDescent="0.15">
      <c r="A178" s="5">
        <v>43802</v>
      </c>
      <c r="B178" s="1"/>
      <c r="C178">
        <v>101.62</v>
      </c>
      <c r="D178">
        <v>105.25</v>
      </c>
      <c r="E178">
        <v>84.779989999999998</v>
      </c>
      <c r="G178" s="3">
        <v>-1.1161870518001599E-2</v>
      </c>
      <c r="I178" s="15">
        <f t="shared" si="19"/>
        <v>-8.9721084454847042E-3</v>
      </c>
      <c r="J178" s="15">
        <f t="shared" si="20"/>
        <v>-1.1737089201877934E-2</v>
      </c>
      <c r="K178" s="15">
        <f t="shared" si="21"/>
        <v>-1.0508937866770087E-2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BJ178">
        <f t="shared" si="15"/>
        <v>1.2458735346063327E-4</v>
      </c>
      <c r="BK178">
        <f t="shared" si="17"/>
        <v>3.6266568665113616E-5</v>
      </c>
      <c r="BO178">
        <f t="shared" si="18"/>
        <v>6.5118139556441743E-5</v>
      </c>
      <c r="BP178">
        <f t="shared" si="16"/>
        <v>2.9440896096982829</v>
      </c>
    </row>
    <row r="179" spans="1:68" x14ac:dyDescent="0.15">
      <c r="A179" s="5">
        <v>43803</v>
      </c>
      <c r="B179" s="1"/>
      <c r="C179">
        <v>102.26</v>
      </c>
      <c r="D179">
        <v>106.55</v>
      </c>
      <c r="E179">
        <v>85.452929999999995</v>
      </c>
      <c r="G179" s="3">
        <v>9.9318598378359494E-3</v>
      </c>
      <c r="I179" s="15">
        <f t="shared" si="19"/>
        <v>6.2979728399921329E-3</v>
      </c>
      <c r="J179" s="15">
        <f t="shared" si="20"/>
        <v>1.2351543942992847E-2</v>
      </c>
      <c r="K179" s="15">
        <f t="shared" si="21"/>
        <v>7.9374861922016857E-3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BJ179">
        <f t="shared" si="15"/>
        <v>9.8641839838418732E-5</v>
      </c>
      <c r="BK179">
        <f t="shared" si="17"/>
        <v>4.1565815752844797E-5</v>
      </c>
      <c r="BO179">
        <f t="shared" si="18"/>
        <v>7.4760868993142143E-5</v>
      </c>
      <c r="BP179">
        <f t="shared" si="16"/>
        <v>3.1719537306097103</v>
      </c>
    </row>
    <row r="180" spans="1:68" x14ac:dyDescent="0.15">
      <c r="A180" s="5">
        <v>43804</v>
      </c>
      <c r="B180" s="1"/>
      <c r="C180">
        <v>102.54</v>
      </c>
      <c r="D180">
        <v>105.8</v>
      </c>
      <c r="E180">
        <v>85.718310000000002</v>
      </c>
      <c r="G180" s="3">
        <v>2.8005126151400199E-3</v>
      </c>
      <c r="I180" s="15">
        <f t="shared" si="19"/>
        <v>2.7381185214160092E-3</v>
      </c>
      <c r="J180" s="15">
        <f t="shared" si="20"/>
        <v>-7.0389488503050214E-3</v>
      </c>
      <c r="K180" s="15">
        <f t="shared" si="21"/>
        <v>3.1055693467738031E-3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BJ180">
        <f t="shared" si="15"/>
        <v>7.8428709075583933E-6</v>
      </c>
      <c r="BK180">
        <f t="shared" si="17"/>
        <v>4.4990377197979233E-5</v>
      </c>
      <c r="BO180">
        <f t="shared" si="18"/>
        <v>7.8629256772384478E-5</v>
      </c>
      <c r="BP180">
        <f t="shared" si="16"/>
        <v>3.7565723463073049</v>
      </c>
    </row>
    <row r="181" spans="1:68" x14ac:dyDescent="0.15">
      <c r="A181" s="5">
        <v>43805</v>
      </c>
      <c r="B181" s="1"/>
      <c r="C181">
        <v>103.9</v>
      </c>
      <c r="D181">
        <v>109</v>
      </c>
      <c r="E181">
        <v>86.514449999999997</v>
      </c>
      <c r="G181" s="3">
        <v>9.6861139218269391E-3</v>
      </c>
      <c r="I181" s="15">
        <f t="shared" si="19"/>
        <v>1.326311683245562E-2</v>
      </c>
      <c r="J181" s="15">
        <f t="shared" si="20"/>
        <v>3.0245746691871484E-2</v>
      </c>
      <c r="K181" s="15">
        <f t="shared" si="21"/>
        <v>9.2878639347881917E-3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BJ181">
        <f t="shared" si="15"/>
        <v>9.3820802906609653E-5</v>
      </c>
      <c r="BK181">
        <f t="shared" si="17"/>
        <v>4.2761526820553984E-5</v>
      </c>
      <c r="BO181">
        <f t="shared" si="18"/>
        <v>6.8731931911607076E-5</v>
      </c>
      <c r="BP181">
        <f t="shared" si="16"/>
        <v>3.1911973168838275</v>
      </c>
    </row>
    <row r="182" spans="1:68" x14ac:dyDescent="0.15">
      <c r="A182" s="5">
        <v>43808</v>
      </c>
      <c r="B182" s="1"/>
      <c r="C182">
        <v>103.88</v>
      </c>
      <c r="D182">
        <v>108.2</v>
      </c>
      <c r="E182">
        <v>86.41968</v>
      </c>
      <c r="G182" s="3">
        <v>-2.7707494555720903E-3</v>
      </c>
      <c r="I182" s="15">
        <f t="shared" si="19"/>
        <v>-1.9249278152079144E-4</v>
      </c>
      <c r="J182" s="15">
        <f t="shared" si="20"/>
        <v>-7.3394495412843772E-3</v>
      </c>
      <c r="K182" s="15">
        <f t="shared" si="21"/>
        <v>-1.0954239436301904E-3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BJ182">
        <f t="shared" si="15"/>
        <v>7.6770525455530353E-6</v>
      </c>
      <c r="BK182">
        <f t="shared" si="17"/>
        <v>4.5825083385717326E-5</v>
      </c>
      <c r="BO182">
        <f t="shared" si="18"/>
        <v>7.3213673234124853E-5</v>
      </c>
      <c r="BP182">
        <f t="shared" si="16"/>
        <v>3.7896965574771828</v>
      </c>
    </row>
    <row r="183" spans="1:68" x14ac:dyDescent="0.15">
      <c r="A183" s="5">
        <v>43809</v>
      </c>
      <c r="B183" s="1"/>
      <c r="C183">
        <v>102.96</v>
      </c>
      <c r="D183">
        <v>107.35</v>
      </c>
      <c r="E183">
        <v>86.495500000000007</v>
      </c>
      <c r="G183" s="3">
        <v>-4.25162593784356E-3</v>
      </c>
      <c r="I183" s="15">
        <f t="shared" si="19"/>
        <v>-8.8563727377743724E-3</v>
      </c>
      <c r="J183" s="15">
        <f t="shared" si="20"/>
        <v>-7.8558225508318716E-3</v>
      </c>
      <c r="K183" s="15">
        <f t="shared" si="21"/>
        <v>8.7734645627023068E-4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BJ183">
        <f t="shared" si="15"/>
        <v>1.807632311534413E-5</v>
      </c>
      <c r="BK183">
        <f t="shared" si="17"/>
        <v>4.353620153530747E-5</v>
      </c>
      <c r="BO183">
        <f t="shared" si="18"/>
        <v>6.4460447008940323E-5</v>
      </c>
      <c r="BP183">
        <f t="shared" si="16"/>
        <v>3.7655783227076411</v>
      </c>
    </row>
    <row r="184" spans="1:68" x14ac:dyDescent="0.15">
      <c r="A184" s="5">
        <v>43810</v>
      </c>
      <c r="B184" s="1"/>
      <c r="C184">
        <v>103.08</v>
      </c>
      <c r="D184">
        <v>107.8</v>
      </c>
      <c r="E184">
        <v>86.552369999999996</v>
      </c>
      <c r="G184" s="3">
        <v>1.4225521697011001E-3</v>
      </c>
      <c r="I184" s="15">
        <f t="shared" si="19"/>
        <v>1.1655011655012097E-3</v>
      </c>
      <c r="J184" s="15">
        <f t="shared" si="20"/>
        <v>4.1918956683745026E-3</v>
      </c>
      <c r="K184" s="15">
        <f t="shared" si="21"/>
        <v>6.5749085212513157E-4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BJ184">
        <f t="shared" si="15"/>
        <v>2.0236546755213075E-6</v>
      </c>
      <c r="BK184">
        <f t="shared" si="17"/>
        <v>4.2008608830109668E-5</v>
      </c>
      <c r="BO184">
        <f t="shared" si="18"/>
        <v>5.9075667837511352E-5</v>
      </c>
      <c r="BP184">
        <f t="shared" si="16"/>
        <v>3.9322795322326498</v>
      </c>
    </row>
    <row r="185" spans="1:68" x14ac:dyDescent="0.15">
      <c r="A185" s="5">
        <v>43811</v>
      </c>
      <c r="B185" s="1"/>
      <c r="C185">
        <v>103.08</v>
      </c>
      <c r="D185">
        <v>108.65</v>
      </c>
      <c r="E185">
        <v>86.504974000000004</v>
      </c>
      <c r="G185" s="3">
        <v>4.4258788244184695E-3</v>
      </c>
      <c r="I185" s="15">
        <f t="shared" si="19"/>
        <v>0</v>
      </c>
      <c r="J185" s="15">
        <f t="shared" si="20"/>
        <v>7.8849721706865349E-3</v>
      </c>
      <c r="K185" s="15">
        <f t="shared" si="21"/>
        <v>-5.4759910098350862E-4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BJ185">
        <f t="shared" si="15"/>
        <v>1.9588403368435814E-5</v>
      </c>
      <c r="BK185">
        <f t="shared" si="17"/>
        <v>3.9609511580834369E-5</v>
      </c>
      <c r="BO185">
        <f t="shared" si="18"/>
        <v>5.2565737040072565E-5</v>
      </c>
      <c r="BP185">
        <f t="shared" si="16"/>
        <v>3.8214615642896077</v>
      </c>
    </row>
    <row r="186" spans="1:68" x14ac:dyDescent="0.15">
      <c r="A186" s="5">
        <v>43812</v>
      </c>
      <c r="B186" s="1"/>
      <c r="C186">
        <v>102.94</v>
      </c>
      <c r="D186">
        <v>107.85</v>
      </c>
      <c r="E186">
        <v>86.448104999999998</v>
      </c>
      <c r="G186" s="3">
        <v>-2.1131620154619599E-3</v>
      </c>
      <c r="I186" s="15">
        <f t="shared" si="19"/>
        <v>-1.358168412883203E-3</v>
      </c>
      <c r="J186" s="15">
        <f t="shared" si="20"/>
        <v>-7.3630924988496212E-3</v>
      </c>
      <c r="K186" s="15">
        <f t="shared" si="21"/>
        <v>-6.5740728388642776E-4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BJ186">
        <f t="shared" si="15"/>
        <v>4.465453703591252E-6</v>
      </c>
      <c r="BK186">
        <f t="shared" si="17"/>
        <v>3.840824508809045E-5</v>
      </c>
      <c r="BO186">
        <f t="shared" si="18"/>
        <v>4.9961060034249129E-5</v>
      </c>
      <c r="BP186">
        <f t="shared" si="16"/>
        <v>3.9885054533676447</v>
      </c>
    </row>
    <row r="187" spans="1:68" x14ac:dyDescent="0.15">
      <c r="A187" s="5">
        <v>43815</v>
      </c>
      <c r="B187" s="1"/>
      <c r="C187">
        <v>104.2</v>
      </c>
      <c r="D187">
        <v>108.85</v>
      </c>
      <c r="E187">
        <v>86.751400000000004</v>
      </c>
      <c r="G187" s="3">
        <v>1.07769409597955E-2</v>
      </c>
      <c r="I187" s="15">
        <f t="shared" si="19"/>
        <v>1.2240139887313048E-2</v>
      </c>
      <c r="J187" s="15">
        <f t="shared" si="20"/>
        <v>9.2721372276309694E-3</v>
      </c>
      <c r="K187" s="15">
        <f t="shared" si="21"/>
        <v>3.508405418487839E-3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BJ187">
        <f t="shared" si="15"/>
        <v>1.1614245645091797E-4</v>
      </c>
      <c r="BK187">
        <f t="shared" si="17"/>
        <v>3.6371677605020496E-5</v>
      </c>
      <c r="BO187">
        <f t="shared" si="18"/>
        <v>4.576419321379535E-5</v>
      </c>
      <c r="BP187">
        <f t="shared" si="16"/>
        <v>2.808142956164156</v>
      </c>
    </row>
    <row r="188" spans="1:68" x14ac:dyDescent="0.15">
      <c r="A188" s="5">
        <v>43816</v>
      </c>
      <c r="B188" s="1"/>
      <c r="C188">
        <v>103.56</v>
      </c>
      <c r="D188">
        <v>108.95</v>
      </c>
      <c r="E188">
        <v>87.073654000000005</v>
      </c>
      <c r="G188" s="3">
        <v>-2.63934435998702E-4</v>
      </c>
      <c r="I188" s="15">
        <f t="shared" si="19"/>
        <v>-6.1420345489443433E-3</v>
      </c>
      <c r="J188" s="15">
        <f t="shared" si="20"/>
        <v>9.1869545245758873E-4</v>
      </c>
      <c r="K188" s="15">
        <f t="shared" si="21"/>
        <v>3.7146835670663634E-3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BJ188">
        <f t="shared" si="15"/>
        <v>6.9661386505952924E-8</v>
      </c>
      <c r="BK188">
        <f t="shared" si="17"/>
        <v>4.1157924335774343E-5</v>
      </c>
      <c r="BO188">
        <f t="shared" si="18"/>
        <v>5.8377319590225141E-5</v>
      </c>
      <c r="BP188">
        <f t="shared" si="16"/>
        <v>3.9547563724708112</v>
      </c>
    </row>
    <row r="189" spans="1:68" x14ac:dyDescent="0.15">
      <c r="A189" s="5">
        <v>43817</v>
      </c>
      <c r="B189" s="1"/>
      <c r="C189">
        <v>104.02</v>
      </c>
      <c r="D189">
        <v>109.35</v>
      </c>
      <c r="E189">
        <v>86.798789999999997</v>
      </c>
      <c r="G189" s="3">
        <v>1.69433591168832E-3</v>
      </c>
      <c r="I189" s="15">
        <f t="shared" si="19"/>
        <v>4.4418694476631299E-3</v>
      </c>
      <c r="J189" s="15">
        <f t="shared" si="20"/>
        <v>3.6714089031665118E-3</v>
      </c>
      <c r="K189" s="15">
        <f t="shared" si="21"/>
        <v>-3.156683880522666E-3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BJ189">
        <f t="shared" si="15"/>
        <v>2.8707741816366905E-6</v>
      </c>
      <c r="BK189">
        <f t="shared" si="17"/>
        <v>3.8692628558818243E-5</v>
      </c>
      <c r="BO189">
        <f t="shared" si="18"/>
        <v>5.1739679373424712E-5</v>
      </c>
      <c r="BP189">
        <f t="shared" si="16"/>
        <v>3.9879617744837428</v>
      </c>
    </row>
    <row r="190" spans="1:68" x14ac:dyDescent="0.15">
      <c r="A190" s="5">
        <v>43818</v>
      </c>
      <c r="B190" s="1"/>
      <c r="C190">
        <v>104.12</v>
      </c>
      <c r="D190">
        <v>109</v>
      </c>
      <c r="E190">
        <v>87.339034999999996</v>
      </c>
      <c r="G190" s="3">
        <v>1.7433474245041E-3</v>
      </c>
      <c r="I190" s="15">
        <f t="shared" si="19"/>
        <v>9.6135358584895721E-4</v>
      </c>
      <c r="J190" s="15">
        <f t="shared" si="20"/>
        <v>-3.2007315957932724E-3</v>
      </c>
      <c r="K190" s="15">
        <f t="shared" si="21"/>
        <v>6.2241075019594024E-3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BJ190">
        <f t="shared" si="15"/>
        <v>3.0392602425250785E-6</v>
      </c>
      <c r="BK190">
        <f t="shared" si="17"/>
        <v>3.654331729618735E-5</v>
      </c>
      <c r="BO190">
        <f t="shared" si="18"/>
        <v>4.693218999200387E-5</v>
      </c>
      <c r="BP190">
        <f t="shared" si="16"/>
        <v>4.0320855773931461</v>
      </c>
    </row>
    <row r="191" spans="1:68" x14ac:dyDescent="0.15">
      <c r="A191" s="5">
        <v>43819</v>
      </c>
      <c r="B191" s="1"/>
      <c r="C191">
        <v>106.1</v>
      </c>
      <c r="D191">
        <v>109.7</v>
      </c>
      <c r="E191">
        <v>87.775019999999998</v>
      </c>
      <c r="G191" s="3">
        <v>9.8556519698174104E-3</v>
      </c>
      <c r="I191" s="15">
        <f t="shared" si="19"/>
        <v>1.901651940069141E-2</v>
      </c>
      <c r="J191" s="15">
        <f t="shared" si="20"/>
        <v>6.4220183486238796E-3</v>
      </c>
      <c r="K191" s="15">
        <f t="shared" si="21"/>
        <v>4.9918687560493689E-3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BJ191">
        <f t="shared" si="15"/>
        <v>9.7133875750165806E-5</v>
      </c>
      <c r="BK191">
        <f t="shared" si="17"/>
        <v>3.4533073872967608E-5</v>
      </c>
      <c r="BO191">
        <f t="shared" si="18"/>
        <v>4.3185292964981397E-5</v>
      </c>
      <c r="BP191">
        <f t="shared" si="16"/>
        <v>2.981449208914166</v>
      </c>
    </row>
    <row r="192" spans="1:68" x14ac:dyDescent="0.15">
      <c r="A192" s="5">
        <v>43822</v>
      </c>
      <c r="B192" s="1"/>
      <c r="C192">
        <v>106.6</v>
      </c>
      <c r="D192">
        <v>109.95</v>
      </c>
      <c r="E192">
        <v>88.334209999999999</v>
      </c>
      <c r="G192" s="3">
        <v>4.2102208171368397E-3</v>
      </c>
      <c r="I192" s="15">
        <f t="shared" si="19"/>
        <v>4.7125353440150806E-3</v>
      </c>
      <c r="J192" s="15">
        <f t="shared" si="20"/>
        <v>2.2789425706472195E-3</v>
      </c>
      <c r="K192" s="15">
        <f t="shared" si="21"/>
        <v>6.3707191408216256E-3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BJ192">
        <f t="shared" si="15"/>
        <v>1.7725959329052399E-5</v>
      </c>
      <c r="BK192">
        <f t="shared" si="17"/>
        <v>3.8289121985599504E-5</v>
      </c>
      <c r="BO192">
        <f t="shared" si="18"/>
        <v>5.3647279206221067E-5</v>
      </c>
      <c r="BP192">
        <f t="shared" si="16"/>
        <v>3.8323929966808419</v>
      </c>
    </row>
    <row r="193" spans="1:68" x14ac:dyDescent="0.15">
      <c r="A193" s="5">
        <v>43826</v>
      </c>
      <c r="B193" s="1"/>
      <c r="C193">
        <v>106.4</v>
      </c>
      <c r="D193">
        <v>109.4</v>
      </c>
      <c r="E193">
        <v>88.248919999999998</v>
      </c>
      <c r="G193" s="3">
        <v>5.4247729749690101E-4</v>
      </c>
      <c r="I193" s="15">
        <f t="shared" si="19"/>
        <v>-1.8761726078798185E-3</v>
      </c>
      <c r="J193" s="15">
        <f t="shared" si="20"/>
        <v>-5.0022737608003374E-3</v>
      </c>
      <c r="K193" s="15">
        <f t="shared" si="21"/>
        <v>-9.6553758730621498E-4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BJ193">
        <f t="shared" si="15"/>
        <v>2.9428161829954124E-7</v>
      </c>
      <c r="BK193">
        <f t="shared" si="17"/>
        <v>3.7055332226206679E-5</v>
      </c>
      <c r="BO193">
        <f t="shared" si="18"/>
        <v>5.0544149169559066E-5</v>
      </c>
      <c r="BP193">
        <f t="shared" si="16"/>
        <v>4.0244820137530093</v>
      </c>
    </row>
    <row r="194" spans="1:68" x14ac:dyDescent="0.15">
      <c r="A194" s="5">
        <v>43829</v>
      </c>
      <c r="B194" s="1"/>
      <c r="C194">
        <v>104.78</v>
      </c>
      <c r="D194">
        <v>108.7</v>
      </c>
      <c r="E194">
        <v>87.102090000000004</v>
      </c>
      <c r="G194" s="3">
        <v>-1.05509063979045E-2</v>
      </c>
      <c r="I194" s="15">
        <f t="shared" si="19"/>
        <v>-1.5225563909774477E-2</v>
      </c>
      <c r="J194" s="15">
        <f t="shared" si="20"/>
        <v>-6.3985374771481059E-3</v>
      </c>
      <c r="K194" s="15">
        <f t="shared" si="21"/>
        <v>-1.2995399830388794E-2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BJ194">
        <f t="shared" ref="BJ194:BJ257" si="22">G194^2</f>
        <v>1.1132162581734211E-4</v>
      </c>
      <c r="BK194">
        <f t="shared" si="17"/>
        <v>3.4849669189732251E-5</v>
      </c>
      <c r="BO194">
        <f t="shared" si="18"/>
        <v>4.5627496865216216E-5</v>
      </c>
      <c r="BP194">
        <f t="shared" ref="BP194:BP257" si="23" xml:space="preserve"> -0.5 * (LN(2 * PI()) + LN(BO194) + (BJ194) / BO194)</f>
        <v>2.8586652148272633</v>
      </c>
    </row>
    <row r="195" spans="1:68" x14ac:dyDescent="0.15">
      <c r="A195" s="5">
        <v>43833</v>
      </c>
      <c r="B195" s="1"/>
      <c r="C195">
        <v>106.32</v>
      </c>
      <c r="D195">
        <v>109.25</v>
      </c>
      <c r="E195">
        <v>87.462239999999994</v>
      </c>
      <c r="G195" s="3">
        <v>7.8064574895559905E-3</v>
      </c>
      <c r="I195" s="15">
        <f t="shared" si="19"/>
        <v>1.4697461347585341E-2</v>
      </c>
      <c r="J195" s="15">
        <f t="shared" si="20"/>
        <v>5.0597976080956498E-3</v>
      </c>
      <c r="K195" s="15">
        <f t="shared" si="21"/>
        <v>4.134803194733791E-3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BJ195">
        <f t="shared" si="22"/>
        <v>6.094077853624482E-5</v>
      </c>
      <c r="BK195">
        <f t="shared" ref="BK195:BK258" si="24">$BM$2 * BK194 + (1 - $BM$2) * BJ194</f>
        <v>3.943798658738884E-5</v>
      </c>
      <c r="BO195">
        <f t="shared" ref="BO195:BO258" si="25" xml:space="preserve"> $BR$2 + $BS$2 * BJ194 + $BT$2 * BO194</f>
        <v>5.7583514260711646E-5</v>
      </c>
      <c r="BP195">
        <f t="shared" si="23"/>
        <v>3.43304732532218</v>
      </c>
    </row>
    <row r="196" spans="1:68" x14ac:dyDescent="0.15">
      <c r="A196" s="5">
        <v>43836</v>
      </c>
      <c r="B196" s="1"/>
      <c r="C196">
        <v>106.26</v>
      </c>
      <c r="D196">
        <v>108.35</v>
      </c>
      <c r="E196">
        <v>87.282160000000005</v>
      </c>
      <c r="G196" s="3">
        <v>-3.2162988785341402E-3</v>
      </c>
      <c r="I196" s="15">
        <f t="shared" ref="I196:I259" si="26">(C196-C195)/C195</f>
        <v>-5.6433408577866878E-4</v>
      </c>
      <c r="J196" s="15">
        <f t="shared" ref="J196:J259" si="27">(D196-D195)/D195</f>
        <v>-8.2379862700229355E-3</v>
      </c>
      <c r="K196" s="15">
        <f t="shared" ref="K196:K259" si="28">(E196-E195)/E195</f>
        <v>-2.0589456661524973E-3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BJ196">
        <f t="shared" si="22"/>
        <v>1.0344578476059968E-5</v>
      </c>
      <c r="BK196">
        <f t="shared" si="24"/>
        <v>4.07281541043202E-5</v>
      </c>
      <c r="BO196">
        <f t="shared" si="25"/>
        <v>5.978631128392477E-5</v>
      </c>
      <c r="BP196">
        <f t="shared" si="23"/>
        <v>3.8569154479495689</v>
      </c>
    </row>
    <row r="197" spans="1:68" x14ac:dyDescent="0.15">
      <c r="A197" s="5">
        <v>43837</v>
      </c>
      <c r="B197" s="1"/>
      <c r="C197">
        <v>105.2</v>
      </c>
      <c r="D197">
        <v>108.3</v>
      </c>
      <c r="E197">
        <v>87.519109999999998</v>
      </c>
      <c r="G197" s="3">
        <v>2.0059127448208698E-3</v>
      </c>
      <c r="I197" s="15">
        <f t="shared" si="26"/>
        <v>-9.9755317146621707E-3</v>
      </c>
      <c r="J197" s="15">
        <f t="shared" si="27"/>
        <v>-4.6146746654358249E-4</v>
      </c>
      <c r="K197" s="15">
        <f t="shared" si="28"/>
        <v>2.7147586631677437E-3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BJ197">
        <f t="shared" si="22"/>
        <v>4.0236859398347959E-6</v>
      </c>
      <c r="BK197">
        <f t="shared" si="24"/>
        <v>3.8905139566624589E-5</v>
      </c>
      <c r="BO197">
        <f t="shared" si="25"/>
        <v>5.4308218246070958E-5</v>
      </c>
      <c r="BP197">
        <f t="shared" si="23"/>
        <v>3.9544340551831043</v>
      </c>
    </row>
    <row r="198" spans="1:68" x14ac:dyDescent="0.15">
      <c r="A198" s="5">
        <v>43838</v>
      </c>
      <c r="B198" s="1"/>
      <c r="C198">
        <v>103.5</v>
      </c>
      <c r="D198">
        <v>108.45</v>
      </c>
      <c r="E198">
        <v>87.054694999999995</v>
      </c>
      <c r="G198" s="3">
        <v>-3.2417557404280598E-3</v>
      </c>
      <c r="I198" s="15">
        <f t="shared" si="26"/>
        <v>-1.6159695817490521E-2</v>
      </c>
      <c r="J198" s="15">
        <f t="shared" si="27"/>
        <v>1.3850415512465899E-3</v>
      </c>
      <c r="K198" s="15">
        <f t="shared" si="28"/>
        <v>-5.3064410732696259E-3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BJ198">
        <f t="shared" si="22"/>
        <v>1.0508980280598279E-5</v>
      </c>
      <c r="BK198">
        <f t="shared" si="24"/>
        <v>3.6812252349017204E-5</v>
      </c>
      <c r="BO198">
        <f t="shared" si="25"/>
        <v>4.9111095389912567E-5</v>
      </c>
      <c r="BP198">
        <f t="shared" si="23"/>
        <v>3.9347823385296721</v>
      </c>
    </row>
    <row r="199" spans="1:68" x14ac:dyDescent="0.15">
      <c r="A199" s="5">
        <v>43839</v>
      </c>
      <c r="B199" s="1"/>
      <c r="C199">
        <v>103.08</v>
      </c>
      <c r="D199">
        <v>108.65</v>
      </c>
      <c r="E199">
        <v>87.538070000000005</v>
      </c>
      <c r="G199" s="3">
        <v>-1.11944800732288E-4</v>
      </c>
      <c r="I199" s="15">
        <f t="shared" si="26"/>
        <v>-4.0579710144927703E-3</v>
      </c>
      <c r="J199" s="15">
        <f t="shared" si="27"/>
        <v>1.8441678192715799E-3</v>
      </c>
      <c r="K199" s="15">
        <f t="shared" si="28"/>
        <v>5.5525437197845497E-3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BJ199">
        <f t="shared" si="22"/>
        <v>1.2531638410991667E-8</v>
      </c>
      <c r="BK199">
        <f t="shared" si="24"/>
        <v>3.5234056024912067E-5</v>
      </c>
      <c r="BO199">
        <f t="shared" si="25"/>
        <v>4.5958219145994831E-5</v>
      </c>
      <c r="BP199">
        <f t="shared" si="23"/>
        <v>4.0748140563248674</v>
      </c>
    </row>
    <row r="200" spans="1:68" x14ac:dyDescent="0.15">
      <c r="A200" s="5">
        <v>43840</v>
      </c>
      <c r="B200" s="1"/>
      <c r="C200">
        <v>102.94</v>
      </c>
      <c r="D200">
        <v>107.8</v>
      </c>
      <c r="E200">
        <v>86.85566</v>
      </c>
      <c r="G200" s="3">
        <v>-1.0773409129107799E-3</v>
      </c>
      <c r="I200" s="15">
        <f t="shared" si="26"/>
        <v>-1.358168412883203E-3</v>
      </c>
      <c r="J200" s="15">
        <f t="shared" si="27"/>
        <v>-7.8232857800276893E-3</v>
      </c>
      <c r="K200" s="15">
        <f t="shared" si="28"/>
        <v>-7.7955796832167353E-3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BJ200">
        <f t="shared" si="22"/>
        <v>1.1606634426314327E-6</v>
      </c>
      <c r="BK200">
        <f t="shared" si="24"/>
        <v>3.3120764561721999E-5</v>
      </c>
      <c r="BO200">
        <f t="shared" si="25"/>
        <v>4.1990263603724585E-5</v>
      </c>
      <c r="BP200">
        <f t="shared" si="23"/>
        <v>4.106277233733155</v>
      </c>
    </row>
    <row r="201" spans="1:68" x14ac:dyDescent="0.15">
      <c r="A201" s="5">
        <v>43843</v>
      </c>
      <c r="B201" s="1"/>
      <c r="C201">
        <v>103.54</v>
      </c>
      <c r="D201">
        <v>107.9</v>
      </c>
      <c r="E201">
        <v>86.296459999999996</v>
      </c>
      <c r="G201" s="3">
        <v>-1.60587117818988E-3</v>
      </c>
      <c r="I201" s="15">
        <f t="shared" si="26"/>
        <v>5.8286380415777011E-3</v>
      </c>
      <c r="J201" s="15">
        <f t="shared" si="27"/>
        <v>9.2764378478672109E-4</v>
      </c>
      <c r="K201" s="15">
        <f t="shared" si="28"/>
        <v>-6.4382678112169566E-3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BJ201">
        <f t="shared" si="22"/>
        <v>2.5788222409409532E-6</v>
      </c>
      <c r="BK201">
        <f t="shared" si="24"/>
        <v>3.1203158494576566E-5</v>
      </c>
      <c r="BO201">
        <f t="shared" si="25"/>
        <v>3.9041400469743448E-5</v>
      </c>
      <c r="BP201">
        <f t="shared" si="23"/>
        <v>4.1234786649589346</v>
      </c>
    </row>
    <row r="202" spans="1:68" x14ac:dyDescent="0.15">
      <c r="A202" s="5">
        <v>43844</v>
      </c>
      <c r="B202" s="1"/>
      <c r="C202">
        <v>103.42</v>
      </c>
      <c r="D202">
        <v>108.7</v>
      </c>
      <c r="E202">
        <v>86.495500000000007</v>
      </c>
      <c r="G202" s="3">
        <v>3.1454176323351102E-3</v>
      </c>
      <c r="I202" s="15">
        <f t="shared" si="26"/>
        <v>-1.1589723778250389E-3</v>
      </c>
      <c r="J202" s="15">
        <f t="shared" si="27"/>
        <v>7.4142724745134116E-3</v>
      </c>
      <c r="K202" s="15">
        <f t="shared" si="28"/>
        <v>2.3064677276450362E-3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BJ202">
        <f t="shared" si="22"/>
        <v>9.8936520818046109E-6</v>
      </c>
      <c r="BK202">
        <f t="shared" si="24"/>
        <v>2.9485698319358427E-5</v>
      </c>
      <c r="BO202">
        <f t="shared" si="25"/>
        <v>3.693034913096705E-5</v>
      </c>
      <c r="BP202">
        <f t="shared" si="23"/>
        <v>4.0503497480684061</v>
      </c>
    </row>
    <row r="203" spans="1:68" x14ac:dyDescent="0.15">
      <c r="A203" s="5">
        <v>43845</v>
      </c>
      <c r="B203" s="1"/>
      <c r="C203">
        <v>103.82</v>
      </c>
      <c r="D203">
        <v>107.8</v>
      </c>
      <c r="E203">
        <v>86.88409</v>
      </c>
      <c r="G203" s="3">
        <v>1.40007060506364E-3</v>
      </c>
      <c r="I203" s="15">
        <f t="shared" si="26"/>
        <v>3.8677238445174191E-3</v>
      </c>
      <c r="J203" s="15">
        <f t="shared" si="27"/>
        <v>-8.2796688132475219E-3</v>
      </c>
      <c r="K203" s="15">
        <f t="shared" si="28"/>
        <v>4.4926036614620817E-3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BJ203">
        <f t="shared" si="22"/>
        <v>1.960197699163267E-6</v>
      </c>
      <c r="BK203">
        <f t="shared" si="24"/>
        <v>2.8310175545105197E-5</v>
      </c>
      <c r="BO203">
        <f t="shared" si="25"/>
        <v>3.631626462192469E-5</v>
      </c>
      <c r="BP203">
        <f t="shared" si="23"/>
        <v>4.1656960186241454</v>
      </c>
    </row>
    <row r="204" spans="1:68" x14ac:dyDescent="0.15">
      <c r="A204" s="5">
        <v>43846</v>
      </c>
      <c r="B204" s="1"/>
      <c r="C204">
        <v>104.9</v>
      </c>
      <c r="D204">
        <v>108.15</v>
      </c>
      <c r="E204">
        <v>86.846176</v>
      </c>
      <c r="G204" s="3">
        <v>2.13554067427756E-3</v>
      </c>
      <c r="I204" s="15">
        <f t="shared" si="26"/>
        <v>1.0402619919090856E-2</v>
      </c>
      <c r="J204" s="15">
        <f t="shared" si="27"/>
        <v>3.2467532467533259E-3</v>
      </c>
      <c r="K204" s="15">
        <f t="shared" si="28"/>
        <v>-4.3637448467263303E-4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BJ204">
        <f t="shared" si="22"/>
        <v>4.5605339714938552E-6</v>
      </c>
      <c r="BK204">
        <f t="shared" si="24"/>
        <v>2.6729176874348682E-5</v>
      </c>
      <c r="BO204">
        <f t="shared" si="25"/>
        <v>3.4704705668845046E-5</v>
      </c>
      <c r="BP204">
        <f t="shared" si="23"/>
        <v>4.149674266120905</v>
      </c>
    </row>
    <row r="205" spans="1:68" x14ac:dyDescent="0.15">
      <c r="A205" s="5">
        <v>43847</v>
      </c>
      <c r="B205" s="1"/>
      <c r="C205">
        <v>106.58</v>
      </c>
      <c r="D205">
        <v>108</v>
      </c>
      <c r="E205">
        <v>87.936139999999995</v>
      </c>
      <c r="G205" s="3">
        <v>1.38680038960155E-2</v>
      </c>
      <c r="I205" s="15">
        <f t="shared" si="26"/>
        <v>1.6015252621544258E-2</v>
      </c>
      <c r="J205" s="15">
        <f t="shared" si="27"/>
        <v>-1.3869625520111482E-3</v>
      </c>
      <c r="K205" s="15">
        <f t="shared" si="28"/>
        <v>1.2550512298894943E-2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BJ205">
        <f t="shared" si="22"/>
        <v>1.9232153205990109E-4</v>
      </c>
      <c r="BK205">
        <f t="shared" si="24"/>
        <v>2.5399058300177391E-5</v>
      </c>
      <c r="BO205">
        <f t="shared" si="25"/>
        <v>3.381097334325827E-5</v>
      </c>
      <c r="BP205">
        <f t="shared" si="23"/>
        <v>1.3843543073237807</v>
      </c>
    </row>
    <row r="206" spans="1:68" x14ac:dyDescent="0.15">
      <c r="A206" s="5">
        <v>43851</v>
      </c>
      <c r="B206" s="1"/>
      <c r="C206">
        <v>108.36</v>
      </c>
      <c r="D206">
        <v>109.3</v>
      </c>
      <c r="E206">
        <v>88.040400000000005</v>
      </c>
      <c r="G206" s="3">
        <v>3.9375851845360101E-3</v>
      </c>
      <c r="I206" s="15">
        <f t="shared" si="26"/>
        <v>1.6701069619065503E-2</v>
      </c>
      <c r="J206" s="15">
        <f t="shared" si="27"/>
        <v>1.2037037037037011E-2</v>
      </c>
      <c r="K206" s="15">
        <f t="shared" si="28"/>
        <v>1.1856331196708279E-3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BJ206">
        <f t="shared" si="22"/>
        <v>1.5504577085477484E-5</v>
      </c>
      <c r="BK206">
        <f t="shared" si="24"/>
        <v>3.5414406725760822E-5</v>
      </c>
      <c r="BO206">
        <f t="shared" si="25"/>
        <v>5.9850905435706613E-5</v>
      </c>
      <c r="BP206">
        <f t="shared" si="23"/>
        <v>3.8133617945357963</v>
      </c>
    </row>
    <row r="207" spans="1:68" x14ac:dyDescent="0.15">
      <c r="A207" s="5">
        <v>43852</v>
      </c>
      <c r="B207" s="1"/>
      <c r="C207">
        <v>108.78</v>
      </c>
      <c r="D207">
        <v>110.2</v>
      </c>
      <c r="E207">
        <v>87.339034999999996</v>
      </c>
      <c r="G207" s="3">
        <v>9.6982028782144304E-4</v>
      </c>
      <c r="I207" s="15">
        <f t="shared" si="26"/>
        <v>3.8759689922480776E-3</v>
      </c>
      <c r="J207" s="15">
        <f t="shared" si="27"/>
        <v>8.2342177493138682E-3</v>
      </c>
      <c r="K207" s="15">
        <f t="shared" si="28"/>
        <v>-7.9663995165856778E-3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BJ207">
        <f t="shared" si="22"/>
        <v>9.4055139067006659E-7</v>
      </c>
      <c r="BK207">
        <f t="shared" si="24"/>
        <v>3.4219816947343818E-5</v>
      </c>
      <c r="BO207">
        <f t="shared" si="25"/>
        <v>5.5093772506766241E-5</v>
      </c>
      <c r="BP207">
        <f t="shared" si="23"/>
        <v>3.9757624878778812</v>
      </c>
    </row>
    <row r="208" spans="1:68" x14ac:dyDescent="0.15">
      <c r="A208" s="5">
        <v>43853</v>
      </c>
      <c r="B208" s="1"/>
      <c r="C208">
        <v>108.34</v>
      </c>
      <c r="D208">
        <v>109.8</v>
      </c>
      <c r="E208">
        <v>87.026259999999994</v>
      </c>
      <c r="G208" s="3">
        <v>-7.4465138332127003E-3</v>
      </c>
      <c r="I208" s="15">
        <f t="shared" si="26"/>
        <v>-4.0448611877183099E-3</v>
      </c>
      <c r="J208" s="15">
        <f t="shared" si="27"/>
        <v>-3.6297640653358046E-3</v>
      </c>
      <c r="K208" s="15">
        <f t="shared" si="28"/>
        <v>-3.5811593292735837E-3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BJ208">
        <f t="shared" si="22"/>
        <v>5.54505682682281E-5</v>
      </c>
      <c r="BK208">
        <f t="shared" si="24"/>
        <v>3.2223061013943389E-5</v>
      </c>
      <c r="BO208">
        <f t="shared" si="25"/>
        <v>4.9288166908608807E-5</v>
      </c>
      <c r="BP208">
        <f t="shared" si="23"/>
        <v>3.4774607263915609</v>
      </c>
    </row>
    <row r="209" spans="1:68" x14ac:dyDescent="0.15">
      <c r="A209" s="5">
        <v>43854</v>
      </c>
      <c r="B209" s="1"/>
      <c r="C209">
        <v>108.9</v>
      </c>
      <c r="D209">
        <v>111.05</v>
      </c>
      <c r="E209">
        <v>86.770359999999997</v>
      </c>
      <c r="G209" s="3">
        <v>3.3116414454121799E-3</v>
      </c>
      <c r="I209" s="15">
        <f t="shared" si="26"/>
        <v>5.1689126822964948E-3</v>
      </c>
      <c r="J209" s="15">
        <f t="shared" si="27"/>
        <v>1.1384335154826959E-2</v>
      </c>
      <c r="K209" s="15">
        <f t="shared" si="28"/>
        <v>-2.9404917550173585E-3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BJ209">
        <f t="shared" si="22"/>
        <v>1.0966969062971672E-5</v>
      </c>
      <c r="BK209">
        <f t="shared" si="24"/>
        <v>3.3616711449200474E-5</v>
      </c>
      <c r="BO209">
        <f t="shared" si="25"/>
        <v>5.2497699741251578E-5</v>
      </c>
      <c r="BP209">
        <f t="shared" si="23"/>
        <v>3.9039801677727026</v>
      </c>
    </row>
    <row r="210" spans="1:68" x14ac:dyDescent="0.15">
      <c r="A210" s="5">
        <v>43857</v>
      </c>
      <c r="B210" s="1"/>
      <c r="C210">
        <v>107.92</v>
      </c>
      <c r="D210">
        <v>108.75</v>
      </c>
      <c r="E210">
        <v>85.974209999999999</v>
      </c>
      <c r="G210" s="3">
        <v>-1.6018029385753901E-2</v>
      </c>
      <c r="I210" s="15">
        <f t="shared" si="26"/>
        <v>-8.9990817263544895E-3</v>
      </c>
      <c r="J210" s="15">
        <f t="shared" si="27"/>
        <v>-2.0711391265195833E-2</v>
      </c>
      <c r="K210" s="15">
        <f t="shared" si="28"/>
        <v>-9.1753681787190618E-3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BJ210">
        <f t="shared" si="22"/>
        <v>2.5657726540287548E-4</v>
      </c>
      <c r="BK210">
        <f t="shared" si="24"/>
        <v>3.2257726906026745E-5</v>
      </c>
      <c r="BO210">
        <f t="shared" si="25"/>
        <v>4.8679826716567456E-5</v>
      </c>
      <c r="BP210">
        <f t="shared" si="23"/>
        <v>1.4108292279265937</v>
      </c>
    </row>
    <row r="211" spans="1:68" x14ac:dyDescent="0.15">
      <c r="A211" s="5">
        <v>43858</v>
      </c>
      <c r="B211" s="1"/>
      <c r="C211">
        <v>108.62</v>
      </c>
      <c r="D211">
        <v>110.5</v>
      </c>
      <c r="E211">
        <v>87.756060000000005</v>
      </c>
      <c r="G211" s="3">
        <v>9.9308984245956005E-3</v>
      </c>
      <c r="I211" s="15">
        <f t="shared" si="26"/>
        <v>6.4862861378799375E-3</v>
      </c>
      <c r="J211" s="15">
        <f t="shared" si="27"/>
        <v>1.6091954022988506E-2</v>
      </c>
      <c r="K211" s="15">
        <f t="shared" si="28"/>
        <v>2.0725401256958403E-2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BJ211">
        <f t="shared" si="22"/>
        <v>9.8622743519635378E-5</v>
      </c>
      <c r="BK211">
        <f t="shared" si="24"/>
        <v>4.5716899215837676E-5</v>
      </c>
      <c r="BO211">
        <f t="shared" si="25"/>
        <v>8.0665032760095798E-5</v>
      </c>
      <c r="BP211">
        <f t="shared" si="23"/>
        <v>3.1823537755170141</v>
      </c>
    </row>
    <row r="212" spans="1:68" x14ac:dyDescent="0.15">
      <c r="A212" s="5">
        <v>43859</v>
      </c>
      <c r="B212" s="1"/>
      <c r="C212">
        <v>108.86</v>
      </c>
      <c r="D212">
        <v>110.95</v>
      </c>
      <c r="E212">
        <v>88.836550000000003</v>
      </c>
      <c r="G212" s="3">
        <v>7.2251625919770301E-3</v>
      </c>
      <c r="I212" s="15">
        <f t="shared" si="26"/>
        <v>2.2095378383354342E-3</v>
      </c>
      <c r="J212" s="15">
        <f t="shared" si="27"/>
        <v>4.0723981900452743E-3</v>
      </c>
      <c r="K212" s="15">
        <f t="shared" si="28"/>
        <v>1.2312426059237361E-2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BJ212">
        <f t="shared" si="22"/>
        <v>5.2202974480504237E-5</v>
      </c>
      <c r="BK212">
        <f t="shared" si="24"/>
        <v>4.8891249874065541E-5</v>
      </c>
      <c r="BO212">
        <f t="shared" si="25"/>
        <v>8.3257638074097308E-5</v>
      </c>
      <c r="BP212">
        <f t="shared" si="23"/>
        <v>3.4643441943091813</v>
      </c>
    </row>
    <row r="213" spans="1:68" x14ac:dyDescent="0.15">
      <c r="A213" s="5">
        <v>43860</v>
      </c>
      <c r="B213" s="1"/>
      <c r="C213">
        <v>107.72</v>
      </c>
      <c r="D213">
        <v>109.6</v>
      </c>
      <c r="E213">
        <v>87.414856</v>
      </c>
      <c r="G213" s="3">
        <v>-1.0217404150047899E-2</v>
      </c>
      <c r="I213" s="15">
        <f t="shared" si="26"/>
        <v>-1.0472166084879667E-2</v>
      </c>
      <c r="J213" s="15">
        <f t="shared" si="27"/>
        <v>-1.2167643082469657E-2</v>
      </c>
      <c r="K213" s="15">
        <f t="shared" si="28"/>
        <v>-1.6003480549391012E-2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BJ213">
        <f t="shared" si="22"/>
        <v>1.0439534756541603E-4</v>
      </c>
      <c r="BK213">
        <f t="shared" si="24"/>
        <v>4.9089953350451863E-5</v>
      </c>
      <c r="BO213">
        <f t="shared" si="25"/>
        <v>7.8680110497592927E-5</v>
      </c>
      <c r="BP213">
        <f t="shared" si="23"/>
        <v>3.1427051706546432</v>
      </c>
    </row>
    <row r="214" spans="1:68" x14ac:dyDescent="0.15">
      <c r="A214" s="5">
        <v>43861</v>
      </c>
      <c r="B214" s="1"/>
      <c r="C214">
        <v>106.38</v>
      </c>
      <c r="D214">
        <v>109</v>
      </c>
      <c r="E214">
        <v>86.410194000000004</v>
      </c>
      <c r="G214" s="3">
        <v>-1.12608071297074E-2</v>
      </c>
      <c r="I214" s="15">
        <f t="shared" si="26"/>
        <v>-1.2439658373561115E-2</v>
      </c>
      <c r="J214" s="15">
        <f t="shared" si="27"/>
        <v>-5.4744525547444738E-3</v>
      </c>
      <c r="K214" s="15">
        <f t="shared" si="28"/>
        <v>-1.1493035005399953E-2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BJ214">
        <f t="shared" si="22"/>
        <v>1.2680577721246901E-4</v>
      </c>
      <c r="BK214">
        <f t="shared" si="24"/>
        <v>5.2408277003349719E-5</v>
      </c>
      <c r="BO214">
        <f t="shared" si="25"/>
        <v>8.2522842452030642E-5</v>
      </c>
      <c r="BP214">
        <f t="shared" si="23"/>
        <v>3.0139720447733875</v>
      </c>
    </row>
    <row r="215" spans="1:68" x14ac:dyDescent="0.15">
      <c r="A215" s="5">
        <v>43864</v>
      </c>
      <c r="B215" s="1"/>
      <c r="C215">
        <v>106.98</v>
      </c>
      <c r="D215">
        <v>109.15</v>
      </c>
      <c r="E215">
        <v>86.675574999999995</v>
      </c>
      <c r="G215" s="3">
        <v>3.4876119273803403E-3</v>
      </c>
      <c r="I215" s="15">
        <f t="shared" si="26"/>
        <v>5.6401579244219641E-3</v>
      </c>
      <c r="J215" s="15">
        <f t="shared" si="27"/>
        <v>1.3761467889908778E-3</v>
      </c>
      <c r="K215" s="15">
        <f t="shared" si="28"/>
        <v>3.0711769956214977E-3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BJ215">
        <f t="shared" si="22"/>
        <v>1.2163436956005613E-5</v>
      </c>
      <c r="BK215">
        <f t="shared" si="24"/>
        <v>5.6872127015896878E-5</v>
      </c>
      <c r="BO215">
        <f t="shared" si="25"/>
        <v>8.872869762600683E-5</v>
      </c>
      <c r="BP215">
        <f t="shared" si="23"/>
        <v>3.6774822018746103</v>
      </c>
    </row>
    <row r="216" spans="1:68" x14ac:dyDescent="0.15">
      <c r="A216" s="5">
        <v>43865</v>
      </c>
      <c r="B216" s="1"/>
      <c r="C216">
        <v>108.14</v>
      </c>
      <c r="D216">
        <v>109.8</v>
      </c>
      <c r="E216">
        <v>87.405379999999994</v>
      </c>
      <c r="G216" s="3">
        <v>1.2723236347898601E-2</v>
      </c>
      <c r="I216" s="15">
        <f t="shared" si="26"/>
        <v>1.084314825200969E-2</v>
      </c>
      <c r="J216" s="15">
        <f t="shared" si="27"/>
        <v>5.9551076500228258E-3</v>
      </c>
      <c r="K216" s="15">
        <f t="shared" si="28"/>
        <v>8.4199614481934391E-3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BJ216">
        <f t="shared" si="22"/>
        <v>1.6188074316448813E-4</v>
      </c>
      <c r="BK216">
        <f t="shared" si="24"/>
        <v>5.4189605612303401E-5</v>
      </c>
      <c r="BO216">
        <f t="shared" si="25"/>
        <v>7.7269055233880358E-5</v>
      </c>
      <c r="BP216">
        <f t="shared" si="23"/>
        <v>2.7676565576457102</v>
      </c>
    </row>
    <row r="217" spans="1:68" x14ac:dyDescent="0.15">
      <c r="A217" s="5">
        <v>43866</v>
      </c>
      <c r="B217" s="1"/>
      <c r="C217">
        <v>109</v>
      </c>
      <c r="D217">
        <v>111.45</v>
      </c>
      <c r="E217">
        <v>88.722809999999996</v>
      </c>
      <c r="G217" s="3">
        <v>1.79170643286281E-2</v>
      </c>
      <c r="I217" s="15">
        <f t="shared" si="26"/>
        <v>7.9526539670797067E-3</v>
      </c>
      <c r="J217" s="15">
        <f t="shared" si="27"/>
        <v>1.5027322404371636E-2</v>
      </c>
      <c r="K217" s="15">
        <f t="shared" si="28"/>
        <v>1.5072641981534796E-2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BJ217">
        <f t="shared" si="22"/>
        <v>3.2102119415619752E-4</v>
      </c>
      <c r="BK217">
        <f t="shared" si="24"/>
        <v>6.0651073865434493E-5</v>
      </c>
      <c r="BO217">
        <f t="shared" si="25"/>
        <v>8.9603121485583369E-5</v>
      </c>
      <c r="BP217">
        <f t="shared" si="23"/>
        <v>1.9497711603526136</v>
      </c>
    </row>
    <row r="218" spans="1:68" x14ac:dyDescent="0.15">
      <c r="A218" s="5">
        <v>43867</v>
      </c>
      <c r="B218" s="1"/>
      <c r="C218">
        <v>109.1</v>
      </c>
      <c r="D218">
        <v>111.75</v>
      </c>
      <c r="E218">
        <v>89.158789999999996</v>
      </c>
      <c r="G218" s="3">
        <v>1.6561628672806499E-3</v>
      </c>
      <c r="I218" s="15">
        <f t="shared" si="26"/>
        <v>9.1743119266049836E-4</v>
      </c>
      <c r="J218" s="15">
        <f t="shared" si="27"/>
        <v>2.691790040376825E-3</v>
      </c>
      <c r="K218" s="15">
        <f t="shared" si="28"/>
        <v>4.9139561742916026E-3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BJ218">
        <f t="shared" si="22"/>
        <v>2.7428754429592636E-6</v>
      </c>
      <c r="BK218">
        <f t="shared" si="24"/>
        <v>7.6273281082880285E-5</v>
      </c>
      <c r="BO218">
        <f t="shared" si="25"/>
        <v>1.2194251488350171E-4</v>
      </c>
      <c r="BP218">
        <f t="shared" si="23"/>
        <v>3.575795281598027</v>
      </c>
    </row>
    <row r="219" spans="1:68" x14ac:dyDescent="0.15">
      <c r="A219" s="5">
        <v>43868</v>
      </c>
      <c r="B219" s="1"/>
      <c r="C219">
        <v>109</v>
      </c>
      <c r="D219">
        <v>112.55</v>
      </c>
      <c r="E219">
        <v>88.883933999999996</v>
      </c>
      <c r="G219" s="3">
        <v>-9.8397647695025394E-4</v>
      </c>
      <c r="I219" s="15">
        <f t="shared" si="26"/>
        <v>-9.1659028414293607E-4</v>
      </c>
      <c r="J219" s="15">
        <f t="shared" si="27"/>
        <v>7.1588366890380055E-3</v>
      </c>
      <c r="K219" s="15">
        <f t="shared" si="28"/>
        <v>-3.0827695171726736E-3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BJ219">
        <f t="shared" si="22"/>
        <v>9.6820970719143353E-7</v>
      </c>
      <c r="BK219">
        <f t="shared" si="24"/>
        <v>7.1861456744485029E-5</v>
      </c>
      <c r="BO219">
        <f t="shared" si="25"/>
        <v>1.019795918413076E-4</v>
      </c>
      <c r="BP219">
        <f t="shared" si="23"/>
        <v>3.6716833133277427</v>
      </c>
    </row>
    <row r="220" spans="1:68" x14ac:dyDescent="0.15">
      <c r="A220" s="5">
        <v>43871</v>
      </c>
      <c r="B220" s="1"/>
      <c r="C220">
        <v>109.26</v>
      </c>
      <c r="D220">
        <v>112.75</v>
      </c>
      <c r="E220">
        <v>89.632689999999997</v>
      </c>
      <c r="G220" s="3">
        <v>3.4766973349073999E-3</v>
      </c>
      <c r="I220" s="15">
        <f t="shared" si="26"/>
        <v>2.3853211009174781E-3</v>
      </c>
      <c r="J220" s="15">
        <f t="shared" si="27"/>
        <v>1.7769880053309893E-3</v>
      </c>
      <c r="K220" s="15">
        <f t="shared" si="28"/>
        <v>8.4239745734026612E-3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BJ220">
        <f t="shared" si="22"/>
        <v>1.2087424358552217E-5</v>
      </c>
      <c r="BK220">
        <f t="shared" si="24"/>
        <v>6.7607861922247406E-5</v>
      </c>
      <c r="BO220">
        <f t="shared" si="25"/>
        <v>8.6068349611395582E-5</v>
      </c>
      <c r="BP220">
        <f t="shared" si="23"/>
        <v>3.6910259591874546</v>
      </c>
    </row>
    <row r="221" spans="1:68" x14ac:dyDescent="0.15">
      <c r="A221" s="5">
        <v>43872</v>
      </c>
      <c r="B221" s="1"/>
      <c r="C221">
        <v>108.44</v>
      </c>
      <c r="D221">
        <v>113.5</v>
      </c>
      <c r="E221">
        <v>90.675255000000007</v>
      </c>
      <c r="G221" s="3">
        <v>5.5615914543438701E-3</v>
      </c>
      <c r="I221" s="15">
        <f t="shared" si="26"/>
        <v>-7.5050338641772596E-3</v>
      </c>
      <c r="J221" s="15">
        <f t="shared" si="27"/>
        <v>6.6518847006651885E-3</v>
      </c>
      <c r="K221" s="15">
        <f t="shared" si="28"/>
        <v>1.1631526399575985E-2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BJ221">
        <f t="shared" si="22"/>
        <v>3.0931299505030761E-5</v>
      </c>
      <c r="BK221">
        <f t="shared" si="24"/>
        <v>6.4276635668425699E-5</v>
      </c>
      <c r="BO221">
        <f t="shared" si="25"/>
        <v>7.5171508871419085E-5</v>
      </c>
      <c r="BP221">
        <f t="shared" si="23"/>
        <v>3.6231924175071475</v>
      </c>
    </row>
    <row r="222" spans="1:68" x14ac:dyDescent="0.15">
      <c r="A222" s="5">
        <v>43873</v>
      </c>
      <c r="B222" s="1"/>
      <c r="C222">
        <v>107.08</v>
      </c>
      <c r="D222">
        <v>114.15</v>
      </c>
      <c r="E222">
        <v>90.675255000000007</v>
      </c>
      <c r="G222" s="3">
        <v>-1.0753084696106801E-3</v>
      </c>
      <c r="I222" s="15">
        <f t="shared" si="26"/>
        <v>-1.2541497602360747E-2</v>
      </c>
      <c r="J222" s="15">
        <f t="shared" si="27"/>
        <v>5.7268722466960855E-3</v>
      </c>
      <c r="K222" s="15">
        <f t="shared" si="28"/>
        <v>0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BJ222">
        <f t="shared" si="22"/>
        <v>1.1562883048164629E-6</v>
      </c>
      <c r="BK222">
        <f t="shared" si="24"/>
        <v>6.2275915498622003E-5</v>
      </c>
      <c r="BO222">
        <f t="shared" si="25"/>
        <v>6.9308006056586542E-5</v>
      </c>
      <c r="BP222">
        <f t="shared" si="23"/>
        <v>3.8611948674897927</v>
      </c>
    </row>
    <row r="223" spans="1:68" x14ac:dyDescent="0.15">
      <c r="A223" s="5">
        <v>43874</v>
      </c>
      <c r="B223" s="1"/>
      <c r="C223">
        <v>104.7</v>
      </c>
      <c r="D223">
        <v>114.65</v>
      </c>
      <c r="E223">
        <v>90.817430000000002</v>
      </c>
      <c r="G223" s="3">
        <v>2.8079456940055504E-4</v>
      </c>
      <c r="I223" s="15">
        <f t="shared" si="26"/>
        <v>-2.2226372805379115E-2</v>
      </c>
      <c r="J223" s="15">
        <f t="shared" si="27"/>
        <v>4.3802014892685062E-3</v>
      </c>
      <c r="K223" s="15">
        <f t="shared" si="28"/>
        <v>1.5679580939694585E-3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BJ223">
        <f t="shared" si="22"/>
        <v>7.8845590204843124E-8</v>
      </c>
      <c r="BK223">
        <f t="shared" si="24"/>
        <v>5.8608737866993666E-5</v>
      </c>
      <c r="BO223">
        <f t="shared" si="25"/>
        <v>6.0468235926256258E-5</v>
      </c>
      <c r="BP223">
        <f t="shared" si="23"/>
        <v>3.9371056864591489</v>
      </c>
    </row>
    <row r="224" spans="1:68" x14ac:dyDescent="0.15">
      <c r="A224" s="5">
        <v>43875</v>
      </c>
      <c r="B224" s="1"/>
      <c r="C224">
        <v>107.56</v>
      </c>
      <c r="D224">
        <v>115.4</v>
      </c>
      <c r="E224">
        <v>90.627880000000005</v>
      </c>
      <c r="G224" s="3">
        <v>3.2868336051674603E-3</v>
      </c>
      <c r="I224" s="15">
        <f t="shared" si="26"/>
        <v>2.7316141356255964E-2</v>
      </c>
      <c r="J224" s="15">
        <f t="shared" si="27"/>
        <v>6.5416484954208456E-3</v>
      </c>
      <c r="K224" s="15">
        <f t="shared" si="28"/>
        <v>-2.0871544151821629E-3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BJ224">
        <f t="shared" si="22"/>
        <v>1.0803275148058124E-5</v>
      </c>
      <c r="BK224">
        <f t="shared" si="24"/>
        <v>5.5096944330386337E-5</v>
      </c>
      <c r="BO224">
        <f t="shared" si="25"/>
        <v>5.3381057875851663E-5</v>
      </c>
      <c r="BP224">
        <f t="shared" si="23"/>
        <v>3.8988986089692803</v>
      </c>
    </row>
    <row r="225" spans="1:68" x14ac:dyDescent="0.15">
      <c r="A225" s="5">
        <v>43879</v>
      </c>
      <c r="B225" s="1"/>
      <c r="C225">
        <v>107.76</v>
      </c>
      <c r="D225">
        <v>115.95</v>
      </c>
      <c r="E225">
        <v>90.419359999999998</v>
      </c>
      <c r="G225" s="3">
        <v>1.5702165253350601E-3</v>
      </c>
      <c r="I225" s="15">
        <f t="shared" si="26"/>
        <v>1.8594272963927375E-3</v>
      </c>
      <c r="J225" s="15">
        <f t="shared" si="27"/>
        <v>4.76603119584053E-3</v>
      </c>
      <c r="K225" s="15">
        <f t="shared" si="28"/>
        <v>-2.3008372258074132E-3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BJ225">
        <f t="shared" si="22"/>
        <v>2.4655799364353095E-6</v>
      </c>
      <c r="BK225">
        <f t="shared" si="24"/>
        <v>5.2439324179446644E-5</v>
      </c>
      <c r="BO225">
        <f t="shared" si="25"/>
        <v>4.9349400808720338E-5</v>
      </c>
      <c r="BP225">
        <f t="shared" si="23"/>
        <v>4.0143730839305993</v>
      </c>
    </row>
    <row r="226" spans="1:68" x14ac:dyDescent="0.15">
      <c r="A226" s="5">
        <v>43880</v>
      </c>
      <c r="B226" s="1"/>
      <c r="C226">
        <v>109.46</v>
      </c>
      <c r="D226">
        <v>116.8</v>
      </c>
      <c r="E226">
        <v>90.817430000000002</v>
      </c>
      <c r="G226" s="3">
        <v>1.0471750491066301E-2</v>
      </c>
      <c r="I226" s="15">
        <f t="shared" si="26"/>
        <v>1.5775798069784599E-2</v>
      </c>
      <c r="J226" s="15">
        <f t="shared" si="27"/>
        <v>7.33074601121168E-3</v>
      </c>
      <c r="K226" s="15">
        <f t="shared" si="28"/>
        <v>4.4024863701756364E-3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BJ226">
        <f t="shared" si="22"/>
        <v>1.0965755834714731E-4</v>
      </c>
      <c r="BK226">
        <f t="shared" si="24"/>
        <v>4.9440899524865965E-5</v>
      </c>
      <c r="BO226">
        <f t="shared" si="25"/>
        <v>4.4999598273299371E-5</v>
      </c>
      <c r="BP226">
        <f t="shared" si="23"/>
        <v>2.8670617723486518</v>
      </c>
    </row>
    <row r="227" spans="1:68" x14ac:dyDescent="0.15">
      <c r="A227" s="5">
        <v>43881</v>
      </c>
      <c r="B227" s="1"/>
      <c r="C227">
        <v>109.36</v>
      </c>
      <c r="D227">
        <v>107.3</v>
      </c>
      <c r="E227">
        <v>89.62321</v>
      </c>
      <c r="G227" s="3">
        <v>-9.6312521782513302E-3</v>
      </c>
      <c r="I227" s="15">
        <f t="shared" si="26"/>
        <v>-9.1357573542841513E-4</v>
      </c>
      <c r="J227" s="15">
        <f t="shared" si="27"/>
        <v>-8.133561643835617E-2</v>
      </c>
      <c r="K227" s="15">
        <f t="shared" si="28"/>
        <v>-1.3149678426266867E-2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BJ227">
        <f t="shared" si="22"/>
        <v>9.276101852107099E-5</v>
      </c>
      <c r="BK227">
        <f t="shared" si="24"/>
        <v>5.3053899054202845E-5</v>
      </c>
      <c r="BO227">
        <f t="shared" si="25"/>
        <v>5.6854007101402116E-5</v>
      </c>
      <c r="BP227">
        <f t="shared" si="23"/>
        <v>3.1527908024854843</v>
      </c>
    </row>
    <row r="228" spans="1:68" x14ac:dyDescent="0.15">
      <c r="A228" s="5">
        <v>43882</v>
      </c>
      <c r="B228" s="1"/>
      <c r="C228">
        <v>109.02</v>
      </c>
      <c r="D228">
        <v>104.2</v>
      </c>
      <c r="E228">
        <v>89.471564999999998</v>
      </c>
      <c r="G228" s="3">
        <v>-3.9218391022782699E-3</v>
      </c>
      <c r="I228" s="15">
        <f t="shared" si="26"/>
        <v>-3.108997805413345E-3</v>
      </c>
      <c r="J228" s="15">
        <f t="shared" si="27"/>
        <v>-2.8890959925442633E-2</v>
      </c>
      <c r="K228" s="15">
        <f t="shared" si="28"/>
        <v>-1.6920282145663163E-3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BJ228">
        <f t="shared" si="22"/>
        <v>1.5380821944158825E-5</v>
      </c>
      <c r="BK228">
        <f t="shared" si="24"/>
        <v>5.5436326222214934E-5</v>
      </c>
      <c r="BO228">
        <f t="shared" si="25"/>
        <v>6.3745945906369677E-5</v>
      </c>
      <c r="BP228">
        <f t="shared" si="23"/>
        <v>3.7907223819460101</v>
      </c>
    </row>
    <row r="229" spans="1:68" x14ac:dyDescent="0.15">
      <c r="A229" s="5">
        <v>43885</v>
      </c>
      <c r="B229" s="1"/>
      <c r="C229">
        <v>105.84</v>
      </c>
      <c r="D229">
        <v>100.45</v>
      </c>
      <c r="E229">
        <v>86.523930000000007</v>
      </c>
      <c r="G229" s="3">
        <v>-3.5816306512487302E-2</v>
      </c>
      <c r="I229" s="15">
        <f t="shared" si="26"/>
        <v>-2.9168959823885458E-2</v>
      </c>
      <c r="J229" s="15">
        <f t="shared" si="27"/>
        <v>-3.5988483685220729E-2</v>
      </c>
      <c r="K229" s="15">
        <f t="shared" si="28"/>
        <v>-3.294493619285626E-2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BJ229">
        <f t="shared" si="22"/>
        <v>1.2828078121964403E-3</v>
      </c>
      <c r="BK229">
        <f t="shared" si="24"/>
        <v>5.3032995965531567E-5</v>
      </c>
      <c r="BO229">
        <f t="shared" si="25"/>
        <v>5.8131334520729771E-5</v>
      </c>
      <c r="BP229">
        <f t="shared" si="23"/>
        <v>-7.0762391210201461</v>
      </c>
    </row>
    <row r="230" spans="1:68" x14ac:dyDescent="0.15">
      <c r="A230" s="5">
        <v>43886</v>
      </c>
      <c r="B230" s="1"/>
      <c r="C230">
        <v>104.78</v>
      </c>
      <c r="D230">
        <v>98.24</v>
      </c>
      <c r="E230">
        <v>82.249390000000005</v>
      </c>
      <c r="G230" s="3">
        <v>-2.1873010843866201E-2</v>
      </c>
      <c r="I230" s="15">
        <f t="shared" si="26"/>
        <v>-1.0015117157974322E-2</v>
      </c>
      <c r="J230" s="15">
        <f t="shared" si="27"/>
        <v>-2.2000995520159362E-2</v>
      </c>
      <c r="K230" s="15">
        <f t="shared" si="28"/>
        <v>-4.9402980192878448E-2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BJ230">
        <f t="shared" si="22"/>
        <v>4.784286033758884E-4</v>
      </c>
      <c r="BK230">
        <f t="shared" si="24"/>
        <v>1.2681948493938614E-4</v>
      </c>
      <c r="BO230">
        <f t="shared" si="25"/>
        <v>2.3423454352478827E-4</v>
      </c>
      <c r="BP230">
        <f t="shared" si="23"/>
        <v>2.2393955690144249</v>
      </c>
    </row>
    <row r="231" spans="1:68" x14ac:dyDescent="0.15">
      <c r="A231" s="5">
        <v>43887</v>
      </c>
      <c r="B231" s="1"/>
      <c r="C231">
        <v>104.7</v>
      </c>
      <c r="D231">
        <v>98.8</v>
      </c>
      <c r="E231">
        <v>81.927139999999994</v>
      </c>
      <c r="G231" s="3">
        <v>3.2103984399094398E-3</v>
      </c>
      <c r="I231" s="15">
        <f t="shared" si="26"/>
        <v>-7.6350448558883653E-4</v>
      </c>
      <c r="J231" s="15">
        <f t="shared" si="27"/>
        <v>5.7003257328990461E-3</v>
      </c>
      <c r="K231" s="15">
        <f t="shared" si="28"/>
        <v>-3.9179621879263911E-3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BJ231">
        <f t="shared" si="22"/>
        <v>1.0306658142972965E-5</v>
      </c>
      <c r="BK231">
        <f t="shared" si="24"/>
        <v>1.4791603204557629E-4</v>
      </c>
      <c r="BO231">
        <f t="shared" si="25"/>
        <v>2.5780633184194007E-4</v>
      </c>
      <c r="BP231">
        <f t="shared" si="23"/>
        <v>3.1927232715666247</v>
      </c>
    </row>
    <row r="232" spans="1:68" x14ac:dyDescent="0.15">
      <c r="A232" s="5">
        <v>43888</v>
      </c>
      <c r="B232" s="1"/>
      <c r="C232">
        <v>101.76</v>
      </c>
      <c r="D232">
        <v>94.96</v>
      </c>
      <c r="E232">
        <v>80.609710000000007</v>
      </c>
      <c r="G232" s="3">
        <v>-2.9175172793602901E-2</v>
      </c>
      <c r="I232" s="15">
        <f t="shared" si="26"/>
        <v>-2.8080229226361008E-2</v>
      </c>
      <c r="J232" s="15">
        <f t="shared" si="27"/>
        <v>-3.886639676113364E-2</v>
      </c>
      <c r="K232" s="15">
        <f t="shared" si="28"/>
        <v>-1.6080507631536844E-2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BJ232">
        <f t="shared" si="22"/>
        <v>8.5119070753658698E-4</v>
      </c>
      <c r="BK232">
        <f t="shared" si="24"/>
        <v>1.3965946961142008E-4</v>
      </c>
      <c r="BO232">
        <f t="shared" si="25"/>
        <v>2.0962552749992022E-4</v>
      </c>
      <c r="BP232">
        <f t="shared" si="23"/>
        <v>1.2858904625234713</v>
      </c>
    </row>
    <row r="233" spans="1:68" x14ac:dyDescent="0.15">
      <c r="A233" s="5">
        <v>43889</v>
      </c>
      <c r="B233" s="1"/>
      <c r="C233">
        <v>98.85</v>
      </c>
      <c r="D233">
        <v>91.64</v>
      </c>
      <c r="E233">
        <v>77.008099999999999</v>
      </c>
      <c r="G233" s="3">
        <v>-3.6689477178522403E-2</v>
      </c>
      <c r="I233" s="15">
        <f t="shared" si="26"/>
        <v>-2.8596698113207652E-2</v>
      </c>
      <c r="J233" s="15">
        <f t="shared" si="27"/>
        <v>-3.4962089300758142E-2</v>
      </c>
      <c r="K233" s="15">
        <f t="shared" si="28"/>
        <v>-4.4679604975628964E-2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BJ233">
        <f t="shared" si="22"/>
        <v>1.3461177356333162E-3</v>
      </c>
      <c r="BK233">
        <f t="shared" si="24"/>
        <v>1.8235134388693014E-4</v>
      </c>
      <c r="BO233">
        <f t="shared" si="25"/>
        <v>2.9159239016927506E-4</v>
      </c>
      <c r="BP233">
        <f t="shared" si="23"/>
        <v>0.84292007423703907</v>
      </c>
    </row>
    <row r="234" spans="1:68" x14ac:dyDescent="0.15">
      <c r="A234" s="5">
        <v>43892</v>
      </c>
      <c r="B234" s="1"/>
      <c r="C234">
        <v>100.54</v>
      </c>
      <c r="D234">
        <v>93.22</v>
      </c>
      <c r="E234">
        <v>77.718940000000003</v>
      </c>
      <c r="G234" s="3">
        <v>1.2186261195319402E-2</v>
      </c>
      <c r="I234" s="15">
        <f t="shared" si="26"/>
        <v>1.7096611026808418E-2</v>
      </c>
      <c r="J234" s="15">
        <f t="shared" si="27"/>
        <v>1.724137931034481E-2</v>
      </c>
      <c r="K234" s="15">
        <f t="shared" si="28"/>
        <v>9.230717288181433E-3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BJ234">
        <f t="shared" si="22"/>
        <v>1.4850496192054746E-4</v>
      </c>
      <c r="BK234">
        <f t="shared" si="24"/>
        <v>2.5217732739171337E-4</v>
      </c>
      <c r="BO234">
        <f t="shared" si="25"/>
        <v>4.2637306189939166E-4</v>
      </c>
      <c r="BP234">
        <f t="shared" si="23"/>
        <v>2.7870103076391342</v>
      </c>
    </row>
    <row r="235" spans="1:68" x14ac:dyDescent="0.15">
      <c r="A235" s="5">
        <v>43893</v>
      </c>
      <c r="B235" s="1"/>
      <c r="C235">
        <v>103.42</v>
      </c>
      <c r="D235">
        <v>93.18</v>
      </c>
      <c r="E235">
        <v>76.837494000000007</v>
      </c>
      <c r="G235" s="3">
        <v>1.3723991364881201E-2</v>
      </c>
      <c r="I235" s="15">
        <f t="shared" si="26"/>
        <v>2.8645315297394024E-2</v>
      </c>
      <c r="J235" s="15">
        <f t="shared" si="27"/>
        <v>-4.2909246942707621E-4</v>
      </c>
      <c r="K235" s="15">
        <f t="shared" si="28"/>
        <v>-1.1341456792900119E-2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BJ235">
        <f t="shared" si="22"/>
        <v>1.8834793898333377E-4</v>
      </c>
      <c r="BK235">
        <f t="shared" si="24"/>
        <v>2.4595698546344341E-4</v>
      </c>
      <c r="BO235">
        <f t="shared" si="25"/>
        <v>3.6152792867156483E-4</v>
      </c>
      <c r="BP235">
        <f t="shared" si="23"/>
        <v>2.7831583164512623</v>
      </c>
    </row>
    <row r="236" spans="1:68" x14ac:dyDescent="0.15">
      <c r="A236" s="5">
        <v>43894</v>
      </c>
      <c r="B236" s="1"/>
      <c r="C236">
        <v>106.02</v>
      </c>
      <c r="D236">
        <v>93.9</v>
      </c>
      <c r="E236">
        <v>78.401349999999994</v>
      </c>
      <c r="G236" s="3">
        <v>1.62576351639451E-2</v>
      </c>
      <c r="I236" s="15">
        <f t="shared" si="26"/>
        <v>2.5140204989363705E-2</v>
      </c>
      <c r="J236" s="15">
        <f t="shared" si="27"/>
        <v>7.7269800386348874E-3</v>
      </c>
      <c r="K236" s="15">
        <f t="shared" si="28"/>
        <v>2.0352772046417687E-2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BJ236">
        <f t="shared" si="22"/>
        <v>2.6431070112394424E-4</v>
      </c>
      <c r="BK236">
        <f t="shared" si="24"/>
        <v>2.4250044267463684E-4</v>
      </c>
      <c r="BO236">
        <f t="shared" si="25"/>
        <v>3.163392239647163E-4</v>
      </c>
      <c r="BP236">
        <f t="shared" si="23"/>
        <v>2.6926445130850092</v>
      </c>
    </row>
    <row r="237" spans="1:68" x14ac:dyDescent="0.15">
      <c r="A237" s="5">
        <v>43895</v>
      </c>
      <c r="B237" s="1"/>
      <c r="C237">
        <v>105.48</v>
      </c>
      <c r="D237">
        <v>92.38</v>
      </c>
      <c r="E237">
        <v>77.804244999999995</v>
      </c>
      <c r="G237" s="3">
        <v>-1.05173634492904E-2</v>
      </c>
      <c r="I237" s="15">
        <f t="shared" si="26"/>
        <v>-5.0933786078097721E-3</v>
      </c>
      <c r="J237" s="15">
        <f t="shared" si="27"/>
        <v>-1.6187433439829715E-2</v>
      </c>
      <c r="K237" s="15">
        <f t="shared" si="28"/>
        <v>-7.6160040611545484E-3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BJ237">
        <f t="shared" si="22"/>
        <v>1.1061493392446966E-4</v>
      </c>
      <c r="BK237">
        <f t="shared" si="24"/>
        <v>2.4380905818159531E-4</v>
      </c>
      <c r="BO237">
        <f t="shared" si="25"/>
        <v>2.9171279205851303E-4</v>
      </c>
      <c r="BP237">
        <f t="shared" si="23"/>
        <v>2.9613362635181457</v>
      </c>
    </row>
    <row r="238" spans="1:68" x14ac:dyDescent="0.15">
      <c r="A238" s="5">
        <v>43896</v>
      </c>
      <c r="B238" s="1"/>
      <c r="C238">
        <v>101.14</v>
      </c>
      <c r="D238">
        <v>88.98</v>
      </c>
      <c r="E238">
        <v>75.131469999999993</v>
      </c>
      <c r="G238" s="3">
        <v>-4.0099278597113507E-2</v>
      </c>
      <c r="I238" s="15">
        <f t="shared" si="26"/>
        <v>-4.1145240803943904E-2</v>
      </c>
      <c r="J238" s="15">
        <f t="shared" si="27"/>
        <v>-3.680450313920753E-2</v>
      </c>
      <c r="K238" s="15">
        <f t="shared" si="28"/>
        <v>-3.4352560069183906E-2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BJ238">
        <f t="shared" si="22"/>
        <v>1.6079521440089254E-3</v>
      </c>
      <c r="BK238">
        <f t="shared" si="24"/>
        <v>2.3581741072616774E-4</v>
      </c>
      <c r="BO238">
        <f t="shared" si="25"/>
        <v>2.5050696029879697E-4</v>
      </c>
      <c r="BP238">
        <f t="shared" si="23"/>
        <v>1.7677250587241566E-2</v>
      </c>
    </row>
    <row r="239" spans="1:68" x14ac:dyDescent="0.15">
      <c r="A239" s="5">
        <v>43899</v>
      </c>
      <c r="B239" s="1"/>
      <c r="C239">
        <v>97.96</v>
      </c>
      <c r="D239">
        <v>81.680000000000007</v>
      </c>
      <c r="E239">
        <v>72.07011</v>
      </c>
      <c r="G239" s="3">
        <v>-5.5482769586918196E-2</v>
      </c>
      <c r="I239" s="15">
        <f t="shared" si="26"/>
        <v>-3.1441566145936392E-2</v>
      </c>
      <c r="J239" s="15">
        <f t="shared" si="27"/>
        <v>-8.2040908069229007E-2</v>
      </c>
      <c r="K239" s="15">
        <f t="shared" si="28"/>
        <v>-4.0746707072282673E-2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BJ239">
        <f t="shared" si="22"/>
        <v>3.0783377210350546E-3</v>
      </c>
      <c r="BK239">
        <f t="shared" si="24"/>
        <v>3.1814549472313327E-4</v>
      </c>
      <c r="BO239">
        <f t="shared" si="25"/>
        <v>4.3143702681446244E-4</v>
      </c>
      <c r="BP239">
        <f t="shared" si="23"/>
        <v>-0.61228405696221389</v>
      </c>
    </row>
    <row r="240" spans="1:68" x14ac:dyDescent="0.15">
      <c r="A240" s="5">
        <v>43900</v>
      </c>
      <c r="B240" s="1"/>
      <c r="C240">
        <v>96.82</v>
      </c>
      <c r="D240">
        <v>81.66</v>
      </c>
      <c r="E240">
        <v>73.264319999999998</v>
      </c>
      <c r="G240" s="3">
        <v>-7.2358773318792398E-5</v>
      </c>
      <c r="I240" s="15">
        <f t="shared" si="26"/>
        <v>-1.1637403021641493E-2</v>
      </c>
      <c r="J240" s="15">
        <f t="shared" si="27"/>
        <v>-2.448579823703505E-4</v>
      </c>
      <c r="K240" s="15">
        <f t="shared" si="28"/>
        <v>1.657011485066414E-2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BJ240">
        <f t="shared" si="22"/>
        <v>5.235792076200383E-9</v>
      </c>
      <c r="BK240">
        <f t="shared" si="24"/>
        <v>4.8375702830184874E-4</v>
      </c>
      <c r="BO240">
        <f t="shared" si="25"/>
        <v>7.8276733022058153E-4</v>
      </c>
      <c r="BP240">
        <f t="shared" si="23"/>
        <v>2.6573956512986752</v>
      </c>
    </row>
    <row r="241" spans="1:68" x14ac:dyDescent="0.15">
      <c r="A241" s="5">
        <v>43901</v>
      </c>
      <c r="B241" s="1"/>
      <c r="C241">
        <v>96.13</v>
      </c>
      <c r="D241">
        <v>81.599999999999994</v>
      </c>
      <c r="E241">
        <v>73.501273999999995</v>
      </c>
      <c r="G241" s="3">
        <v>-4.7230135846504304E-3</v>
      </c>
      <c r="I241" s="15">
        <f t="shared" si="26"/>
        <v>-7.1266267300144365E-3</v>
      </c>
      <c r="J241" s="15">
        <f t="shared" si="27"/>
        <v>-7.3475385745777957E-4</v>
      </c>
      <c r="K241" s="15">
        <f t="shared" si="28"/>
        <v>3.2342346178876324E-3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BJ241">
        <f t="shared" si="22"/>
        <v>2.2306857320792509E-5</v>
      </c>
      <c r="BK241">
        <f t="shared" si="24"/>
        <v>4.5473192075126234E-4</v>
      </c>
      <c r="BO241">
        <f t="shared" si="25"/>
        <v>6.1992668494269298E-4</v>
      </c>
      <c r="BP241">
        <f t="shared" si="23"/>
        <v>2.7560246067350866</v>
      </c>
    </row>
    <row r="242" spans="1:68" x14ac:dyDescent="0.15">
      <c r="A242" s="5">
        <v>43902</v>
      </c>
      <c r="B242" s="1"/>
      <c r="C242">
        <v>90.13</v>
      </c>
      <c r="D242">
        <v>68.86</v>
      </c>
      <c r="E242">
        <v>66.307525999999996</v>
      </c>
      <c r="G242" s="3">
        <v>-9.6373773428818005E-2</v>
      </c>
      <c r="I242" s="15">
        <f t="shared" si="26"/>
        <v>-6.2415479038801625E-2</v>
      </c>
      <c r="J242" s="15">
        <f t="shared" si="27"/>
        <v>-0.1561274509803921</v>
      </c>
      <c r="K242" s="15">
        <f t="shared" si="28"/>
        <v>-9.7872425993595705E-2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BJ242">
        <f t="shared" si="22"/>
        <v>9.2879042049091465E-3</v>
      </c>
      <c r="BK242">
        <f t="shared" si="24"/>
        <v>4.2878641694543414E-4</v>
      </c>
      <c r="BO242">
        <f t="shared" si="25"/>
        <v>4.9537413305406454E-4</v>
      </c>
      <c r="BP242">
        <f t="shared" si="23"/>
        <v>-6.4884757459806917</v>
      </c>
    </row>
    <row r="243" spans="1:68" x14ac:dyDescent="0.15">
      <c r="A243" s="5">
        <v>43903</v>
      </c>
      <c r="B243" s="1"/>
      <c r="C243">
        <v>90</v>
      </c>
      <c r="D243">
        <v>67.7</v>
      </c>
      <c r="E243">
        <v>67.245840000000001</v>
      </c>
      <c r="G243" s="3">
        <v>1.1743268950527599E-2</v>
      </c>
      <c r="I243" s="15">
        <f t="shared" si="26"/>
        <v>-1.4423610340618602E-3</v>
      </c>
      <c r="J243" s="15">
        <f t="shared" si="27"/>
        <v>-1.6845774034272388E-2</v>
      </c>
      <c r="K243" s="15">
        <f t="shared" si="28"/>
        <v>1.4150942684847049E-2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BJ243">
        <f t="shared" si="22"/>
        <v>1.3790436564442557E-4</v>
      </c>
      <c r="BK243">
        <f t="shared" si="24"/>
        <v>9.6033348422325726E-4</v>
      </c>
      <c r="BO243">
        <f t="shared" si="25"/>
        <v>1.7172858731563747E-3</v>
      </c>
      <c r="BP243">
        <f t="shared" si="23"/>
        <v>2.224414737186549</v>
      </c>
    </row>
    <row r="244" spans="1:68" x14ac:dyDescent="0.15">
      <c r="A244" s="5">
        <v>43906</v>
      </c>
      <c r="B244" s="1"/>
      <c r="C244">
        <v>90</v>
      </c>
      <c r="D244">
        <v>60.22</v>
      </c>
      <c r="E244">
        <v>66.52552</v>
      </c>
      <c r="G244" s="3">
        <v>-1.6789176545306702E-2</v>
      </c>
      <c r="I244" s="15">
        <f t="shared" si="26"/>
        <v>0</v>
      </c>
      <c r="J244" s="15">
        <f t="shared" si="27"/>
        <v>-0.11048744460856726</v>
      </c>
      <c r="K244" s="15">
        <f t="shared" si="28"/>
        <v>-1.0711740681654076E-2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BJ244">
        <f t="shared" si="22"/>
        <v>2.8187644906947667E-4</v>
      </c>
      <c r="BK244">
        <f t="shared" si="24"/>
        <v>9.1098773710852736E-4</v>
      </c>
      <c r="BO244">
        <f t="shared" si="25"/>
        <v>1.3725828561471475E-3</v>
      </c>
      <c r="BP244">
        <f t="shared" si="23"/>
        <v>2.2739109433456122</v>
      </c>
    </row>
    <row r="245" spans="1:68" x14ac:dyDescent="0.15">
      <c r="A245" s="5">
        <v>43907</v>
      </c>
      <c r="B245" s="1"/>
      <c r="C245">
        <v>93.83</v>
      </c>
      <c r="D245">
        <v>58.42</v>
      </c>
      <c r="E245">
        <v>70.079740000000001</v>
      </c>
      <c r="G245" s="3">
        <v>3.2328341162968205E-2</v>
      </c>
      <c r="I245" s="15">
        <f t="shared" si="26"/>
        <v>4.2555555555555534E-2</v>
      </c>
      <c r="J245" s="15">
        <f t="shared" si="27"/>
        <v>-2.989040185984718E-2</v>
      </c>
      <c r="K245" s="15">
        <f t="shared" si="28"/>
        <v>5.3426414404577384E-2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BJ245">
        <f t="shared" si="22"/>
        <v>1.0451216423492645E-3</v>
      </c>
      <c r="BK245">
        <f t="shared" si="24"/>
        <v>8.7324105982618423E-4</v>
      </c>
      <c r="BO245">
        <f t="shared" si="25"/>
        <v>1.1227096420447133E-3</v>
      </c>
      <c r="BP245">
        <f t="shared" si="23"/>
        <v>2.0116204657346799</v>
      </c>
    </row>
    <row r="246" spans="1:68" x14ac:dyDescent="0.15">
      <c r="A246" s="5">
        <v>43908</v>
      </c>
      <c r="B246" s="1"/>
      <c r="C246">
        <v>94.23</v>
      </c>
      <c r="D246">
        <v>54.7</v>
      </c>
      <c r="E246">
        <v>68.259979999999999</v>
      </c>
      <c r="G246" s="3">
        <v>-1.8168281960295001E-2</v>
      </c>
      <c r="I246" s="15">
        <f t="shared" si="26"/>
        <v>4.2630288820207363E-3</v>
      </c>
      <c r="J246" s="15">
        <f t="shared" si="27"/>
        <v>-6.3676823005819908E-2</v>
      </c>
      <c r="K246" s="15">
        <f t="shared" si="28"/>
        <v>-2.596699131589247E-2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BJ246">
        <f t="shared" si="22"/>
        <v>3.3008646938878077E-4</v>
      </c>
      <c r="BK246">
        <f t="shared" si="24"/>
        <v>8.8355389477756902E-4</v>
      </c>
      <c r="BO246">
        <f t="shared" si="25"/>
        <v>1.0354159099869526E-3</v>
      </c>
      <c r="BP246">
        <f t="shared" si="23"/>
        <v>2.3581395014376114</v>
      </c>
    </row>
    <row r="247" spans="1:68" x14ac:dyDescent="0.15">
      <c r="A247" s="5">
        <v>43909</v>
      </c>
      <c r="B247" s="1"/>
      <c r="C247">
        <v>99.8</v>
      </c>
      <c r="D247">
        <v>55.48</v>
      </c>
      <c r="E247">
        <v>71.74785</v>
      </c>
      <c r="G247" s="3">
        <v>5.3185558390044199E-2</v>
      </c>
      <c r="I247" s="15">
        <f t="shared" si="26"/>
        <v>5.9110686617849864E-2</v>
      </c>
      <c r="J247" s="15">
        <f t="shared" si="27"/>
        <v>1.4259597806215612E-2</v>
      </c>
      <c r="K247" s="15">
        <f t="shared" si="28"/>
        <v>5.1096850599721841E-2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BJ247">
        <f t="shared" si="22"/>
        <v>2.8287036212608007E-3</v>
      </c>
      <c r="BK247">
        <f t="shared" si="24"/>
        <v>8.5034584925424166E-4</v>
      </c>
      <c r="BO247">
        <f t="shared" si="25"/>
        <v>8.6510911118699741E-4</v>
      </c>
      <c r="BP247">
        <f t="shared" si="23"/>
        <v>0.97250635207441971</v>
      </c>
    </row>
    <row r="248" spans="1:68" x14ac:dyDescent="0.15">
      <c r="A248" s="5">
        <v>43910</v>
      </c>
      <c r="B248" s="1"/>
      <c r="C248">
        <v>97.98</v>
      </c>
      <c r="D248">
        <v>56.32</v>
      </c>
      <c r="E248">
        <v>70.136604000000005</v>
      </c>
      <c r="G248" s="3">
        <v>-1.8033957882474E-2</v>
      </c>
      <c r="I248" s="15">
        <f t="shared" si="26"/>
        <v>-1.8236472945891716E-2</v>
      </c>
      <c r="J248" s="15">
        <f t="shared" si="27"/>
        <v>1.5140591204037553E-2</v>
      </c>
      <c r="K248" s="15">
        <f t="shared" si="28"/>
        <v>-2.2457063173321488E-2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BJ248">
        <f t="shared" si="22"/>
        <v>3.2522363690684614E-4</v>
      </c>
      <c r="BK248">
        <f t="shared" si="24"/>
        <v>9.6904731557463533E-4</v>
      </c>
      <c r="BO248">
        <f t="shared" si="25"/>
        <v>1.0873775919957127E-3</v>
      </c>
      <c r="BP248">
        <f t="shared" si="23"/>
        <v>2.3435097054414831</v>
      </c>
    </row>
    <row r="249" spans="1:68" x14ac:dyDescent="0.15">
      <c r="A249" s="5">
        <v>43913</v>
      </c>
      <c r="B249" s="1"/>
      <c r="C249">
        <v>91.98</v>
      </c>
      <c r="D249">
        <v>55.8</v>
      </c>
      <c r="E249">
        <v>66.364395000000002</v>
      </c>
      <c r="G249" s="3">
        <v>-5.3696753990092702E-2</v>
      </c>
      <c r="I249" s="15">
        <f t="shared" si="26"/>
        <v>-6.12369871402327E-2</v>
      </c>
      <c r="J249" s="15">
        <f t="shared" si="27"/>
        <v>-9.2329545454546014E-3</v>
      </c>
      <c r="K249" s="15">
        <f t="shared" si="28"/>
        <v>-5.3783741796223888E-2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BJ249">
        <f t="shared" si="22"/>
        <v>2.8833413890725365E-3</v>
      </c>
      <c r="BK249">
        <f t="shared" si="24"/>
        <v>9.3041789485456795E-4</v>
      </c>
      <c r="BO249">
        <f t="shared" si="25"/>
        <v>9.0517418843700072E-4</v>
      </c>
      <c r="BP249">
        <f t="shared" si="23"/>
        <v>0.99205330652875068</v>
      </c>
    </row>
    <row r="250" spans="1:68" x14ac:dyDescent="0.15">
      <c r="A250" s="5">
        <v>43914</v>
      </c>
      <c r="B250" s="1"/>
      <c r="C250">
        <v>94.21</v>
      </c>
      <c r="D250">
        <v>65.14</v>
      </c>
      <c r="E250">
        <v>68.781265000000005</v>
      </c>
      <c r="G250" s="3">
        <v>7.0156621118261306E-2</v>
      </c>
      <c r="I250" s="15">
        <f t="shared" si="26"/>
        <v>2.4244400956729611E-2</v>
      </c>
      <c r="J250" s="15">
        <f t="shared" si="27"/>
        <v>0.16738351254480294</v>
      </c>
      <c r="K250" s="15">
        <f t="shared" si="28"/>
        <v>3.6418172726504973E-2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BJ250">
        <f t="shared" si="22"/>
        <v>4.9219514867312681E-3</v>
      </c>
      <c r="BK250">
        <f t="shared" si="24"/>
        <v>1.0475933045076462E-3</v>
      </c>
      <c r="BO250">
        <f t="shared" si="25"/>
        <v>1.1265853111822788E-3</v>
      </c>
      <c r="BP250">
        <f t="shared" si="23"/>
        <v>0.29088776722583898</v>
      </c>
    </row>
    <row r="251" spans="1:68" x14ac:dyDescent="0.15">
      <c r="A251" s="5">
        <v>43915</v>
      </c>
      <c r="B251" s="1"/>
      <c r="C251">
        <v>96.61</v>
      </c>
      <c r="D251">
        <v>69.34</v>
      </c>
      <c r="E251">
        <v>70.667366000000001</v>
      </c>
      <c r="G251" s="3">
        <v>2.9294789269700101E-2</v>
      </c>
      <c r="I251" s="15">
        <f t="shared" si="26"/>
        <v>2.5475002653646172E-2</v>
      </c>
      <c r="J251" s="15">
        <f t="shared" si="27"/>
        <v>6.4476512127724941E-2</v>
      </c>
      <c r="K251" s="15">
        <f t="shared" si="28"/>
        <v>2.7421725959823454E-2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BJ251">
        <f t="shared" si="22"/>
        <v>8.5818467835613614E-4</v>
      </c>
      <c r="BK251">
        <f t="shared" si="24"/>
        <v>1.2800547954410636E-3</v>
      </c>
      <c r="BO251">
        <f t="shared" si="25"/>
        <v>1.5905947411818193E-3</v>
      </c>
      <c r="BP251">
        <f t="shared" si="23"/>
        <v>2.0331166190902819</v>
      </c>
    </row>
    <row r="252" spans="1:68" x14ac:dyDescent="0.15">
      <c r="A252" s="5">
        <v>43916</v>
      </c>
      <c r="B252" s="1"/>
      <c r="C252">
        <v>98.7</v>
      </c>
      <c r="D252">
        <v>71.400000000000006</v>
      </c>
      <c r="E252">
        <v>72.904160000000005</v>
      </c>
      <c r="G252" s="3">
        <v>2.3897453143643502E-2</v>
      </c>
      <c r="I252" s="15">
        <f t="shared" si="26"/>
        <v>2.1633371286616326E-2</v>
      </c>
      <c r="J252" s="15">
        <f t="shared" si="27"/>
        <v>2.9708681857513731E-2</v>
      </c>
      <c r="K252" s="15">
        <f t="shared" si="28"/>
        <v>3.1652432043384825E-2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BJ252">
        <f t="shared" si="22"/>
        <v>5.7108826675263667E-4</v>
      </c>
      <c r="BK252">
        <f t="shared" si="24"/>
        <v>1.254742588415968E-3</v>
      </c>
      <c r="BO252">
        <f t="shared" si="25"/>
        <v>1.3757914737951556E-3</v>
      </c>
      <c r="BP252">
        <f t="shared" si="23"/>
        <v>2.1678755230305291</v>
      </c>
    </row>
    <row r="253" spans="1:68" x14ac:dyDescent="0.15">
      <c r="A253" s="5">
        <v>43917</v>
      </c>
      <c r="B253" s="1"/>
      <c r="C253">
        <v>97.44</v>
      </c>
      <c r="D253">
        <v>70.680000000000007</v>
      </c>
      <c r="E253">
        <v>72.03219</v>
      </c>
      <c r="G253" s="3">
        <v>-2.25567417543567E-2</v>
      </c>
      <c r="I253" s="15">
        <f t="shared" si="26"/>
        <v>-1.2765957446808562E-2</v>
      </c>
      <c r="J253" s="15">
        <f t="shared" si="27"/>
        <v>-1.0084033613445361E-2</v>
      </c>
      <c r="K253" s="15">
        <f t="shared" si="28"/>
        <v>-1.1960497178761877E-2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BJ253">
        <f t="shared" si="22"/>
        <v>5.08806598572739E-4</v>
      </c>
      <c r="BK253">
        <f t="shared" si="24"/>
        <v>1.213723329116168E-3</v>
      </c>
      <c r="BO253">
        <f t="shared" si="25"/>
        <v>1.1664160154462259E-3</v>
      </c>
      <c r="BP253">
        <f t="shared" si="23"/>
        <v>2.2398643701260013</v>
      </c>
    </row>
    <row r="254" spans="1:68" x14ac:dyDescent="0.15">
      <c r="A254" s="5">
        <v>43920</v>
      </c>
      <c r="B254" s="1"/>
      <c r="C254">
        <v>99.8</v>
      </c>
      <c r="D254">
        <v>70.3</v>
      </c>
      <c r="E254">
        <v>73.738219999999998</v>
      </c>
      <c r="G254" s="3">
        <v>1.9788369020920599E-2</v>
      </c>
      <c r="I254" s="15">
        <f t="shared" si="26"/>
        <v>2.4220032840722491E-2</v>
      </c>
      <c r="J254" s="15">
        <f t="shared" si="27"/>
        <v>-5.376344086021642E-3</v>
      </c>
      <c r="K254" s="15">
        <f t="shared" si="28"/>
        <v>2.3684272267718062E-2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BJ254">
        <f t="shared" si="22"/>
        <v>3.9157954850813006E-4</v>
      </c>
      <c r="BK254">
        <f t="shared" si="24"/>
        <v>1.1714283252835622E-3</v>
      </c>
      <c r="BO254">
        <f t="shared" si="25"/>
        <v>9.9331617374560791E-4</v>
      </c>
      <c r="BP254">
        <f t="shared" si="23"/>
        <v>2.3411850332499191</v>
      </c>
    </row>
    <row r="255" spans="1:68" x14ac:dyDescent="0.15">
      <c r="A255" s="5">
        <v>43921</v>
      </c>
      <c r="B255" s="1"/>
      <c r="C255">
        <v>99.45</v>
      </c>
      <c r="D255">
        <v>74.56</v>
      </c>
      <c r="E255">
        <v>75.681190000000001</v>
      </c>
      <c r="G255" s="3">
        <v>1.49906641391035E-2</v>
      </c>
      <c r="I255" s="15">
        <f t="shared" si="26"/>
        <v>-3.5070140280560554E-3</v>
      </c>
      <c r="J255" s="15">
        <f t="shared" si="27"/>
        <v>6.0597439544808042E-2</v>
      </c>
      <c r="K255" s="15">
        <f t="shared" si="28"/>
        <v>2.6349564716913462E-2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BJ255">
        <f t="shared" si="22"/>
        <v>2.247200113314037E-4</v>
      </c>
      <c r="BK255">
        <f t="shared" si="24"/>
        <v>1.1246373986770362E-3</v>
      </c>
      <c r="BO255">
        <f t="shared" si="25"/>
        <v>8.4084482572998774E-4</v>
      </c>
      <c r="BP255">
        <f t="shared" si="23"/>
        <v>2.4879856638002074</v>
      </c>
    </row>
    <row r="256" spans="1:68" x14ac:dyDescent="0.15">
      <c r="A256" s="5">
        <v>43922</v>
      </c>
      <c r="B256" s="1"/>
      <c r="C256">
        <v>99.84</v>
      </c>
      <c r="D256">
        <v>69.58</v>
      </c>
      <c r="E256">
        <v>74.780789999999996</v>
      </c>
      <c r="G256" s="3">
        <v>-1.53503768094491E-2</v>
      </c>
      <c r="I256" s="15">
        <f t="shared" si="26"/>
        <v>3.9215686274509864E-3</v>
      </c>
      <c r="J256" s="15">
        <f t="shared" si="27"/>
        <v>-6.6791845493562277E-2</v>
      </c>
      <c r="K256" s="15">
        <f t="shared" si="28"/>
        <v>-1.1897275928140199E-2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BJ256">
        <f t="shared" si="22"/>
        <v>2.3563406819207273E-4</v>
      </c>
      <c r="BK256">
        <f t="shared" si="24"/>
        <v>1.0706423554362984E-3</v>
      </c>
      <c r="BO256">
        <f t="shared" si="25"/>
        <v>6.9748536304439887E-4</v>
      </c>
      <c r="BP256">
        <f t="shared" si="23"/>
        <v>2.5461591262487633</v>
      </c>
    </row>
    <row r="257" spans="1:68" x14ac:dyDescent="0.15">
      <c r="A257" s="5">
        <v>43923</v>
      </c>
      <c r="B257" s="1"/>
      <c r="C257">
        <v>101.08</v>
      </c>
      <c r="D257">
        <v>71.5</v>
      </c>
      <c r="E257">
        <v>76.562640000000002</v>
      </c>
      <c r="G257" s="3">
        <v>1.1121830336654199E-2</v>
      </c>
      <c r="I257" s="15">
        <f t="shared" si="26"/>
        <v>1.2419871794871744E-2</v>
      </c>
      <c r="J257" s="15">
        <f t="shared" si="27"/>
        <v>2.7594136246047739E-2</v>
      </c>
      <c r="K257" s="15">
        <f t="shared" si="28"/>
        <v>2.3827643436235505E-2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BJ257">
        <f t="shared" si="22"/>
        <v>1.2369511003732165E-4</v>
      </c>
      <c r="BK257">
        <f t="shared" si="24"/>
        <v>1.0205418582016448E-3</v>
      </c>
      <c r="BO257">
        <f t="shared" si="25"/>
        <v>5.8659161904125578E-4</v>
      </c>
      <c r="BP257">
        <f t="shared" si="23"/>
        <v>2.6962168549255598</v>
      </c>
    </row>
    <row r="258" spans="1:68" x14ac:dyDescent="0.15">
      <c r="A258" s="5">
        <v>43924</v>
      </c>
      <c r="B258" s="1"/>
      <c r="C258">
        <v>102.36</v>
      </c>
      <c r="D258">
        <v>71.180000000000007</v>
      </c>
      <c r="E258">
        <v>77.387214999999998</v>
      </c>
      <c r="G258" s="3">
        <v>-3.07571773088877E-3</v>
      </c>
      <c r="I258" s="15">
        <f t="shared" si="26"/>
        <v>1.2663237039968354E-2</v>
      </c>
      <c r="J258" s="15">
        <f t="shared" si="27"/>
        <v>-4.4755244755243801E-3</v>
      </c>
      <c r="K258" s="15">
        <f t="shared" si="28"/>
        <v>1.0769939490069776E-2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BJ258">
        <f t="shared" ref="BJ258:BJ321" si="29">G258^2</f>
        <v>9.4600395601035646E-6</v>
      </c>
      <c r="BK258">
        <f t="shared" si="24"/>
        <v>9.667310533117853E-4</v>
      </c>
      <c r="BO258">
        <f t="shared" si="25"/>
        <v>4.8366654752393293E-4</v>
      </c>
      <c r="BP258">
        <f t="shared" ref="BP258:BP321" si="30" xml:space="preserve"> -0.5 * (LN(2 * PI()) + LN(BO258) + (BJ258) / BO258)</f>
        <v>2.888339381090856</v>
      </c>
    </row>
    <row r="259" spans="1:68" x14ac:dyDescent="0.15">
      <c r="A259" s="5">
        <v>43927</v>
      </c>
      <c r="B259" s="1"/>
      <c r="C259">
        <v>103.96</v>
      </c>
      <c r="D259">
        <v>74.040000000000006</v>
      </c>
      <c r="E259">
        <v>78.951070000000001</v>
      </c>
      <c r="G259" s="3">
        <v>2.3791711257171898E-2</v>
      </c>
      <c r="I259" s="15">
        <f t="shared" si="26"/>
        <v>1.5631105900742421E-2</v>
      </c>
      <c r="J259" s="15">
        <f t="shared" si="27"/>
        <v>4.017982579376228E-2</v>
      </c>
      <c r="K259" s="15">
        <f t="shared" si="28"/>
        <v>2.0208182966656749E-2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BJ259">
        <f t="shared" si="29"/>
        <v>5.6604552454464008E-4</v>
      </c>
      <c r="BK259">
        <f t="shared" ref="BK259:BK322" si="31">$BM$2 * BK258 + (1 - $BM$2) * BJ258</f>
        <v>9.0929479248668429E-4</v>
      </c>
      <c r="BO259">
        <f t="shared" ref="BO259:BO322" si="32" xml:space="preserve"> $BR$2 + $BS$2 * BJ258 + $BT$2 * BO258</f>
        <v>3.8666492116999575E-4</v>
      </c>
      <c r="BP259">
        <f t="shared" si="30"/>
        <v>2.2780787812849423</v>
      </c>
    </row>
    <row r="260" spans="1:68" x14ac:dyDescent="0.15">
      <c r="A260" s="5">
        <v>43928</v>
      </c>
      <c r="B260" s="1"/>
      <c r="C260">
        <v>103.9</v>
      </c>
      <c r="D260">
        <v>76.819999999999993</v>
      </c>
      <c r="E260">
        <v>78.477180000000004</v>
      </c>
      <c r="G260" s="3">
        <v>5.5236419915018998E-3</v>
      </c>
      <c r="I260" s="15">
        <f t="shared" ref="I260:I323" si="33">(C260-C259)/C259</f>
        <v>-5.7714505579057392E-4</v>
      </c>
      <c r="J260" s="15">
        <f t="shared" ref="J260:J323" si="34">(D260-D259)/D259</f>
        <v>3.7547271745002518E-2</v>
      </c>
      <c r="K260" s="15">
        <f t="shared" ref="K260:K323" si="35">(E260-E259)/E259</f>
        <v>-6.0023252376439898E-3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BJ260">
        <f t="shared" si="29"/>
        <v>3.0510620850283074E-5</v>
      </c>
      <c r="BK260">
        <f t="shared" si="31"/>
        <v>8.8869983641016168E-4</v>
      </c>
      <c r="BO260">
        <f t="shared" si="32"/>
        <v>3.8984790990326625E-4</v>
      </c>
      <c r="BP260">
        <f t="shared" si="30"/>
        <v>2.9668069607035079</v>
      </c>
    </row>
    <row r="261" spans="1:68" x14ac:dyDescent="0.15">
      <c r="A261" s="5">
        <v>43929</v>
      </c>
      <c r="B261" s="1"/>
      <c r="C261">
        <v>104.2</v>
      </c>
      <c r="D261">
        <v>75.599999999999994</v>
      </c>
      <c r="E261">
        <v>78.145449999999997</v>
      </c>
      <c r="G261" s="3">
        <v>-8.6411679291852287E-3</v>
      </c>
      <c r="I261" s="15">
        <f t="shared" si="33"/>
        <v>2.8873917228103671E-3</v>
      </c>
      <c r="J261" s="15">
        <f t="shared" si="34"/>
        <v>-1.5881280916428001E-2</v>
      </c>
      <c r="K261" s="15">
        <f t="shared" si="35"/>
        <v>-4.2270886899861511E-3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BJ261">
        <f t="shared" si="29"/>
        <v>7.466978318037934E-5</v>
      </c>
      <c r="BK261">
        <f t="shared" si="31"/>
        <v>8.3720848347656899E-4</v>
      </c>
      <c r="BO261">
        <f t="shared" si="32"/>
        <v>3.1607359674947128E-4</v>
      </c>
      <c r="BP261">
        <f t="shared" si="30"/>
        <v>2.9927083213652081</v>
      </c>
    </row>
    <row r="262" spans="1:68" x14ac:dyDescent="0.15">
      <c r="A262" s="5">
        <v>43930</v>
      </c>
      <c r="B262" s="1"/>
      <c r="C262">
        <v>102.22</v>
      </c>
      <c r="D262">
        <v>78.12</v>
      </c>
      <c r="E262">
        <v>77.832679999999996</v>
      </c>
      <c r="G262" s="3">
        <v>2.16728211631078E-3</v>
      </c>
      <c r="I262" s="15">
        <f t="shared" si="33"/>
        <v>-1.9001919385796581E-2</v>
      </c>
      <c r="J262" s="15">
        <f t="shared" si="34"/>
        <v>3.3333333333333472E-2</v>
      </c>
      <c r="K262" s="15">
        <f t="shared" si="35"/>
        <v>-4.002408329595651E-3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BJ262">
        <f t="shared" si="29"/>
        <v>4.6971117716805333E-6</v>
      </c>
      <c r="BK262">
        <f t="shared" si="31"/>
        <v>7.9145616145879756E-4</v>
      </c>
      <c r="BO262">
        <f t="shared" si="32"/>
        <v>2.6449574435784945E-4</v>
      </c>
      <c r="BP262">
        <f t="shared" si="30"/>
        <v>3.1910247937196923</v>
      </c>
    </row>
    <row r="263" spans="1:68" x14ac:dyDescent="0.15">
      <c r="A263" s="5">
        <v>43935</v>
      </c>
      <c r="B263" s="1"/>
      <c r="C263">
        <v>103.46</v>
      </c>
      <c r="D263">
        <v>78.14</v>
      </c>
      <c r="E263">
        <v>78.477180000000004</v>
      </c>
      <c r="G263" s="3">
        <v>9.07491620554568E-3</v>
      </c>
      <c r="I263" s="15">
        <f t="shared" si="33"/>
        <v>1.213069849344546E-2</v>
      </c>
      <c r="J263" s="15">
        <f t="shared" si="34"/>
        <v>2.5601638504859216E-4</v>
      </c>
      <c r="K263" s="15">
        <f t="shared" si="35"/>
        <v>8.2805834258823912E-3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BJ263">
        <f t="shared" si="29"/>
        <v>8.2354104137675606E-5</v>
      </c>
      <c r="BK263">
        <f t="shared" si="31"/>
        <v>7.4425061847757049E-4</v>
      </c>
      <c r="BO263">
        <f t="shared" si="32"/>
        <v>2.1407364833600406E-4</v>
      </c>
      <c r="BP263">
        <f t="shared" si="30"/>
        <v>3.1133067585973553</v>
      </c>
    </row>
    <row r="264" spans="1:68" x14ac:dyDescent="0.15">
      <c r="A264" s="5">
        <v>43936</v>
      </c>
      <c r="B264" s="1"/>
      <c r="C264">
        <v>103.28</v>
      </c>
      <c r="D264">
        <v>75.260000000000005</v>
      </c>
      <c r="E264">
        <v>77.927459999999996</v>
      </c>
      <c r="G264" s="3">
        <v>-2.28981933755249E-2</v>
      </c>
      <c r="I264" s="15">
        <f t="shared" si="33"/>
        <v>-1.7398028223467293E-3</v>
      </c>
      <c r="J264" s="15">
        <f t="shared" si="34"/>
        <v>-3.6856923470693567E-2</v>
      </c>
      <c r="K264" s="15">
        <f t="shared" si="35"/>
        <v>-7.0048388588887589E-3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BJ264">
        <f t="shared" si="29"/>
        <v>5.2432725986293238E-4</v>
      </c>
      <c r="BK264">
        <f t="shared" si="31"/>
        <v>7.0453682761717679E-4</v>
      </c>
      <c r="BO264">
        <f t="shared" si="32"/>
        <v>1.8558354771906641E-4</v>
      </c>
      <c r="BP264">
        <f t="shared" si="30"/>
        <v>1.9644193794852558</v>
      </c>
    </row>
    <row r="265" spans="1:68" x14ac:dyDescent="0.15">
      <c r="A265" s="5">
        <v>43937</v>
      </c>
      <c r="B265" s="1"/>
      <c r="C265">
        <v>104.58</v>
      </c>
      <c r="D265">
        <v>75.459999999999994</v>
      </c>
      <c r="E265">
        <v>80.183205000000001</v>
      </c>
      <c r="G265" s="3">
        <v>1.28446279044271E-2</v>
      </c>
      <c r="I265" s="15">
        <f t="shared" si="33"/>
        <v>1.2587141750580918E-2</v>
      </c>
      <c r="J265" s="15">
        <f t="shared" si="34"/>
        <v>2.6574541589156073E-3</v>
      </c>
      <c r="K265" s="15">
        <f t="shared" si="35"/>
        <v>2.8946728149486775E-2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BJ265">
        <f t="shared" si="29"/>
        <v>1.6498446600318731E-4</v>
      </c>
      <c r="BK265">
        <f t="shared" si="31"/>
        <v>6.9372425355192213E-4</v>
      </c>
      <c r="BO265">
        <f t="shared" si="32"/>
        <v>2.2618241652884555E-4</v>
      </c>
      <c r="BP265">
        <f t="shared" si="30"/>
        <v>2.9134303331285274</v>
      </c>
    </row>
    <row r="266" spans="1:68" x14ac:dyDescent="0.15">
      <c r="A266" s="5">
        <v>43938</v>
      </c>
      <c r="B266" s="1"/>
      <c r="C266">
        <v>106.04</v>
      </c>
      <c r="D266">
        <v>77.22</v>
      </c>
      <c r="E266">
        <v>81.510109999999997</v>
      </c>
      <c r="G266" s="3">
        <v>1.83182193202133E-2</v>
      </c>
      <c r="I266" s="15">
        <f t="shared" si="33"/>
        <v>1.3960604322050181E-2</v>
      </c>
      <c r="J266" s="15">
        <f t="shared" si="34"/>
        <v>2.3323615160349923E-2</v>
      </c>
      <c r="K266" s="15">
        <f t="shared" si="35"/>
        <v>1.6548415594013689E-2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BJ266">
        <f t="shared" si="29"/>
        <v>3.3555715906343582E-4</v>
      </c>
      <c r="BK266">
        <f t="shared" si="31"/>
        <v>6.6199986629899806E-4</v>
      </c>
      <c r="BO266">
        <f t="shared" si="32"/>
        <v>2.0684964075256304E-4</v>
      </c>
      <c r="BP266">
        <f t="shared" si="30"/>
        <v>2.5117069576589492</v>
      </c>
    </row>
    <row r="267" spans="1:68" x14ac:dyDescent="0.15">
      <c r="A267" s="5">
        <v>43941</v>
      </c>
      <c r="B267" s="1"/>
      <c r="C267">
        <v>108.36</v>
      </c>
      <c r="D267">
        <v>78.7</v>
      </c>
      <c r="E267">
        <v>83.121350000000007</v>
      </c>
      <c r="G267" s="3">
        <v>1.79386451259488E-2</v>
      </c>
      <c r="I267" s="15">
        <f t="shared" si="33"/>
        <v>2.1878536401357913E-2</v>
      </c>
      <c r="J267" s="15">
        <f t="shared" si="34"/>
        <v>1.9166019166019219E-2</v>
      </c>
      <c r="K267" s="15">
        <f t="shared" si="35"/>
        <v>1.9767363827628368E-2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BJ267">
        <f t="shared" si="29"/>
        <v>3.2179498895472663E-4</v>
      </c>
      <c r="BK267">
        <f t="shared" si="31"/>
        <v>6.4241330386486436E-4</v>
      </c>
      <c r="BO267">
        <f t="shared" si="32"/>
        <v>2.1597841607122123E-4</v>
      </c>
      <c r="BP267">
        <f t="shared" si="30"/>
        <v>2.5562572578680403</v>
      </c>
    </row>
    <row r="268" spans="1:68" x14ac:dyDescent="0.15">
      <c r="A268" s="5">
        <v>43942</v>
      </c>
      <c r="B268" s="1"/>
      <c r="C268">
        <v>104.7</v>
      </c>
      <c r="D268">
        <v>70.36</v>
      </c>
      <c r="E268">
        <v>81.339510000000004</v>
      </c>
      <c r="G268" s="3">
        <v>-2.4262885586949001E-2</v>
      </c>
      <c r="I268" s="15">
        <f t="shared" si="33"/>
        <v>-3.377630121816165E-2</v>
      </c>
      <c r="J268" s="15">
        <f t="shared" si="34"/>
        <v>-0.10597204574332914</v>
      </c>
      <c r="K268" s="15">
        <f t="shared" si="35"/>
        <v>-2.1436610449661879E-2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BJ268">
        <f t="shared" si="29"/>
        <v>5.8868761700537763E-4</v>
      </c>
      <c r="BK268">
        <f t="shared" si="31"/>
        <v>6.2317620497025607E-4</v>
      </c>
      <c r="BO268">
        <f t="shared" si="32"/>
        <v>2.211788232098115E-4</v>
      </c>
      <c r="BP268">
        <f t="shared" si="30"/>
        <v>1.9585353642070706</v>
      </c>
    </row>
    <row r="269" spans="1:68" x14ac:dyDescent="0.15">
      <c r="A269" s="5">
        <v>43943</v>
      </c>
      <c r="B269" s="1"/>
      <c r="C269">
        <v>106.2</v>
      </c>
      <c r="D269">
        <v>68.36</v>
      </c>
      <c r="E269">
        <v>82.031400000000005</v>
      </c>
      <c r="G269" s="3">
        <v>8.66201275890921E-3</v>
      </c>
      <c r="I269" s="15">
        <f t="shared" si="33"/>
        <v>1.4326647564469913E-2</v>
      </c>
      <c r="J269" s="15">
        <f t="shared" si="34"/>
        <v>-2.8425241614553724E-2</v>
      </c>
      <c r="K269" s="15">
        <f t="shared" si="35"/>
        <v>8.5061982792864217E-3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BJ269">
        <f t="shared" si="29"/>
        <v>7.5030465035505944E-5</v>
      </c>
      <c r="BK269">
        <f t="shared" si="31"/>
        <v>6.2110688969236336E-4</v>
      </c>
      <c r="BO269">
        <f t="shared" si="32"/>
        <v>2.6326881089825088E-4</v>
      </c>
      <c r="BP269">
        <f t="shared" si="30"/>
        <v>3.0597311199615973</v>
      </c>
    </row>
    <row r="270" spans="1:68" x14ac:dyDescent="0.15">
      <c r="A270" s="5">
        <v>43944</v>
      </c>
      <c r="B270" s="1"/>
      <c r="C270">
        <v>104.7</v>
      </c>
      <c r="D270">
        <v>67.819999999999993</v>
      </c>
      <c r="E270">
        <v>81.946100000000001</v>
      </c>
      <c r="G270" s="3">
        <v>-5.2710317460258305E-4</v>
      </c>
      <c r="I270" s="15">
        <f t="shared" si="33"/>
        <v>-1.4124293785310734E-2</v>
      </c>
      <c r="J270" s="15">
        <f t="shared" si="34"/>
        <v>-7.8993563487420454E-3</v>
      </c>
      <c r="K270" s="15">
        <f t="shared" si="35"/>
        <v>-1.0398457176154948E-3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BJ270">
        <f t="shared" si="29"/>
        <v>2.7783775667612114E-7</v>
      </c>
      <c r="BK270">
        <f t="shared" si="31"/>
        <v>5.8834230421295187E-4</v>
      </c>
      <c r="BO270">
        <f t="shared" si="32"/>
        <v>2.2312815716924269E-4</v>
      </c>
      <c r="BP270">
        <f t="shared" si="30"/>
        <v>3.2843209978639125</v>
      </c>
    </row>
    <row r="271" spans="1:68" x14ac:dyDescent="0.15">
      <c r="A271" s="5">
        <v>43945</v>
      </c>
      <c r="B271" s="1"/>
      <c r="C271">
        <v>106.56</v>
      </c>
      <c r="D271">
        <v>67.48</v>
      </c>
      <c r="E271">
        <v>81.481679999999997</v>
      </c>
      <c r="G271" s="3">
        <v>1.71969782871705E-5</v>
      </c>
      <c r="I271" s="15">
        <f t="shared" si="33"/>
        <v>1.7765042979942688E-2</v>
      </c>
      <c r="J271" s="15">
        <f t="shared" si="34"/>
        <v>-5.0132704217043531E-3</v>
      </c>
      <c r="K271" s="15">
        <f t="shared" si="35"/>
        <v>-5.6673838047204689E-3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BJ271">
        <f t="shared" si="29"/>
        <v>2.9573606220941361E-10</v>
      </c>
      <c r="BK271">
        <f t="shared" si="31"/>
        <v>5.5305843622557535E-4</v>
      </c>
      <c r="BO271">
        <f t="shared" si="32"/>
        <v>1.8099639531017481E-4</v>
      </c>
      <c r="BP271">
        <f t="shared" si="30"/>
        <v>3.3895773709836896</v>
      </c>
    </row>
    <row r="272" spans="1:68" x14ac:dyDescent="0.15">
      <c r="A272" s="5">
        <v>43948</v>
      </c>
      <c r="B272" s="1"/>
      <c r="C272">
        <v>104.2</v>
      </c>
      <c r="D272">
        <v>69.88</v>
      </c>
      <c r="E272">
        <v>83.434129999999996</v>
      </c>
      <c r="G272" s="3">
        <v>1.3834723251936201E-2</v>
      </c>
      <c r="I272" s="15">
        <f t="shared" si="33"/>
        <v>-2.2147147147147141E-2</v>
      </c>
      <c r="J272" s="15">
        <f t="shared" si="34"/>
        <v>3.5566093657379838E-2</v>
      </c>
      <c r="K272" s="15">
        <f t="shared" si="35"/>
        <v>2.396182798390999E-2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BJ272">
        <f t="shared" si="29"/>
        <v>1.9139956745766417E-4</v>
      </c>
      <c r="BK272">
        <f t="shared" si="31"/>
        <v>5.1987494779620461E-4</v>
      </c>
      <c r="BO272">
        <f t="shared" si="32"/>
        <v>1.4790960611140989E-4</v>
      </c>
      <c r="BP272">
        <f t="shared" si="30"/>
        <v>2.8435007493765063</v>
      </c>
    </row>
    <row r="273" spans="1:68" x14ac:dyDescent="0.15">
      <c r="A273" s="5">
        <v>43949</v>
      </c>
      <c r="B273" s="1"/>
      <c r="C273">
        <v>104.1</v>
      </c>
      <c r="D273">
        <v>72.16</v>
      </c>
      <c r="E273">
        <v>82.220955000000004</v>
      </c>
      <c r="G273" s="3">
        <v>1.33869582378109E-2</v>
      </c>
      <c r="I273" s="15">
        <f t="shared" si="33"/>
        <v>-9.5969289827263461E-4</v>
      </c>
      <c r="J273" s="15">
        <f t="shared" si="34"/>
        <v>3.2627361190612499E-2</v>
      </c>
      <c r="K273" s="15">
        <f t="shared" si="35"/>
        <v>-1.4540512377848161E-2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BJ273">
        <f t="shared" si="29"/>
        <v>1.7921065086089314E-4</v>
      </c>
      <c r="BK273">
        <f t="shared" si="31"/>
        <v>5.0016642497589217E-4</v>
      </c>
      <c r="BO273">
        <f t="shared" si="32"/>
        <v>1.4921614988962987E-4</v>
      </c>
      <c r="BP273">
        <f t="shared" si="30"/>
        <v>2.8856118977482517</v>
      </c>
    </row>
    <row r="274" spans="1:68" x14ac:dyDescent="0.15">
      <c r="A274" s="5">
        <v>43950</v>
      </c>
      <c r="B274" s="1"/>
      <c r="C274">
        <v>102.98</v>
      </c>
      <c r="D274">
        <v>73.739999999999995</v>
      </c>
      <c r="E274">
        <v>80.619190000000003</v>
      </c>
      <c r="G274" s="3">
        <v>-2.4409847177541098E-3</v>
      </c>
      <c r="I274" s="15">
        <f t="shared" si="33"/>
        <v>-1.0758885686839486E-2</v>
      </c>
      <c r="J274" s="15">
        <f t="shared" si="34"/>
        <v>2.1895787139689555E-2</v>
      </c>
      <c r="K274" s="15">
        <f t="shared" si="35"/>
        <v>-1.9481225923488728E-2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BJ274">
        <f t="shared" si="29"/>
        <v>5.958406392309111E-6</v>
      </c>
      <c r="BK274">
        <f t="shared" si="31"/>
        <v>4.8090907852899224E-4</v>
      </c>
      <c r="BO274">
        <f t="shared" si="32"/>
        <v>1.4850502735235766E-4</v>
      </c>
      <c r="BP274">
        <f t="shared" si="30"/>
        <v>3.4684460446050083</v>
      </c>
    </row>
    <row r="275" spans="1:68" x14ac:dyDescent="0.15">
      <c r="A275" s="5">
        <v>43951</v>
      </c>
      <c r="B275" s="1"/>
      <c r="C275">
        <v>101.9</v>
      </c>
      <c r="D275">
        <v>69.66</v>
      </c>
      <c r="E275">
        <v>77.965369999999993</v>
      </c>
      <c r="G275" s="3">
        <v>-2.3913381288141401E-2</v>
      </c>
      <c r="I275" s="15">
        <f t="shared" si="33"/>
        <v>-1.0487473295785572E-2</v>
      </c>
      <c r="J275" s="15">
        <f t="shared" si="34"/>
        <v>-5.5329536208299411E-2</v>
      </c>
      <c r="K275" s="15">
        <f t="shared" si="35"/>
        <v>-3.2917969034419847E-2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BJ275">
        <f t="shared" si="29"/>
        <v>5.7184980463203128E-4</v>
      </c>
      <c r="BK275">
        <f t="shared" si="31"/>
        <v>4.5241203820079124E-4</v>
      </c>
      <c r="BO275">
        <f t="shared" si="32"/>
        <v>1.2327262052772801E-4</v>
      </c>
      <c r="BP275">
        <f t="shared" si="30"/>
        <v>1.2621657748681336</v>
      </c>
    </row>
    <row r="276" spans="1:68" x14ac:dyDescent="0.15">
      <c r="A276" s="5">
        <v>43955</v>
      </c>
      <c r="B276" s="1"/>
      <c r="C276">
        <v>99.81</v>
      </c>
      <c r="D276">
        <v>65.400000000000006</v>
      </c>
      <c r="E276">
        <v>76.344650000000001</v>
      </c>
      <c r="G276" s="3">
        <v>-2.4833191426311001E-2</v>
      </c>
      <c r="I276" s="15">
        <f t="shared" si="33"/>
        <v>-2.0510304219823389E-2</v>
      </c>
      <c r="J276" s="15">
        <f t="shared" si="34"/>
        <v>-6.1154177433247074E-2</v>
      </c>
      <c r="K276" s="15">
        <f t="shared" si="35"/>
        <v>-2.0787690740132338E-2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BJ276">
        <f t="shared" si="29"/>
        <v>6.166873964158062E-4</v>
      </c>
      <c r="BK276">
        <f t="shared" si="31"/>
        <v>4.5957830418666564E-4</v>
      </c>
      <c r="BO276">
        <f t="shared" si="32"/>
        <v>1.8407521484284123E-4</v>
      </c>
      <c r="BP276">
        <f t="shared" si="30"/>
        <v>1.7060482917267259</v>
      </c>
    </row>
    <row r="277" spans="1:68" x14ac:dyDescent="0.15">
      <c r="A277" s="5">
        <v>43956</v>
      </c>
      <c r="B277" s="1"/>
      <c r="C277">
        <v>101.82</v>
      </c>
      <c r="D277">
        <v>65.62</v>
      </c>
      <c r="E277">
        <v>78.13597</v>
      </c>
      <c r="G277" s="3">
        <v>1.29814489464445E-2</v>
      </c>
      <c r="I277" s="15">
        <f t="shared" si="33"/>
        <v>2.0138262699128252E-2</v>
      </c>
      <c r="J277" s="15">
        <f t="shared" si="34"/>
        <v>3.3639143730886671E-3</v>
      </c>
      <c r="K277" s="15">
        <f t="shared" si="35"/>
        <v>2.3463595680902314E-2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BJ277">
        <f t="shared" si="29"/>
        <v>1.6851801674914503E-4</v>
      </c>
      <c r="BK277">
        <f t="shared" si="31"/>
        <v>4.6900484972041406E-4</v>
      </c>
      <c r="BO277">
        <f t="shared" si="32"/>
        <v>2.3815326025484833E-4</v>
      </c>
      <c r="BP277">
        <f t="shared" si="30"/>
        <v>2.8985579210689822</v>
      </c>
    </row>
    <row r="278" spans="1:68" x14ac:dyDescent="0.15">
      <c r="A278" s="5">
        <v>43957</v>
      </c>
      <c r="B278" s="1"/>
      <c r="C278">
        <v>102.78</v>
      </c>
      <c r="D278">
        <v>65.400000000000006</v>
      </c>
      <c r="E278">
        <v>79.263840000000002</v>
      </c>
      <c r="G278" s="3">
        <v>6.2576194944516904E-3</v>
      </c>
      <c r="I278" s="15">
        <f t="shared" si="33"/>
        <v>9.4284030642310755E-3</v>
      </c>
      <c r="J278" s="15">
        <f t="shared" si="34"/>
        <v>-3.3526363913440847E-3</v>
      </c>
      <c r="K278" s="15">
        <f t="shared" si="35"/>
        <v>1.4434709135881995E-2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BJ278">
        <f t="shared" si="29"/>
        <v>3.9157801737341831E-5</v>
      </c>
      <c r="BK278">
        <f t="shared" si="31"/>
        <v>4.509756397421379E-4</v>
      </c>
      <c r="BO278">
        <f t="shared" si="32"/>
        <v>2.1674256598187768E-4</v>
      </c>
      <c r="BP278">
        <f t="shared" si="30"/>
        <v>3.2091290731055615</v>
      </c>
    </row>
    <row r="279" spans="1:68" x14ac:dyDescent="0.15">
      <c r="A279" s="5">
        <v>43958</v>
      </c>
      <c r="B279" s="1"/>
      <c r="C279">
        <v>103.78</v>
      </c>
      <c r="D279">
        <v>66.680000000000007</v>
      </c>
      <c r="E279">
        <v>78.837339999999998</v>
      </c>
      <c r="G279" s="3">
        <v>4.8357987986975496E-3</v>
      </c>
      <c r="I279" s="15">
        <f t="shared" si="33"/>
        <v>9.7295193617435299E-3</v>
      </c>
      <c r="J279" s="15">
        <f t="shared" si="34"/>
        <v>1.9571865443425093E-2</v>
      </c>
      <c r="K279" s="15">
        <f t="shared" si="35"/>
        <v>-5.3807637883807333E-3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BJ279">
        <f t="shared" si="29"/>
        <v>2.3384950021484663E-5</v>
      </c>
      <c r="BK279">
        <f t="shared" si="31"/>
        <v>4.2626656946185009E-4</v>
      </c>
      <c r="BO279">
        <f t="shared" si="32"/>
        <v>1.8152496464662941E-4</v>
      </c>
      <c r="BP279">
        <f t="shared" si="30"/>
        <v>3.323707660298949</v>
      </c>
    </row>
    <row r="280" spans="1:68" x14ac:dyDescent="0.15">
      <c r="A280" s="5">
        <v>43959</v>
      </c>
      <c r="B280" s="1"/>
      <c r="C280">
        <v>105</v>
      </c>
      <c r="D280">
        <v>66.400000000000006</v>
      </c>
      <c r="E280">
        <v>78.372924999999995</v>
      </c>
      <c r="G280" s="3">
        <v>4.9247194319648104E-3</v>
      </c>
      <c r="I280" s="15">
        <f t="shared" si="33"/>
        <v>1.1755636924262852E-2</v>
      </c>
      <c r="J280" s="15">
        <f t="shared" si="34"/>
        <v>-4.1991601679664233E-3</v>
      </c>
      <c r="K280" s="15">
        <f t="shared" si="35"/>
        <v>-5.8907999686443309E-3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BJ280">
        <f t="shared" si="29"/>
        <v>2.4252861483571804E-5</v>
      </c>
      <c r="BK280">
        <f t="shared" si="31"/>
        <v>4.0209367229542816E-4</v>
      </c>
      <c r="BO280">
        <f t="shared" si="32"/>
        <v>1.5165465158186922E-4</v>
      </c>
      <c r="BP280">
        <f t="shared" si="30"/>
        <v>3.3980529694438499</v>
      </c>
    </row>
    <row r="281" spans="1:68" x14ac:dyDescent="0.15">
      <c r="A281" s="5">
        <v>43962</v>
      </c>
      <c r="B281" s="1"/>
      <c r="C281">
        <v>105.58</v>
      </c>
      <c r="D281">
        <v>65.959999999999994</v>
      </c>
      <c r="E281">
        <v>79.282799999999995</v>
      </c>
      <c r="G281" s="3">
        <v>2.5198929955205702E-3</v>
      </c>
      <c r="I281" s="15">
        <f t="shared" si="33"/>
        <v>5.5238095238095072E-3</v>
      </c>
      <c r="J281" s="15">
        <f t="shared" si="34"/>
        <v>-6.6265060240965649E-3</v>
      </c>
      <c r="K281" s="15">
        <f t="shared" si="35"/>
        <v>1.1609557765006214E-2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BJ281">
        <f t="shared" si="29"/>
        <v>6.3498607088736325E-6</v>
      </c>
      <c r="BK281">
        <f t="shared" si="31"/>
        <v>3.794232236467168E-4</v>
      </c>
      <c r="BO281">
        <f t="shared" si="32"/>
        <v>1.2834861880958273E-4</v>
      </c>
      <c r="BP281">
        <f t="shared" si="30"/>
        <v>3.53670490200044</v>
      </c>
    </row>
    <row r="282" spans="1:68" x14ac:dyDescent="0.15">
      <c r="A282" s="5">
        <v>43963</v>
      </c>
      <c r="B282" s="1"/>
      <c r="C282">
        <v>106.18</v>
      </c>
      <c r="D282">
        <v>65.48</v>
      </c>
      <c r="E282">
        <v>79.443923999999996</v>
      </c>
      <c r="G282" s="3">
        <v>4.5230525269610499E-3</v>
      </c>
      <c r="I282" s="15">
        <f t="shared" si="33"/>
        <v>5.6828944875924282E-3</v>
      </c>
      <c r="J282" s="15">
        <f t="shared" si="34"/>
        <v>-7.2771376591872321E-3</v>
      </c>
      <c r="K282" s="15">
        <f t="shared" si="35"/>
        <v>2.0322692942227184E-3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BJ282">
        <f t="shared" si="29"/>
        <v>2.0458004161648741E-5</v>
      </c>
      <c r="BK282">
        <f t="shared" si="31"/>
        <v>3.5703882187044622E-4</v>
      </c>
      <c r="BO282">
        <f t="shared" si="32"/>
        <v>1.0751811159619998E-4</v>
      </c>
      <c r="BP282">
        <f t="shared" si="30"/>
        <v>3.5548496101373526</v>
      </c>
    </row>
    <row r="283" spans="1:68" x14ac:dyDescent="0.15">
      <c r="A283" s="5">
        <v>43964</v>
      </c>
      <c r="B283" s="1"/>
      <c r="C283">
        <v>105.36</v>
      </c>
      <c r="D283">
        <v>62</v>
      </c>
      <c r="E283">
        <v>78.761510000000001</v>
      </c>
      <c r="G283" s="3">
        <v>-1.0469752992891499E-2</v>
      </c>
      <c r="I283" s="15">
        <f t="shared" si="33"/>
        <v>-7.7227349783387392E-3</v>
      </c>
      <c r="J283" s="15">
        <f t="shared" si="34"/>
        <v>-5.3145998778252962E-2</v>
      </c>
      <c r="K283" s="15">
        <f t="shared" si="35"/>
        <v>-8.5898828461695113E-3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BJ283">
        <f t="shared" si="29"/>
        <v>1.0961572773216049E-4</v>
      </c>
      <c r="BK283">
        <f t="shared" si="31"/>
        <v>3.3684397280791834E-4</v>
      </c>
      <c r="BO283">
        <f t="shared" si="32"/>
        <v>9.3188387402093874E-5</v>
      </c>
      <c r="BP283">
        <f t="shared" si="30"/>
        <v>3.1333646977600629</v>
      </c>
    </row>
    <row r="284" spans="1:68" x14ac:dyDescent="0.15">
      <c r="A284" s="5">
        <v>43965</v>
      </c>
      <c r="B284" s="1"/>
      <c r="C284">
        <v>103.14</v>
      </c>
      <c r="D284">
        <v>60.26</v>
      </c>
      <c r="E284">
        <v>76.771150000000006</v>
      </c>
      <c r="G284" s="3">
        <v>-1.9050068648805801E-2</v>
      </c>
      <c r="I284" s="15">
        <f t="shared" si="33"/>
        <v>-2.1070615034168554E-2</v>
      </c>
      <c r="J284" s="15">
        <f t="shared" si="34"/>
        <v>-2.8064516129032289E-2</v>
      </c>
      <c r="K284" s="15">
        <f t="shared" si="35"/>
        <v>-2.5270719162189696E-2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BJ284">
        <f t="shared" si="29"/>
        <v>3.6290511552421369E-4</v>
      </c>
      <c r="BK284">
        <f t="shared" si="31"/>
        <v>3.2321027810337289E-4</v>
      </c>
      <c r="BO284">
        <f t="shared" si="32"/>
        <v>9.4646315085926034E-5</v>
      </c>
      <c r="BP284">
        <f t="shared" si="30"/>
        <v>1.7965787477237432</v>
      </c>
    </row>
    <row r="285" spans="1:68" x14ac:dyDescent="0.15">
      <c r="A285" s="5">
        <v>43966</v>
      </c>
      <c r="B285" s="1"/>
      <c r="C285">
        <v>103.88</v>
      </c>
      <c r="D285">
        <v>59.46</v>
      </c>
      <c r="E285">
        <v>76.922799999999995</v>
      </c>
      <c r="G285" s="3">
        <v>3.6995528943204398E-3</v>
      </c>
      <c r="I285" s="15">
        <f t="shared" si="33"/>
        <v>7.1747139809966538E-3</v>
      </c>
      <c r="J285" s="15">
        <f t="shared" si="34"/>
        <v>-1.3275804845668721E-2</v>
      </c>
      <c r="K285" s="15">
        <f t="shared" si="35"/>
        <v>1.9753514178176227E-3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BJ285">
        <f t="shared" si="29"/>
        <v>1.3686691617874744E-5</v>
      </c>
      <c r="BK285">
        <f t="shared" si="31"/>
        <v>3.2559196834862337E-4</v>
      </c>
      <c r="BO285">
        <f t="shared" si="32"/>
        <v>1.3186340511326766E-4</v>
      </c>
      <c r="BP285">
        <f t="shared" si="30"/>
        <v>3.4960362246331047</v>
      </c>
    </row>
    <row r="286" spans="1:68" x14ac:dyDescent="0.15">
      <c r="A286" s="5">
        <v>43969</v>
      </c>
      <c r="B286" s="1"/>
      <c r="C286">
        <v>105.08</v>
      </c>
      <c r="D286">
        <v>62.96</v>
      </c>
      <c r="E286">
        <v>78.240234000000001</v>
      </c>
      <c r="G286" s="3">
        <v>2.7171432561821297E-2</v>
      </c>
      <c r="I286" s="15">
        <f t="shared" si="33"/>
        <v>1.1551790527531795E-2</v>
      </c>
      <c r="J286" s="15">
        <f t="shared" si="34"/>
        <v>5.8863101244534137E-2</v>
      </c>
      <c r="K286" s="15">
        <f t="shared" si="35"/>
        <v>1.7126703656133238E-2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BJ286">
        <f t="shared" si="29"/>
        <v>7.3828674746160259E-4</v>
      </c>
      <c r="BK286">
        <f t="shared" si="31"/>
        <v>3.0687765174477842E-4</v>
      </c>
      <c r="BO286">
        <f t="shared" si="32"/>
        <v>1.1131994836963335E-4</v>
      </c>
      <c r="BP286">
        <f t="shared" si="30"/>
        <v>0.31655479339465176</v>
      </c>
    </row>
    <row r="287" spans="1:68" x14ac:dyDescent="0.15">
      <c r="A287" s="5">
        <v>43970</v>
      </c>
      <c r="B287" s="1"/>
      <c r="C287">
        <v>105.44</v>
      </c>
      <c r="D287">
        <v>62.2</v>
      </c>
      <c r="E287">
        <v>78.486660000000001</v>
      </c>
      <c r="G287" s="3">
        <v>2.4092660317103203E-3</v>
      </c>
      <c r="I287" s="15">
        <f t="shared" si="33"/>
        <v>3.4259611724400405E-3</v>
      </c>
      <c r="J287" s="15">
        <f t="shared" si="34"/>
        <v>-1.2071156289707719E-2</v>
      </c>
      <c r="K287" s="15">
        <f t="shared" si="35"/>
        <v>3.1496071445798537E-3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BJ287">
        <f t="shared" si="29"/>
        <v>5.804562811553194E-6</v>
      </c>
      <c r="BK287">
        <f t="shared" si="31"/>
        <v>3.3276219748778791E-4</v>
      </c>
      <c r="BO287">
        <f t="shared" si="32"/>
        <v>1.9840377279333238E-4</v>
      </c>
      <c r="BP287">
        <f t="shared" si="30"/>
        <v>3.329036484060262</v>
      </c>
    </row>
    <row r="288" spans="1:68" x14ac:dyDescent="0.15">
      <c r="A288" s="5">
        <v>43971</v>
      </c>
      <c r="B288" s="1"/>
      <c r="C288">
        <v>104.92</v>
      </c>
      <c r="D288">
        <v>62.26</v>
      </c>
      <c r="E288">
        <v>78.628820000000005</v>
      </c>
      <c r="G288" s="3">
        <v>2.7261565407783401E-3</v>
      </c>
      <c r="I288" s="15">
        <f t="shared" si="33"/>
        <v>-4.9317147192715861E-3</v>
      </c>
      <c r="J288" s="15">
        <f t="shared" si="34"/>
        <v>9.6463022508030808E-4</v>
      </c>
      <c r="K288" s="15">
        <f t="shared" si="35"/>
        <v>1.8112632133919836E-3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BJ288">
        <f t="shared" si="29"/>
        <v>7.431929484828525E-6</v>
      </c>
      <c r="BK288">
        <f t="shared" si="31"/>
        <v>3.1314473940721385E-4</v>
      </c>
      <c r="BO288">
        <f t="shared" si="32"/>
        <v>1.6239022911730433E-4</v>
      </c>
      <c r="BP288">
        <f t="shared" si="30"/>
        <v>3.4209326825260673</v>
      </c>
    </row>
    <row r="289" spans="1:68" x14ac:dyDescent="0.15">
      <c r="A289" s="5">
        <v>43973</v>
      </c>
      <c r="B289" s="1"/>
      <c r="C289">
        <v>102.96</v>
      </c>
      <c r="D289">
        <v>61.9</v>
      </c>
      <c r="E289">
        <v>77.88955</v>
      </c>
      <c r="G289" s="3">
        <v>-1.04042232079539E-2</v>
      </c>
      <c r="I289" s="15">
        <f t="shared" si="33"/>
        <v>-1.8680899733130078E-2</v>
      </c>
      <c r="J289" s="15">
        <f t="shared" si="34"/>
        <v>-5.78220366206231E-3</v>
      </c>
      <c r="K289" s="15">
        <f t="shared" si="35"/>
        <v>-9.4020233293594484E-3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BJ289">
        <f t="shared" si="29"/>
        <v>1.0824786056092654E-4</v>
      </c>
      <c r="BK289">
        <f t="shared" si="31"/>
        <v>2.948019708118707E-4</v>
      </c>
      <c r="BO289">
        <f t="shared" si="32"/>
        <v>1.3437373812752831E-4</v>
      </c>
      <c r="BP289">
        <f t="shared" si="30"/>
        <v>3.1357177222882342</v>
      </c>
    </row>
    <row r="290" spans="1:68" x14ac:dyDescent="0.15">
      <c r="A290" s="5">
        <v>43977</v>
      </c>
      <c r="B290" s="1"/>
      <c r="C290">
        <v>102.58</v>
      </c>
      <c r="D290">
        <v>66.2</v>
      </c>
      <c r="E290">
        <v>77.984319999999997</v>
      </c>
      <c r="G290" s="3">
        <v>1.4639233539331199E-2</v>
      </c>
      <c r="I290" s="15">
        <f t="shared" si="33"/>
        <v>-3.6907536907536467E-3</v>
      </c>
      <c r="J290" s="15">
        <f t="shared" si="34"/>
        <v>6.946688206785144E-2</v>
      </c>
      <c r="K290" s="15">
        <f t="shared" si="35"/>
        <v>1.2167229108397328E-3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BJ290">
        <f t="shared" si="29"/>
        <v>2.1430715861907947E-4</v>
      </c>
      <c r="BK290">
        <f t="shared" si="31"/>
        <v>2.8360872419681403E-4</v>
      </c>
      <c r="BO290">
        <f t="shared" si="32"/>
        <v>1.2675641994958008E-4</v>
      </c>
      <c r="BP290">
        <f t="shared" si="30"/>
        <v>2.7223327866984208</v>
      </c>
    </row>
    <row r="291" spans="1:68" x14ac:dyDescent="0.15">
      <c r="A291" s="5">
        <v>43978</v>
      </c>
      <c r="B291" s="1"/>
      <c r="C291">
        <v>101.32</v>
      </c>
      <c r="D291">
        <v>67.599999999999994</v>
      </c>
      <c r="E291">
        <v>76.941760000000002</v>
      </c>
      <c r="G291" s="3">
        <v>-1.16276494461354E-2</v>
      </c>
      <c r="I291" s="15">
        <f t="shared" si="33"/>
        <v>-1.2283096120101434E-2</v>
      </c>
      <c r="J291" s="15">
        <f t="shared" si="34"/>
        <v>2.1148036253776304E-2</v>
      </c>
      <c r="K291" s="15">
        <f t="shared" si="35"/>
        <v>-1.3368841326051118E-2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BJ291">
        <f t="shared" si="29"/>
        <v>1.3520223164221288E-4</v>
      </c>
      <c r="BK291">
        <f t="shared" si="31"/>
        <v>2.7945063026214991E-4</v>
      </c>
      <c r="BO291">
        <f t="shared" si="32"/>
        <v>1.3588654216707783E-4</v>
      </c>
      <c r="BP291">
        <f t="shared" si="30"/>
        <v>3.0354245494977699</v>
      </c>
    </row>
    <row r="292" spans="1:68" x14ac:dyDescent="0.15">
      <c r="A292" s="5">
        <v>43979</v>
      </c>
      <c r="B292" s="1"/>
      <c r="C292">
        <v>102.84</v>
      </c>
      <c r="D292">
        <v>67.2</v>
      </c>
      <c r="E292">
        <v>79.026889999999995</v>
      </c>
      <c r="G292" s="3">
        <v>2.15631067329888E-2</v>
      </c>
      <c r="I292" s="15">
        <f t="shared" si="33"/>
        <v>1.5001973943940095E-2</v>
      </c>
      <c r="J292" s="15">
        <f t="shared" si="34"/>
        <v>-5.9171597633134836E-3</v>
      </c>
      <c r="K292" s="15">
        <f t="shared" si="35"/>
        <v>2.7100107925786886E-2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BJ292">
        <f t="shared" si="29"/>
        <v>4.6496757197826694E-4</v>
      </c>
      <c r="BK292">
        <f t="shared" si="31"/>
        <v>2.7079572634495369E-4</v>
      </c>
      <c r="BO292">
        <f t="shared" si="32"/>
        <v>1.3178187801418575E-4</v>
      </c>
      <c r="BP292">
        <f t="shared" si="30"/>
        <v>1.7840867239497129</v>
      </c>
    </row>
    <row r="293" spans="1:68" x14ac:dyDescent="0.15">
      <c r="A293" s="5">
        <v>43980</v>
      </c>
      <c r="B293" s="1"/>
      <c r="C293">
        <v>103.86</v>
      </c>
      <c r="D293">
        <v>65.12</v>
      </c>
      <c r="E293">
        <v>78.695170000000005</v>
      </c>
      <c r="G293" s="3">
        <v>-9.5248097636133604E-3</v>
      </c>
      <c r="I293" s="15">
        <f t="shared" si="33"/>
        <v>9.9183197199532863E-3</v>
      </c>
      <c r="J293" s="15">
        <f t="shared" si="34"/>
        <v>-3.0952380952380926E-2</v>
      </c>
      <c r="K293" s="15">
        <f t="shared" si="35"/>
        <v>-4.1975585778459721E-3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BJ293">
        <f t="shared" si="29"/>
        <v>9.0722001033024404E-5</v>
      </c>
      <c r="BK293">
        <f t="shared" si="31"/>
        <v>2.8244603708295248E-4</v>
      </c>
      <c r="BO293">
        <f t="shared" si="32"/>
        <v>1.7552750842633858E-4</v>
      </c>
      <c r="BP293">
        <f t="shared" si="30"/>
        <v>3.146492126095946</v>
      </c>
    </row>
    <row r="294" spans="1:68" x14ac:dyDescent="0.15">
      <c r="A294" s="5">
        <v>43984</v>
      </c>
      <c r="B294" s="1"/>
      <c r="C294">
        <v>102.92</v>
      </c>
      <c r="D294">
        <v>69.88</v>
      </c>
      <c r="E294">
        <v>78.278139999999993</v>
      </c>
      <c r="G294" s="3">
        <v>1.2201359950794599E-2</v>
      </c>
      <c r="I294" s="15">
        <f t="shared" si="33"/>
        <v>-9.050645099171941E-3</v>
      </c>
      <c r="J294" s="15">
        <f t="shared" si="34"/>
        <v>7.3095823095822951E-2</v>
      </c>
      <c r="K294" s="15">
        <f t="shared" si="35"/>
        <v>-5.2993087123391572E-3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BJ294">
        <f t="shared" si="29"/>
        <v>1.4887318464885439E-4</v>
      </c>
      <c r="BK294">
        <f t="shared" si="31"/>
        <v>2.7094259491995681E-4</v>
      </c>
      <c r="BO294">
        <f t="shared" si="32"/>
        <v>1.5654052947329712E-4</v>
      </c>
      <c r="BP294">
        <f t="shared" si="30"/>
        <v>2.9866492374881659</v>
      </c>
    </row>
    <row r="295" spans="1:68" x14ac:dyDescent="0.15">
      <c r="A295" s="5">
        <v>43985</v>
      </c>
      <c r="B295" s="1"/>
      <c r="C295">
        <v>103.86</v>
      </c>
      <c r="D295">
        <v>75.62</v>
      </c>
      <c r="E295">
        <v>78.17389</v>
      </c>
      <c r="G295" s="3">
        <v>2.3345594745300201E-2</v>
      </c>
      <c r="I295" s="15">
        <f t="shared" si="33"/>
        <v>9.1333074232413311E-3</v>
      </c>
      <c r="J295" s="15">
        <f t="shared" si="34"/>
        <v>8.2140812821980672E-2</v>
      </c>
      <c r="K295" s="15">
        <f t="shared" si="35"/>
        <v>-1.3317894369998227E-3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BJ295">
        <f t="shared" si="29"/>
        <v>5.4501679401178834E-4</v>
      </c>
      <c r="BK295">
        <f t="shared" si="31"/>
        <v>2.6361843030369065E-4</v>
      </c>
      <c r="BO295">
        <f t="shared" si="32"/>
        <v>1.4992944789463906E-4</v>
      </c>
      <c r="BP295">
        <f t="shared" si="30"/>
        <v>1.6661567882181232</v>
      </c>
    </row>
    <row r="296" spans="1:68" x14ac:dyDescent="0.15">
      <c r="A296" s="5">
        <v>43986</v>
      </c>
      <c r="B296" s="1"/>
      <c r="C296">
        <v>102.76</v>
      </c>
      <c r="D296">
        <v>75.98</v>
      </c>
      <c r="E296">
        <v>77.500945999999999</v>
      </c>
      <c r="G296" s="3">
        <v>-1.06135838120738E-2</v>
      </c>
      <c r="I296" s="15">
        <f t="shared" si="33"/>
        <v>-1.0591180435201178E-2</v>
      </c>
      <c r="J296" s="15">
        <f t="shared" si="34"/>
        <v>4.7606453319227636E-3</v>
      </c>
      <c r="K296" s="15">
        <f t="shared" si="35"/>
        <v>-8.6082961971062338E-3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BJ296">
        <f t="shared" si="29"/>
        <v>1.1264816133591502E-4</v>
      </c>
      <c r="BK296">
        <f t="shared" si="31"/>
        <v>2.8050233212617657E-4</v>
      </c>
      <c r="BO296">
        <f t="shared" si="32"/>
        <v>2.0116270317386864E-4</v>
      </c>
      <c r="BP296">
        <f t="shared" si="30"/>
        <v>3.0567670596475325</v>
      </c>
    </row>
    <row r="297" spans="1:68" x14ac:dyDescent="0.15">
      <c r="A297" s="5">
        <v>43987</v>
      </c>
      <c r="B297" s="1"/>
      <c r="C297">
        <v>102.6</v>
      </c>
      <c r="D297">
        <v>77.86</v>
      </c>
      <c r="E297">
        <v>78.704650000000001</v>
      </c>
      <c r="G297" s="3">
        <v>1.1382368901027499E-2</v>
      </c>
      <c r="I297" s="15">
        <f t="shared" si="33"/>
        <v>-1.5570260801869482E-3</v>
      </c>
      <c r="J297" s="15">
        <f t="shared" si="34"/>
        <v>2.4743353514082592E-2</v>
      </c>
      <c r="K297" s="15">
        <f t="shared" si="35"/>
        <v>1.5531474931931823E-2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BJ297">
        <f t="shared" si="29"/>
        <v>1.2955832179907797E-4</v>
      </c>
      <c r="BK297">
        <f t="shared" si="31"/>
        <v>2.7043108187876084E-4</v>
      </c>
      <c r="BO297">
        <f t="shared" si="32"/>
        <v>1.79770961145823E-4</v>
      </c>
      <c r="BP297">
        <f t="shared" si="30"/>
        <v>3.0326322034453299</v>
      </c>
    </row>
    <row r="298" spans="1:68" x14ac:dyDescent="0.15">
      <c r="A298" s="5">
        <v>43990</v>
      </c>
      <c r="B298" s="1"/>
      <c r="C298">
        <v>103.54</v>
      </c>
      <c r="D298">
        <v>78.52</v>
      </c>
      <c r="E298">
        <v>78.154929999999993</v>
      </c>
      <c r="G298" s="3">
        <v>-3.6892052177371899E-3</v>
      </c>
      <c r="I298" s="15">
        <f t="shared" si="33"/>
        <v>9.1617933723198049E-3</v>
      </c>
      <c r="J298" s="15">
        <f t="shared" si="34"/>
        <v>8.476753146673472E-3</v>
      </c>
      <c r="K298" s="15">
        <f t="shared" si="35"/>
        <v>-6.9845936675915305E-3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BJ298">
        <f t="shared" si="29"/>
        <v>1.3610235138579306E-5</v>
      </c>
      <c r="BK298">
        <f t="shared" si="31"/>
        <v>2.6197871627397986E-4</v>
      </c>
      <c r="BO298">
        <f t="shared" si="32"/>
        <v>1.654000800422411E-4</v>
      </c>
      <c r="BP298">
        <f t="shared" si="30"/>
        <v>3.393489737208228</v>
      </c>
    </row>
    <row r="299" spans="1:68" x14ac:dyDescent="0.15">
      <c r="A299" s="5">
        <v>43991</v>
      </c>
      <c r="B299" s="1"/>
      <c r="C299">
        <v>105.36</v>
      </c>
      <c r="D299">
        <v>77.5</v>
      </c>
      <c r="E299">
        <v>79.747214999999997</v>
      </c>
      <c r="G299" s="3">
        <v>3.1560789123477001E-3</v>
      </c>
      <c r="I299" s="15">
        <f t="shared" si="33"/>
        <v>1.7577747730345695E-2</v>
      </c>
      <c r="J299" s="15">
        <f t="shared" si="34"/>
        <v>-1.2990320937340755E-2</v>
      </c>
      <c r="K299" s="15">
        <f t="shared" si="35"/>
        <v>2.0373442852549471E-2</v>
      </c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BJ299">
        <f t="shared" si="29"/>
        <v>9.960834100965842E-6</v>
      </c>
      <c r="BK299">
        <f t="shared" si="31"/>
        <v>2.470766074058558E-4</v>
      </c>
      <c r="BO299">
        <f t="shared" si="32"/>
        <v>1.3761451689928763E-4</v>
      </c>
      <c r="BP299">
        <f t="shared" si="30"/>
        <v>3.4903974622785441</v>
      </c>
    </row>
    <row r="300" spans="1:68" x14ac:dyDescent="0.15">
      <c r="A300" s="5">
        <v>43992</v>
      </c>
      <c r="B300" s="1"/>
      <c r="C300">
        <v>105.26</v>
      </c>
      <c r="D300">
        <v>76.78</v>
      </c>
      <c r="E300">
        <v>79.330185</v>
      </c>
      <c r="G300" s="3">
        <v>-3.69524019764244E-3</v>
      </c>
      <c r="I300" s="15">
        <f t="shared" si="33"/>
        <v>-9.4912680334087245E-4</v>
      </c>
      <c r="J300" s="15">
        <f t="shared" si="34"/>
        <v>-9.2903225806451467E-3</v>
      </c>
      <c r="K300" s="15">
        <f t="shared" si="35"/>
        <v>-5.2293989200751009E-3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BJ300">
        <f t="shared" si="29"/>
        <v>1.3654800118272539E-5</v>
      </c>
      <c r="BK300">
        <f t="shared" si="31"/>
        <v>2.3284966100756241E-4</v>
      </c>
      <c r="BO300">
        <f t="shared" si="32"/>
        <v>1.1530036130958365E-4</v>
      </c>
      <c r="BP300">
        <f t="shared" si="30"/>
        <v>3.5558324265975005</v>
      </c>
    </row>
    <row r="301" spans="1:68" x14ac:dyDescent="0.15">
      <c r="A301" s="5">
        <v>43993</v>
      </c>
      <c r="B301" s="1"/>
      <c r="C301">
        <v>103.5</v>
      </c>
      <c r="D301">
        <v>73.38</v>
      </c>
      <c r="E301">
        <v>76.884889999999999</v>
      </c>
      <c r="G301" s="3">
        <v>-3.1398347493245195E-2</v>
      </c>
      <c r="I301" s="15">
        <f t="shared" si="33"/>
        <v>-1.67205016150485E-2</v>
      </c>
      <c r="J301" s="15">
        <f t="shared" si="34"/>
        <v>-4.4282365199270715E-2</v>
      </c>
      <c r="K301" s="15">
        <f t="shared" si="35"/>
        <v>-3.0824269475736146E-2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BJ301">
        <f t="shared" si="29"/>
        <v>9.858562253065768E-4</v>
      </c>
      <c r="BK301">
        <f t="shared" si="31"/>
        <v>2.1969796935420501E-4</v>
      </c>
      <c r="BO301">
        <f t="shared" si="32"/>
        <v>9.8323705637523294E-5</v>
      </c>
      <c r="BP301">
        <f t="shared" si="30"/>
        <v>-1.3186349434596081</v>
      </c>
    </row>
    <row r="302" spans="1:68" x14ac:dyDescent="0.15">
      <c r="A302" s="5">
        <v>43994</v>
      </c>
      <c r="B302" s="1"/>
      <c r="C302">
        <v>102.8</v>
      </c>
      <c r="D302">
        <v>73.2</v>
      </c>
      <c r="E302">
        <v>76.069785999999993</v>
      </c>
      <c r="G302" s="3">
        <v>-3.2771363456431902E-3</v>
      </c>
      <c r="I302" s="15">
        <f t="shared" si="33"/>
        <v>-6.7632850241546166E-3</v>
      </c>
      <c r="J302" s="15">
        <f t="shared" si="34"/>
        <v>-2.4529844644316247E-3</v>
      </c>
      <c r="K302" s="15">
        <f t="shared" si="35"/>
        <v>-1.0601614959714518E-2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BJ302">
        <f t="shared" si="29"/>
        <v>1.0739622627935603E-5</v>
      </c>
      <c r="BK302">
        <f t="shared" si="31"/>
        <v>2.6566746471134734E-4</v>
      </c>
      <c r="BO302">
        <f t="shared" si="32"/>
        <v>2.2346868704474713E-4</v>
      </c>
      <c r="BP302">
        <f t="shared" si="30"/>
        <v>3.2601517270280311</v>
      </c>
    </row>
    <row r="303" spans="1:68" x14ac:dyDescent="0.15">
      <c r="A303" s="5">
        <v>43997</v>
      </c>
      <c r="B303" s="1"/>
      <c r="C303">
        <v>103.14</v>
      </c>
      <c r="D303">
        <v>74.180000000000007</v>
      </c>
      <c r="E303">
        <v>76.600549999999998</v>
      </c>
      <c r="G303" s="3">
        <v>4.7152142202395702E-3</v>
      </c>
      <c r="I303" s="15">
        <f t="shared" si="33"/>
        <v>3.3073929961089828E-3</v>
      </c>
      <c r="J303" s="15">
        <f t="shared" si="34"/>
        <v>1.3387978142076557E-2</v>
      </c>
      <c r="K303" s="15">
        <f t="shared" si="35"/>
        <v>6.9773300006392147E-3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BJ303">
        <f t="shared" si="29"/>
        <v>2.2233245142749459E-5</v>
      </c>
      <c r="BK303">
        <f t="shared" si="31"/>
        <v>2.503717941863426E-4</v>
      </c>
      <c r="BO303">
        <f t="shared" si="32"/>
        <v>1.8275346910841074E-4</v>
      </c>
      <c r="BP303">
        <f t="shared" si="30"/>
        <v>3.3239191877708887</v>
      </c>
    </row>
    <row r="304" spans="1:68" x14ac:dyDescent="0.15">
      <c r="A304" s="5">
        <v>43998</v>
      </c>
      <c r="B304" s="1"/>
      <c r="C304">
        <v>104.62</v>
      </c>
      <c r="D304">
        <v>75.5</v>
      </c>
      <c r="E304">
        <v>78.316050000000004</v>
      </c>
      <c r="G304" s="3">
        <v>1.94797939756488E-2</v>
      </c>
      <c r="I304" s="15">
        <f t="shared" si="33"/>
        <v>1.4349427961993446E-2</v>
      </c>
      <c r="J304" s="15">
        <f t="shared" si="34"/>
        <v>1.7794553788082947E-2</v>
      </c>
      <c r="K304" s="15">
        <f t="shared" si="35"/>
        <v>2.239540055521802E-2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BJ304">
        <f t="shared" si="29"/>
        <v>3.7946237333372326E-4</v>
      </c>
      <c r="BK304">
        <f t="shared" si="31"/>
        <v>2.3668348124372698E-4</v>
      </c>
      <c r="BO304">
        <f t="shared" si="32"/>
        <v>1.524542384345263E-4</v>
      </c>
      <c r="BP304">
        <f t="shared" si="30"/>
        <v>2.2308721311302659</v>
      </c>
    </row>
    <row r="305" spans="1:68" x14ac:dyDescent="0.15">
      <c r="A305" s="5">
        <v>43999</v>
      </c>
      <c r="B305" s="1"/>
      <c r="C305">
        <v>107.92</v>
      </c>
      <c r="D305">
        <v>74.540000000000006</v>
      </c>
      <c r="E305">
        <v>80.6571</v>
      </c>
      <c r="G305" s="3">
        <v>1.6732987239045802E-2</v>
      </c>
      <c r="I305" s="15">
        <f t="shared" si="33"/>
        <v>3.1542726056203375E-2</v>
      </c>
      <c r="J305" s="15">
        <f t="shared" si="34"/>
        <v>-1.2715231788079387E-2</v>
      </c>
      <c r="K305" s="15">
        <f t="shared" si="35"/>
        <v>2.9892340075884771E-2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BJ305">
        <f t="shared" si="29"/>
        <v>2.7999286194206965E-4</v>
      </c>
      <c r="BK305">
        <f t="shared" si="31"/>
        <v>2.4525021476912677E-4</v>
      </c>
      <c r="BO305">
        <f t="shared" si="32"/>
        <v>1.7956480354492797E-4</v>
      </c>
      <c r="BP305">
        <f t="shared" si="30"/>
        <v>2.6139057252680606</v>
      </c>
    </row>
    <row r="306" spans="1:68" x14ac:dyDescent="0.15">
      <c r="A306" s="5">
        <v>44000</v>
      </c>
      <c r="B306" s="1"/>
      <c r="C306">
        <v>106.84</v>
      </c>
      <c r="D306">
        <v>74.64</v>
      </c>
      <c r="E306">
        <v>81.178380000000004</v>
      </c>
      <c r="G306" s="3">
        <v>-1.5379407494248102E-3</v>
      </c>
      <c r="I306" s="15">
        <f t="shared" si="33"/>
        <v>-1.0007412898443275E-2</v>
      </c>
      <c r="J306" s="15">
        <f t="shared" si="34"/>
        <v>1.3415615776763391E-3</v>
      </c>
      <c r="K306" s="15">
        <f t="shared" si="35"/>
        <v>6.4629152300294014E-3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BJ306">
        <f t="shared" si="29"/>
        <v>2.3652617487413467E-6</v>
      </c>
      <c r="BK306">
        <f t="shared" si="31"/>
        <v>2.4733477359950335E-4</v>
      </c>
      <c r="BO306">
        <f t="shared" si="32"/>
        <v>1.8666328999713329E-4</v>
      </c>
      <c r="BP306">
        <f t="shared" si="30"/>
        <v>3.3678279058307448</v>
      </c>
    </row>
    <row r="307" spans="1:68" x14ac:dyDescent="0.15">
      <c r="A307" s="5">
        <v>44001</v>
      </c>
      <c r="B307" s="1"/>
      <c r="C307">
        <v>107.5</v>
      </c>
      <c r="D307">
        <v>73.64</v>
      </c>
      <c r="E307">
        <v>82.306250000000006</v>
      </c>
      <c r="G307" s="3">
        <v>7.8328499371276197E-3</v>
      </c>
      <c r="I307" s="15">
        <f t="shared" si="33"/>
        <v>6.1774616248595707E-3</v>
      </c>
      <c r="J307" s="15">
        <f t="shared" si="34"/>
        <v>-1.3397642015005359E-2</v>
      </c>
      <c r="K307" s="15">
        <f t="shared" si="35"/>
        <v>1.38937239200881E-2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BJ307">
        <f t="shared" si="29"/>
        <v>6.1353538137560155E-5</v>
      </c>
      <c r="BK307">
        <f t="shared" si="31"/>
        <v>2.3263660288845762E-4</v>
      </c>
      <c r="BO307">
        <f t="shared" si="32"/>
        <v>1.5269141717973462E-4</v>
      </c>
      <c r="BP307">
        <f t="shared" si="30"/>
        <v>3.273700279898295</v>
      </c>
    </row>
    <row r="308" spans="1:68" x14ac:dyDescent="0.15">
      <c r="A308" s="5">
        <v>44004</v>
      </c>
      <c r="B308" s="1"/>
      <c r="C308">
        <v>106.58</v>
      </c>
      <c r="D308">
        <v>72.62</v>
      </c>
      <c r="E308">
        <v>80.84666</v>
      </c>
      <c r="G308" s="3">
        <v>-1.1218114584377199E-2</v>
      </c>
      <c r="I308" s="15">
        <f t="shared" si="33"/>
        <v>-8.5581395348837373E-3</v>
      </c>
      <c r="J308" s="15">
        <f t="shared" si="34"/>
        <v>-1.3851167843563227E-2</v>
      </c>
      <c r="K308" s="15">
        <f t="shared" si="35"/>
        <v>-1.7733647201761783E-2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BJ308">
        <f t="shared" si="29"/>
        <v>1.2584609482821642E-4</v>
      </c>
      <c r="BK308">
        <f t="shared" si="31"/>
        <v>2.2235961900340375E-4</v>
      </c>
      <c r="BO308">
        <f t="shared" si="32"/>
        <v>1.3444572115884343E-4</v>
      </c>
      <c r="BP308">
        <f t="shared" si="30"/>
        <v>3.0702182447501309</v>
      </c>
    </row>
    <row r="309" spans="1:68" x14ac:dyDescent="0.15">
      <c r="A309" s="5">
        <v>44005</v>
      </c>
      <c r="B309" s="1"/>
      <c r="C309">
        <v>106.5</v>
      </c>
      <c r="D309">
        <v>74.3</v>
      </c>
      <c r="E309">
        <v>81.841835000000003</v>
      </c>
      <c r="G309" s="3">
        <v>9.4018604829835192E-3</v>
      </c>
      <c r="I309" s="15">
        <f t="shared" si="33"/>
        <v>-7.5060987051978132E-4</v>
      </c>
      <c r="J309" s="15">
        <f t="shared" si="34"/>
        <v>2.3134122831175882E-2</v>
      </c>
      <c r="K309" s="15">
        <f t="shared" si="35"/>
        <v>1.2309413895391638E-2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BJ309">
        <f t="shared" si="29"/>
        <v>8.8394980541487098E-5</v>
      </c>
      <c r="BK309">
        <f t="shared" si="31"/>
        <v>2.1656880755289249E-4</v>
      </c>
      <c r="BO309">
        <f t="shared" si="32"/>
        <v>1.2931922576171141E-4</v>
      </c>
      <c r="BP309">
        <f t="shared" si="30"/>
        <v>3.2159043106246723</v>
      </c>
    </row>
    <row r="310" spans="1:68" x14ac:dyDescent="0.15">
      <c r="A310" s="5">
        <v>44006</v>
      </c>
      <c r="B310" s="1"/>
      <c r="C310">
        <v>104.78</v>
      </c>
      <c r="D310">
        <v>72.02</v>
      </c>
      <c r="E310">
        <v>80.003129999999999</v>
      </c>
      <c r="G310" s="3">
        <v>-2.1917205671502099E-2</v>
      </c>
      <c r="I310" s="15">
        <f t="shared" si="33"/>
        <v>-1.6150234741784026E-2</v>
      </c>
      <c r="J310" s="15">
        <f t="shared" si="34"/>
        <v>-3.0686406460296113E-2</v>
      </c>
      <c r="K310" s="15">
        <f t="shared" si="35"/>
        <v>-2.246656615165098E-2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BJ310">
        <f t="shared" si="29"/>
        <v>4.803639044469238E-4</v>
      </c>
      <c r="BK310">
        <f t="shared" si="31"/>
        <v>2.0887837793220817E-4</v>
      </c>
      <c r="BO310">
        <f t="shared" si="32"/>
        <v>1.1996431658842119E-4</v>
      </c>
      <c r="BP310">
        <f t="shared" si="30"/>
        <v>1.5931079574082077</v>
      </c>
    </row>
    <row r="311" spans="1:68" x14ac:dyDescent="0.15">
      <c r="A311" s="5">
        <v>44007</v>
      </c>
      <c r="B311" s="1"/>
      <c r="C311">
        <v>105.24</v>
      </c>
      <c r="D311">
        <v>72.7</v>
      </c>
      <c r="E311">
        <v>80.183205000000001</v>
      </c>
      <c r="G311" s="3">
        <v>6.7691690638795798E-3</v>
      </c>
      <c r="I311" s="15">
        <f t="shared" si="33"/>
        <v>4.3901507921358437E-3</v>
      </c>
      <c r="J311" s="15">
        <f t="shared" si="34"/>
        <v>9.4418217161900426E-3</v>
      </c>
      <c r="K311" s="15">
        <f t="shared" si="35"/>
        <v>2.250849435515863E-3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BJ311">
        <f t="shared" si="29"/>
        <v>4.582164981538435E-5</v>
      </c>
      <c r="BK311">
        <f t="shared" si="31"/>
        <v>2.2516750952309114E-4</v>
      </c>
      <c r="BO311">
        <f t="shared" si="32"/>
        <v>1.6845081212820738E-4</v>
      </c>
      <c r="BP311">
        <f t="shared" si="30"/>
        <v>3.2894858597583996</v>
      </c>
    </row>
    <row r="312" spans="1:68" x14ac:dyDescent="0.15">
      <c r="A312" s="5">
        <v>44008</v>
      </c>
      <c r="B312" s="1"/>
      <c r="C312">
        <v>105.04</v>
      </c>
      <c r="D312">
        <v>71.84</v>
      </c>
      <c r="E312">
        <v>78.827860000000001</v>
      </c>
      <c r="G312" s="3">
        <v>-4.7493391020808602E-3</v>
      </c>
      <c r="I312" s="15">
        <f t="shared" si="33"/>
        <v>-1.9004180919801278E-3</v>
      </c>
      <c r="J312" s="15">
        <f t="shared" si="34"/>
        <v>-1.1829436038514435E-2</v>
      </c>
      <c r="K312" s="15">
        <f t="shared" si="35"/>
        <v>-1.6903103336914506E-2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BJ312">
        <f t="shared" si="29"/>
        <v>2.255622190655423E-5</v>
      </c>
      <c r="BK312">
        <f t="shared" si="31"/>
        <v>2.1440675794062871E-4</v>
      </c>
      <c r="BO312">
        <f t="shared" si="32"/>
        <v>1.4459500229018174E-4</v>
      </c>
      <c r="BP312">
        <f t="shared" si="30"/>
        <v>3.4238504417712359</v>
      </c>
    </row>
    <row r="313" spans="1:68" x14ac:dyDescent="0.15">
      <c r="A313" s="5">
        <v>44011</v>
      </c>
      <c r="B313" s="1"/>
      <c r="C313">
        <v>104.92</v>
      </c>
      <c r="D313">
        <v>72.5</v>
      </c>
      <c r="E313">
        <v>79.017420000000001</v>
      </c>
      <c r="G313" s="3">
        <v>1.8470374065744299E-3</v>
      </c>
      <c r="I313" s="15">
        <f t="shared" si="33"/>
        <v>-1.1424219345011857E-3</v>
      </c>
      <c r="J313" s="15">
        <f t="shared" si="34"/>
        <v>9.1870824053451629E-3</v>
      </c>
      <c r="K313" s="15">
        <f t="shared" si="35"/>
        <v>2.4047335548624581E-3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BJ313">
        <f t="shared" si="29"/>
        <v>3.4115471812851958E-6</v>
      </c>
      <c r="BK313">
        <f t="shared" si="31"/>
        <v>2.0289572577858423E-4</v>
      </c>
      <c r="BO313">
        <f t="shared" si="32"/>
        <v>1.2256954370631749E-4</v>
      </c>
      <c r="BP313">
        <f t="shared" si="30"/>
        <v>3.5705606777002075</v>
      </c>
    </row>
    <row r="314" spans="1:68" x14ac:dyDescent="0.15">
      <c r="A314" s="5">
        <v>44012</v>
      </c>
      <c r="B314" s="1"/>
      <c r="C314">
        <v>104.74</v>
      </c>
      <c r="D314">
        <v>73.06</v>
      </c>
      <c r="E314">
        <v>78.117009999999993</v>
      </c>
      <c r="G314" s="3">
        <v>-1.5066251050915799E-3</v>
      </c>
      <c r="I314" s="15">
        <f t="shared" si="33"/>
        <v>-1.7155928326344531E-3</v>
      </c>
      <c r="J314" s="15">
        <f t="shared" si="34"/>
        <v>7.7241379310345141E-3</v>
      </c>
      <c r="K314" s="15">
        <f t="shared" si="35"/>
        <v>-1.1395082248952294E-2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BJ314">
        <f t="shared" si="29"/>
        <v>2.2699192072922141E-6</v>
      </c>
      <c r="BK314">
        <f t="shared" si="31"/>
        <v>1.9092667506274627E-4</v>
      </c>
      <c r="BO314">
        <f t="shared" si="32"/>
        <v>1.0256665232408527E-4</v>
      </c>
      <c r="BP314">
        <f t="shared" si="30"/>
        <v>3.662494737822426</v>
      </c>
    </row>
    <row r="315" spans="1:68" x14ac:dyDescent="0.15">
      <c r="A315" s="5">
        <v>44013</v>
      </c>
      <c r="B315" s="1"/>
      <c r="C315">
        <v>105.26</v>
      </c>
      <c r="D315">
        <v>72.540000000000006</v>
      </c>
      <c r="E315">
        <v>78.486660000000001</v>
      </c>
      <c r="G315" s="3">
        <v>4.4169094653150297E-3</v>
      </c>
      <c r="I315" s="15">
        <f t="shared" si="33"/>
        <v>4.9646744319267735E-3</v>
      </c>
      <c r="J315" s="15">
        <f t="shared" si="34"/>
        <v>-7.1174377224198738E-3</v>
      </c>
      <c r="K315" s="15">
        <f t="shared" si="35"/>
        <v>4.7320039515082206E-3</v>
      </c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BJ315">
        <f t="shared" si="29"/>
        <v>1.9509089224789502E-5</v>
      </c>
      <c r="BK315">
        <f t="shared" si="31"/>
        <v>1.7960726971141903E-4</v>
      </c>
      <c r="BO315">
        <f t="shared" si="32"/>
        <v>8.6714217132369115E-5</v>
      </c>
      <c r="BP315">
        <f t="shared" si="30"/>
        <v>3.6450171014578032</v>
      </c>
    </row>
    <row r="316" spans="1:68" x14ac:dyDescent="0.15">
      <c r="A316" s="5">
        <v>44014</v>
      </c>
      <c r="B316" s="1"/>
      <c r="C316">
        <v>105.76</v>
      </c>
      <c r="D316">
        <v>74.7</v>
      </c>
      <c r="E316">
        <v>78.704650000000001</v>
      </c>
      <c r="G316" s="3">
        <v>9.7018280965173107E-3</v>
      </c>
      <c r="I316" s="15">
        <f t="shared" si="33"/>
        <v>4.7501425042751283E-3</v>
      </c>
      <c r="J316" s="15">
        <f t="shared" si="34"/>
        <v>2.9776674937965212E-2</v>
      </c>
      <c r="K316" s="15">
        <f t="shared" si="35"/>
        <v>2.7774146587458345E-3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BJ316">
        <f t="shared" si="29"/>
        <v>9.4125468414372703E-5</v>
      </c>
      <c r="BK316">
        <f t="shared" si="31"/>
        <v>1.7000137888222125E-4</v>
      </c>
      <c r="BO316">
        <f t="shared" si="32"/>
        <v>7.673510858630709E-5</v>
      </c>
      <c r="BP316">
        <f t="shared" si="30"/>
        <v>3.2053228422001521</v>
      </c>
    </row>
    <row r="317" spans="1:68" x14ac:dyDescent="0.15">
      <c r="A317" s="5">
        <v>44018</v>
      </c>
      <c r="B317" s="1"/>
      <c r="C317">
        <v>105.98</v>
      </c>
      <c r="D317">
        <v>75.7</v>
      </c>
      <c r="E317">
        <v>79.112200000000001</v>
      </c>
      <c r="G317" s="3">
        <v>6.4610685287229599E-3</v>
      </c>
      <c r="I317" s="15">
        <f t="shared" si="33"/>
        <v>2.0801815431164793E-3</v>
      </c>
      <c r="J317" s="15">
        <f t="shared" si="34"/>
        <v>1.3386880856760375E-2</v>
      </c>
      <c r="K317" s="15">
        <f t="shared" si="35"/>
        <v>5.1782200924596006E-3</v>
      </c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BJ317">
        <f t="shared" si="29"/>
        <v>4.1745406532854276E-5</v>
      </c>
      <c r="BK317">
        <f t="shared" si="31"/>
        <v>1.6544882425415034E-4</v>
      </c>
      <c r="BO317">
        <f t="shared" si="32"/>
        <v>7.9534586022065795E-5</v>
      </c>
      <c r="BP317">
        <f t="shared" si="30"/>
        <v>3.5382852045696689</v>
      </c>
    </row>
    <row r="318" spans="1:68" x14ac:dyDescent="0.15">
      <c r="A318" s="5">
        <v>44019</v>
      </c>
      <c r="B318" s="1"/>
      <c r="C318">
        <v>105.26</v>
      </c>
      <c r="D318">
        <v>75.12</v>
      </c>
      <c r="E318">
        <v>78.761510000000001</v>
      </c>
      <c r="G318" s="3">
        <v>-4.4297578768567299E-3</v>
      </c>
      <c r="I318" s="15">
        <f t="shared" si="33"/>
        <v>-6.7937346669182759E-3</v>
      </c>
      <c r="J318" s="15">
        <f t="shared" si="34"/>
        <v>-7.6618229854689334E-3</v>
      </c>
      <c r="K318" s="15">
        <f t="shared" si="35"/>
        <v>-4.4328181999742158E-3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BJ318">
        <f t="shared" si="29"/>
        <v>1.9622754847574244E-5</v>
      </c>
      <c r="BK318">
        <f t="shared" si="31"/>
        <v>1.5802661919087256E-4</v>
      </c>
      <c r="BO318">
        <f t="shared" si="32"/>
        <v>7.4270458524156786E-5</v>
      </c>
      <c r="BP318">
        <f t="shared" si="30"/>
        <v>3.7028567439798916</v>
      </c>
    </row>
    <row r="319" spans="1:68" x14ac:dyDescent="0.15">
      <c r="A319" s="5">
        <v>44020</v>
      </c>
      <c r="B319" s="1"/>
      <c r="C319">
        <v>105.98</v>
      </c>
      <c r="D319">
        <v>74.260000000000005</v>
      </c>
      <c r="E319">
        <v>78.192840000000004</v>
      </c>
      <c r="G319" s="3">
        <v>-2.8945961643536099E-3</v>
      </c>
      <c r="I319" s="15">
        <f t="shared" si="33"/>
        <v>6.840205206156174E-3</v>
      </c>
      <c r="J319" s="15">
        <f t="shared" si="34"/>
        <v>-1.1448349307774219E-2</v>
      </c>
      <c r="K319" s="15">
        <f t="shared" si="35"/>
        <v>-7.2201510610956712E-3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BJ319">
        <f t="shared" si="29"/>
        <v>8.3786869546906298E-6</v>
      </c>
      <c r="BK319">
        <f t="shared" si="31"/>
        <v>1.4972238733027468E-4</v>
      </c>
      <c r="BO319">
        <f t="shared" si="32"/>
        <v>6.6990676184030881E-5</v>
      </c>
      <c r="BP319">
        <f t="shared" si="30"/>
        <v>3.8240038044232869</v>
      </c>
    </row>
    <row r="320" spans="1:68" x14ac:dyDescent="0.15">
      <c r="A320" s="5">
        <v>44021</v>
      </c>
      <c r="B320" s="1"/>
      <c r="C320">
        <v>105.58</v>
      </c>
      <c r="D320">
        <v>73.040000000000006</v>
      </c>
      <c r="E320">
        <v>77.624170000000007</v>
      </c>
      <c r="G320" s="3">
        <v>-3.4416185915266901E-3</v>
      </c>
      <c r="I320" s="15">
        <f t="shared" si="33"/>
        <v>-3.7742970371768794E-3</v>
      </c>
      <c r="J320" s="15">
        <f t="shared" si="34"/>
        <v>-1.6428763802854816E-2</v>
      </c>
      <c r="K320" s="15">
        <f t="shared" si="35"/>
        <v>-7.2726607704746028E-3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BJ320">
        <f t="shared" si="29"/>
        <v>1.1844738529542158E-5</v>
      </c>
      <c r="BK320">
        <f t="shared" si="31"/>
        <v>1.4124176530773964E-4</v>
      </c>
      <c r="BO320">
        <f t="shared" si="32"/>
        <v>5.9679186836818927E-5</v>
      </c>
      <c r="BP320">
        <f t="shared" si="30"/>
        <v>3.8450883184984166</v>
      </c>
    </row>
    <row r="321" spans="1:68" x14ac:dyDescent="0.15">
      <c r="A321" s="5">
        <v>44022</v>
      </c>
      <c r="B321" s="1"/>
      <c r="C321">
        <v>107.16</v>
      </c>
      <c r="D321">
        <v>74.48</v>
      </c>
      <c r="E321">
        <v>77.718940000000003</v>
      </c>
      <c r="G321" s="3">
        <v>8.5365543921664903E-3</v>
      </c>
      <c r="I321" s="15">
        <f t="shared" si="33"/>
        <v>1.4964955483993165E-2</v>
      </c>
      <c r="J321" s="15">
        <f t="shared" si="34"/>
        <v>1.971522453450161E-2</v>
      </c>
      <c r="K321" s="15">
        <f t="shared" si="35"/>
        <v>1.2208826194212048E-3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BJ321">
        <f t="shared" si="29"/>
        <v>7.2872760890417001E-5</v>
      </c>
      <c r="BK321">
        <f t="shared" si="31"/>
        <v>1.3347794370104779E-4</v>
      </c>
      <c r="BO321">
        <f t="shared" si="32"/>
        <v>5.4437845176817266E-5</v>
      </c>
      <c r="BP321">
        <f t="shared" si="30"/>
        <v>3.3209661781899209</v>
      </c>
    </row>
    <row r="322" spans="1:68" x14ac:dyDescent="0.15">
      <c r="A322" s="5">
        <v>44025</v>
      </c>
      <c r="B322" s="1"/>
      <c r="C322">
        <v>107.5</v>
      </c>
      <c r="D322">
        <v>74.44</v>
      </c>
      <c r="E322">
        <v>77.88955</v>
      </c>
      <c r="G322" s="3">
        <v>6.9390524622792108E-3</v>
      </c>
      <c r="I322" s="15">
        <f t="shared" si="33"/>
        <v>3.1728256812243692E-3</v>
      </c>
      <c r="J322" s="15">
        <f t="shared" si="34"/>
        <v>-5.3705692803445555E-4</v>
      </c>
      <c r="K322" s="15">
        <f t="shared" si="35"/>
        <v>2.1952177937578196E-3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BJ322">
        <f t="shared" ref="BJ322:BJ385" si="36">G322^2</f>
        <v>4.815044907426318E-5</v>
      </c>
      <c r="BK322">
        <f t="shared" si="31"/>
        <v>1.2984163273240993E-4</v>
      </c>
      <c r="BO322">
        <f t="shared" si="32"/>
        <v>5.9018270262492937E-5</v>
      </c>
      <c r="BP322">
        <f t="shared" ref="BP322:BP385" si="37" xml:space="preserve"> -0.5 * (LN(2 * PI()) + LN(BO322) + (BJ322) / BO322)</f>
        <v>3.5419648832050901</v>
      </c>
    </row>
    <row r="323" spans="1:68" x14ac:dyDescent="0.15">
      <c r="A323" s="5">
        <v>44026</v>
      </c>
      <c r="B323" s="1"/>
      <c r="C323">
        <v>106.84</v>
      </c>
      <c r="D323">
        <v>75.680000000000007</v>
      </c>
      <c r="E323">
        <v>77.245050000000006</v>
      </c>
      <c r="G323" s="3">
        <v>-4.0242777939779499E-3</v>
      </c>
      <c r="I323" s="15">
        <f t="shared" si="33"/>
        <v>-6.1395348837208989E-3</v>
      </c>
      <c r="J323" s="15">
        <f t="shared" si="34"/>
        <v>1.6657710908114041E-2</v>
      </c>
      <c r="K323" s="15">
        <f t="shared" si="35"/>
        <v>-8.2745374700456432E-3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BJ323">
        <f t="shared" si="36"/>
        <v>1.6194811763104037E-5</v>
      </c>
      <c r="BK323">
        <f t="shared" ref="BK323:BK386" si="38">$BM$2 * BK322 + (1 - $BM$2) * BJ322</f>
        <v>1.2494016171292111E-4</v>
      </c>
      <c r="BO323">
        <f t="shared" ref="BO323:BO386" si="39" xml:space="preserve"> $BR$2 + $BS$2 * BJ322 + $BT$2 * BO322</f>
        <v>5.9090102365343271E-5</v>
      </c>
      <c r="BP323">
        <f t="shared" si="37"/>
        <v>3.8122501334683561</v>
      </c>
    </row>
    <row r="324" spans="1:68" x14ac:dyDescent="0.15">
      <c r="A324" s="5">
        <v>44027</v>
      </c>
      <c r="B324" s="1"/>
      <c r="C324">
        <v>108.86</v>
      </c>
      <c r="D324">
        <v>76.319999999999993</v>
      </c>
      <c r="E324">
        <v>78.695170000000005</v>
      </c>
      <c r="G324" s="3">
        <v>1.9543108159552201E-2</v>
      </c>
      <c r="I324" s="15">
        <f t="shared" ref="I324:I387" si="40">(C324-C323)/C323</f>
        <v>1.8906776488206628E-2</v>
      </c>
      <c r="J324" s="15">
        <f t="shared" ref="J324:J387" si="41">(D324-D323)/D323</f>
        <v>8.4566596194501353E-3</v>
      </c>
      <c r="K324" s="15">
        <f t="shared" ref="K324:K387" si="42">(E324-E323)/E323</f>
        <v>1.8772982864274129E-2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BJ324">
        <f t="shared" si="36"/>
        <v>3.8193307653595584E-4</v>
      </c>
      <c r="BK324">
        <f t="shared" si="38"/>
        <v>1.1841544071593209E-4</v>
      </c>
      <c r="BO324">
        <f t="shared" si="39"/>
        <v>5.4595318046009506E-5</v>
      </c>
      <c r="BP324">
        <f t="shared" si="37"/>
        <v>0.49098709397103457</v>
      </c>
    </row>
    <row r="325" spans="1:68" x14ac:dyDescent="0.15">
      <c r="A325" s="5">
        <v>44028</v>
      </c>
      <c r="B325" s="1"/>
      <c r="C325">
        <v>108.46</v>
      </c>
      <c r="D325">
        <v>76.84</v>
      </c>
      <c r="E325">
        <v>78.107544000000004</v>
      </c>
      <c r="G325" s="3">
        <v>-2.5406114102195496E-3</v>
      </c>
      <c r="I325" s="15">
        <f t="shared" si="40"/>
        <v>-3.6744442403087055E-3</v>
      </c>
      <c r="J325" s="15">
        <f t="shared" si="41"/>
        <v>6.8134171907758157E-3</v>
      </c>
      <c r="K325" s="15">
        <f t="shared" si="42"/>
        <v>-7.4671164697909694E-3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BJ325">
        <f t="shared" si="36"/>
        <v>6.4547063377377689E-6</v>
      </c>
      <c r="BK325">
        <f t="shared" si="38"/>
        <v>1.3422649886513354E-4</v>
      </c>
      <c r="BO325">
        <f t="shared" si="39"/>
        <v>1.0315821715298622E-4</v>
      </c>
      <c r="BP325">
        <f t="shared" si="37"/>
        <v>3.6393993278681851</v>
      </c>
    </row>
    <row r="326" spans="1:68" x14ac:dyDescent="0.15">
      <c r="A326" s="5">
        <v>44029</v>
      </c>
      <c r="B326" s="1"/>
      <c r="C326">
        <v>108.74</v>
      </c>
      <c r="D326">
        <v>75.819999999999993</v>
      </c>
      <c r="E326">
        <v>78.060149999999993</v>
      </c>
      <c r="G326" s="3">
        <v>-2.1960676879107998E-3</v>
      </c>
      <c r="I326" s="15">
        <f t="shared" si="40"/>
        <v>2.5815969020837283E-3</v>
      </c>
      <c r="J326" s="15">
        <f t="shared" si="41"/>
        <v>-1.3274336283185974E-2</v>
      </c>
      <c r="K326" s="15">
        <f t="shared" si="42"/>
        <v>-6.0677877670831971E-4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BJ326">
        <f t="shared" si="36"/>
        <v>4.8227132898858862E-6</v>
      </c>
      <c r="BK326">
        <f t="shared" si="38"/>
        <v>1.265601913134898E-4</v>
      </c>
      <c r="BO326">
        <f t="shared" si="39"/>
        <v>8.77742262274975E-5</v>
      </c>
      <c r="BP326">
        <f t="shared" si="37"/>
        <v>3.7239605292757845</v>
      </c>
    </row>
    <row r="327" spans="1:68" x14ac:dyDescent="0.15">
      <c r="A327" s="5">
        <v>44032</v>
      </c>
      <c r="B327" s="1"/>
      <c r="C327">
        <v>108.56</v>
      </c>
      <c r="D327">
        <v>76.2</v>
      </c>
      <c r="E327">
        <v>78.39188</v>
      </c>
      <c r="G327" s="3">
        <v>5.8019329377221292E-3</v>
      </c>
      <c r="I327" s="15">
        <f t="shared" si="40"/>
        <v>-1.655324627551891E-3</v>
      </c>
      <c r="J327" s="15">
        <f t="shared" si="41"/>
        <v>5.0118702189397213E-3</v>
      </c>
      <c r="K327" s="15">
        <f t="shared" si="42"/>
        <v>4.2496715673747418E-3</v>
      </c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BJ327">
        <f t="shared" si="36"/>
        <v>3.3662425813824939E-5</v>
      </c>
      <c r="BK327">
        <f t="shared" si="38"/>
        <v>1.1925594263207356E-4</v>
      </c>
      <c r="BO327">
        <f t="shared" si="39"/>
        <v>7.5474920834977648E-5</v>
      </c>
      <c r="BP327">
        <f t="shared" si="37"/>
        <v>3.6039124839200523</v>
      </c>
    </row>
    <row r="328" spans="1:68" x14ac:dyDescent="0.15">
      <c r="A328" s="5">
        <v>44033</v>
      </c>
      <c r="B328" s="1"/>
      <c r="C328">
        <v>108.36</v>
      </c>
      <c r="D328">
        <v>77.260000000000005</v>
      </c>
      <c r="E328">
        <v>76.884889999999999</v>
      </c>
      <c r="G328" s="3">
        <v>-2.5665697004738602E-3</v>
      </c>
      <c r="I328" s="15">
        <f t="shared" si="40"/>
        <v>-1.8422991893883827E-3</v>
      </c>
      <c r="J328" s="15">
        <f t="shared" si="41"/>
        <v>1.3910761154855672E-2</v>
      </c>
      <c r="K328" s="15">
        <f t="shared" si="42"/>
        <v>-1.922380226115258E-2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BJ328">
        <f t="shared" si="36"/>
        <v>6.5872800273904806E-6</v>
      </c>
      <c r="BK328">
        <f t="shared" si="38"/>
        <v>1.1412033162297864E-4</v>
      </c>
      <c r="BO328">
        <f t="shared" si="39"/>
        <v>6.9934963498807415E-5</v>
      </c>
      <c r="BP328">
        <f t="shared" si="37"/>
        <v>3.8179381305995879</v>
      </c>
    </row>
    <row r="329" spans="1:68" x14ac:dyDescent="0.15">
      <c r="A329" s="5">
        <v>44034</v>
      </c>
      <c r="B329" s="1"/>
      <c r="C329">
        <v>109.44</v>
      </c>
      <c r="D329">
        <v>77</v>
      </c>
      <c r="E329">
        <v>76.297259999999994</v>
      </c>
      <c r="G329" s="3">
        <v>-4.7892202329102802E-4</v>
      </c>
      <c r="I329" s="15">
        <f t="shared" si="40"/>
        <v>9.9667774086378575E-3</v>
      </c>
      <c r="J329" s="15">
        <f t="shared" si="41"/>
        <v>-3.3652601604970888E-3</v>
      </c>
      <c r="K329" s="15">
        <f t="shared" si="42"/>
        <v>-7.6429842066497635E-3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BJ329">
        <f t="shared" si="36"/>
        <v>2.2936630439317198E-7</v>
      </c>
      <c r="BK329">
        <f t="shared" si="38"/>
        <v>1.0766834852724335E-4</v>
      </c>
      <c r="BO329">
        <f t="shared" si="39"/>
        <v>6.1733490930928302E-5</v>
      </c>
      <c r="BP329">
        <f t="shared" si="37"/>
        <v>3.9255457388631103</v>
      </c>
    </row>
    <row r="330" spans="1:68" x14ac:dyDescent="0.15">
      <c r="A330" s="5">
        <v>44035</v>
      </c>
      <c r="B330" s="1"/>
      <c r="C330">
        <v>111.28</v>
      </c>
      <c r="D330">
        <v>74.22</v>
      </c>
      <c r="E330">
        <v>75.586410000000001</v>
      </c>
      <c r="G330" s="3">
        <v>-5.33183260543301E-3</v>
      </c>
      <c r="I330" s="15">
        <f t="shared" si="40"/>
        <v>1.6812865497076054E-2</v>
      </c>
      <c r="J330" s="15">
        <f t="shared" si="41"/>
        <v>-3.6103896103896117E-2</v>
      </c>
      <c r="K330" s="15">
        <f t="shared" si="42"/>
        <v>-9.3168483376728541E-3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BJ330">
        <f t="shared" si="36"/>
        <v>2.8428438932358562E-5</v>
      </c>
      <c r="BK330">
        <f t="shared" si="38"/>
        <v>1.0122200959387234E-4</v>
      </c>
      <c r="BO330">
        <f t="shared" si="39"/>
        <v>5.4394934290755921E-5</v>
      </c>
      <c r="BP330">
        <f t="shared" si="37"/>
        <v>3.7293660982563797</v>
      </c>
    </row>
    <row r="331" spans="1:68" x14ac:dyDescent="0.15">
      <c r="A331" s="5">
        <v>44036</v>
      </c>
      <c r="B331" s="1"/>
      <c r="C331">
        <v>109.48</v>
      </c>
      <c r="D331">
        <v>74.44</v>
      </c>
      <c r="E331">
        <v>73.994119999999995</v>
      </c>
      <c r="G331" s="3">
        <v>-1.62930508615074E-2</v>
      </c>
      <c r="I331" s="15">
        <f t="shared" si="40"/>
        <v>-1.6175413371675027E-2</v>
      </c>
      <c r="J331" s="15">
        <f t="shared" si="41"/>
        <v>2.9641606036108713E-3</v>
      </c>
      <c r="K331" s="15">
        <f t="shared" si="42"/>
        <v>-2.1065823869661299E-2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BJ331">
        <f t="shared" si="36"/>
        <v>2.6546350637566705E-4</v>
      </c>
      <c r="BK331">
        <f t="shared" si="38"/>
        <v>9.6854395354181513E-5</v>
      </c>
      <c r="BO331">
        <f t="shared" si="39"/>
        <v>5.2654843147645636E-5</v>
      </c>
      <c r="BP331">
        <f t="shared" si="37"/>
        <v>1.4861485629238036</v>
      </c>
    </row>
    <row r="332" spans="1:68" x14ac:dyDescent="0.15">
      <c r="A332" s="5">
        <v>44039</v>
      </c>
      <c r="B332" s="1"/>
      <c r="C332">
        <v>110.48</v>
      </c>
      <c r="D332">
        <v>74.34</v>
      </c>
      <c r="E332">
        <v>73.804564999999997</v>
      </c>
      <c r="G332" s="3">
        <v>5.6917148339745705E-3</v>
      </c>
      <c r="I332" s="15">
        <f t="shared" si="40"/>
        <v>9.1340884179758851E-3</v>
      </c>
      <c r="J332" s="15">
        <f t="shared" si="41"/>
        <v>-1.3433637829123363E-3</v>
      </c>
      <c r="K332" s="15">
        <f t="shared" si="42"/>
        <v>-2.5617576099289862E-3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BJ332">
        <f t="shared" si="36"/>
        <v>3.2395617751286171E-5</v>
      </c>
      <c r="BK332">
        <f t="shared" si="38"/>
        <v>1.0697094201547066E-4</v>
      </c>
      <c r="BO332">
        <f t="shared" si="39"/>
        <v>8.5048531571174315E-5</v>
      </c>
      <c r="BP332">
        <f t="shared" si="37"/>
        <v>3.5767520031981705</v>
      </c>
    </row>
    <row r="333" spans="1:68" x14ac:dyDescent="0.15">
      <c r="A333" s="5">
        <v>44040</v>
      </c>
      <c r="B333" s="1"/>
      <c r="C333">
        <v>110.64</v>
      </c>
      <c r="D333">
        <v>74.44</v>
      </c>
      <c r="E333">
        <v>73.434929999999994</v>
      </c>
      <c r="G333" s="3">
        <v>4.7255577014304601E-4</v>
      </c>
      <c r="I333" s="15">
        <f t="shared" si="40"/>
        <v>1.4482259232439952E-3</v>
      </c>
      <c r="J333" s="15">
        <f t="shared" si="41"/>
        <v>1.3451708366961838E-3</v>
      </c>
      <c r="K333" s="15">
        <f t="shared" si="42"/>
        <v>-5.0082945411303809E-3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BJ333">
        <f t="shared" si="36"/>
        <v>2.2330895589548733E-7</v>
      </c>
      <c r="BK333">
        <f t="shared" si="38"/>
        <v>1.0249642255961959E-4</v>
      </c>
      <c r="BO333">
        <f t="shared" si="39"/>
        <v>7.7263881938721972E-5</v>
      </c>
      <c r="BP333">
        <f t="shared" si="37"/>
        <v>3.8137583395019585</v>
      </c>
    </row>
    <row r="334" spans="1:68" x14ac:dyDescent="0.15">
      <c r="A334" s="5">
        <v>44041</v>
      </c>
      <c r="B334" s="1"/>
      <c r="C334">
        <v>110.68</v>
      </c>
      <c r="D334">
        <v>74.459999999999994</v>
      </c>
      <c r="E334">
        <v>73.084239999999994</v>
      </c>
      <c r="G334" s="3">
        <v>-4.2707381997908396E-4</v>
      </c>
      <c r="I334" s="15">
        <f t="shared" si="40"/>
        <v>3.6153289949391047E-4</v>
      </c>
      <c r="J334" s="15">
        <f t="shared" si="41"/>
        <v>2.686727565824291E-4</v>
      </c>
      <c r="K334" s="15">
        <f t="shared" si="42"/>
        <v>-4.7755203143790047E-3</v>
      </c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BJ334">
        <f t="shared" si="36"/>
        <v>1.8239204771152702E-7</v>
      </c>
      <c r="BK334">
        <f t="shared" si="38"/>
        <v>9.6360035743396137E-5</v>
      </c>
      <c r="BO334">
        <f t="shared" si="39"/>
        <v>6.6575781360218666E-5</v>
      </c>
      <c r="BP334">
        <f t="shared" si="37"/>
        <v>3.888276503902544</v>
      </c>
    </row>
    <row r="335" spans="1:68" x14ac:dyDescent="0.15">
      <c r="A335" s="5">
        <v>44042</v>
      </c>
      <c r="B335" s="1"/>
      <c r="C335">
        <v>109.92</v>
      </c>
      <c r="D335">
        <v>71.22</v>
      </c>
      <c r="E335">
        <v>72.373400000000004</v>
      </c>
      <c r="G335" s="3">
        <v>-1.7275329187620699E-2</v>
      </c>
      <c r="I335" s="15">
        <f t="shared" si="40"/>
        <v>-6.8666425731839995E-3</v>
      </c>
      <c r="J335" s="15">
        <f t="shared" si="41"/>
        <v>-4.3513295729250542E-2</v>
      </c>
      <c r="K335" s="15">
        <f t="shared" si="42"/>
        <v>-9.7263103509045244E-3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BJ335">
        <f t="shared" si="36"/>
        <v>2.9843699854065962E-4</v>
      </c>
      <c r="BK335">
        <f t="shared" si="38"/>
        <v>9.0589377121655054E-5</v>
      </c>
      <c r="BO335">
        <f t="shared" si="39"/>
        <v>5.8186434256705751E-5</v>
      </c>
      <c r="BP335">
        <f t="shared" si="37"/>
        <v>1.3925011334569706</v>
      </c>
    </row>
    <row r="336" spans="1:68" x14ac:dyDescent="0.15">
      <c r="A336" s="5">
        <v>44043</v>
      </c>
      <c r="B336" s="1"/>
      <c r="C336">
        <v>108.1</v>
      </c>
      <c r="D336">
        <v>71.760000000000005</v>
      </c>
      <c r="E336">
        <v>71.529859999999999</v>
      </c>
      <c r="G336" s="3">
        <v>-8.8600017781004202E-3</v>
      </c>
      <c r="I336" s="15">
        <f t="shared" si="40"/>
        <v>-1.6557496360989878E-2</v>
      </c>
      <c r="J336" s="15">
        <f t="shared" si="41"/>
        <v>7.5821398483572906E-3</v>
      </c>
      <c r="K336" s="15">
        <f t="shared" si="42"/>
        <v>-1.1655387200269773E-2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BJ336">
        <f t="shared" si="36"/>
        <v>7.8499631507942614E-5</v>
      </c>
      <c r="BK336">
        <f t="shared" si="38"/>
        <v>1.0306023440679533E-4</v>
      </c>
      <c r="BO336">
        <f t="shared" si="39"/>
        <v>9.4083485452602555E-5</v>
      </c>
      <c r="BP336">
        <f t="shared" si="37"/>
        <v>3.2995447649227394</v>
      </c>
    </row>
    <row r="337" spans="1:68" x14ac:dyDescent="0.15">
      <c r="A337" s="5">
        <v>44046</v>
      </c>
      <c r="B337" s="1"/>
      <c r="C337">
        <v>109.32</v>
      </c>
      <c r="D337">
        <v>72.58</v>
      </c>
      <c r="E337">
        <v>73.349625000000003</v>
      </c>
      <c r="G337" s="3">
        <v>2.2363753112916301E-2</v>
      </c>
      <c r="I337" s="15">
        <f t="shared" si="40"/>
        <v>1.1285846438482875E-2</v>
      </c>
      <c r="J337" s="15">
        <f t="shared" si="41"/>
        <v>1.1426978818283071E-2</v>
      </c>
      <c r="K337" s="15">
        <f t="shared" si="42"/>
        <v>2.5440634163131366E-2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BJ337">
        <f t="shared" si="36"/>
        <v>5.0013745329547353E-4</v>
      </c>
      <c r="BK337">
        <f t="shared" si="38"/>
        <v>1.0158659823286417E-4</v>
      </c>
      <c r="BO337">
        <f t="shared" si="39"/>
        <v>9.0916850738500312E-5</v>
      </c>
      <c r="BP337">
        <f t="shared" si="37"/>
        <v>0.98332285164958932</v>
      </c>
    </row>
    <row r="338" spans="1:68" x14ac:dyDescent="0.15">
      <c r="A338" s="5">
        <v>44047</v>
      </c>
      <c r="B338" s="1"/>
      <c r="C338">
        <v>109.16</v>
      </c>
      <c r="D338">
        <v>71.760000000000005</v>
      </c>
      <c r="E338">
        <v>73.065285000000003</v>
      </c>
      <c r="G338" s="3">
        <v>-6.6109942079737305E-3</v>
      </c>
      <c r="I338" s="15">
        <f t="shared" si="40"/>
        <v>-1.4635931211122997E-3</v>
      </c>
      <c r="J338" s="15">
        <f t="shared" si="41"/>
        <v>-1.1297878203361714E-2</v>
      </c>
      <c r="K338" s="15">
        <f t="shared" si="42"/>
        <v>-3.8765024361065276E-3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BJ338">
        <f t="shared" si="36"/>
        <v>4.3705244417862214E-5</v>
      </c>
      <c r="BK338">
        <f t="shared" si="38"/>
        <v>1.2549964953662075E-4</v>
      </c>
      <c r="BO338">
        <f t="shared" si="39"/>
        <v>1.4848274772867763E-4</v>
      </c>
      <c r="BP338">
        <f t="shared" si="37"/>
        <v>3.3414095552939047</v>
      </c>
    </row>
    <row r="339" spans="1:68" x14ac:dyDescent="0.15">
      <c r="A339" s="5">
        <v>44048</v>
      </c>
      <c r="B339" s="1"/>
      <c r="C339">
        <v>107.82</v>
      </c>
      <c r="D339">
        <v>71.260000000000005</v>
      </c>
      <c r="E339">
        <v>71.984800000000007</v>
      </c>
      <c r="G339" s="3">
        <v>-6.3044739954841696E-3</v>
      </c>
      <c r="I339" s="15">
        <f t="shared" si="40"/>
        <v>-1.2275558812751955E-2</v>
      </c>
      <c r="J339" s="15">
        <f t="shared" si="41"/>
        <v>-6.9676700111482711E-3</v>
      </c>
      <c r="K339" s="15">
        <f t="shared" si="42"/>
        <v>-1.4787939306607725E-2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BJ339">
        <f t="shared" si="36"/>
        <v>3.9746392359736127E-5</v>
      </c>
      <c r="BK339">
        <f t="shared" si="38"/>
        <v>1.2059198522949523E-4</v>
      </c>
      <c r="BO339">
        <f t="shared" si="39"/>
        <v>1.2863105666132419E-4</v>
      </c>
      <c r="BP339">
        <f t="shared" si="37"/>
        <v>3.4058449537593853</v>
      </c>
    </row>
    <row r="340" spans="1:68" x14ac:dyDescent="0.15">
      <c r="A340" s="5">
        <v>44049</v>
      </c>
      <c r="B340" s="1"/>
      <c r="C340">
        <v>107.4</v>
      </c>
      <c r="D340">
        <v>70.36</v>
      </c>
      <c r="E340">
        <v>72.041669999999996</v>
      </c>
      <c r="G340" s="3">
        <v>-3.05428928357354E-3</v>
      </c>
      <c r="I340" s="15">
        <f t="shared" si="40"/>
        <v>-3.8953811908735625E-3</v>
      </c>
      <c r="J340" s="15">
        <f t="shared" si="41"/>
        <v>-1.2629806342969487E-2</v>
      </c>
      <c r="K340" s="15">
        <f t="shared" si="42"/>
        <v>7.9002789477763795E-4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BJ340">
        <f t="shared" si="36"/>
        <v>9.3286830277521683E-6</v>
      </c>
      <c r="BK340">
        <f t="shared" si="38"/>
        <v>1.1574124965730968E-4</v>
      </c>
      <c r="BO340">
        <f t="shared" si="39"/>
        <v>1.1249599020805669E-4</v>
      </c>
      <c r="BP340">
        <f t="shared" si="37"/>
        <v>3.5858956652900251</v>
      </c>
    </row>
    <row r="341" spans="1:68" x14ac:dyDescent="0.15">
      <c r="A341" s="5">
        <v>44050</v>
      </c>
      <c r="B341" s="1"/>
      <c r="C341">
        <v>107.68</v>
      </c>
      <c r="D341">
        <v>70.2</v>
      </c>
      <c r="E341">
        <v>71.558300000000003</v>
      </c>
      <c r="G341" s="3">
        <v>8.8989547234019599E-5</v>
      </c>
      <c r="I341" s="15">
        <f t="shared" si="40"/>
        <v>2.6070763500931201E-3</v>
      </c>
      <c r="J341" s="15">
        <f t="shared" si="41"/>
        <v>-2.2740193291642496E-3</v>
      </c>
      <c r="K341" s="15">
        <f t="shared" si="42"/>
        <v>-6.7095890475608582E-3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BJ341">
        <f t="shared" si="36"/>
        <v>7.9191395169158049E-9</v>
      </c>
      <c r="BK341">
        <f t="shared" si="38"/>
        <v>1.0935649565953623E-4</v>
      </c>
      <c r="BO341">
        <f t="shared" si="39"/>
        <v>9.5507889931873506E-5</v>
      </c>
      <c r="BP341">
        <f t="shared" si="37"/>
        <v>3.7091708571582869</v>
      </c>
    </row>
    <row r="342" spans="1:68" x14ac:dyDescent="0.15">
      <c r="A342" s="5">
        <v>44053</v>
      </c>
      <c r="B342" s="1"/>
      <c r="C342">
        <v>107.9</v>
      </c>
      <c r="D342">
        <v>71.5</v>
      </c>
      <c r="E342">
        <v>71.548810000000003</v>
      </c>
      <c r="G342" s="3">
        <v>2.2733678757449398E-3</v>
      </c>
      <c r="I342" s="15">
        <f t="shared" si="40"/>
        <v>2.0430906389301527E-3</v>
      </c>
      <c r="J342" s="15">
        <f t="shared" si="41"/>
        <v>1.8518518518518476E-2</v>
      </c>
      <c r="K342" s="15">
        <f t="shared" si="42"/>
        <v>-1.326191371231507E-4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BJ342">
        <f t="shared" si="36"/>
        <v>5.1682014984690598E-6</v>
      </c>
      <c r="BK342">
        <f t="shared" si="38"/>
        <v>1.0279558106833507E-4</v>
      </c>
      <c r="BO342">
        <f t="shared" si="39"/>
        <v>8.0855318946428903E-5</v>
      </c>
      <c r="BP342">
        <f t="shared" si="37"/>
        <v>3.7605264958238789</v>
      </c>
    </row>
    <row r="343" spans="1:68" x14ac:dyDescent="0.15">
      <c r="A343" s="5">
        <v>44054</v>
      </c>
      <c r="B343" s="1"/>
      <c r="C343">
        <v>108.08</v>
      </c>
      <c r="D343">
        <v>73.239999999999995</v>
      </c>
      <c r="E343">
        <v>72.231223999999997</v>
      </c>
      <c r="G343" s="3">
        <v>6.1767632406923801E-3</v>
      </c>
      <c r="I343" s="15">
        <f t="shared" si="40"/>
        <v>1.668211306765455E-3</v>
      </c>
      <c r="J343" s="15">
        <f t="shared" si="41"/>
        <v>2.4335664335664264E-2</v>
      </c>
      <c r="K343" s="15">
        <f t="shared" si="42"/>
        <v>9.5377407395034839E-3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BJ343">
        <f t="shared" si="36"/>
        <v>3.8152404131568633E-5</v>
      </c>
      <c r="BK343">
        <f t="shared" si="38"/>
        <v>9.6937938294143104E-5</v>
      </c>
      <c r="BO343">
        <f t="shared" si="39"/>
        <v>7.009708100858877E-5</v>
      </c>
      <c r="BP343">
        <f t="shared" si="37"/>
        <v>3.5917364198943922</v>
      </c>
    </row>
    <row r="344" spans="1:68" x14ac:dyDescent="0.15">
      <c r="A344" s="5">
        <v>44055</v>
      </c>
      <c r="B344" s="1"/>
      <c r="C344">
        <v>109.02</v>
      </c>
      <c r="D344">
        <v>74.14</v>
      </c>
      <c r="E344">
        <v>73.378050000000002</v>
      </c>
      <c r="G344" s="3">
        <v>1.2352625259678101E-2</v>
      </c>
      <c r="I344" s="15">
        <f t="shared" si="40"/>
        <v>8.6972612879348422E-3</v>
      </c>
      <c r="J344" s="15">
        <f t="shared" si="41"/>
        <v>1.2288367012561521E-2</v>
      </c>
      <c r="K344" s="15">
        <f t="shared" si="42"/>
        <v>1.5877150302755556E-2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BJ344">
        <f t="shared" si="36"/>
        <v>1.5258735080603747E-4</v>
      </c>
      <c r="BK344">
        <f t="shared" si="38"/>
        <v>9.3410806244388636E-5</v>
      </c>
      <c r="BO344">
        <f t="shared" si="39"/>
        <v>6.6356163406466553E-5</v>
      </c>
      <c r="BP344">
        <f t="shared" si="37"/>
        <v>2.7415382259956753</v>
      </c>
    </row>
    <row r="345" spans="1:68" x14ac:dyDescent="0.15">
      <c r="A345" s="5">
        <v>44056</v>
      </c>
      <c r="B345" s="1"/>
      <c r="C345">
        <v>109.08</v>
      </c>
      <c r="D345">
        <v>73.56</v>
      </c>
      <c r="E345">
        <v>73.728740000000002</v>
      </c>
      <c r="G345" s="3">
        <v>-1.80540127666517E-3</v>
      </c>
      <c r="I345" s="15">
        <f t="shared" si="40"/>
        <v>5.503577325261629E-4</v>
      </c>
      <c r="J345" s="15">
        <f t="shared" si="41"/>
        <v>-7.823037496627978E-3</v>
      </c>
      <c r="K345" s="15">
        <f t="shared" si="42"/>
        <v>4.7792221243273727E-3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BJ345">
        <f t="shared" si="36"/>
        <v>3.2594737697842258E-6</v>
      </c>
      <c r="BK345">
        <f t="shared" si="38"/>
        <v>9.6961398918087564E-5</v>
      </c>
      <c r="BO345">
        <f t="shared" si="39"/>
        <v>7.9719713587146675E-5</v>
      </c>
      <c r="BP345">
        <f t="shared" si="37"/>
        <v>3.7791149585486896</v>
      </c>
    </row>
    <row r="346" spans="1:68" x14ac:dyDescent="0.15">
      <c r="A346" s="5">
        <v>44057</v>
      </c>
      <c r="B346" s="1"/>
      <c r="C346">
        <v>108.7</v>
      </c>
      <c r="D346">
        <v>73.08</v>
      </c>
      <c r="E346">
        <v>73.216933999999995</v>
      </c>
      <c r="G346" s="3">
        <v>-9.4060117371337296E-3</v>
      </c>
      <c r="I346" s="15">
        <f t="shared" si="40"/>
        <v>-3.4836817015034419E-3</v>
      </c>
      <c r="J346" s="15">
        <f t="shared" si="41"/>
        <v>-6.5252854812398583E-3</v>
      </c>
      <c r="K346" s="15">
        <f t="shared" si="42"/>
        <v>-6.9417434775096805E-3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BJ346">
        <f t="shared" si="36"/>
        <v>8.847305679909748E-5</v>
      </c>
      <c r="BK346">
        <f t="shared" si="38"/>
        <v>9.133928340918936E-5</v>
      </c>
      <c r="BO346">
        <f t="shared" si="39"/>
        <v>6.8934494854458193E-5</v>
      </c>
      <c r="BP346">
        <f t="shared" si="37"/>
        <v>3.2305200714177298</v>
      </c>
    </row>
    <row r="347" spans="1:68" x14ac:dyDescent="0.15">
      <c r="A347" s="5">
        <v>44060</v>
      </c>
      <c r="B347" s="1"/>
      <c r="C347">
        <v>109.18</v>
      </c>
      <c r="D347">
        <v>72.680000000000007</v>
      </c>
      <c r="E347">
        <v>73.757170000000002</v>
      </c>
      <c r="G347" s="3">
        <v>6.3419811059095502E-3</v>
      </c>
      <c r="I347" s="15">
        <f t="shared" si="40"/>
        <v>4.415823367065354E-3</v>
      </c>
      <c r="J347" s="15">
        <f t="shared" si="41"/>
        <v>-5.473453749315702E-3</v>
      </c>
      <c r="K347" s="15">
        <f t="shared" si="42"/>
        <v>7.3785662753920742E-3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BJ347">
        <f t="shared" si="36"/>
        <v>4.0220724347713725E-5</v>
      </c>
      <c r="BK347">
        <f t="shared" si="38"/>
        <v>9.1167309812583848E-5</v>
      </c>
      <c r="BO347">
        <f t="shared" si="39"/>
        <v>7.2610932305693459E-5</v>
      </c>
      <c r="BP347">
        <f t="shared" si="37"/>
        <v>3.5692984708396365</v>
      </c>
    </row>
    <row r="348" spans="1:68" x14ac:dyDescent="0.15">
      <c r="A348" s="5">
        <v>44061</v>
      </c>
      <c r="B348" s="1"/>
      <c r="C348">
        <v>108.98</v>
      </c>
      <c r="D348">
        <v>72.760000000000005</v>
      </c>
      <c r="E348">
        <v>73.254845000000003</v>
      </c>
      <c r="G348" s="3">
        <v>-5.8326878535903603E-3</v>
      </c>
      <c r="I348" s="15">
        <f t="shared" si="40"/>
        <v>-1.8318373328448693E-3</v>
      </c>
      <c r="J348" s="15">
        <f t="shared" si="41"/>
        <v>1.1007154650522603E-3</v>
      </c>
      <c r="K348" s="15">
        <f t="shared" si="42"/>
        <v>-6.8105243191949882E-3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BJ348">
        <f t="shared" si="36"/>
        <v>3.4020247597420522E-5</v>
      </c>
      <c r="BK348">
        <f t="shared" si="38"/>
        <v>8.8110514684691644E-5</v>
      </c>
      <c r="BO348">
        <f t="shared" si="39"/>
        <v>6.8622545673872225E-5</v>
      </c>
      <c r="BP348">
        <f t="shared" si="37"/>
        <v>3.626626656651132</v>
      </c>
    </row>
    <row r="349" spans="1:68" x14ac:dyDescent="0.15">
      <c r="A349" s="5">
        <v>44062</v>
      </c>
      <c r="B349" s="1"/>
      <c r="C349">
        <v>110.86</v>
      </c>
      <c r="D349">
        <v>73.459999999999994</v>
      </c>
      <c r="E349">
        <v>74.316376000000005</v>
      </c>
      <c r="G349" s="3">
        <v>1.39268745619707E-2</v>
      </c>
      <c r="I349" s="15">
        <f t="shared" si="40"/>
        <v>1.7250871719581531E-2</v>
      </c>
      <c r="J349" s="15">
        <f t="shared" si="41"/>
        <v>9.6206706981856599E-3</v>
      </c>
      <c r="K349" s="15">
        <f t="shared" si="42"/>
        <v>1.4490932306252265E-2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BJ349">
        <f t="shared" si="36"/>
        <v>1.9395783506486657E-4</v>
      </c>
      <c r="BK349">
        <f t="shared" si="38"/>
        <v>8.4865098659455369E-5</v>
      </c>
      <c r="BO349">
        <f t="shared" si="39"/>
        <v>6.4611066608186532E-5</v>
      </c>
      <c r="BP349">
        <f t="shared" si="37"/>
        <v>2.4036593890432378</v>
      </c>
    </row>
    <row r="350" spans="1:68" x14ac:dyDescent="0.15">
      <c r="A350" s="5">
        <v>44063</v>
      </c>
      <c r="B350" s="1"/>
      <c r="C350">
        <v>109.98</v>
      </c>
      <c r="D350">
        <v>73.16</v>
      </c>
      <c r="E350">
        <v>74.050989999999999</v>
      </c>
      <c r="G350" s="3">
        <v>-7.7683583754433105E-3</v>
      </c>
      <c r="I350" s="15">
        <f t="shared" si="40"/>
        <v>-7.9379397438209941E-3</v>
      </c>
      <c r="J350" s="15">
        <f t="shared" si="41"/>
        <v>-4.083855159270313E-3</v>
      </c>
      <c r="K350" s="15">
        <f t="shared" si="42"/>
        <v>-3.5710298898321757E-3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BJ350">
        <f t="shared" si="36"/>
        <v>6.0347391849320227E-5</v>
      </c>
      <c r="BK350">
        <f t="shared" si="38"/>
        <v>9.1410662843780048E-5</v>
      </c>
      <c r="BO350">
        <f t="shared" si="39"/>
        <v>8.4242888800596649E-5</v>
      </c>
      <c r="BP350">
        <f t="shared" si="37"/>
        <v>3.4137896750642041</v>
      </c>
    </row>
    <row r="351" spans="1:68" x14ac:dyDescent="0.15">
      <c r="A351" s="5">
        <v>44064</v>
      </c>
      <c r="B351" s="1"/>
      <c r="C351">
        <v>110</v>
      </c>
      <c r="D351">
        <v>72.98</v>
      </c>
      <c r="E351">
        <v>74.42062</v>
      </c>
      <c r="G351" s="3">
        <v>-1.1462367344876601E-3</v>
      </c>
      <c r="I351" s="15">
        <f t="shared" si="40"/>
        <v>1.8185124568099672E-4</v>
      </c>
      <c r="J351" s="15">
        <f t="shared" si="41"/>
        <v>-2.4603608529249949E-3</v>
      </c>
      <c r="K351" s="15">
        <f t="shared" si="42"/>
        <v>4.9915605449704428E-3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BJ351">
        <f t="shared" si="36"/>
        <v>1.3138586514889346E-6</v>
      </c>
      <c r="BK351">
        <f t="shared" si="38"/>
        <v>8.9546866584112452E-5</v>
      </c>
      <c r="BO351">
        <f t="shared" si="39"/>
        <v>8.0612849758317673E-5</v>
      </c>
      <c r="BP351">
        <f t="shared" si="37"/>
        <v>3.7858385255161489</v>
      </c>
    </row>
    <row r="352" spans="1:68" x14ac:dyDescent="0.15">
      <c r="A352" s="5">
        <v>44067</v>
      </c>
      <c r="B352" s="1"/>
      <c r="C352">
        <v>110.74</v>
      </c>
      <c r="D352">
        <v>74.319999999999993</v>
      </c>
      <c r="E352">
        <v>74.524879999999996</v>
      </c>
      <c r="G352" s="3">
        <v>8.8266674174670694E-3</v>
      </c>
      <c r="I352" s="15">
        <f t="shared" si="40"/>
        <v>6.7272727272726807E-3</v>
      </c>
      <c r="J352" s="15">
        <f t="shared" si="41"/>
        <v>1.8361194847903387E-2</v>
      </c>
      <c r="K352" s="15">
        <f t="shared" si="42"/>
        <v>1.400955810365413E-3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BJ352">
        <f t="shared" si="36"/>
        <v>7.7910057698574791E-5</v>
      </c>
      <c r="BK352">
        <f t="shared" si="38"/>
        <v>8.4252886108155038E-5</v>
      </c>
      <c r="BO352">
        <f t="shared" si="39"/>
        <v>6.9357957077162497E-5</v>
      </c>
      <c r="BP352">
        <f t="shared" si="37"/>
        <v>3.3075243998364101</v>
      </c>
    </row>
    <row r="353" spans="1:68" x14ac:dyDescent="0.15">
      <c r="A353" s="5">
        <v>44068</v>
      </c>
      <c r="B353" s="1"/>
      <c r="C353">
        <v>109.72</v>
      </c>
      <c r="D353">
        <v>74.180000000000007</v>
      </c>
      <c r="E353">
        <v>74.382720000000006</v>
      </c>
      <c r="G353" s="3">
        <v>-7.4832054236625397E-3</v>
      </c>
      <c r="I353" s="15">
        <f t="shared" si="40"/>
        <v>-9.2107639515983022E-3</v>
      </c>
      <c r="J353" s="15">
        <f t="shared" si="41"/>
        <v>-1.8837459634013236E-3</v>
      </c>
      <c r="K353" s="15">
        <f t="shared" si="42"/>
        <v>-1.9075508742850691E-3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BJ353">
        <f t="shared" si="36"/>
        <v>5.5998363412732451E-5</v>
      </c>
      <c r="BK353">
        <f t="shared" si="38"/>
        <v>8.3872316403580215E-5</v>
      </c>
      <c r="BO353">
        <f t="shared" si="39"/>
        <v>7.1438702777577292E-5</v>
      </c>
      <c r="BP353">
        <f t="shared" si="37"/>
        <v>3.4624639041243581</v>
      </c>
    </row>
    <row r="354" spans="1:68" x14ac:dyDescent="0.15">
      <c r="A354" s="5">
        <v>44069</v>
      </c>
      <c r="B354" s="1"/>
      <c r="C354">
        <v>110.56</v>
      </c>
      <c r="D354">
        <v>74.14</v>
      </c>
      <c r="E354">
        <v>74.667050000000003</v>
      </c>
      <c r="G354" s="3">
        <v>7.6630116742488694E-3</v>
      </c>
      <c r="I354" s="15">
        <f t="shared" si="40"/>
        <v>7.6558512577470234E-3</v>
      </c>
      <c r="J354" s="15">
        <f t="shared" si="41"/>
        <v>-5.3922890266926734E-4</v>
      </c>
      <c r="K354" s="15">
        <f t="shared" si="42"/>
        <v>3.8225275978076233E-3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BJ354">
        <f t="shared" si="36"/>
        <v>5.8721747919674458E-5</v>
      </c>
      <c r="BK354">
        <f t="shared" si="38"/>
        <v>8.2199879224129351E-5</v>
      </c>
      <c r="BO354">
        <f t="shared" si="39"/>
        <v>6.9950127995530996E-5</v>
      </c>
      <c r="BP354">
        <f t="shared" si="37"/>
        <v>3.4451853768845249</v>
      </c>
    </row>
    <row r="355" spans="1:68" x14ac:dyDescent="0.15">
      <c r="A355" s="5">
        <v>44070</v>
      </c>
      <c r="B355" s="1"/>
      <c r="C355">
        <v>110.18</v>
      </c>
      <c r="D355">
        <v>73.34</v>
      </c>
      <c r="E355">
        <v>74.828180000000003</v>
      </c>
      <c r="G355" s="3">
        <v>-6.7117394927479401E-3</v>
      </c>
      <c r="I355" s="15">
        <f t="shared" si="40"/>
        <v>-3.4370477568740542E-3</v>
      </c>
      <c r="J355" s="15">
        <f t="shared" si="41"/>
        <v>-1.0790396547073066E-2</v>
      </c>
      <c r="K355" s="15">
        <f t="shared" si="42"/>
        <v>2.1579799925134312E-3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BJ355">
        <f t="shared" si="36"/>
        <v>4.5047447018512373E-5</v>
      </c>
      <c r="BK355">
        <f t="shared" si="38"/>
        <v>8.0791191345862054E-5</v>
      </c>
      <c r="BO355">
        <f t="shared" si="39"/>
        <v>6.9170386401587854E-5</v>
      </c>
      <c r="BP355">
        <f t="shared" si="37"/>
        <v>3.5449036480097029</v>
      </c>
    </row>
    <row r="356" spans="1:68" x14ac:dyDescent="0.15">
      <c r="A356" s="5">
        <v>44071</v>
      </c>
      <c r="B356" s="1"/>
      <c r="C356">
        <v>108.86</v>
      </c>
      <c r="D356">
        <v>73.58</v>
      </c>
      <c r="E356">
        <v>74.088899999999995</v>
      </c>
      <c r="G356" s="3">
        <v>-7.4182889602287805E-3</v>
      </c>
      <c r="I356" s="15">
        <f t="shared" si="40"/>
        <v>-1.1980395716100992E-2</v>
      </c>
      <c r="J356" s="15">
        <f t="shared" si="41"/>
        <v>3.2724297791109202E-3</v>
      </c>
      <c r="K356" s="15">
        <f t="shared" si="42"/>
        <v>-9.8797004016402366E-3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BJ356">
        <f t="shared" si="36"/>
        <v>5.5031011097452203E-5</v>
      </c>
      <c r="BK356">
        <f t="shared" si="38"/>
        <v>7.8646566686221066E-5</v>
      </c>
      <c r="BO356">
        <f t="shared" si="39"/>
        <v>6.6611277094799461E-5</v>
      </c>
      <c r="BP356">
        <f t="shared" si="37"/>
        <v>3.4763040167036645</v>
      </c>
    </row>
    <row r="357" spans="1:68" x14ac:dyDescent="0.15">
      <c r="A357" s="5">
        <v>44074</v>
      </c>
      <c r="B357" s="1"/>
      <c r="C357">
        <v>108.56</v>
      </c>
      <c r="D357">
        <v>72.64</v>
      </c>
      <c r="E357">
        <v>73.965689999999995</v>
      </c>
      <c r="G357" s="3">
        <v>-2.8461322392467903E-3</v>
      </c>
      <c r="I357" s="15">
        <f t="shared" si="40"/>
        <v>-2.7558331802314639E-3</v>
      </c>
      <c r="J357" s="15">
        <f t="shared" si="41"/>
        <v>-1.2775210655069282E-2</v>
      </c>
      <c r="K357" s="15">
        <f t="shared" si="42"/>
        <v>-1.6630021501196572E-3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BJ357">
        <f t="shared" si="36"/>
        <v>8.1004687232799486E-6</v>
      </c>
      <c r="BK357">
        <f t="shared" si="38"/>
        <v>7.7229633350894925E-5</v>
      </c>
      <c r="BO357">
        <f t="shared" si="39"/>
        <v>6.6025827040004371E-5</v>
      </c>
      <c r="BP357">
        <f t="shared" si="37"/>
        <v>3.8324505710851651</v>
      </c>
    </row>
    <row r="358" spans="1:68" x14ac:dyDescent="0.15">
      <c r="A358" s="5">
        <v>44075</v>
      </c>
      <c r="B358" s="1"/>
      <c r="C358">
        <v>108.64</v>
      </c>
      <c r="D358">
        <v>73.3</v>
      </c>
      <c r="E358">
        <v>74.86609</v>
      </c>
      <c r="G358" s="3">
        <v>5.2574571460461909E-3</v>
      </c>
      <c r="I358" s="15">
        <f t="shared" si="40"/>
        <v>7.3691967575532696E-4</v>
      </c>
      <c r="J358" s="15">
        <f t="shared" si="41"/>
        <v>9.0859030837003932E-3</v>
      </c>
      <c r="K358" s="15">
        <f t="shared" si="42"/>
        <v>1.2173211660703832E-2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BJ358">
        <f t="shared" si="36"/>
        <v>2.7640855642512158E-5</v>
      </c>
      <c r="BK358">
        <f t="shared" si="38"/>
        <v>7.3081883473238022E-5</v>
      </c>
      <c r="BO358">
        <f t="shared" si="39"/>
        <v>5.8882755711612344E-5</v>
      </c>
      <c r="BP358">
        <f t="shared" si="37"/>
        <v>3.7163316531134187</v>
      </c>
    </row>
    <row r="359" spans="1:68" x14ac:dyDescent="0.15">
      <c r="A359" s="5">
        <v>44076</v>
      </c>
      <c r="B359" s="1"/>
      <c r="C359">
        <v>110.04</v>
      </c>
      <c r="D359">
        <v>74.62</v>
      </c>
      <c r="E359">
        <v>76.306730000000002</v>
      </c>
      <c r="G359" s="3">
        <v>1.9235743641740698E-2</v>
      </c>
      <c r="I359" s="15">
        <f t="shared" si="40"/>
        <v>1.2886597938144383E-2</v>
      </c>
      <c r="J359" s="15">
        <f t="shared" si="41"/>
        <v>1.8008185538881411E-2</v>
      </c>
      <c r="K359" s="15">
        <f t="shared" si="42"/>
        <v>1.9242890873558401E-2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BJ359">
        <f t="shared" si="36"/>
        <v>3.7001383345076769E-4</v>
      </c>
      <c r="BK359">
        <f t="shared" si="38"/>
        <v>7.0355421803394458E-5</v>
      </c>
      <c r="BO359">
        <f t="shared" si="39"/>
        <v>5.606282745303161E-5</v>
      </c>
      <c r="BP359">
        <f t="shared" si="37"/>
        <v>0.6755876376947656</v>
      </c>
    </row>
    <row r="360" spans="1:68" x14ac:dyDescent="0.15">
      <c r="A360" s="5">
        <v>44077</v>
      </c>
      <c r="B360" s="1"/>
      <c r="C360">
        <v>109.34</v>
      </c>
      <c r="D360">
        <v>74.5</v>
      </c>
      <c r="E360">
        <v>75.046170000000004</v>
      </c>
      <c r="G360" s="3">
        <v>-1.58116562000397E-2</v>
      </c>
      <c r="I360" s="15">
        <f t="shared" si="40"/>
        <v>-6.3613231552163106E-3</v>
      </c>
      <c r="J360" s="15">
        <f t="shared" si="41"/>
        <v>-1.6081479496114252E-3</v>
      </c>
      <c r="K360" s="15">
        <f t="shared" si="42"/>
        <v>-1.6519643811233924E-2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BJ360">
        <f t="shared" si="36"/>
        <v>2.5000847178825389E-4</v>
      </c>
      <c r="BK360">
        <f t="shared" si="38"/>
        <v>8.8334926502236868E-5</v>
      </c>
      <c r="BO360">
        <f t="shared" si="39"/>
        <v>1.0261175959797866E-4</v>
      </c>
      <c r="BP360">
        <f t="shared" si="37"/>
        <v>2.4551152305098762</v>
      </c>
    </row>
    <row r="361" spans="1:68" x14ac:dyDescent="0.15">
      <c r="A361" s="5">
        <v>44078</v>
      </c>
      <c r="B361" s="1"/>
      <c r="C361">
        <v>108.32</v>
      </c>
      <c r="D361">
        <v>73.5</v>
      </c>
      <c r="E361">
        <v>74.667050000000003</v>
      </c>
      <c r="G361" s="3">
        <v>-6.6089303529517293E-3</v>
      </c>
      <c r="I361" s="15">
        <f t="shared" si="40"/>
        <v>-9.3286994695446334E-3</v>
      </c>
      <c r="J361" s="15">
        <f t="shared" si="41"/>
        <v>-1.3422818791946308E-2</v>
      </c>
      <c r="K361" s="15">
        <f t="shared" si="42"/>
        <v>-5.0518234308293188E-3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BJ361">
        <f t="shared" si="36"/>
        <v>4.3677960410166667E-5</v>
      </c>
      <c r="BK361">
        <f t="shared" si="38"/>
        <v>9.8035339219397898E-5</v>
      </c>
      <c r="BO361">
        <f t="shared" si="39"/>
        <v>1.2203256975621779E-4</v>
      </c>
      <c r="BP361">
        <f t="shared" si="37"/>
        <v>3.407712500313743</v>
      </c>
    </row>
    <row r="362" spans="1:68" x14ac:dyDescent="0.15">
      <c r="A362" s="5">
        <v>44082</v>
      </c>
      <c r="B362" s="1"/>
      <c r="C362">
        <v>108.26</v>
      </c>
      <c r="D362">
        <v>75.28</v>
      </c>
      <c r="E362">
        <v>75.946569999999994</v>
      </c>
      <c r="G362" s="3">
        <v>9.5889166170548493E-3</v>
      </c>
      <c r="I362" s="15">
        <f t="shared" si="40"/>
        <v>-5.5391432791717201E-4</v>
      </c>
      <c r="J362" s="15">
        <f t="shared" si="41"/>
        <v>2.4217687074829946E-2</v>
      </c>
      <c r="K362" s="15">
        <f t="shared" si="42"/>
        <v>1.7136340594679861E-2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BJ362">
        <f t="shared" si="36"/>
        <v>9.1947321888830619E-5</v>
      </c>
      <c r="BK362">
        <f t="shared" si="38"/>
        <v>9.4773896490844026E-5</v>
      </c>
      <c r="BO362">
        <f t="shared" si="39"/>
        <v>1.0788021150592346E-4</v>
      </c>
      <c r="BP362">
        <f t="shared" si="37"/>
        <v>3.2221512999136075</v>
      </c>
    </row>
    <row r="363" spans="1:68" x14ac:dyDescent="0.15">
      <c r="A363" s="5">
        <v>44083</v>
      </c>
      <c r="B363" s="1"/>
      <c r="C363">
        <v>110.02</v>
      </c>
      <c r="D363">
        <v>78.400000000000006</v>
      </c>
      <c r="E363">
        <v>76.884889999999999</v>
      </c>
      <c r="G363" s="3">
        <v>1.52315543271945E-2</v>
      </c>
      <c r="I363" s="15">
        <f t="shared" si="40"/>
        <v>1.6257158692037602E-2</v>
      </c>
      <c r="J363" s="15">
        <f t="shared" si="41"/>
        <v>4.144527098831037E-2</v>
      </c>
      <c r="K363" s="15">
        <f t="shared" si="42"/>
        <v>1.2355001680786961E-2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BJ363">
        <f t="shared" si="36"/>
        <v>2.3200024722227751E-4</v>
      </c>
      <c r="BK363">
        <f t="shared" si="38"/>
        <v>9.4604302014723225E-5</v>
      </c>
      <c r="BO363">
        <f t="shared" si="39"/>
        <v>1.0365393303012941E-4</v>
      </c>
      <c r="BP363">
        <f t="shared" si="37"/>
        <v>2.5491781375120537</v>
      </c>
    </row>
    <row r="364" spans="1:68" x14ac:dyDescent="0.15">
      <c r="A364" s="5">
        <v>44084</v>
      </c>
      <c r="B364" s="1"/>
      <c r="C364">
        <v>109.68</v>
      </c>
      <c r="D364">
        <v>76.7</v>
      </c>
      <c r="E364">
        <v>76.828019999999995</v>
      </c>
      <c r="G364" s="3">
        <v>-1.8388484985733999E-3</v>
      </c>
      <c r="I364" s="15">
        <f t="shared" si="40"/>
        <v>-3.0903472095981568E-3</v>
      </c>
      <c r="J364" s="15">
        <f t="shared" si="41"/>
        <v>-2.168367346938779E-2</v>
      </c>
      <c r="K364" s="15">
        <f t="shared" si="42"/>
        <v>-7.3967719795142489E-4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BJ364">
        <f t="shared" si="36"/>
        <v>3.3813638007056474E-6</v>
      </c>
      <c r="BK364">
        <f t="shared" si="38"/>
        <v>1.028480587271765E-4</v>
      </c>
      <c r="BO364">
        <f t="shared" si="39"/>
        <v>1.2028529377939562E-4</v>
      </c>
      <c r="BP364">
        <f t="shared" si="37"/>
        <v>3.5798279617575206</v>
      </c>
    </row>
    <row r="365" spans="1:68" x14ac:dyDescent="0.15">
      <c r="A365" s="5">
        <v>44085</v>
      </c>
      <c r="B365" s="1"/>
      <c r="C365">
        <v>109.98</v>
      </c>
      <c r="D365">
        <v>76.7</v>
      </c>
      <c r="E365">
        <v>77.529390000000006</v>
      </c>
      <c r="G365" s="3">
        <v>5.0134623710529303E-3</v>
      </c>
      <c r="I365" s="15">
        <f t="shared" si="40"/>
        <v>2.7352297592997551E-3</v>
      </c>
      <c r="J365" s="15">
        <f t="shared" si="41"/>
        <v>0</v>
      </c>
      <c r="K365" s="15">
        <f t="shared" si="42"/>
        <v>9.1290911831387999E-3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BJ365">
        <f t="shared" si="36"/>
        <v>2.5134804945963671E-5</v>
      </c>
      <c r="BK365">
        <f t="shared" si="38"/>
        <v>9.6880057031588254E-5</v>
      </c>
      <c r="BO365">
        <f t="shared" si="39"/>
        <v>1.007706363412153E-4</v>
      </c>
      <c r="BP365">
        <f t="shared" si="37"/>
        <v>3.5576803007665654</v>
      </c>
    </row>
    <row r="366" spans="1:68" x14ac:dyDescent="0.15">
      <c r="A366" s="5">
        <v>44088</v>
      </c>
      <c r="B366" s="1"/>
      <c r="C366">
        <v>109.7</v>
      </c>
      <c r="D366">
        <v>75.72</v>
      </c>
      <c r="E366">
        <v>77.624170000000007</v>
      </c>
      <c r="G366" s="3">
        <v>1.71632915157626E-3</v>
      </c>
      <c r="I366" s="15">
        <f t="shared" si="40"/>
        <v>-2.5459174395344709E-3</v>
      </c>
      <c r="J366" s="15">
        <f t="shared" si="41"/>
        <v>-1.2777053455019609E-2</v>
      </c>
      <c r="K366" s="15">
        <f t="shared" si="42"/>
        <v>1.2225041368183096E-3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BJ366">
        <f t="shared" si="36"/>
        <v>2.9457857565504844E-6</v>
      </c>
      <c r="BK366">
        <f t="shared" si="38"/>
        <v>9.257534190645077E-5</v>
      </c>
      <c r="BO366">
        <f t="shared" si="39"/>
        <v>8.85618815806957E-5</v>
      </c>
      <c r="BP366">
        <f t="shared" si="37"/>
        <v>3.7303347501135118</v>
      </c>
    </row>
    <row r="367" spans="1:68" x14ac:dyDescent="0.15">
      <c r="A367" s="5">
        <v>44089</v>
      </c>
      <c r="B367" s="1"/>
      <c r="C367">
        <v>109.64</v>
      </c>
      <c r="D367">
        <v>75.34</v>
      </c>
      <c r="E367">
        <v>78.723600000000005</v>
      </c>
      <c r="G367" s="3">
        <v>5.9832192968687307E-3</v>
      </c>
      <c r="I367" s="15">
        <f t="shared" si="40"/>
        <v>-5.469462169553534E-4</v>
      </c>
      <c r="J367" s="15">
        <f t="shared" si="41"/>
        <v>-5.0184891706285721E-3</v>
      </c>
      <c r="K367" s="15">
        <f t="shared" si="42"/>
        <v>1.4163500878656712E-2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BJ367">
        <f t="shared" si="36"/>
        <v>3.5798913154422349E-5</v>
      </c>
      <c r="BK367">
        <f t="shared" si="38"/>
        <v>8.719756853745675E-5</v>
      </c>
      <c r="BO367">
        <f t="shared" si="39"/>
        <v>7.5825428637066094E-5</v>
      </c>
      <c r="BP367">
        <f t="shared" si="37"/>
        <v>3.5885384959703721</v>
      </c>
    </row>
    <row r="368" spans="1:68" x14ac:dyDescent="0.15">
      <c r="A368" s="5">
        <v>44090</v>
      </c>
      <c r="B368" s="1"/>
      <c r="C368">
        <v>110.26</v>
      </c>
      <c r="D368">
        <v>75.48</v>
      </c>
      <c r="E368">
        <v>77.974845999999999</v>
      </c>
      <c r="G368" s="3">
        <v>3.0453847326687902E-3</v>
      </c>
      <c r="I368" s="15">
        <f t="shared" si="40"/>
        <v>5.6548704852244121E-3</v>
      </c>
      <c r="J368" s="15">
        <f t="shared" si="41"/>
        <v>1.8582426333952822E-3</v>
      </c>
      <c r="K368" s="15">
        <f t="shared" si="42"/>
        <v>-9.5111758100494027E-3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BJ368">
        <f t="shared" si="36"/>
        <v>9.2743681699721581E-6</v>
      </c>
      <c r="BK368">
        <f t="shared" si="38"/>
        <v>8.4113649214474686E-5</v>
      </c>
      <c r="BO368">
        <f t="shared" si="39"/>
        <v>7.0514173325113616E-5</v>
      </c>
      <c r="BP368">
        <f t="shared" si="37"/>
        <v>3.795147441040752</v>
      </c>
    </row>
    <row r="369" spans="1:68" x14ac:dyDescent="0.15">
      <c r="A369" s="5">
        <v>44091</v>
      </c>
      <c r="B369" s="1"/>
      <c r="C369">
        <v>109.4</v>
      </c>
      <c r="D369">
        <v>74.48</v>
      </c>
      <c r="E369">
        <v>78.003280000000004</v>
      </c>
      <c r="G369" s="3">
        <v>-3.0996250143534498E-3</v>
      </c>
      <c r="I369" s="15">
        <f t="shared" si="40"/>
        <v>-7.799746054779606E-3</v>
      </c>
      <c r="J369" s="15">
        <f t="shared" si="41"/>
        <v>-1.3248542660307365E-2</v>
      </c>
      <c r="K369" s="15">
        <f t="shared" si="42"/>
        <v>3.6465605844228648E-4</v>
      </c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BJ369">
        <f t="shared" si="36"/>
        <v>9.6076752296056237E-6</v>
      </c>
      <c r="BK369">
        <f t="shared" si="38"/>
        <v>7.9623292351804528E-5</v>
      </c>
      <c r="BO369">
        <f t="shared" si="39"/>
        <v>6.2570506451082737E-5</v>
      </c>
      <c r="BP369">
        <f t="shared" si="37"/>
        <v>3.84389494176573</v>
      </c>
    </row>
    <row r="370" spans="1:68" x14ac:dyDescent="0.15">
      <c r="A370" s="5">
        <v>44092</v>
      </c>
      <c r="B370" s="1"/>
      <c r="C370">
        <v>108.42</v>
      </c>
      <c r="D370">
        <v>73.2</v>
      </c>
      <c r="E370">
        <v>78.600390000000004</v>
      </c>
      <c r="G370" s="3">
        <v>1.88621784802833E-3</v>
      </c>
      <c r="I370" s="15">
        <f t="shared" si="40"/>
        <v>-8.9579524680073481E-3</v>
      </c>
      <c r="J370" s="15">
        <f t="shared" si="41"/>
        <v>-1.7185821697099906E-2</v>
      </c>
      <c r="K370" s="15">
        <f t="shared" si="42"/>
        <v>7.654934510446236E-3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BJ370">
        <f t="shared" si="36"/>
        <v>3.5578177702206241E-6</v>
      </c>
      <c r="BK370">
        <f t="shared" si="38"/>
        <v>7.5422355324472588E-5</v>
      </c>
      <c r="BO370">
        <f t="shared" si="39"/>
        <v>5.6387132063815925E-5</v>
      </c>
      <c r="BP370">
        <f t="shared" si="37"/>
        <v>3.9411481214486703</v>
      </c>
    </row>
    <row r="371" spans="1:68" x14ac:dyDescent="0.15">
      <c r="A371" s="5">
        <v>44095</v>
      </c>
      <c r="B371" s="1"/>
      <c r="C371">
        <v>108.42</v>
      </c>
      <c r="D371">
        <v>69.599999999999994</v>
      </c>
      <c r="E371">
        <v>77.320869999999999</v>
      </c>
      <c r="G371" s="3">
        <v>-2.02802188634656E-2</v>
      </c>
      <c r="I371" s="15">
        <f t="shared" si="40"/>
        <v>0</v>
      </c>
      <c r="J371" s="15">
        <f t="shared" si="41"/>
        <v>-4.9180327868852576E-2</v>
      </c>
      <c r="K371" s="15">
        <f t="shared" si="42"/>
        <v>-1.6278799634454805E-2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BJ371">
        <f t="shared" si="36"/>
        <v>4.1128727715006595E-4</v>
      </c>
      <c r="BK371">
        <f t="shared" si="38"/>
        <v>7.1110483071217456E-5</v>
      </c>
      <c r="BO371">
        <f t="shared" si="39"/>
        <v>5.0675402322519556E-5</v>
      </c>
      <c r="BP371">
        <f t="shared" si="37"/>
        <v>-3.1959927733173465E-2</v>
      </c>
    </row>
    <row r="372" spans="1:68" x14ac:dyDescent="0.15">
      <c r="A372" s="5">
        <v>44096</v>
      </c>
      <c r="B372" s="1"/>
      <c r="C372">
        <v>109.2</v>
      </c>
      <c r="D372">
        <v>69.040000000000006</v>
      </c>
      <c r="E372">
        <v>77.406170000000003</v>
      </c>
      <c r="G372" s="3">
        <v>2.9179365023137499E-3</v>
      </c>
      <c r="I372" s="15">
        <f t="shared" si="40"/>
        <v>7.1942446043165575E-3</v>
      </c>
      <c r="J372" s="15">
        <f t="shared" si="41"/>
        <v>-8.0459770114940828E-3</v>
      </c>
      <c r="K372" s="15">
        <f t="shared" si="42"/>
        <v>1.1031950364759696E-3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BJ372">
        <f t="shared" si="36"/>
        <v>8.5143534315350016E-6</v>
      </c>
      <c r="BK372">
        <f t="shared" si="38"/>
        <v>9.1521090715948391E-5</v>
      </c>
      <c r="BO372">
        <f t="shared" si="39"/>
        <v>1.042641490807659E-4</v>
      </c>
      <c r="BP372">
        <f t="shared" si="37"/>
        <v>3.6245222729014652</v>
      </c>
    </row>
    <row r="373" spans="1:68" x14ac:dyDescent="0.15">
      <c r="A373" s="5">
        <v>44097</v>
      </c>
      <c r="B373" s="1"/>
      <c r="C373">
        <v>109.06</v>
      </c>
      <c r="D373">
        <v>69.06</v>
      </c>
      <c r="E373">
        <v>77.064964000000003</v>
      </c>
      <c r="G373" s="3">
        <v>-2.4630379244793199E-3</v>
      </c>
      <c r="I373" s="15">
        <f t="shared" si="40"/>
        <v>-1.2820512820512873E-3</v>
      </c>
      <c r="J373" s="15">
        <f t="shared" si="41"/>
        <v>2.8968713789101995E-4</v>
      </c>
      <c r="K373" s="15">
        <f t="shared" si="42"/>
        <v>-4.4079948665590825E-3</v>
      </c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BJ373">
        <f t="shared" si="36"/>
        <v>6.066555817423396E-6</v>
      </c>
      <c r="BK373">
        <f t="shared" si="38"/>
        <v>8.654068647888358E-5</v>
      </c>
      <c r="BO373">
        <f t="shared" si="39"/>
        <v>8.8935031134942878E-5</v>
      </c>
      <c r="BP373">
        <f t="shared" si="37"/>
        <v>3.7107570161299375</v>
      </c>
    </row>
    <row r="374" spans="1:68" x14ac:dyDescent="0.15">
      <c r="A374" s="5">
        <v>44098</v>
      </c>
      <c r="B374" s="1"/>
      <c r="C374">
        <v>108.22</v>
      </c>
      <c r="D374">
        <v>68.16</v>
      </c>
      <c r="E374">
        <v>76.012919999999994</v>
      </c>
      <c r="G374" s="3">
        <v>-1.1474091158496499E-2</v>
      </c>
      <c r="I374" s="15">
        <f t="shared" si="40"/>
        <v>-7.7021822849807761E-3</v>
      </c>
      <c r="J374" s="15">
        <f t="shared" si="41"/>
        <v>-1.3032145960034835E-2</v>
      </c>
      <c r="K374" s="15">
        <f t="shared" si="42"/>
        <v>-1.3651391571402138E-2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BJ374">
        <f t="shared" si="36"/>
        <v>1.3165476791348753E-4</v>
      </c>
      <c r="BK374">
        <f t="shared" si="38"/>
        <v>8.1712238639195962E-5</v>
      </c>
      <c r="BO374">
        <f t="shared" si="39"/>
        <v>7.6562579905054101E-5</v>
      </c>
      <c r="BP374">
        <f t="shared" si="37"/>
        <v>2.9599771814659892</v>
      </c>
    </row>
    <row r="375" spans="1:68" x14ac:dyDescent="0.15">
      <c r="A375" s="5">
        <v>44099</v>
      </c>
      <c r="B375" s="1"/>
      <c r="C375">
        <v>109.76</v>
      </c>
      <c r="D375">
        <v>67.3</v>
      </c>
      <c r="E375">
        <v>76.117170000000002</v>
      </c>
      <c r="G375" s="3">
        <v>4.6471264170788702E-4</v>
      </c>
      <c r="I375" s="15">
        <f t="shared" si="40"/>
        <v>1.4230271668822826E-2</v>
      </c>
      <c r="J375" s="15">
        <f t="shared" si="41"/>
        <v>-1.2617370892018772E-2</v>
      </c>
      <c r="K375" s="15">
        <f t="shared" si="42"/>
        <v>1.3714773751621106E-3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BJ375">
        <f t="shared" si="36"/>
        <v>2.1595783936312298E-7</v>
      </c>
      <c r="BK375">
        <f t="shared" si="38"/>
        <v>8.4708790395653457E-5</v>
      </c>
      <c r="BO375">
        <f t="shared" si="39"/>
        <v>8.4744188099310149E-5</v>
      </c>
      <c r="BP375">
        <f t="shared" si="37"/>
        <v>3.7677239873956268</v>
      </c>
    </row>
    <row r="376" spans="1:68" x14ac:dyDescent="0.15">
      <c r="A376" s="5">
        <v>44102</v>
      </c>
      <c r="B376" s="1"/>
      <c r="C376">
        <v>109.88</v>
      </c>
      <c r="D376">
        <v>69.760000000000005</v>
      </c>
      <c r="E376">
        <v>76.572109999999995</v>
      </c>
      <c r="G376" s="3">
        <v>9.043481755766301E-3</v>
      </c>
      <c r="I376" s="15">
        <f t="shared" si="40"/>
        <v>1.0932944606413114E-3</v>
      </c>
      <c r="J376" s="15">
        <f t="shared" si="41"/>
        <v>3.6552748885587044E-2</v>
      </c>
      <c r="K376" s="15">
        <f t="shared" si="42"/>
        <v>5.976838077400847E-3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BJ376">
        <f t="shared" si="36"/>
        <v>8.1784562266877943E-5</v>
      </c>
      <c r="BK376">
        <f t="shared" si="38"/>
        <v>7.9639220442276034E-5</v>
      </c>
      <c r="BO376">
        <f t="shared" si="39"/>
        <v>7.2442128125237669E-5</v>
      </c>
      <c r="BP376">
        <f t="shared" si="37"/>
        <v>3.2829406886303327</v>
      </c>
    </row>
    <row r="377" spans="1:68" x14ac:dyDescent="0.15">
      <c r="A377" s="5">
        <v>44103</v>
      </c>
      <c r="B377" s="1"/>
      <c r="C377">
        <v>109.7</v>
      </c>
      <c r="D377">
        <v>68.5</v>
      </c>
      <c r="E377">
        <v>76.297259999999994</v>
      </c>
      <c r="G377" s="3">
        <v>-7.6994649377239901E-3</v>
      </c>
      <c r="I377" s="15">
        <f t="shared" si="40"/>
        <v>-1.6381507098652405E-3</v>
      </c>
      <c r="J377" s="15">
        <f t="shared" si="41"/>
        <v>-1.8061926605504659E-2</v>
      </c>
      <c r="K377" s="15">
        <f t="shared" si="42"/>
        <v>-3.5894270120021602E-3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BJ377">
        <f t="shared" si="36"/>
        <v>5.9281760327241085E-5</v>
      </c>
      <c r="BK377">
        <f t="shared" si="38"/>
        <v>7.9767940951752154E-5</v>
      </c>
      <c r="BO377">
        <f t="shared" si="39"/>
        <v>7.4409668894190361E-5</v>
      </c>
      <c r="BP377">
        <f t="shared" si="37"/>
        <v>3.4356766415235476</v>
      </c>
    </row>
    <row r="378" spans="1:68" x14ac:dyDescent="0.15">
      <c r="A378" s="5">
        <v>44104</v>
      </c>
      <c r="B378" s="1"/>
      <c r="C378">
        <v>109.34</v>
      </c>
      <c r="D378">
        <v>68.28</v>
      </c>
      <c r="E378">
        <v>75.738060000000004</v>
      </c>
      <c r="G378" s="3">
        <v>-4.1351150388402305E-3</v>
      </c>
      <c r="I378" s="15">
        <f t="shared" si="40"/>
        <v>-3.2816773017319912E-3</v>
      </c>
      <c r="J378" s="15">
        <f t="shared" si="41"/>
        <v>-3.2116788321167717E-3</v>
      </c>
      <c r="K378" s="15">
        <f t="shared" si="42"/>
        <v>-7.3292278123747818E-3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BJ378">
        <f t="shared" si="36"/>
        <v>1.7099176384442642E-5</v>
      </c>
      <c r="BK378">
        <f t="shared" si="38"/>
        <v>7.8538770114281481E-5</v>
      </c>
      <c r="BO378">
        <f t="shared" si="39"/>
        <v>7.2748112898033128E-5</v>
      </c>
      <c r="BP378">
        <f t="shared" si="37"/>
        <v>3.7277921015875601</v>
      </c>
    </row>
    <row r="379" spans="1:68" x14ac:dyDescent="0.15">
      <c r="A379" s="5">
        <v>44105</v>
      </c>
      <c r="B379" s="1"/>
      <c r="C379">
        <v>110.14</v>
      </c>
      <c r="D379">
        <v>68.3</v>
      </c>
      <c r="E379">
        <v>76.202479999999994</v>
      </c>
      <c r="G379" s="3">
        <v>5.0183756968886694E-3</v>
      </c>
      <c r="I379" s="15">
        <f t="shared" si="40"/>
        <v>7.3166270349368677E-3</v>
      </c>
      <c r="J379" s="15">
        <f t="shared" si="41"/>
        <v>2.9291154071464588E-4</v>
      </c>
      <c r="K379" s="15">
        <f t="shared" si="42"/>
        <v>6.1319236325830077E-3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BJ379">
        <f t="shared" si="36"/>
        <v>2.5184094635122839E-5</v>
      </c>
      <c r="BK379">
        <f t="shared" si="38"/>
        <v>7.4852394490491157E-5</v>
      </c>
      <c r="BO379">
        <f t="shared" si="39"/>
        <v>6.5437171998424919E-5</v>
      </c>
      <c r="BP379">
        <f t="shared" si="37"/>
        <v>3.7058419308440591</v>
      </c>
    </row>
    <row r="380" spans="1:68" x14ac:dyDescent="0.15">
      <c r="A380" s="5">
        <v>44106</v>
      </c>
      <c r="B380" s="1"/>
      <c r="C380">
        <v>110.34</v>
      </c>
      <c r="D380">
        <v>68.900000000000006</v>
      </c>
      <c r="E380">
        <v>76.192999999999998</v>
      </c>
      <c r="G380" s="3">
        <v>1.3950494564372001E-3</v>
      </c>
      <c r="I380" s="15">
        <f t="shared" si="40"/>
        <v>1.8158707100054735E-3</v>
      </c>
      <c r="J380" s="15">
        <f t="shared" si="41"/>
        <v>8.7847730600294077E-3</v>
      </c>
      <c r="K380" s="15">
        <f t="shared" si="42"/>
        <v>-1.2440539992919364E-4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BJ380">
        <f t="shared" si="36"/>
        <v>1.9461629859057272E-6</v>
      </c>
      <c r="BK380">
        <f t="shared" si="38"/>
        <v>7.1872296499169054E-5</v>
      </c>
      <c r="BO380">
        <f t="shared" si="39"/>
        <v>6.0854080393157867E-5</v>
      </c>
      <c r="BP380">
        <f t="shared" si="37"/>
        <v>3.9185869022236446</v>
      </c>
    </row>
    <row r="381" spans="1:68" x14ac:dyDescent="0.15">
      <c r="A381" s="5">
        <v>44109</v>
      </c>
      <c r="B381" s="1"/>
      <c r="C381">
        <v>109.8</v>
      </c>
      <c r="D381">
        <v>70.040000000000006</v>
      </c>
      <c r="E381">
        <v>76.486810000000006</v>
      </c>
      <c r="G381" s="3">
        <v>4.9413912078821697E-3</v>
      </c>
      <c r="I381" s="15">
        <f t="shared" si="40"/>
        <v>-4.89396411092991E-3</v>
      </c>
      <c r="J381" s="15">
        <f t="shared" si="41"/>
        <v>1.6545718432510893E-2</v>
      </c>
      <c r="K381" s="15">
        <f t="shared" si="42"/>
        <v>3.8561285157430168E-3</v>
      </c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BJ381">
        <f t="shared" si="36"/>
        <v>2.4417347069335206E-5</v>
      </c>
      <c r="BK381">
        <f t="shared" si="38"/>
        <v>6.7676728488373256E-5</v>
      </c>
      <c r="BO381">
        <f t="shared" si="39"/>
        <v>5.394964979919978E-5</v>
      </c>
      <c r="BP381">
        <f t="shared" si="37"/>
        <v>3.7684935962500998</v>
      </c>
    </row>
    <row r="382" spans="1:68" x14ac:dyDescent="0.15">
      <c r="A382" s="5">
        <v>44110</v>
      </c>
      <c r="B382" s="1"/>
      <c r="C382">
        <v>108.18</v>
      </c>
      <c r="D382">
        <v>70.819999999999993</v>
      </c>
      <c r="E382">
        <v>75.501114000000001</v>
      </c>
      <c r="G382" s="3">
        <v>-6.78472559997378E-3</v>
      </c>
      <c r="I382" s="15">
        <f t="shared" si="40"/>
        <v>-1.475409836065565E-2</v>
      </c>
      <c r="J382" s="15">
        <f t="shared" si="41"/>
        <v>1.1136493432324198E-2</v>
      </c>
      <c r="K382" s="15">
        <f t="shared" si="42"/>
        <v>-1.2887137010943512E-2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BJ382">
        <f t="shared" si="36"/>
        <v>4.603250146693957E-5</v>
      </c>
      <c r="BK382">
        <f t="shared" si="38"/>
        <v>6.508116560323098E-5</v>
      </c>
      <c r="BO382">
        <f t="shared" si="39"/>
        <v>5.1734310963556299E-5</v>
      </c>
      <c r="BP382">
        <f t="shared" si="37"/>
        <v>3.570862791080109</v>
      </c>
    </row>
    <row r="383" spans="1:68" x14ac:dyDescent="0.15">
      <c r="A383" s="5">
        <v>44111</v>
      </c>
      <c r="B383" s="1"/>
      <c r="C383">
        <v>107.7</v>
      </c>
      <c r="D383">
        <v>69.42</v>
      </c>
      <c r="E383">
        <v>74.686009999999996</v>
      </c>
      <c r="G383" s="3">
        <v>-4.4245370937544496E-3</v>
      </c>
      <c r="I383" s="15">
        <f t="shared" si="40"/>
        <v>-4.437049362174191E-3</v>
      </c>
      <c r="J383" s="15">
        <f t="shared" si="41"/>
        <v>-1.9768426998023038E-2</v>
      </c>
      <c r="K383" s="15">
        <f t="shared" si="42"/>
        <v>-1.0795920176754016E-2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BJ383">
        <f t="shared" si="36"/>
        <v>1.9576528494009071E-5</v>
      </c>
      <c r="BK383">
        <f t="shared" si="38"/>
        <v>6.3938245755053497E-5</v>
      </c>
      <c r="BO383">
        <f t="shared" si="39"/>
        <v>5.307508047426682E-5</v>
      </c>
      <c r="BP383">
        <f t="shared" si="37"/>
        <v>3.8185400087222532</v>
      </c>
    </row>
    <row r="384" spans="1:68" x14ac:dyDescent="0.15">
      <c r="A384" s="5">
        <v>44112</v>
      </c>
      <c r="B384" s="1"/>
      <c r="C384">
        <v>108.26</v>
      </c>
      <c r="D384">
        <v>70.94</v>
      </c>
      <c r="E384">
        <v>75.861275000000006</v>
      </c>
      <c r="G384" s="3">
        <v>8.0840594079838405E-3</v>
      </c>
      <c r="I384" s="15">
        <f t="shared" si="40"/>
        <v>5.1996285979573099E-3</v>
      </c>
      <c r="J384" s="15">
        <f t="shared" si="41"/>
        <v>2.1895707288965657E-2</v>
      </c>
      <c r="K384" s="15">
        <f t="shared" si="42"/>
        <v>1.5736079621873095E-2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BJ384">
        <f t="shared" si="36"/>
        <v>6.5352016511812039E-5</v>
      </c>
      <c r="BK384">
        <f t="shared" si="38"/>
        <v>6.1276542719390832E-5</v>
      </c>
      <c r="BO384">
        <f t="shared" si="39"/>
        <v>5.035888701379869E-5</v>
      </c>
      <c r="BP384">
        <f t="shared" si="37"/>
        <v>3.3803663951211851</v>
      </c>
    </row>
    <row r="385" spans="1:68" x14ac:dyDescent="0.15">
      <c r="A385" s="5">
        <v>44113</v>
      </c>
      <c r="B385" s="1"/>
      <c r="C385">
        <v>108.66</v>
      </c>
      <c r="D385">
        <v>70.5</v>
      </c>
      <c r="E385">
        <v>76.448905999999994</v>
      </c>
      <c r="G385" s="3">
        <v>4.8474866181607004E-3</v>
      </c>
      <c r="I385" s="15">
        <f t="shared" si="40"/>
        <v>3.6948087936448499E-3</v>
      </c>
      <c r="J385" s="15">
        <f t="shared" si="41"/>
        <v>-6.2024245841555926E-3</v>
      </c>
      <c r="K385" s="15">
        <f t="shared" si="42"/>
        <v>7.7461260702510939E-3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BJ385">
        <f t="shared" si="36"/>
        <v>2.3498126513247064E-5</v>
      </c>
      <c r="BK385">
        <f t="shared" si="38"/>
        <v>6.1521071146936103E-5</v>
      </c>
      <c r="BO385">
        <f t="shared" si="39"/>
        <v>5.474771604122517E-5</v>
      </c>
      <c r="BP385">
        <f t="shared" si="37"/>
        <v>3.7728452048181236</v>
      </c>
    </row>
    <row r="386" spans="1:68" x14ac:dyDescent="0.15">
      <c r="A386" s="5">
        <v>44116</v>
      </c>
      <c r="B386" s="1"/>
      <c r="C386">
        <v>109.5</v>
      </c>
      <c r="D386">
        <v>71.48</v>
      </c>
      <c r="E386">
        <v>76.230909999999994</v>
      </c>
      <c r="G386" s="3">
        <v>4.27081906960502E-3</v>
      </c>
      <c r="I386" s="15">
        <f t="shared" si="40"/>
        <v>7.7305356156819752E-3</v>
      </c>
      <c r="J386" s="15">
        <f t="shared" si="41"/>
        <v>1.3900709219858212E-2</v>
      </c>
      <c r="K386" s="15">
        <f t="shared" si="42"/>
        <v>-2.851525435825065E-3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BJ386">
        <f t="shared" ref="BJ386:BJ449" si="43">G386^2</f>
        <v>1.823989552530189E-5</v>
      </c>
      <c r="BK386">
        <f t="shared" si="38"/>
        <v>5.9239694468914761E-5</v>
      </c>
      <c r="BO386">
        <f t="shared" si="39"/>
        <v>5.2229381654850719E-5</v>
      </c>
      <c r="BP386">
        <f t="shared" ref="BP386:BP449" si="44" xml:space="preserve"> -0.5 * (LN(2 * PI()) + LN(BO386) + (BJ386) / BO386)</f>
        <v>3.8363807851589593</v>
      </c>
    </row>
    <row r="387" spans="1:68" x14ac:dyDescent="0.15">
      <c r="A387" s="5">
        <v>44117</v>
      </c>
      <c r="B387" s="1"/>
      <c r="C387">
        <v>109.6</v>
      </c>
      <c r="D387">
        <v>70.36</v>
      </c>
      <c r="E387">
        <v>75.937095999999997</v>
      </c>
      <c r="G387" s="3">
        <v>-2.6771608927330598E-3</v>
      </c>
      <c r="I387" s="15">
        <f t="shared" si="40"/>
        <v>9.1324200913236813E-4</v>
      </c>
      <c r="J387" s="15">
        <f t="shared" si="41"/>
        <v>-1.5668718522663744E-2</v>
      </c>
      <c r="K387" s="15">
        <f t="shared" si="42"/>
        <v>-3.8542633165470227E-3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BJ387">
        <f t="shared" si="43"/>
        <v>7.1671904455792737E-6</v>
      </c>
      <c r="BK387">
        <f t="shared" ref="BK387:BK450" si="45">$BM$2 * BK386 + (1 - $BM$2) * BJ386</f>
        <v>5.6779706532297985E-5</v>
      </c>
      <c r="BO387">
        <f t="shared" ref="BO387:BO450" si="46" xml:space="preserve"> $BR$2 + $BS$2 * BJ386 + $BT$2 * BO386</f>
        <v>4.9505175252777196E-5</v>
      </c>
      <c r="BP387">
        <f t="shared" si="44"/>
        <v>3.9653898435922668</v>
      </c>
    </row>
    <row r="388" spans="1:68" x14ac:dyDescent="0.15">
      <c r="A388" s="5">
        <v>44118</v>
      </c>
      <c r="B388" s="1"/>
      <c r="C388">
        <v>108.58</v>
      </c>
      <c r="D388">
        <v>69.7</v>
      </c>
      <c r="E388">
        <v>75.719099999999997</v>
      </c>
      <c r="G388" s="3">
        <v>-4.2274882109943901E-3</v>
      </c>
      <c r="I388" s="15">
        <f t="shared" ref="I388:I451" si="47">(C388-C387)/C387</f>
        <v>-9.3065693430656581E-3</v>
      </c>
      <c r="J388" s="15">
        <f t="shared" ref="J388:J451" si="48">(D388-D387)/D387</f>
        <v>-9.3803297328026811E-3</v>
      </c>
      <c r="K388" s="15">
        <f t="shared" ref="K388:K451" si="49">(E388-E387)/E387</f>
        <v>-2.8707444909402305E-3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BJ388">
        <f t="shared" si="43"/>
        <v>1.787165657409655E-5</v>
      </c>
      <c r="BK388">
        <f t="shared" si="45"/>
        <v>5.3802955567094863E-5</v>
      </c>
      <c r="BO388">
        <f t="shared" si="46"/>
        <v>4.5791388704182213E-5</v>
      </c>
      <c r="BP388">
        <f t="shared" si="44"/>
        <v>3.8816266071875787</v>
      </c>
    </row>
    <row r="389" spans="1:68" x14ac:dyDescent="0.15">
      <c r="A389" s="5">
        <v>44119</v>
      </c>
      <c r="B389" s="1"/>
      <c r="C389">
        <v>107</v>
      </c>
      <c r="D389">
        <v>67.06</v>
      </c>
      <c r="E389">
        <v>73.870909999999995</v>
      </c>
      <c r="G389" s="3">
        <v>-2.1830692752254102E-2</v>
      </c>
      <c r="I389" s="15">
        <f t="shared" si="47"/>
        <v>-1.4551482777675432E-2</v>
      </c>
      <c r="J389" s="15">
        <f t="shared" si="48"/>
        <v>-3.787661406025826E-2</v>
      </c>
      <c r="K389" s="15">
        <f t="shared" si="49"/>
        <v>-2.4408504591311869E-2</v>
      </c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BJ389">
        <f t="shared" si="43"/>
        <v>4.7657914604331978E-4</v>
      </c>
      <c r="BK389">
        <f t="shared" si="45"/>
        <v>5.164707762751496E-5</v>
      </c>
      <c r="BO389">
        <f t="shared" si="46"/>
        <v>4.4402905284080378E-5</v>
      </c>
      <c r="BP389">
        <f t="shared" si="44"/>
        <v>-1.274366824949424</v>
      </c>
    </row>
    <row r="390" spans="1:68" x14ac:dyDescent="0.15">
      <c r="A390" s="5">
        <v>44120</v>
      </c>
      <c r="B390" s="1"/>
      <c r="C390">
        <v>107.86</v>
      </c>
      <c r="D390">
        <v>68.22</v>
      </c>
      <c r="E390">
        <v>74.828180000000003</v>
      </c>
      <c r="G390" s="3">
        <v>1.38230960362297E-2</v>
      </c>
      <c r="I390" s="15">
        <f t="shared" si="47"/>
        <v>8.0373831775700875E-3</v>
      </c>
      <c r="J390" s="15">
        <f t="shared" si="48"/>
        <v>1.7297942141365888E-2</v>
      </c>
      <c r="K390" s="15">
        <f t="shared" si="49"/>
        <v>1.2958686985174656E-2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BJ390">
        <f t="shared" si="43"/>
        <v>1.9107798402682923E-4</v>
      </c>
      <c r="BK390">
        <f t="shared" si="45"/>
        <v>7.714300173246327E-5</v>
      </c>
      <c r="BO390">
        <f t="shared" si="46"/>
        <v>1.0864301555662903E-4</v>
      </c>
      <c r="BP390">
        <f t="shared" si="44"/>
        <v>2.7653984608455748</v>
      </c>
    </row>
    <row r="391" spans="1:68" x14ac:dyDescent="0.15">
      <c r="A391" s="5">
        <v>44123</v>
      </c>
      <c r="B391" s="1"/>
      <c r="C391">
        <v>107.28</v>
      </c>
      <c r="D391">
        <v>68.680000000000007</v>
      </c>
      <c r="E391">
        <v>74.486969999999999</v>
      </c>
      <c r="G391" s="3">
        <v>-2.2312901740789699E-3</v>
      </c>
      <c r="I391" s="15">
        <f t="shared" si="47"/>
        <v>-5.3773409975894524E-3</v>
      </c>
      <c r="J391" s="15">
        <f t="shared" si="48"/>
        <v>6.7428906479039576E-3</v>
      </c>
      <c r="K391" s="15">
        <f t="shared" si="49"/>
        <v>-4.5599131236387655E-3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BJ391">
        <f t="shared" si="43"/>
        <v>4.9786558409413596E-6</v>
      </c>
      <c r="BK391">
        <f t="shared" si="45"/>
        <v>8.3979100670125234E-5</v>
      </c>
      <c r="BO391">
        <f t="shared" si="46"/>
        <v>1.1837046798895726E-4</v>
      </c>
      <c r="BP391">
        <f t="shared" si="44"/>
        <v>3.5808771385172893</v>
      </c>
    </row>
    <row r="392" spans="1:68" x14ac:dyDescent="0.15">
      <c r="A392" s="5">
        <v>44124</v>
      </c>
      <c r="B392" s="1"/>
      <c r="C392">
        <v>107.42</v>
      </c>
      <c r="D392">
        <v>68.760000000000005</v>
      </c>
      <c r="E392">
        <v>73.709779999999995</v>
      </c>
      <c r="G392" s="3">
        <v>-3.74392323769368E-3</v>
      </c>
      <c r="I392" s="15">
        <f t="shared" si="47"/>
        <v>1.3049962714392297E-3</v>
      </c>
      <c r="J392" s="15">
        <f t="shared" si="48"/>
        <v>1.1648223645893752E-3</v>
      </c>
      <c r="K392" s="15">
        <f t="shared" si="49"/>
        <v>-1.0433905419968144E-2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BJ392">
        <f t="shared" si="43"/>
        <v>1.4016961209742727E-5</v>
      </c>
      <c r="BK392">
        <f t="shared" si="45"/>
        <v>7.92390739803742E-5</v>
      </c>
      <c r="BO392">
        <f t="shared" si="46"/>
        <v>9.9496174182964273E-5</v>
      </c>
      <c r="BP392">
        <f t="shared" si="44"/>
        <v>3.6183174498361099</v>
      </c>
    </row>
    <row r="393" spans="1:68" x14ac:dyDescent="0.15">
      <c r="A393" s="5">
        <v>44125</v>
      </c>
      <c r="B393" s="1"/>
      <c r="C393">
        <v>106.54</v>
      </c>
      <c r="D393">
        <v>67.58</v>
      </c>
      <c r="E393">
        <v>72.392349999999993</v>
      </c>
      <c r="G393" s="3">
        <v>-1.5422681943303899E-2</v>
      </c>
      <c r="I393" s="15">
        <f t="shared" si="47"/>
        <v>-8.1921429901321494E-3</v>
      </c>
      <c r="J393" s="15">
        <f t="shared" si="48"/>
        <v>-1.7161140197789509E-2</v>
      </c>
      <c r="K393" s="15">
        <f t="shared" si="49"/>
        <v>-1.7873204885430424E-2</v>
      </c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BJ393">
        <f t="shared" si="43"/>
        <v>2.3785911832431214E-4</v>
      </c>
      <c r="BK393">
        <f t="shared" si="45"/>
        <v>7.532574721413631E-5</v>
      </c>
      <c r="BO393">
        <f t="shared" si="46"/>
        <v>8.597881505402317E-5</v>
      </c>
      <c r="BP393">
        <f t="shared" si="44"/>
        <v>2.3785236871399809</v>
      </c>
    </row>
    <row r="394" spans="1:68" x14ac:dyDescent="0.15">
      <c r="A394" s="5">
        <v>44126</v>
      </c>
      <c r="B394" s="1"/>
      <c r="C394">
        <v>106.32</v>
      </c>
      <c r="D394">
        <v>67.48</v>
      </c>
      <c r="E394">
        <v>72.629294999999999</v>
      </c>
      <c r="G394" s="3">
        <v>9.3132259198691603E-4</v>
      </c>
      <c r="I394" s="15">
        <f t="shared" si="47"/>
        <v>-2.0649521306552758E-3</v>
      </c>
      <c r="J394" s="15">
        <f t="shared" si="48"/>
        <v>-1.479727730097578E-3</v>
      </c>
      <c r="K394" s="15">
        <f t="shared" si="49"/>
        <v>3.2730668364821113E-3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BJ394">
        <f t="shared" si="43"/>
        <v>8.6736177034522762E-7</v>
      </c>
      <c r="BK394">
        <f t="shared" si="45"/>
        <v>8.5077749480746872E-5</v>
      </c>
      <c r="BO394">
        <f t="shared" si="46"/>
        <v>1.0725572714316643E-4</v>
      </c>
      <c r="BP394">
        <f t="shared" si="44"/>
        <v>3.6471653389199625</v>
      </c>
    </row>
    <row r="395" spans="1:68" x14ac:dyDescent="0.15">
      <c r="A395" s="5">
        <v>44127</v>
      </c>
      <c r="B395" s="1"/>
      <c r="C395">
        <v>106.56</v>
      </c>
      <c r="D395">
        <v>67.98</v>
      </c>
      <c r="E395">
        <v>72.487139999999997</v>
      </c>
      <c r="G395" s="3">
        <v>2.4855631884537197E-3</v>
      </c>
      <c r="I395" s="15">
        <f t="shared" si="47"/>
        <v>2.2573363431152098E-3</v>
      </c>
      <c r="J395" s="15">
        <f t="shared" si="48"/>
        <v>7.4096028452874923E-3</v>
      </c>
      <c r="K395" s="15">
        <f t="shared" si="49"/>
        <v>-1.9572680693100831E-3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BJ395">
        <f t="shared" si="43"/>
        <v>6.1780243637962215E-6</v>
      </c>
      <c r="BK395">
        <f t="shared" si="45"/>
        <v>8.0025126218122766E-5</v>
      </c>
      <c r="BO395">
        <f t="shared" si="46"/>
        <v>9.0192475606443572E-5</v>
      </c>
      <c r="BP395">
        <f t="shared" si="44"/>
        <v>3.7035946316668111</v>
      </c>
    </row>
    <row r="396" spans="1:68" x14ac:dyDescent="0.15">
      <c r="A396" s="5">
        <v>44130</v>
      </c>
      <c r="B396" s="1"/>
      <c r="C396">
        <v>106.78</v>
      </c>
      <c r="D396">
        <v>66.52</v>
      </c>
      <c r="E396">
        <v>72.34496</v>
      </c>
      <c r="G396" s="3">
        <v>-3.8197817047640396E-3</v>
      </c>
      <c r="I396" s="15">
        <f t="shared" si="47"/>
        <v>2.064564564564554E-3</v>
      </c>
      <c r="J396" s="15">
        <f t="shared" si="48"/>
        <v>-2.1476904972050719E-2</v>
      </c>
      <c r="K396" s="15">
        <f t="shared" si="49"/>
        <v>-1.9614513691669474E-3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BJ396">
        <f t="shared" si="43"/>
        <v>1.4590732272050072E-5</v>
      </c>
      <c r="BK396">
        <f t="shared" si="45"/>
        <v>7.559430010686317E-5</v>
      </c>
      <c r="BO396">
        <f t="shared" si="46"/>
        <v>7.7564768086059563E-5</v>
      </c>
      <c r="BP396">
        <f t="shared" si="44"/>
        <v>3.7192049404057008</v>
      </c>
    </row>
    <row r="397" spans="1:68" x14ac:dyDescent="0.15">
      <c r="A397" s="5">
        <v>44131</v>
      </c>
      <c r="B397" s="1"/>
      <c r="C397">
        <v>105.9</v>
      </c>
      <c r="D397">
        <v>65.239999999999995</v>
      </c>
      <c r="E397">
        <v>70.278779999999998</v>
      </c>
      <c r="G397" s="3">
        <v>-9.8261911788589604E-3</v>
      </c>
      <c r="I397" s="15">
        <f t="shared" si="47"/>
        <v>-8.2412436785914544E-3</v>
      </c>
      <c r="J397" s="15">
        <f t="shared" si="48"/>
        <v>-1.9242333132892381E-2</v>
      </c>
      <c r="K397" s="15">
        <f t="shared" si="49"/>
        <v>-2.856010978511845E-2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BJ397">
        <f t="shared" si="43"/>
        <v>9.6554033083485642E-5</v>
      </c>
      <c r="BK397">
        <f t="shared" si="45"/>
        <v>7.1934086036774377E-5</v>
      </c>
      <c r="BO397">
        <f t="shared" si="46"/>
        <v>6.8858001222510168E-5</v>
      </c>
      <c r="BP397">
        <f t="shared" si="44"/>
        <v>3.1716837728360074</v>
      </c>
    </row>
    <row r="398" spans="1:68" x14ac:dyDescent="0.15">
      <c r="A398" s="5">
        <v>44132</v>
      </c>
      <c r="B398" s="1"/>
      <c r="C398">
        <v>103.46</v>
      </c>
      <c r="D398">
        <v>63.08</v>
      </c>
      <c r="E398">
        <v>68.098854000000003</v>
      </c>
      <c r="G398" s="3">
        <v>-2.71900871529114E-2</v>
      </c>
      <c r="I398" s="15">
        <f t="shared" si="47"/>
        <v>-2.3040604343720603E-2</v>
      </c>
      <c r="J398" s="15">
        <f t="shared" si="48"/>
        <v>-3.3108522378908593E-2</v>
      </c>
      <c r="K398" s="15">
        <f t="shared" si="49"/>
        <v>-3.101826753395541E-2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BJ398">
        <f t="shared" si="43"/>
        <v>7.3930083938291758E-4</v>
      </c>
      <c r="BK398">
        <f t="shared" si="45"/>
        <v>7.3411282859577048E-5</v>
      </c>
      <c r="BO398">
        <f t="shared" si="46"/>
        <v>7.370182648917692E-5</v>
      </c>
      <c r="BP398">
        <f t="shared" si="44"/>
        <v>-1.1766822412734128</v>
      </c>
    </row>
    <row r="399" spans="1:68" x14ac:dyDescent="0.15">
      <c r="A399" s="5">
        <v>44133</v>
      </c>
      <c r="B399" s="1"/>
      <c r="C399">
        <v>103.1</v>
      </c>
      <c r="D399">
        <v>63.5</v>
      </c>
      <c r="E399">
        <v>67.397490000000005</v>
      </c>
      <c r="G399" s="3">
        <v>-6.4996494953080096E-3</v>
      </c>
      <c r="I399" s="15">
        <f t="shared" si="47"/>
        <v>-3.479605644693596E-3</v>
      </c>
      <c r="J399" s="15">
        <f t="shared" si="48"/>
        <v>6.6582117945466349E-3</v>
      </c>
      <c r="K399" s="15">
        <f t="shared" si="49"/>
        <v>-1.0299204154008201E-2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BJ399">
        <f t="shared" si="43"/>
        <v>4.2245443561857667E-5</v>
      </c>
      <c r="BK399">
        <f t="shared" si="45"/>
        <v>1.1336465625097752E-4</v>
      </c>
      <c r="BO399">
        <f t="shared" si="46"/>
        <v>1.6904134194051755E-4</v>
      </c>
      <c r="BP399">
        <f t="shared" si="44"/>
        <v>3.2987891380098056</v>
      </c>
    </row>
    <row r="400" spans="1:68" x14ac:dyDescent="0.15">
      <c r="A400" s="5">
        <v>44134</v>
      </c>
      <c r="B400" s="1"/>
      <c r="C400">
        <v>103.1</v>
      </c>
      <c r="D400">
        <v>65.739999999999995</v>
      </c>
      <c r="E400">
        <v>67.757644999999997</v>
      </c>
      <c r="G400" s="3">
        <v>3.2457219206525299E-3</v>
      </c>
      <c r="I400" s="15">
        <f t="shared" si="47"/>
        <v>0</v>
      </c>
      <c r="J400" s="15">
        <f t="shared" si="48"/>
        <v>3.527559055118102E-2</v>
      </c>
      <c r="K400" s="15">
        <f t="shared" si="49"/>
        <v>5.3437449970316665E-3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BJ400">
        <f t="shared" si="43"/>
        <v>1.0534710786204348E-5</v>
      </c>
      <c r="BK400">
        <f t="shared" si="45"/>
        <v>1.0909750348963032E-4</v>
      </c>
      <c r="BO400">
        <f t="shared" si="46"/>
        <v>1.4454887739713535E-4</v>
      </c>
      <c r="BP400">
        <f t="shared" si="44"/>
        <v>3.4655679340845476</v>
      </c>
    </row>
    <row r="401" spans="1:68" x14ac:dyDescent="0.15">
      <c r="A401" s="5">
        <v>44137</v>
      </c>
      <c r="B401" s="1"/>
      <c r="C401">
        <v>104.5</v>
      </c>
      <c r="D401">
        <v>68.16</v>
      </c>
      <c r="E401">
        <v>69.302549999999997</v>
      </c>
      <c r="G401" s="3">
        <v>2.1334021774276301E-2</v>
      </c>
      <c r="I401" s="15">
        <f t="shared" si="47"/>
        <v>1.3579049466537398E-2</v>
      </c>
      <c r="J401" s="15">
        <f t="shared" si="48"/>
        <v>3.6811682385153664E-2</v>
      </c>
      <c r="K401" s="15">
        <f t="shared" si="49"/>
        <v>2.2800452996853713E-2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BJ401">
        <f t="shared" si="43"/>
        <v>4.5514048506529531E-4</v>
      </c>
      <c r="BK401">
        <f t="shared" si="45"/>
        <v>1.0318373592742476E-4</v>
      </c>
      <c r="BO401">
        <f t="shared" si="46"/>
        <v>1.2082125843366196E-4</v>
      </c>
      <c r="BP401">
        <f t="shared" si="44"/>
        <v>1.7081324610081414</v>
      </c>
    </row>
    <row r="402" spans="1:68" x14ac:dyDescent="0.15">
      <c r="A402" s="5">
        <v>44138</v>
      </c>
      <c r="B402" s="1"/>
      <c r="C402">
        <v>106.46</v>
      </c>
      <c r="D402">
        <v>70.38</v>
      </c>
      <c r="E402">
        <v>70.525210000000001</v>
      </c>
      <c r="G402" s="3">
        <v>2.1665085765356099E-2</v>
      </c>
      <c r="I402" s="15">
        <f t="shared" si="47"/>
        <v>1.875598086124396E-2</v>
      </c>
      <c r="J402" s="15">
        <f t="shared" si="48"/>
        <v>3.2570422535211252E-2</v>
      </c>
      <c r="K402" s="15">
        <f t="shared" si="49"/>
        <v>1.7642352265537196E-2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BJ402">
        <f t="shared" si="43"/>
        <v>4.6937594122023544E-4</v>
      </c>
      <c r="BK402">
        <f t="shared" si="45"/>
        <v>1.2430114087569701E-4</v>
      </c>
      <c r="BO402">
        <f t="shared" si="46"/>
        <v>1.6553065501006051E-4</v>
      </c>
      <c r="BP402">
        <f t="shared" si="44"/>
        <v>2.0164469533216085</v>
      </c>
    </row>
    <row r="403" spans="1:68" x14ac:dyDescent="0.15">
      <c r="A403" s="5">
        <v>44139</v>
      </c>
      <c r="B403" s="1"/>
      <c r="C403">
        <v>108.46</v>
      </c>
      <c r="D403">
        <v>71.52</v>
      </c>
      <c r="E403">
        <v>73.027373999999995</v>
      </c>
      <c r="G403" s="3">
        <v>2.8286112383735903E-2</v>
      </c>
      <c r="I403" s="15">
        <f t="shared" si="47"/>
        <v>1.8786398647379299E-2</v>
      </c>
      <c r="J403" s="15">
        <f t="shared" si="48"/>
        <v>1.619778346121058E-2</v>
      </c>
      <c r="K403" s="15">
        <f t="shared" si="49"/>
        <v>3.5479001055083614E-2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BJ403">
        <f t="shared" si="43"/>
        <v>8.001041537853376E-4</v>
      </c>
      <c r="BK403">
        <f t="shared" si="45"/>
        <v>1.4500562889636936E-4</v>
      </c>
      <c r="BO403">
        <f t="shared" si="46"/>
        <v>2.0262717505074211E-4</v>
      </c>
      <c r="BP403">
        <f t="shared" si="44"/>
        <v>1.3588070026799846</v>
      </c>
    </row>
    <row r="404" spans="1:68" x14ac:dyDescent="0.15">
      <c r="A404" s="5">
        <v>44140</v>
      </c>
      <c r="B404" s="1"/>
      <c r="C404">
        <v>107.16</v>
      </c>
      <c r="D404">
        <v>71.900000000000006</v>
      </c>
      <c r="E404">
        <v>72.515563999999998</v>
      </c>
      <c r="G404" s="3">
        <v>1.9013216908549898E-3</v>
      </c>
      <c r="I404" s="15">
        <f t="shared" si="47"/>
        <v>-1.1985985616817234E-2</v>
      </c>
      <c r="J404" s="15">
        <f t="shared" si="48"/>
        <v>5.3131991051455496E-3</v>
      </c>
      <c r="K404" s="15">
        <f t="shared" si="49"/>
        <v>-7.0084678109882063E-3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BJ404">
        <f t="shared" si="43"/>
        <v>3.6150241721156777E-6</v>
      </c>
      <c r="BK404">
        <f t="shared" si="45"/>
        <v>1.8431154038970747E-4</v>
      </c>
      <c r="BO404">
        <f t="shared" si="46"/>
        <v>2.788272741090402E-4</v>
      </c>
      <c r="BP404">
        <f t="shared" si="44"/>
        <v>3.1670379441112595</v>
      </c>
    </row>
    <row r="405" spans="1:68" x14ac:dyDescent="0.15">
      <c r="A405" s="5">
        <v>44141</v>
      </c>
      <c r="B405" s="1"/>
      <c r="C405">
        <v>106.5</v>
      </c>
      <c r="D405">
        <v>71.62</v>
      </c>
      <c r="E405">
        <v>72.392349999999993</v>
      </c>
      <c r="G405" s="3">
        <v>1.5740090983407101E-3</v>
      </c>
      <c r="I405" s="15">
        <f t="shared" si="47"/>
        <v>-6.1590145576707412E-3</v>
      </c>
      <c r="J405" s="15">
        <f t="shared" si="48"/>
        <v>-3.8942976356050223E-3</v>
      </c>
      <c r="K405" s="15">
        <f t="shared" si="49"/>
        <v>-1.6991386842141142E-3</v>
      </c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BJ405">
        <f t="shared" si="43"/>
        <v>2.4775046416593349E-6</v>
      </c>
      <c r="BK405">
        <f t="shared" si="45"/>
        <v>1.7346974941665196E-4</v>
      </c>
      <c r="BO405">
        <f t="shared" si="46"/>
        <v>2.2516088559727977E-4</v>
      </c>
      <c r="BP405">
        <f t="shared" si="44"/>
        <v>3.2749075169435389</v>
      </c>
    </row>
    <row r="406" spans="1:68" x14ac:dyDescent="0.15">
      <c r="A406" s="5">
        <v>44144</v>
      </c>
      <c r="B406" s="1"/>
      <c r="C406">
        <v>105.46</v>
      </c>
      <c r="D406">
        <v>76.88</v>
      </c>
      <c r="E406">
        <v>73.036850000000001</v>
      </c>
      <c r="G406" s="3">
        <v>9.2434891591481813E-3</v>
      </c>
      <c r="I406" s="15">
        <f t="shared" si="47"/>
        <v>-9.7652582159625002E-3</v>
      </c>
      <c r="J406" s="15">
        <f t="shared" si="48"/>
        <v>7.3443172298240586E-2</v>
      </c>
      <c r="K406" s="15">
        <f t="shared" si="49"/>
        <v>8.9028744059283602E-3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BJ406">
        <f t="shared" si="43"/>
        <v>8.5442091835289955E-5</v>
      </c>
      <c r="BK406">
        <f t="shared" si="45"/>
        <v>1.6321021473015239E-4</v>
      </c>
      <c r="BO406">
        <f t="shared" si="46"/>
        <v>1.8290410140709538E-4</v>
      </c>
      <c r="BP406">
        <f t="shared" si="44"/>
        <v>3.150765018218372</v>
      </c>
    </row>
    <row r="407" spans="1:68" x14ac:dyDescent="0.15">
      <c r="A407" s="5">
        <v>44145</v>
      </c>
      <c r="B407" s="1"/>
      <c r="C407">
        <v>104.46</v>
      </c>
      <c r="D407">
        <v>79.58</v>
      </c>
      <c r="E407">
        <v>73.283280000000005</v>
      </c>
      <c r="G407" s="3">
        <v>-5.5002547865660098E-3</v>
      </c>
      <c r="I407" s="15">
        <f t="shared" si="47"/>
        <v>-9.4822681585435241E-3</v>
      </c>
      <c r="J407" s="15">
        <f t="shared" si="48"/>
        <v>3.5119667013527617E-2</v>
      </c>
      <c r="K407" s="15">
        <f t="shared" si="49"/>
        <v>3.3740502225931661E-3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BJ407">
        <f t="shared" si="43"/>
        <v>3.0252802717142303E-5</v>
      </c>
      <c r="BK407">
        <f t="shared" si="45"/>
        <v>1.5854412735646063E-4</v>
      </c>
      <c r="BO407">
        <f t="shared" si="46"/>
        <v>1.6157460709937299E-4</v>
      </c>
      <c r="BP407">
        <f t="shared" si="44"/>
        <v>3.3527145665430331</v>
      </c>
    </row>
    <row r="408" spans="1:68" x14ac:dyDescent="0.15">
      <c r="A408" s="5">
        <v>44146</v>
      </c>
      <c r="B408" s="1"/>
      <c r="C408">
        <v>106.3</v>
      </c>
      <c r="D408">
        <v>78.540000000000006</v>
      </c>
      <c r="E408">
        <v>74.761830000000003</v>
      </c>
      <c r="G408" s="3">
        <v>1.6561072875546499E-2</v>
      </c>
      <c r="I408" s="15">
        <f t="shared" si="47"/>
        <v>1.7614397855638557E-2</v>
      </c>
      <c r="J408" s="15">
        <f t="shared" si="48"/>
        <v>-1.3068610203568636E-2</v>
      </c>
      <c r="K408" s="15">
        <f t="shared" si="49"/>
        <v>2.0175816366297995E-2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BJ408">
        <f t="shared" si="43"/>
        <v>2.7426913478916198E-4</v>
      </c>
      <c r="BK408">
        <f t="shared" si="45"/>
        <v>1.5084664787810153E-4</v>
      </c>
      <c r="BO408">
        <f t="shared" si="46"/>
        <v>1.3698413456681821E-4</v>
      </c>
      <c r="BP408">
        <f t="shared" si="44"/>
        <v>2.527786012243971</v>
      </c>
    </row>
    <row r="409" spans="1:68" x14ac:dyDescent="0.15">
      <c r="A409" s="5">
        <v>44147</v>
      </c>
      <c r="B409" s="1"/>
      <c r="C409">
        <v>106.06</v>
      </c>
      <c r="D409">
        <v>76.959999999999994</v>
      </c>
      <c r="E409">
        <v>74.629140000000007</v>
      </c>
      <c r="G409" s="3">
        <v>-3.4248842151858301E-3</v>
      </c>
      <c r="I409" s="15">
        <f t="shared" si="47"/>
        <v>-2.2577610536217768E-3</v>
      </c>
      <c r="J409" s="15">
        <f t="shared" si="48"/>
        <v>-2.0117137764196744E-2</v>
      </c>
      <c r="K409" s="15">
        <f t="shared" si="49"/>
        <v>-1.7748361697405835E-3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BJ409">
        <f t="shared" si="43"/>
        <v>1.1729831887429059E-5</v>
      </c>
      <c r="BK409">
        <f t="shared" si="45"/>
        <v>1.5825199709276517E-4</v>
      </c>
      <c r="BO409">
        <f t="shared" si="46"/>
        <v>1.524487408476432E-4</v>
      </c>
      <c r="BP409">
        <f t="shared" si="44"/>
        <v>3.4369311423743003</v>
      </c>
    </row>
    <row r="410" spans="1:68" x14ac:dyDescent="0.15">
      <c r="A410" s="5">
        <v>44148</v>
      </c>
      <c r="B410" s="1"/>
      <c r="C410">
        <v>106.06</v>
      </c>
      <c r="D410">
        <v>78.180000000000007</v>
      </c>
      <c r="E410">
        <v>74.306889999999996</v>
      </c>
      <c r="G410" s="3">
        <v>-3.4195722225549498E-4</v>
      </c>
      <c r="I410" s="15">
        <f t="shared" si="47"/>
        <v>0</v>
      </c>
      <c r="J410" s="15">
        <f t="shared" si="48"/>
        <v>1.5852390852391023E-2</v>
      </c>
      <c r="K410" s="15">
        <f t="shared" si="49"/>
        <v>-4.318018404071265E-3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BJ410">
        <f t="shared" si="43"/>
        <v>1.1693474185269399E-7</v>
      </c>
      <c r="BK410">
        <f t="shared" si="45"/>
        <v>1.49460667180445E-4</v>
      </c>
      <c r="BO410">
        <f t="shared" si="46"/>
        <v>1.2718795337056418E-4</v>
      </c>
      <c r="BP410">
        <f t="shared" si="44"/>
        <v>3.5655240829917876</v>
      </c>
    </row>
    <row r="411" spans="1:68" x14ac:dyDescent="0.15">
      <c r="A411" s="5">
        <v>44151</v>
      </c>
      <c r="B411" s="1"/>
      <c r="C411">
        <v>105.08</v>
      </c>
      <c r="D411">
        <v>80.72</v>
      </c>
      <c r="E411">
        <v>74.885050000000007</v>
      </c>
      <c r="G411" s="3">
        <v>8.9709239696496006E-3</v>
      </c>
      <c r="I411" s="15">
        <f t="shared" si="47"/>
        <v>-9.240052800301754E-3</v>
      </c>
      <c r="J411" s="15">
        <f t="shared" si="48"/>
        <v>3.2489127654131388E-2</v>
      </c>
      <c r="K411" s="15">
        <f t="shared" si="49"/>
        <v>7.7807051270751765E-3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BJ411">
        <f t="shared" si="43"/>
        <v>8.0477476869233753E-5</v>
      </c>
      <c r="BK411">
        <f t="shared" si="45"/>
        <v>1.4050004323412947E-4</v>
      </c>
      <c r="BO411">
        <f t="shared" si="46"/>
        <v>1.0572001571677295E-4</v>
      </c>
      <c r="BP411">
        <f t="shared" si="44"/>
        <v>3.2778035420847305</v>
      </c>
    </row>
    <row r="412" spans="1:68" x14ac:dyDescent="0.15">
      <c r="A412" s="5">
        <v>44152</v>
      </c>
      <c r="B412" s="1"/>
      <c r="C412">
        <v>105.52</v>
      </c>
      <c r="D412">
        <v>82.38</v>
      </c>
      <c r="E412">
        <v>74.686009999999996</v>
      </c>
      <c r="G412" s="3">
        <v>-2.0416310304275302E-3</v>
      </c>
      <c r="I412" s="15">
        <f t="shared" si="47"/>
        <v>4.1872858774267005E-3</v>
      </c>
      <c r="J412" s="15">
        <f t="shared" si="48"/>
        <v>2.0564915758176372E-2</v>
      </c>
      <c r="K412" s="15">
        <f t="shared" si="49"/>
        <v>-2.6579404033249725E-3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BJ412">
        <f t="shared" si="43"/>
        <v>4.1682572644045789E-6</v>
      </c>
      <c r="BK412">
        <f t="shared" si="45"/>
        <v>1.3689868925223571E-4</v>
      </c>
      <c r="BO412">
        <f t="shared" si="46"/>
        <v>1.0032598371481421E-4</v>
      </c>
      <c r="BP412">
        <f t="shared" si="44"/>
        <v>3.6638308172107519</v>
      </c>
    </row>
    <row r="413" spans="1:68" x14ac:dyDescent="0.15">
      <c r="A413" s="5">
        <v>44153</v>
      </c>
      <c r="B413" s="1"/>
      <c r="C413">
        <v>104.96</v>
      </c>
      <c r="D413">
        <v>83.06</v>
      </c>
      <c r="E413">
        <v>74.67653</v>
      </c>
      <c r="G413" s="3">
        <v>-1.16381387601838E-4</v>
      </c>
      <c r="I413" s="15">
        <f t="shared" si="47"/>
        <v>-5.3070507960576415E-3</v>
      </c>
      <c r="J413" s="15">
        <f t="shared" si="48"/>
        <v>8.2544306870600496E-3</v>
      </c>
      <c r="K413" s="15">
        <f t="shared" si="49"/>
        <v>-1.269314025477647E-4</v>
      </c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BJ413">
        <f t="shared" si="43"/>
        <v>1.3544627380129252E-8</v>
      </c>
      <c r="BK413">
        <f t="shared" si="45"/>
        <v>1.2893486333296584E-4</v>
      </c>
      <c r="BO413">
        <f t="shared" si="46"/>
        <v>8.5227045799247535E-5</v>
      </c>
      <c r="BP413">
        <f t="shared" si="44"/>
        <v>3.7660778725416795</v>
      </c>
    </row>
    <row r="414" spans="1:68" x14ac:dyDescent="0.15">
      <c r="A414" s="5">
        <v>44154</v>
      </c>
      <c r="B414" s="1"/>
      <c r="C414">
        <v>104.12</v>
      </c>
      <c r="D414">
        <v>81.260000000000005</v>
      </c>
      <c r="E414">
        <v>74.970344999999995</v>
      </c>
      <c r="G414" s="3">
        <v>-6.9224355244170699E-3</v>
      </c>
      <c r="I414" s="15">
        <f t="shared" si="47"/>
        <v>-8.0030487804877027E-3</v>
      </c>
      <c r="J414" s="15">
        <f t="shared" si="48"/>
        <v>-2.1671081146159368E-2</v>
      </c>
      <c r="K414" s="15">
        <f t="shared" si="49"/>
        <v>3.9345025806634968E-3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BJ414">
        <f t="shared" si="43"/>
        <v>4.792011358971143E-5</v>
      </c>
      <c r="BK414">
        <f t="shared" si="45"/>
        <v>1.2119958421063068E-4</v>
      </c>
      <c r="BO414">
        <f t="shared" si="46"/>
        <v>7.2792043749819052E-5</v>
      </c>
      <c r="BP414">
        <f t="shared" si="44"/>
        <v>3.515855783109652</v>
      </c>
    </row>
    <row r="415" spans="1:68" x14ac:dyDescent="0.15">
      <c r="A415" s="5">
        <v>44155</v>
      </c>
      <c r="B415" s="1"/>
      <c r="C415">
        <v>103.68</v>
      </c>
      <c r="D415">
        <v>81.86</v>
      </c>
      <c r="E415">
        <v>75.453720000000004</v>
      </c>
      <c r="G415" s="3">
        <v>4.6559771849530302E-4</v>
      </c>
      <c r="I415" s="15">
        <f t="shared" si="47"/>
        <v>-4.2258932001536468E-3</v>
      </c>
      <c r="J415" s="15">
        <f t="shared" si="48"/>
        <v>7.3837066207235328E-3</v>
      </c>
      <c r="K415" s="15">
        <f t="shared" si="49"/>
        <v>6.4475493610174723E-3</v>
      </c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BJ415">
        <f t="shared" si="43"/>
        <v>2.1678123546803144E-7</v>
      </c>
      <c r="BK415">
        <f t="shared" si="45"/>
        <v>1.1680281597337552E-4</v>
      </c>
      <c r="BO415">
        <f t="shared" si="46"/>
        <v>6.9861154124085294E-5</v>
      </c>
      <c r="BP415">
        <f t="shared" si="44"/>
        <v>3.8640103510470478</v>
      </c>
    </row>
    <row r="416" spans="1:68" x14ac:dyDescent="0.15">
      <c r="A416" s="5">
        <v>44158</v>
      </c>
      <c r="B416" s="1"/>
      <c r="C416">
        <v>101.46</v>
      </c>
      <c r="D416">
        <v>83.7</v>
      </c>
      <c r="E416">
        <v>75.444243999999998</v>
      </c>
      <c r="G416" s="3">
        <v>-2.9777871743054104E-3</v>
      </c>
      <c r="I416" s="15">
        <f t="shared" si="47"/>
        <v>-2.1412037037037163E-2</v>
      </c>
      <c r="J416" s="15">
        <f t="shared" si="48"/>
        <v>2.2477400439775266E-2</v>
      </c>
      <c r="K416" s="15">
        <f t="shared" si="49"/>
        <v>-1.2558691605936035E-4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BJ416">
        <f t="shared" si="43"/>
        <v>8.8672164554578006E-6</v>
      </c>
      <c r="BK416">
        <f t="shared" si="45"/>
        <v>1.0980765388910107E-4</v>
      </c>
      <c r="BO416">
        <f t="shared" si="46"/>
        <v>6.0768308780001207E-5</v>
      </c>
      <c r="BP416">
        <f t="shared" si="44"/>
        <v>3.8623233208106353</v>
      </c>
    </row>
    <row r="417" spans="1:68" x14ac:dyDescent="0.15">
      <c r="A417" s="5">
        <v>44159</v>
      </c>
      <c r="B417" s="1"/>
      <c r="C417">
        <v>101.78</v>
      </c>
      <c r="D417">
        <v>85.56</v>
      </c>
      <c r="E417">
        <v>76.079260000000005</v>
      </c>
      <c r="G417" s="3">
        <v>2.5986815090674998E-3</v>
      </c>
      <c r="I417" s="15">
        <f t="shared" si="47"/>
        <v>3.1539522964715888E-3</v>
      </c>
      <c r="J417" s="15">
        <f t="shared" si="48"/>
        <v>2.2222222222222216E-2</v>
      </c>
      <c r="K417" s="15">
        <f t="shared" si="49"/>
        <v>8.4170238355096693E-3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BJ417">
        <f t="shared" si="43"/>
        <v>6.7531455855693377E-6</v>
      </c>
      <c r="BK417">
        <f t="shared" si="45"/>
        <v>1.0375122764308247E-4</v>
      </c>
      <c r="BO417">
        <f t="shared" si="46"/>
        <v>5.4868070104447824E-5</v>
      </c>
      <c r="BP417">
        <f t="shared" si="44"/>
        <v>3.9248111068281175</v>
      </c>
    </row>
    <row r="418" spans="1:68" x14ac:dyDescent="0.15">
      <c r="A418" s="5">
        <v>44160</v>
      </c>
      <c r="B418" s="1"/>
      <c r="C418">
        <v>101.94</v>
      </c>
      <c r="D418">
        <v>84.6</v>
      </c>
      <c r="E418">
        <v>76.752200000000002</v>
      </c>
      <c r="G418" s="3">
        <v>-3.1616994300354096E-4</v>
      </c>
      <c r="I418" s="15">
        <f t="shared" si="47"/>
        <v>1.5720180782078659E-3</v>
      </c>
      <c r="J418" s="15">
        <f t="shared" si="48"/>
        <v>-1.1220196353436278E-2</v>
      </c>
      <c r="K418" s="15">
        <f t="shared" si="49"/>
        <v>8.8452490205608858E-3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BJ418">
        <f t="shared" si="43"/>
        <v>9.9963432858862343E-8</v>
      </c>
      <c r="BK418">
        <f t="shared" si="45"/>
        <v>9.7931342719631681E-5</v>
      </c>
      <c r="BO418">
        <f t="shared" si="46"/>
        <v>4.9938961487522373E-5</v>
      </c>
      <c r="BP418">
        <f t="shared" si="44"/>
        <v>4.0324151449176684</v>
      </c>
    </row>
    <row r="419" spans="1:68" x14ac:dyDescent="0.15">
      <c r="A419" s="5">
        <v>44162</v>
      </c>
      <c r="B419" s="1"/>
      <c r="C419">
        <v>102.3</v>
      </c>
      <c r="D419">
        <v>83.74</v>
      </c>
      <c r="E419">
        <v>76.828019999999995</v>
      </c>
      <c r="G419" s="3">
        <v>1.23046886127631E-3</v>
      </c>
      <c r="I419" s="15">
        <f t="shared" si="47"/>
        <v>3.5314891112419016E-3</v>
      </c>
      <c r="J419" s="15">
        <f t="shared" si="48"/>
        <v>-1.0165484633569734E-2</v>
      </c>
      <c r="K419" s="15">
        <f t="shared" si="49"/>
        <v>9.8785441980807202E-4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BJ419">
        <f t="shared" si="43"/>
        <v>1.5140536185706191E-6</v>
      </c>
      <c r="BK419">
        <f t="shared" si="45"/>
        <v>9.2061459962425297E-5</v>
      </c>
      <c r="BO419">
        <f t="shared" si="46"/>
        <v>4.5125125633213413E-5</v>
      </c>
      <c r="BP419">
        <f t="shared" si="44"/>
        <v>4.0673209747216266</v>
      </c>
    </row>
    <row r="420" spans="1:68" x14ac:dyDescent="0.15">
      <c r="A420" s="5">
        <v>44165</v>
      </c>
      <c r="B420" s="1"/>
      <c r="C420">
        <v>101.18</v>
      </c>
      <c r="D420">
        <v>83.02</v>
      </c>
      <c r="E420">
        <v>77.974845999999999</v>
      </c>
      <c r="G420" s="3">
        <v>-2.3568075111973699E-3</v>
      </c>
      <c r="I420" s="15">
        <f t="shared" si="47"/>
        <v>-1.094819159335279E-2</v>
      </c>
      <c r="J420" s="15">
        <f t="shared" si="48"/>
        <v>-8.5980415572008469E-3</v>
      </c>
      <c r="K420" s="15">
        <f t="shared" si="49"/>
        <v>1.4927184118502655E-2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BJ420">
        <f t="shared" si="43"/>
        <v>5.5545416448363406E-6</v>
      </c>
      <c r="BK420">
        <f t="shared" si="45"/>
        <v>8.6628615581794006E-5</v>
      </c>
      <c r="BO420">
        <f t="shared" si="46"/>
        <v>4.1550649741919251E-5</v>
      </c>
      <c r="BP420">
        <f t="shared" si="44"/>
        <v>4.0585195552424809</v>
      </c>
    </row>
    <row r="421" spans="1:68" x14ac:dyDescent="0.15">
      <c r="A421" s="5">
        <v>44166</v>
      </c>
      <c r="B421" s="1"/>
      <c r="C421">
        <v>100.44</v>
      </c>
      <c r="D421">
        <v>84.1</v>
      </c>
      <c r="E421">
        <v>77.121830000000003</v>
      </c>
      <c r="G421" s="3">
        <v>-2.5982851264462199E-3</v>
      </c>
      <c r="I421" s="15">
        <f t="shared" si="47"/>
        <v>-7.3136983593596466E-3</v>
      </c>
      <c r="J421" s="15">
        <f t="shared" si="48"/>
        <v>1.3008913514815687E-2</v>
      </c>
      <c r="K421" s="15">
        <f t="shared" si="49"/>
        <v>-1.0939630454672481E-2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BJ421">
        <f t="shared" si="43"/>
        <v>6.7510855983116489E-6</v>
      </c>
      <c r="BK421">
        <f t="shared" si="45"/>
        <v>8.1764171145576537E-5</v>
      </c>
      <c r="BO421">
        <f t="shared" si="46"/>
        <v>3.9322353631137435E-5</v>
      </c>
      <c r="BP421">
        <f t="shared" si="44"/>
        <v>4.0670773225248986</v>
      </c>
    </row>
    <row r="422" spans="1:68" x14ac:dyDescent="0.15">
      <c r="A422" s="5">
        <v>44167</v>
      </c>
      <c r="B422" s="1"/>
      <c r="C422">
        <v>100.02</v>
      </c>
      <c r="D422">
        <v>83.44</v>
      </c>
      <c r="E422">
        <v>77.643119999999996</v>
      </c>
      <c r="G422" s="3">
        <v>-1.3249412988980401E-3</v>
      </c>
      <c r="I422" s="15">
        <f t="shared" si="47"/>
        <v>-4.1816009557945214E-3</v>
      </c>
      <c r="J422" s="15">
        <f t="shared" si="48"/>
        <v>-7.847800237812088E-3</v>
      </c>
      <c r="K422" s="15">
        <f t="shared" si="49"/>
        <v>6.7593053743666785E-3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BJ422">
        <f t="shared" si="43"/>
        <v>1.7554694455256254E-6</v>
      </c>
      <c r="BK422">
        <f t="shared" si="45"/>
        <v>7.7263386012740647E-5</v>
      </c>
      <c r="BO422">
        <f t="shared" si="46"/>
        <v>3.774493737502524E-5</v>
      </c>
      <c r="BP422">
        <f t="shared" si="44"/>
        <v>4.1501366975014404</v>
      </c>
    </row>
    <row r="423" spans="1:68" x14ac:dyDescent="0.15">
      <c r="A423" s="5">
        <v>44168</v>
      </c>
      <c r="B423" s="1"/>
      <c r="C423">
        <v>99.31</v>
      </c>
      <c r="D423">
        <v>82.94</v>
      </c>
      <c r="E423">
        <v>76.695329999999998</v>
      </c>
      <c r="G423" s="3">
        <v>-8.8866239706726306E-3</v>
      </c>
      <c r="I423" s="15">
        <f t="shared" si="47"/>
        <v>-7.0985802839431495E-3</v>
      </c>
      <c r="J423" s="15">
        <f t="shared" si="48"/>
        <v>-5.9923298178331738E-3</v>
      </c>
      <c r="K423" s="15">
        <f t="shared" si="49"/>
        <v>-1.2207005591738171E-2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BJ423">
        <f t="shared" si="43"/>
        <v>7.8972085596133387E-5</v>
      </c>
      <c r="BK423">
        <f t="shared" si="45"/>
        <v>7.2732911018707745E-5</v>
      </c>
      <c r="BO423">
        <f t="shared" si="46"/>
        <v>3.5796168879202886E-5</v>
      </c>
      <c r="BP423">
        <f t="shared" si="44"/>
        <v>3.0968161742582057</v>
      </c>
    </row>
    <row r="424" spans="1:68" x14ac:dyDescent="0.15">
      <c r="A424" s="5">
        <v>44169</v>
      </c>
      <c r="B424" s="1"/>
      <c r="C424">
        <v>99</v>
      </c>
      <c r="D424">
        <v>83.2</v>
      </c>
      <c r="E424">
        <v>76.960710000000006</v>
      </c>
      <c r="G424" s="3">
        <v>2.1145313639661101E-3</v>
      </c>
      <c r="I424" s="15">
        <f t="shared" si="47"/>
        <v>-3.1215386164535524E-3</v>
      </c>
      <c r="J424" s="15">
        <f t="shared" si="48"/>
        <v>3.134796238244576E-3</v>
      </c>
      <c r="K424" s="15">
        <f t="shared" si="49"/>
        <v>3.4601846031565089E-3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BJ424">
        <f t="shared" si="43"/>
        <v>4.4712428891963775E-6</v>
      </c>
      <c r="BK424">
        <f t="shared" si="45"/>
        <v>7.3107261493353287E-5</v>
      </c>
      <c r="BO424">
        <f t="shared" si="46"/>
        <v>4.5264801199125862E-5</v>
      </c>
      <c r="BP424">
        <f t="shared" si="44"/>
        <v>4.0331620448447048</v>
      </c>
    </row>
    <row r="425" spans="1:68" x14ac:dyDescent="0.15">
      <c r="A425" s="5">
        <v>44172</v>
      </c>
      <c r="B425" s="1"/>
      <c r="C425">
        <v>99.14</v>
      </c>
      <c r="D425">
        <v>82.56</v>
      </c>
      <c r="E425">
        <v>77.055490000000006</v>
      </c>
      <c r="G425" s="3">
        <v>1.0500088959159901E-3</v>
      </c>
      <c r="I425" s="15">
        <f t="shared" si="47"/>
        <v>1.4141414141414198E-3</v>
      </c>
      <c r="J425" s="15">
        <f t="shared" si="48"/>
        <v>-7.6923076923076988E-3</v>
      </c>
      <c r="K425" s="15">
        <f t="shared" si="49"/>
        <v>1.2315374949113656E-3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BJ425">
        <f t="shared" si="43"/>
        <v>1.1025186815027165E-6</v>
      </c>
      <c r="BK425">
        <f t="shared" si="45"/>
        <v>6.8989100377103872E-5</v>
      </c>
      <c r="BO425">
        <f t="shared" si="46"/>
        <v>4.2081371751624471E-5</v>
      </c>
      <c r="BP425">
        <f t="shared" si="44"/>
        <v>4.1059143200310269</v>
      </c>
    </row>
    <row r="426" spans="1:68" x14ac:dyDescent="0.15">
      <c r="A426" s="5">
        <v>44173</v>
      </c>
      <c r="B426" s="1"/>
      <c r="C426">
        <v>99.39</v>
      </c>
      <c r="D426">
        <v>81.739999999999995</v>
      </c>
      <c r="E426">
        <v>76.960710000000006</v>
      </c>
      <c r="G426" s="3">
        <v>1.80401849615208E-3</v>
      </c>
      <c r="I426" s="15">
        <f t="shared" si="47"/>
        <v>2.5216865039338308E-3</v>
      </c>
      <c r="J426" s="15">
        <f t="shared" si="48"/>
        <v>-9.9321705426357477E-3</v>
      </c>
      <c r="K426" s="15">
        <f t="shared" si="49"/>
        <v>-1.2300226758664447E-3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BJ426">
        <f t="shared" si="43"/>
        <v>3.2544827344588125E-6</v>
      </c>
      <c r="BK426">
        <f t="shared" si="45"/>
        <v>6.4915905475367792E-5</v>
      </c>
      <c r="BO426">
        <f t="shared" si="46"/>
        <v>3.9104582783341439E-5</v>
      </c>
      <c r="BP426">
        <f t="shared" si="44"/>
        <v>4.1140843633475068</v>
      </c>
    </row>
    <row r="427" spans="1:68" x14ac:dyDescent="0.15">
      <c r="A427" s="5">
        <v>44174</v>
      </c>
      <c r="B427" s="1"/>
      <c r="C427">
        <v>100.02</v>
      </c>
      <c r="D427">
        <v>82.08</v>
      </c>
      <c r="E427">
        <v>77.046009999999995</v>
      </c>
      <c r="G427" s="3">
        <v>3.4556641003926601E-3</v>
      </c>
      <c r="I427" s="15">
        <f t="shared" si="47"/>
        <v>6.3386658617566698E-3</v>
      </c>
      <c r="J427" s="15">
        <f t="shared" si="48"/>
        <v>4.1595302177636828E-3</v>
      </c>
      <c r="K427" s="15">
        <f t="shared" si="49"/>
        <v>1.1083577581338516E-3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BJ427">
        <f t="shared" si="43"/>
        <v>1.1941614374742613E-5</v>
      </c>
      <c r="BK427">
        <f t="shared" si="45"/>
        <v>6.1216220110913252E-5</v>
      </c>
      <c r="BO427">
        <f t="shared" si="46"/>
        <v>3.7076135694549281E-5</v>
      </c>
      <c r="BP427">
        <f t="shared" si="44"/>
        <v>4.0212881977420558</v>
      </c>
    </row>
    <row r="428" spans="1:68" x14ac:dyDescent="0.15">
      <c r="A428" s="5">
        <v>44175</v>
      </c>
      <c r="B428" s="1"/>
      <c r="C428">
        <v>99.9</v>
      </c>
      <c r="D428">
        <v>81.64</v>
      </c>
      <c r="E428">
        <v>77.055490000000006</v>
      </c>
      <c r="G428" s="3">
        <v>-3.2655889040129598E-3</v>
      </c>
      <c r="I428" s="15">
        <f t="shared" si="47"/>
        <v>-1.1997600479903053E-3</v>
      </c>
      <c r="J428" s="15">
        <f t="shared" si="48"/>
        <v>-5.3606237816763861E-3</v>
      </c>
      <c r="K428" s="15">
        <f t="shared" si="49"/>
        <v>1.2304336071407971E-4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BJ428">
        <f t="shared" si="43"/>
        <v>1.0664070890012564E-5</v>
      </c>
      <c r="BK428">
        <f t="shared" si="45"/>
        <v>5.8259743766743011E-5</v>
      </c>
      <c r="BO428">
        <f t="shared" si="46"/>
        <v>3.6722287690933689E-5</v>
      </c>
      <c r="BP428">
        <f t="shared" si="44"/>
        <v>4.0419259224694857</v>
      </c>
    </row>
    <row r="429" spans="1:68" x14ac:dyDescent="0.15">
      <c r="A429" s="5">
        <v>44176</v>
      </c>
      <c r="B429" s="1"/>
      <c r="C429">
        <v>100.62</v>
      </c>
      <c r="D429">
        <v>79.959999999999994</v>
      </c>
      <c r="E429">
        <v>77.301910000000007</v>
      </c>
      <c r="G429" s="3">
        <v>-4.03905108355751E-4</v>
      </c>
      <c r="I429" s="15">
        <f t="shared" si="47"/>
        <v>7.2072072072071952E-3</v>
      </c>
      <c r="J429" s="15">
        <f t="shared" si="48"/>
        <v>-2.0578147966683082E-2</v>
      </c>
      <c r="K429" s="15">
        <f t="shared" si="49"/>
        <v>3.1979551359676063E-3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BJ429">
        <f t="shared" si="43"/>
        <v>1.6313933655587095E-7</v>
      </c>
      <c r="BK429">
        <f t="shared" si="45"/>
        <v>5.5404003394139184E-5</v>
      </c>
      <c r="BO429">
        <f t="shared" si="46"/>
        <v>3.6262788827426393E-5</v>
      </c>
      <c r="BP429">
        <f t="shared" si="44"/>
        <v>4.1911712844497346</v>
      </c>
    </row>
    <row r="430" spans="1:68" x14ac:dyDescent="0.15">
      <c r="A430" s="5">
        <v>44179</v>
      </c>
      <c r="B430" s="1"/>
      <c r="C430">
        <v>99.7</v>
      </c>
      <c r="D430">
        <v>80.58</v>
      </c>
      <c r="E430">
        <v>77.017579999999995</v>
      </c>
      <c r="G430" s="3">
        <v>-1.8022371818160398E-3</v>
      </c>
      <c r="I430" s="15">
        <f t="shared" si="47"/>
        <v>-9.1433114688928806E-3</v>
      </c>
      <c r="J430" s="15">
        <f t="shared" si="48"/>
        <v>7.7538769384692917E-3</v>
      </c>
      <c r="K430" s="15">
        <f t="shared" si="49"/>
        <v>-3.6781756104087371E-3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BJ430">
        <f t="shared" si="43"/>
        <v>3.2480588595202212E-6</v>
      </c>
      <c r="BK430">
        <f t="shared" si="45"/>
        <v>5.2089551550684182E-5</v>
      </c>
      <c r="BO430">
        <f t="shared" si="46"/>
        <v>3.4406822997006681E-5</v>
      </c>
      <c r="BP430">
        <f t="shared" si="44"/>
        <v>4.1724885060559362</v>
      </c>
    </row>
    <row r="431" spans="1:68" x14ac:dyDescent="0.15">
      <c r="A431" s="5">
        <v>44180</v>
      </c>
      <c r="B431" s="1"/>
      <c r="C431">
        <v>99.62</v>
      </c>
      <c r="D431">
        <v>81.180000000000007</v>
      </c>
      <c r="E431">
        <v>75.520065000000002</v>
      </c>
      <c r="G431" s="3">
        <v>-3.0708429807173501E-3</v>
      </c>
      <c r="I431" s="15">
        <f t="shared" si="47"/>
        <v>-8.0240722166497781E-4</v>
      </c>
      <c r="J431" s="15">
        <f t="shared" si="48"/>
        <v>7.4460163812361448E-3</v>
      </c>
      <c r="K431" s="15">
        <f t="shared" si="49"/>
        <v>-1.9443807504728048E-2</v>
      </c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BJ431">
        <f t="shared" si="43"/>
        <v>9.4300766122210189E-6</v>
      </c>
      <c r="BK431">
        <f t="shared" si="45"/>
        <v>4.9159061989214341E-5</v>
      </c>
      <c r="BO431">
        <f t="shared" si="46"/>
        <v>3.3390397531651095E-5</v>
      </c>
      <c r="BP431">
        <f t="shared" si="44"/>
        <v>4.0934731568487015</v>
      </c>
    </row>
    <row r="432" spans="1:68" x14ac:dyDescent="0.15">
      <c r="A432" s="5">
        <v>44181</v>
      </c>
      <c r="B432" s="1"/>
      <c r="C432">
        <v>100.58</v>
      </c>
      <c r="D432">
        <v>83.62</v>
      </c>
      <c r="E432">
        <v>76.316209999999998</v>
      </c>
      <c r="G432" s="3">
        <v>1.1179036390729299E-2</v>
      </c>
      <c r="I432" s="15">
        <f t="shared" si="47"/>
        <v>9.6366191527805026E-3</v>
      </c>
      <c r="J432" s="15">
        <f t="shared" si="48"/>
        <v>3.0056664203005637E-2</v>
      </c>
      <c r="K432" s="15">
        <f t="shared" si="49"/>
        <v>1.0542165184841877E-2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BJ432">
        <f t="shared" si="43"/>
        <v>1.2497085462524995E-4</v>
      </c>
      <c r="BK432">
        <f t="shared" si="45"/>
        <v>4.6775322866594739E-5</v>
      </c>
      <c r="BO432">
        <f t="shared" si="46"/>
        <v>3.3473579061031048E-5</v>
      </c>
      <c r="BP432">
        <f t="shared" si="44"/>
        <v>2.3667296433061313</v>
      </c>
    </row>
    <row r="433" spans="1:68" x14ac:dyDescent="0.15">
      <c r="A433" s="5">
        <v>44182</v>
      </c>
      <c r="B433" s="1"/>
      <c r="C433">
        <v>101.58</v>
      </c>
      <c r="D433">
        <v>83.48</v>
      </c>
      <c r="E433">
        <v>77.263999999999996</v>
      </c>
      <c r="G433" s="3">
        <v>7.9923491340165801E-3</v>
      </c>
      <c r="I433" s="15">
        <f t="shared" si="47"/>
        <v>9.9423344601312393E-3</v>
      </c>
      <c r="J433" s="15">
        <f t="shared" si="48"/>
        <v>-1.6742406122937164E-3</v>
      </c>
      <c r="K433" s="15">
        <f t="shared" si="49"/>
        <v>1.2419248807035854E-2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BJ433">
        <f t="shared" si="43"/>
        <v>6.3877644680015574E-5</v>
      </c>
      <c r="BK433">
        <f t="shared" si="45"/>
        <v>5.1467054772114057E-5</v>
      </c>
      <c r="BO433">
        <f t="shared" si="46"/>
        <v>4.9994164310461602E-5</v>
      </c>
      <c r="BP433">
        <f t="shared" si="44"/>
        <v>3.3940125938413548</v>
      </c>
    </row>
    <row r="434" spans="1:68" x14ac:dyDescent="0.15">
      <c r="A434" s="5">
        <v>44183</v>
      </c>
      <c r="B434" s="1"/>
      <c r="C434">
        <v>102.3</v>
      </c>
      <c r="D434">
        <v>82.8</v>
      </c>
      <c r="E434">
        <v>76.306730000000002</v>
      </c>
      <c r="G434" s="3">
        <v>-1.56469642721357E-3</v>
      </c>
      <c r="I434" s="15">
        <f t="shared" si="47"/>
        <v>7.0880094506792562E-3</v>
      </c>
      <c r="J434" s="15">
        <f t="shared" si="48"/>
        <v>-8.1456636320077474E-3</v>
      </c>
      <c r="K434" s="15">
        <f t="shared" si="49"/>
        <v>-1.2389599295920404E-2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BJ434">
        <f t="shared" si="43"/>
        <v>2.4482749093349108E-6</v>
      </c>
      <c r="BK434">
        <f t="shared" si="45"/>
        <v>5.2211690166588144E-5</v>
      </c>
      <c r="BO434">
        <f t="shared" si="46"/>
        <v>5.4251654963240753E-5</v>
      </c>
      <c r="BP434">
        <f t="shared" si="44"/>
        <v>3.9694359393186835</v>
      </c>
    </row>
    <row r="435" spans="1:68" x14ac:dyDescent="0.15">
      <c r="A435" s="5">
        <v>44186</v>
      </c>
      <c r="B435" s="1"/>
      <c r="C435">
        <v>100.36</v>
      </c>
      <c r="D435">
        <v>80.040000000000006</v>
      </c>
      <c r="E435">
        <v>74.107860000000002</v>
      </c>
      <c r="G435" s="3">
        <v>-2.0747170047570398E-2</v>
      </c>
      <c r="I435" s="15">
        <f t="shared" si="47"/>
        <v>-1.8963831867057652E-2</v>
      </c>
      <c r="J435" s="15">
        <f t="shared" si="48"/>
        <v>-3.3333333333333222E-2</v>
      </c>
      <c r="K435" s="15">
        <f t="shared" si="49"/>
        <v>-2.8816200091394288E-2</v>
      </c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BJ435">
        <f t="shared" si="43"/>
        <v>4.3044506498280224E-4</v>
      </c>
      <c r="BK435">
        <f t="shared" si="45"/>
        <v>4.9225885251152944E-5</v>
      </c>
      <c r="BO435">
        <f t="shared" si="46"/>
        <v>4.8842358012510125E-5</v>
      </c>
      <c r="BP435">
        <f t="shared" si="44"/>
        <v>-0.36195523180661748</v>
      </c>
    </row>
    <row r="436" spans="1:68" x14ac:dyDescent="0.15">
      <c r="A436" s="5">
        <v>44187</v>
      </c>
      <c r="B436" s="1"/>
      <c r="C436">
        <v>101.82</v>
      </c>
      <c r="D436">
        <v>81</v>
      </c>
      <c r="E436">
        <v>74.430109999999999</v>
      </c>
      <c r="G436" s="3">
        <v>9.4947610694231504E-3</v>
      </c>
      <c r="I436" s="15">
        <f t="shared" si="47"/>
        <v>1.454762853726578E-2</v>
      </c>
      <c r="J436" s="15">
        <f t="shared" si="48"/>
        <v>1.1994002998500671E-2</v>
      </c>
      <c r="K436" s="15">
        <f t="shared" si="49"/>
        <v>4.348391655082157E-3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BJ436">
        <f t="shared" si="43"/>
        <v>9.015048776543344E-5</v>
      </c>
      <c r="BK436">
        <f t="shared" si="45"/>
        <v>7.2099036035051925E-5</v>
      </c>
      <c r="BO436">
        <f t="shared" si="46"/>
        <v>1.0555480370988583E-4</v>
      </c>
      <c r="BP436">
        <f t="shared" si="44"/>
        <v>3.2321699356387219</v>
      </c>
    </row>
    <row r="437" spans="1:68" x14ac:dyDescent="0.15">
      <c r="A437" s="5">
        <v>44188</v>
      </c>
      <c r="B437" s="1"/>
      <c r="C437">
        <v>101.24</v>
      </c>
      <c r="D437">
        <v>82.28</v>
      </c>
      <c r="E437">
        <v>74.468019999999996</v>
      </c>
      <c r="G437" s="3">
        <v>8.2157737505883499E-4</v>
      </c>
      <c r="I437" s="15">
        <f t="shared" si="47"/>
        <v>-5.6963268513062102E-3</v>
      </c>
      <c r="J437" s="15">
        <f t="shared" si="48"/>
        <v>1.5802469135802483E-2</v>
      </c>
      <c r="K437" s="15">
        <f t="shared" si="49"/>
        <v>5.0933687992663935E-4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BJ437">
        <f t="shared" si="43"/>
        <v>6.7498938320856558E-7</v>
      </c>
      <c r="BK437">
        <f t="shared" si="45"/>
        <v>7.3182123138874821E-5</v>
      </c>
      <c r="BO437">
        <f t="shared" si="46"/>
        <v>1.0157402695413752E-4</v>
      </c>
      <c r="BP437">
        <f t="shared" si="44"/>
        <v>3.6751001671055841</v>
      </c>
    </row>
    <row r="438" spans="1:68" x14ac:dyDescent="0.15">
      <c r="A438" s="5">
        <v>44193</v>
      </c>
      <c r="B438" s="1"/>
      <c r="C438">
        <v>103.58</v>
      </c>
      <c r="D438">
        <v>83.28</v>
      </c>
      <c r="E438">
        <v>76.647940000000006</v>
      </c>
      <c r="G438" s="3">
        <v>1.83997741228774E-2</v>
      </c>
      <c r="I438" s="15">
        <f t="shared" si="47"/>
        <v>2.3113393915448473E-2</v>
      </c>
      <c r="J438" s="15">
        <f t="shared" si="48"/>
        <v>1.2153621779290228E-2</v>
      </c>
      <c r="K438" s="15">
        <f t="shared" si="49"/>
        <v>2.9273237021744503E-2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BJ438">
        <f t="shared" si="43"/>
        <v>3.3855168777290881E-4</v>
      </c>
      <c r="BK438">
        <f t="shared" si="45"/>
        <v>6.8831695113534839E-5</v>
      </c>
      <c r="BO438">
        <f t="shared" si="46"/>
        <v>8.570847261024231E-5</v>
      </c>
      <c r="BP438">
        <f t="shared" si="44"/>
        <v>1.7883221133985796</v>
      </c>
    </row>
    <row r="439" spans="1:68" x14ac:dyDescent="0.15">
      <c r="A439" s="5">
        <v>44194</v>
      </c>
      <c r="B439" s="1"/>
      <c r="C439">
        <v>104.6</v>
      </c>
      <c r="D439">
        <v>83.26</v>
      </c>
      <c r="E439">
        <v>78.17389</v>
      </c>
      <c r="G439" s="3">
        <v>7.4072720741806793E-3</v>
      </c>
      <c r="I439" s="15">
        <f t="shared" si="47"/>
        <v>9.8474608997875662E-3</v>
      </c>
      <c r="J439" s="15">
        <f t="shared" si="48"/>
        <v>-2.4015369836690706E-4</v>
      </c>
      <c r="K439" s="15">
        <f t="shared" si="49"/>
        <v>1.9908558533993145E-2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BJ439">
        <f t="shared" si="43"/>
        <v>5.4867679580936943E-5</v>
      </c>
      <c r="BK439">
        <f t="shared" si="45"/>
        <v>8.5014894673097281E-5</v>
      </c>
      <c r="BO439">
        <f t="shared" si="46"/>
        <v>1.2138433100881271E-4</v>
      </c>
      <c r="BP439">
        <f t="shared" si="44"/>
        <v>3.3633277635662906</v>
      </c>
    </row>
    <row r="440" spans="1:68" x14ac:dyDescent="0.15">
      <c r="A440" s="5">
        <v>44195</v>
      </c>
      <c r="B440" s="1"/>
      <c r="C440">
        <v>104.26</v>
      </c>
      <c r="D440">
        <v>83.34</v>
      </c>
      <c r="E440">
        <v>79.282799999999995</v>
      </c>
      <c r="G440" s="3">
        <v>2.00990575631876E-3</v>
      </c>
      <c r="I440" s="15">
        <f t="shared" si="47"/>
        <v>-3.2504780114721724E-3</v>
      </c>
      <c r="J440" s="15">
        <f t="shared" si="48"/>
        <v>9.6084554407876879E-4</v>
      </c>
      <c r="K440" s="15">
        <f t="shared" si="49"/>
        <v>1.4185171033448567E-2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BJ440">
        <f t="shared" si="43"/>
        <v>4.0397211492832868E-6</v>
      </c>
      <c r="BK440">
        <f t="shared" si="45"/>
        <v>8.3206061767567666E-5</v>
      </c>
      <c r="BO440">
        <f t="shared" si="46"/>
        <v>1.0896538867977769E-4</v>
      </c>
      <c r="BP440">
        <f t="shared" si="44"/>
        <v>3.6247648803819708</v>
      </c>
    </row>
    <row r="441" spans="1:68" x14ac:dyDescent="0.15">
      <c r="A441" s="5">
        <v>44200</v>
      </c>
      <c r="B441" s="1"/>
      <c r="C441">
        <v>104.46</v>
      </c>
      <c r="D441">
        <v>82.4</v>
      </c>
      <c r="E441">
        <v>78.846819999999994</v>
      </c>
      <c r="G441" s="3">
        <v>3.2588548565861603E-3</v>
      </c>
      <c r="I441" s="15">
        <f t="shared" si="47"/>
        <v>1.9182812200267468E-3</v>
      </c>
      <c r="J441" s="15">
        <f t="shared" si="48"/>
        <v>-1.1279097672186197E-2</v>
      </c>
      <c r="K441" s="15">
        <f t="shared" si="49"/>
        <v>-5.4990489740523885E-3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BJ441">
        <f t="shared" si="43"/>
        <v>1.0620134976295203E-5</v>
      </c>
      <c r="BK441">
        <f t="shared" si="45"/>
        <v>7.8456081330470593E-5</v>
      </c>
      <c r="BO441">
        <f t="shared" si="46"/>
        <v>9.1985305925232542E-5</v>
      </c>
      <c r="BP441">
        <f t="shared" si="44"/>
        <v>3.6702749777540657</v>
      </c>
    </row>
    <row r="442" spans="1:68" x14ac:dyDescent="0.15">
      <c r="A442" s="5">
        <v>44201</v>
      </c>
      <c r="B442" s="1"/>
      <c r="C442">
        <v>103.66</v>
      </c>
      <c r="D442">
        <v>82.5</v>
      </c>
      <c r="E442">
        <v>78.458219999999997</v>
      </c>
      <c r="G442" s="3">
        <v>-4.12519615925655E-3</v>
      </c>
      <c r="I442" s="15">
        <f t="shared" si="47"/>
        <v>-7.6584338502775915E-3</v>
      </c>
      <c r="J442" s="15">
        <f t="shared" si="48"/>
        <v>1.2135922330096397E-3</v>
      </c>
      <c r="K442" s="15">
        <f t="shared" si="49"/>
        <v>-4.9285437256695545E-3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BJ442">
        <f t="shared" si="43"/>
        <v>1.7017243352344992E-5</v>
      </c>
      <c r="BK442">
        <f t="shared" si="45"/>
        <v>7.4385924549220074E-5</v>
      </c>
      <c r="BO442">
        <f t="shared" si="46"/>
        <v>7.9603672446418498E-5</v>
      </c>
      <c r="BP442">
        <f t="shared" si="44"/>
        <v>3.6933993310213906</v>
      </c>
    </row>
    <row r="443" spans="1:68" x14ac:dyDescent="0.15">
      <c r="A443" s="5">
        <v>44202</v>
      </c>
      <c r="B443" s="1"/>
      <c r="C443">
        <v>102.28</v>
      </c>
      <c r="D443">
        <v>85.34</v>
      </c>
      <c r="E443">
        <v>78.429789999999997</v>
      </c>
      <c r="G443" s="3">
        <v>4.9548183177150398E-3</v>
      </c>
      <c r="I443" s="15">
        <f t="shared" si="47"/>
        <v>-1.3312753231719038E-2</v>
      </c>
      <c r="J443" s="15">
        <f t="shared" si="48"/>
        <v>3.4424242424242468E-2</v>
      </c>
      <c r="K443" s="15">
        <f t="shared" si="49"/>
        <v>-3.6235846288636397E-4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BJ443">
        <f t="shared" si="43"/>
        <v>2.4550224561564497E-5</v>
      </c>
      <c r="BK443">
        <f t="shared" si="45"/>
        <v>7.0943803677407557E-5</v>
      </c>
      <c r="BO443">
        <f t="shared" si="46"/>
        <v>7.0802858783058234E-5</v>
      </c>
      <c r="BP443">
        <f t="shared" si="44"/>
        <v>3.6854967649841073</v>
      </c>
    </row>
    <row r="444" spans="1:68" x14ac:dyDescent="0.15">
      <c r="A444" s="5">
        <v>44203</v>
      </c>
      <c r="B444" s="1"/>
      <c r="C444">
        <v>102.12</v>
      </c>
      <c r="D444">
        <v>85.02</v>
      </c>
      <c r="E444">
        <v>77.993804999999995</v>
      </c>
      <c r="G444" s="3">
        <v>2.9393734473921402E-3</v>
      </c>
      <c r="I444" s="15">
        <f t="shared" si="47"/>
        <v>-1.5643332029721998E-3</v>
      </c>
      <c r="J444" s="15">
        <f t="shared" si="48"/>
        <v>-3.7497070541364819E-3</v>
      </c>
      <c r="K444" s="15">
        <f t="shared" si="49"/>
        <v>-5.558920915126794E-3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BJ444">
        <f t="shared" si="43"/>
        <v>8.6399162632339542E-6</v>
      </c>
      <c r="BK444">
        <f t="shared" si="45"/>
        <v>6.816018893045697E-5</v>
      </c>
      <c r="BO444">
        <f t="shared" si="46"/>
        <v>6.4972535561159847E-5</v>
      </c>
      <c r="BP444">
        <f t="shared" si="44"/>
        <v>3.835345432476025</v>
      </c>
    </row>
    <row r="445" spans="1:68" x14ac:dyDescent="0.15">
      <c r="A445" s="5">
        <v>44204</v>
      </c>
      <c r="B445" s="1"/>
      <c r="C445">
        <v>101.36</v>
      </c>
      <c r="D445">
        <v>84.54</v>
      </c>
      <c r="E445">
        <v>78.666730000000001</v>
      </c>
      <c r="G445" s="3">
        <v>1.79238861769381E-3</v>
      </c>
      <c r="I445" s="15">
        <f t="shared" si="47"/>
        <v>-7.4422248335292308E-3</v>
      </c>
      <c r="J445" s="15">
        <f t="shared" si="48"/>
        <v>-5.645730416372498E-3</v>
      </c>
      <c r="K445" s="15">
        <f t="shared" si="49"/>
        <v>8.6279288464001271E-3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BJ445">
        <f t="shared" si="43"/>
        <v>3.212656956838327E-6</v>
      </c>
      <c r="BK445">
        <f t="shared" si="45"/>
        <v>6.4588972570423582E-5</v>
      </c>
      <c r="BO445">
        <f t="shared" si="46"/>
        <v>5.8133404405806267E-5</v>
      </c>
      <c r="BP445">
        <f t="shared" si="44"/>
        <v>3.9298147596474258</v>
      </c>
    </row>
    <row r="446" spans="1:68" x14ac:dyDescent="0.15">
      <c r="A446" s="5">
        <v>44207</v>
      </c>
      <c r="B446" s="1"/>
      <c r="C446">
        <v>100.6</v>
      </c>
      <c r="D446">
        <v>84.06</v>
      </c>
      <c r="E446">
        <v>79.424970000000002</v>
      </c>
      <c r="G446" s="3">
        <v>6.7078617403759601E-3</v>
      </c>
      <c r="I446" s="15">
        <f t="shared" si="47"/>
        <v>-7.4980268350434602E-3</v>
      </c>
      <c r="J446" s="15">
        <f t="shared" si="48"/>
        <v>-5.6777856635912465E-3</v>
      </c>
      <c r="K446" s="15">
        <f t="shared" si="49"/>
        <v>9.6386363078775576E-3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BJ446">
        <f t="shared" si="43"/>
        <v>4.4995409127999605E-5</v>
      </c>
      <c r="BK446">
        <f t="shared" si="45"/>
        <v>6.0906393633608459E-5</v>
      </c>
      <c r="BO446">
        <f t="shared" si="46"/>
        <v>5.199598349166998E-5</v>
      </c>
      <c r="BP446">
        <f t="shared" si="44"/>
        <v>3.5805519229970795</v>
      </c>
    </row>
    <row r="447" spans="1:68" x14ac:dyDescent="0.15">
      <c r="A447" s="5">
        <v>44208</v>
      </c>
      <c r="B447" s="1"/>
      <c r="C447">
        <v>100.36</v>
      </c>
      <c r="D447">
        <v>84.48</v>
      </c>
      <c r="E447">
        <v>79.064803999999995</v>
      </c>
      <c r="G447" s="3">
        <v>4.4467413103910198E-4</v>
      </c>
      <c r="I447" s="15">
        <f t="shared" si="47"/>
        <v>-2.3856858846917984E-3</v>
      </c>
      <c r="J447" s="15">
        <f t="shared" si="48"/>
        <v>4.9964311206281429E-3</v>
      </c>
      <c r="K447" s="15">
        <f t="shared" si="49"/>
        <v>-4.5346696385281183E-3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BJ447">
        <f t="shared" si="43"/>
        <v>1.9773508281538043E-7</v>
      </c>
      <c r="BK447">
        <f t="shared" si="45"/>
        <v>5.9951734563271926E-5</v>
      </c>
      <c r="BO447">
        <f t="shared" si="46"/>
        <v>5.3132627976124916E-5</v>
      </c>
      <c r="BP447">
        <f t="shared" si="44"/>
        <v>4.0005603756981563</v>
      </c>
    </row>
    <row r="448" spans="1:68" x14ac:dyDescent="0.15">
      <c r="A448" s="5">
        <v>44209</v>
      </c>
      <c r="B448" s="1"/>
      <c r="C448">
        <v>100.34</v>
      </c>
      <c r="D448">
        <v>84.24</v>
      </c>
      <c r="E448">
        <v>78.761510000000001</v>
      </c>
      <c r="G448" s="3">
        <v>-2.60861750721541E-3</v>
      </c>
      <c r="I448" s="15">
        <f t="shared" si="47"/>
        <v>-1.9928258270223218E-4</v>
      </c>
      <c r="J448" s="15">
        <f t="shared" si="48"/>
        <v>-2.8409090909091985E-3</v>
      </c>
      <c r="K448" s="15">
        <f t="shared" si="49"/>
        <v>-3.8360178569467394E-3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BJ448">
        <f t="shared" si="43"/>
        <v>6.8048852989507399E-6</v>
      </c>
      <c r="BK448">
        <f t="shared" si="45"/>
        <v>5.6366494594444531E-5</v>
      </c>
      <c r="BO448">
        <f t="shared" si="46"/>
        <v>4.7644094638850792E-5</v>
      </c>
      <c r="BP448">
        <f t="shared" si="44"/>
        <v>3.9855236676674708</v>
      </c>
    </row>
    <row r="449" spans="1:68" x14ac:dyDescent="0.15">
      <c r="A449" s="5">
        <v>44210</v>
      </c>
      <c r="B449" s="1"/>
      <c r="C449">
        <v>100.44</v>
      </c>
      <c r="D449">
        <v>84.86</v>
      </c>
      <c r="E449">
        <v>79.159583999999995</v>
      </c>
      <c r="G449" s="3">
        <v>3.6238380801578701E-4</v>
      </c>
      <c r="I449" s="15">
        <f t="shared" si="47"/>
        <v>9.9661152082912408E-4</v>
      </c>
      <c r="J449" s="15">
        <f t="shared" si="48"/>
        <v>7.3599240265907473E-3</v>
      </c>
      <c r="K449" s="15">
        <f t="shared" si="49"/>
        <v>5.054169225551847E-3</v>
      </c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BJ449">
        <f t="shared" si="43"/>
        <v>1.3132202431202277E-7</v>
      </c>
      <c r="BK449">
        <f t="shared" si="45"/>
        <v>5.3392798036714903E-5</v>
      </c>
      <c r="BO449">
        <f t="shared" si="46"/>
        <v>4.4279996922672636E-5</v>
      </c>
      <c r="BP449">
        <f t="shared" si="44"/>
        <v>4.0920673671495784</v>
      </c>
    </row>
    <row r="450" spans="1:68" x14ac:dyDescent="0.15">
      <c r="A450" s="5">
        <v>44211</v>
      </c>
      <c r="B450" s="1"/>
      <c r="C450">
        <v>100.88</v>
      </c>
      <c r="D450">
        <v>84.5</v>
      </c>
      <c r="E450">
        <v>80.84666</v>
      </c>
      <c r="G450" s="3">
        <v>2.4191937075932397E-3</v>
      </c>
      <c r="I450" s="15">
        <f t="shared" si="47"/>
        <v>4.3807248108323153E-3</v>
      </c>
      <c r="J450" s="15">
        <f t="shared" si="48"/>
        <v>-4.2422814046665031E-3</v>
      </c>
      <c r="K450" s="15">
        <f t="shared" si="49"/>
        <v>2.1312340398352836E-2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BJ450">
        <f t="shared" ref="BJ450:BJ513" si="50">G450^2</f>
        <v>5.8524981948587248E-6</v>
      </c>
      <c r="BK450">
        <f t="shared" si="45"/>
        <v>5.0197109475970729E-5</v>
      </c>
      <c r="BO450">
        <f t="shared" si="46"/>
        <v>4.0690819787269296E-5</v>
      </c>
      <c r="BP450">
        <f t="shared" ref="BP450:BP513" si="51" xml:space="preserve"> -0.5 * (LN(2 * PI()) + LN(BO450) + (BJ450) / BO450)</f>
        <v>4.0639012582441918</v>
      </c>
    </row>
    <row r="451" spans="1:68" x14ac:dyDescent="0.15">
      <c r="A451" s="5">
        <v>44215</v>
      </c>
      <c r="B451" s="1"/>
      <c r="C451">
        <v>100.6</v>
      </c>
      <c r="D451">
        <v>83.66</v>
      </c>
      <c r="E451">
        <v>81.055170000000004</v>
      </c>
      <c r="G451" s="3">
        <v>-8.1010001755643606E-6</v>
      </c>
      <c r="I451" s="15">
        <f t="shared" si="47"/>
        <v>-2.7755749405234055E-3</v>
      </c>
      <c r="J451" s="15">
        <f t="shared" si="48"/>
        <v>-9.9408284023669042E-3</v>
      </c>
      <c r="K451" s="15">
        <f t="shared" si="49"/>
        <v>2.579079952097019E-3</v>
      </c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BJ451">
        <f t="shared" si="50"/>
        <v>6.5626203844493796E-11</v>
      </c>
      <c r="BK451">
        <f t="shared" ref="BK451:BK514" si="52">$BM$2 * BK450 + (1 - $BM$2) * BJ450</f>
        <v>4.753643279910401E-5</v>
      </c>
      <c r="BO451">
        <f t="shared" ref="BO451:BO514" si="53" xml:space="preserve"> $BR$2 + $BS$2 * BJ450 + $BT$2 * BO450</f>
        <v>3.8690356254830456E-5</v>
      </c>
      <c r="BP451">
        <f t="shared" si="51"/>
        <v>4.1610207093820977</v>
      </c>
    </row>
    <row r="452" spans="1:68" x14ac:dyDescent="0.15">
      <c r="A452" s="5">
        <v>44216</v>
      </c>
      <c r="B452" s="1"/>
      <c r="C452">
        <v>100.82</v>
      </c>
      <c r="D452">
        <v>83.18</v>
      </c>
      <c r="E452">
        <v>81.519589999999994</v>
      </c>
      <c r="G452" s="3">
        <v>6.2965998071531307E-3</v>
      </c>
      <c r="I452" s="15">
        <f t="shared" ref="I452:I515" si="54">(C452-C451)/C451</f>
        <v>2.1868787276341835E-3</v>
      </c>
      <c r="J452" s="15">
        <f t="shared" ref="J452:J515" si="55">(D452-D451)/D451</f>
        <v>-5.7375089648576353E-3</v>
      </c>
      <c r="K452" s="15">
        <f t="shared" ref="K452:K515" si="56">(E452-E451)/E451</f>
        <v>5.7296776997690559E-3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BJ452">
        <f t="shared" si="50"/>
        <v>3.9647169131440842E-5</v>
      </c>
      <c r="BK452">
        <f t="shared" si="52"/>
        <v>4.4684250768730001E-5</v>
      </c>
      <c r="BO452">
        <f t="shared" si="53"/>
        <v>3.6287730480276026E-5</v>
      </c>
      <c r="BP452">
        <f t="shared" si="51"/>
        <v>3.6467879998985149</v>
      </c>
    </row>
    <row r="453" spans="1:68" x14ac:dyDescent="0.15">
      <c r="A453" s="5">
        <v>44217</v>
      </c>
      <c r="B453" s="1"/>
      <c r="C453">
        <v>100.36</v>
      </c>
      <c r="D453">
        <v>82.66</v>
      </c>
      <c r="E453">
        <v>81.140469999999993</v>
      </c>
      <c r="G453" s="3">
        <v>-2.95548855506744E-3</v>
      </c>
      <c r="I453" s="15">
        <f t="shared" si="54"/>
        <v>-4.5625867883355856E-3</v>
      </c>
      <c r="J453" s="15">
        <f t="shared" si="55"/>
        <v>-6.2515027650878836E-3</v>
      </c>
      <c r="K453" s="15">
        <f t="shared" si="56"/>
        <v>-4.6506612704995251E-3</v>
      </c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BJ453">
        <f t="shared" si="50"/>
        <v>8.7349125991346245E-6</v>
      </c>
      <c r="BK453">
        <f t="shared" si="52"/>
        <v>4.4382025870492648E-5</v>
      </c>
      <c r="BO453">
        <f t="shared" si="53"/>
        <v>4.0049709679505614E-5</v>
      </c>
      <c r="BP453">
        <f t="shared" si="51"/>
        <v>4.0347051481338658</v>
      </c>
    </row>
    <row r="454" spans="1:68" x14ac:dyDescent="0.15">
      <c r="A454" s="5">
        <v>44218</v>
      </c>
      <c r="B454" s="1"/>
      <c r="C454">
        <v>101.02</v>
      </c>
      <c r="D454">
        <v>81.34</v>
      </c>
      <c r="E454">
        <v>81.443759999999997</v>
      </c>
      <c r="G454" s="3">
        <v>1.6216300231866E-3</v>
      </c>
      <c r="I454" s="15">
        <f t="shared" si="54"/>
        <v>6.576325229174936E-3</v>
      </c>
      <c r="J454" s="15">
        <f t="shared" si="55"/>
        <v>-1.5969029760464472E-2</v>
      </c>
      <c r="K454" s="15">
        <f t="shared" si="56"/>
        <v>3.7378388367728718E-3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BJ454">
        <f t="shared" si="50"/>
        <v>2.6296839321001728E-6</v>
      </c>
      <c r="BK454">
        <f t="shared" si="52"/>
        <v>4.2243199074211165E-5</v>
      </c>
      <c r="BO454">
        <f t="shared" si="53"/>
        <v>3.859799706929768E-5</v>
      </c>
      <c r="BP454">
        <f t="shared" si="51"/>
        <v>4.1281515219303682</v>
      </c>
    </row>
    <row r="455" spans="1:68" x14ac:dyDescent="0.15">
      <c r="A455" s="5">
        <v>44221</v>
      </c>
      <c r="B455" s="1"/>
      <c r="C455">
        <v>101.8</v>
      </c>
      <c r="D455">
        <v>80.06</v>
      </c>
      <c r="E455">
        <v>81.633319999999998</v>
      </c>
      <c r="G455" s="3">
        <v>-4.6802951989888199E-4</v>
      </c>
      <c r="I455" s="15">
        <f t="shared" si="54"/>
        <v>7.7212433181548324E-3</v>
      </c>
      <c r="J455" s="15">
        <f t="shared" si="55"/>
        <v>-1.5736415047946904E-2</v>
      </c>
      <c r="K455" s="15">
        <f t="shared" si="56"/>
        <v>2.3274956853661984E-3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BJ455">
        <f t="shared" si="50"/>
        <v>2.1905163149677797E-7</v>
      </c>
      <c r="BK455">
        <f t="shared" si="52"/>
        <v>3.9866388165684505E-5</v>
      </c>
      <c r="BO455">
        <f t="shared" si="53"/>
        <v>3.6589796627017741E-5</v>
      </c>
      <c r="BP455">
        <f t="shared" si="51"/>
        <v>4.1859386922351289</v>
      </c>
    </row>
    <row r="456" spans="1:68" x14ac:dyDescent="0.15">
      <c r="A456" s="5">
        <v>44222</v>
      </c>
      <c r="B456" s="1"/>
      <c r="C456">
        <v>103.36</v>
      </c>
      <c r="D456">
        <v>80.44</v>
      </c>
      <c r="E456">
        <v>79.927300000000002</v>
      </c>
      <c r="G456" s="3">
        <v>3.5107753357139699E-3</v>
      </c>
      <c r="I456" s="15">
        <f t="shared" si="54"/>
        <v>1.5324165029469572E-2</v>
      </c>
      <c r="J456" s="15">
        <f t="shared" si="55"/>
        <v>4.746440169872539E-3</v>
      </c>
      <c r="K456" s="15">
        <f t="shared" si="56"/>
        <v>-2.0898574258648248E-2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BJ456">
        <f t="shared" si="50"/>
        <v>1.2325543457857537E-5</v>
      </c>
      <c r="BK456">
        <f t="shared" si="52"/>
        <v>3.7487547973633241E-5</v>
      </c>
      <c r="BO456">
        <f t="shared" si="53"/>
        <v>3.4671284028274594E-5</v>
      </c>
      <c r="BP456">
        <f t="shared" si="51"/>
        <v>4.0381122618918832</v>
      </c>
    </row>
    <row r="457" spans="1:68" x14ac:dyDescent="0.15">
      <c r="A457" s="5">
        <v>44223</v>
      </c>
      <c r="B457" s="1"/>
      <c r="C457">
        <v>103.82</v>
      </c>
      <c r="D457">
        <v>79.78</v>
      </c>
      <c r="E457">
        <v>79.443923999999996</v>
      </c>
      <c r="G457" s="3">
        <v>-5.4553807132787704E-3</v>
      </c>
      <c r="I457" s="15">
        <f t="shared" si="54"/>
        <v>4.4504643962847692E-3</v>
      </c>
      <c r="J457" s="15">
        <f t="shared" si="55"/>
        <v>-8.2048731974141802E-3</v>
      </c>
      <c r="K457" s="15">
        <f t="shared" si="56"/>
        <v>-6.0476958435979559E-3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BJ457">
        <f t="shared" si="50"/>
        <v>2.9761178726813987E-5</v>
      </c>
      <c r="BK457">
        <f t="shared" si="52"/>
        <v>3.5977827702686695E-5</v>
      </c>
      <c r="BO457">
        <f t="shared" si="53"/>
        <v>3.4890652233441152E-5</v>
      </c>
      <c r="BP457">
        <f t="shared" si="51"/>
        <v>3.7862151190484212</v>
      </c>
    </row>
    <row r="458" spans="1:68" x14ac:dyDescent="0.15">
      <c r="A458" s="5">
        <v>44224</v>
      </c>
      <c r="B458" s="1"/>
      <c r="C458">
        <v>102.74</v>
      </c>
      <c r="D458">
        <v>80.680000000000007</v>
      </c>
      <c r="E458">
        <v>78.505615000000006</v>
      </c>
      <c r="G458" s="3">
        <v>-4.9903980611435399E-3</v>
      </c>
      <c r="I458" s="15">
        <f t="shared" si="54"/>
        <v>-1.0402619919090719E-2</v>
      </c>
      <c r="J458" s="15">
        <f t="shared" si="55"/>
        <v>1.1281022812735093E-2</v>
      </c>
      <c r="K458" s="15">
        <f t="shared" si="56"/>
        <v>-1.1810959891658796E-2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BJ458">
        <f t="shared" si="50"/>
        <v>2.4904072808665202E-5</v>
      </c>
      <c r="BK458">
        <f t="shared" si="52"/>
        <v>3.5604828764134332E-5</v>
      </c>
      <c r="BO458">
        <f t="shared" si="53"/>
        <v>3.7545906474141863E-5</v>
      </c>
      <c r="BP458">
        <f t="shared" si="51"/>
        <v>3.8443862579836789</v>
      </c>
    </row>
    <row r="459" spans="1:68" x14ac:dyDescent="0.15">
      <c r="A459" s="5">
        <v>44225</v>
      </c>
      <c r="B459" s="1"/>
      <c r="C459">
        <v>100.04</v>
      </c>
      <c r="D459">
        <v>78.66</v>
      </c>
      <c r="E459">
        <v>76.325689999999994</v>
      </c>
      <c r="G459" s="3">
        <v>-2.3849743769704199E-2</v>
      </c>
      <c r="I459" s="15">
        <f t="shared" si="54"/>
        <v>-2.6279929920186771E-2</v>
      </c>
      <c r="J459" s="15">
        <f t="shared" si="55"/>
        <v>-2.5037183936539538E-2</v>
      </c>
      <c r="K459" s="15">
        <f t="shared" si="56"/>
        <v>-2.776775903226809E-2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BJ459">
        <f t="shared" si="50"/>
        <v>5.6881027788054431E-4</v>
      </c>
      <c r="BK459">
        <f t="shared" si="52"/>
        <v>3.4962783406806184E-5</v>
      </c>
      <c r="BO459">
        <f t="shared" si="53"/>
        <v>3.8936881717833946E-5</v>
      </c>
      <c r="BP459">
        <f t="shared" si="51"/>
        <v>-3.1464150164687812</v>
      </c>
    </row>
    <row r="460" spans="1:68" x14ac:dyDescent="0.15">
      <c r="A460" s="5">
        <v>44228</v>
      </c>
      <c r="B460" s="1"/>
      <c r="C460">
        <v>102.34</v>
      </c>
      <c r="D460">
        <v>79.900000000000006</v>
      </c>
      <c r="E460">
        <v>76.657420000000002</v>
      </c>
      <c r="G460" s="3">
        <v>1.40834560744167E-2</v>
      </c>
      <c r="I460" s="15">
        <f t="shared" si="54"/>
        <v>2.299080367852856E-2</v>
      </c>
      <c r="J460" s="15">
        <f t="shared" si="55"/>
        <v>1.576404780066119E-2</v>
      </c>
      <c r="K460" s="15">
        <f t="shared" si="56"/>
        <v>4.34624305394432E-3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BJ460">
        <f t="shared" si="50"/>
        <v>1.9834373500002462E-4</v>
      </c>
      <c r="BK460">
        <f t="shared" si="52"/>
        <v>6.6993633075230504E-5</v>
      </c>
      <c r="BO460">
        <f t="shared" si="53"/>
        <v>1.1749115765704201E-4</v>
      </c>
      <c r="BP460">
        <f t="shared" si="51"/>
        <v>2.761555793437855</v>
      </c>
    </row>
    <row r="461" spans="1:68" x14ac:dyDescent="0.15">
      <c r="A461" s="5">
        <v>44229</v>
      </c>
      <c r="B461" s="1"/>
      <c r="C461">
        <v>102.52</v>
      </c>
      <c r="D461">
        <v>81.400000000000006</v>
      </c>
      <c r="E461">
        <v>76.429950000000005</v>
      </c>
      <c r="G461" s="3">
        <v>5.89837564192041E-3</v>
      </c>
      <c r="I461" s="15">
        <f t="shared" si="54"/>
        <v>1.7588430721124937E-3</v>
      </c>
      <c r="J461" s="15">
        <f t="shared" si="55"/>
        <v>1.8773466833541926E-2</v>
      </c>
      <c r="K461" s="15">
        <f t="shared" si="56"/>
        <v>-2.9673578891645028E-3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BJ461">
        <f t="shared" si="50"/>
        <v>3.479083521320001E-5</v>
      </c>
      <c r="BK461">
        <f t="shared" si="52"/>
        <v>7.4874639190718152E-5</v>
      </c>
      <c r="BO461">
        <f t="shared" si="53"/>
        <v>1.2634555286595862E-4</v>
      </c>
      <c r="BP461">
        <f t="shared" si="51"/>
        <v>3.4316251463311978</v>
      </c>
    </row>
    <row r="462" spans="1:68" x14ac:dyDescent="0.15">
      <c r="A462" s="5">
        <v>44230</v>
      </c>
      <c r="B462" s="1"/>
      <c r="C462">
        <v>102.2</v>
      </c>
      <c r="D462">
        <v>81.44</v>
      </c>
      <c r="E462">
        <v>76.069785999999993</v>
      </c>
      <c r="G462" s="3">
        <v>-2.58115082412979E-3</v>
      </c>
      <c r="I462" s="15">
        <f t="shared" si="54"/>
        <v>-3.1213421771361023E-3</v>
      </c>
      <c r="J462" s="15">
        <f t="shared" si="55"/>
        <v>4.9140049140039359E-4</v>
      </c>
      <c r="K462" s="15">
        <f t="shared" si="56"/>
        <v>-4.7123411699211068E-3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BJ462">
        <f t="shared" si="50"/>
        <v>6.6623395769058943E-6</v>
      </c>
      <c r="BK462">
        <f t="shared" si="52"/>
        <v>7.2469610952067068E-5</v>
      </c>
      <c r="BO462">
        <f t="shared" si="53"/>
        <v>1.0999751805563973E-4</v>
      </c>
      <c r="BP462">
        <f t="shared" si="51"/>
        <v>3.6083037995577363</v>
      </c>
    </row>
    <row r="463" spans="1:68" x14ac:dyDescent="0.15">
      <c r="A463" s="5">
        <v>44231</v>
      </c>
      <c r="B463" s="1"/>
      <c r="C463">
        <v>102</v>
      </c>
      <c r="D463">
        <v>82.78</v>
      </c>
      <c r="E463">
        <v>77.273480000000006</v>
      </c>
      <c r="G463" s="3">
        <v>7.9126086036225198E-3</v>
      </c>
      <c r="I463" s="15">
        <f t="shared" si="54"/>
        <v>-1.9569471624266421E-3</v>
      </c>
      <c r="J463" s="15">
        <f t="shared" si="55"/>
        <v>1.6453831041257409E-2</v>
      </c>
      <c r="K463" s="15">
        <f t="shared" si="56"/>
        <v>1.5823549181537239E-2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BJ463">
        <f t="shared" si="50"/>
        <v>6.2609374914121121E-5</v>
      </c>
      <c r="BK463">
        <f t="shared" si="52"/>
        <v>6.8521174669557399E-5</v>
      </c>
      <c r="BO463">
        <f t="shared" si="53"/>
        <v>9.3168400157818326E-5</v>
      </c>
      <c r="BP463">
        <f t="shared" si="51"/>
        <v>3.3856113136930945</v>
      </c>
    </row>
    <row r="464" spans="1:68" x14ac:dyDescent="0.15">
      <c r="A464" s="5">
        <v>44232</v>
      </c>
      <c r="B464" s="1"/>
      <c r="C464">
        <v>100.24</v>
      </c>
      <c r="D464">
        <v>82.48</v>
      </c>
      <c r="E464">
        <v>77.226100000000002</v>
      </c>
      <c r="G464" s="3">
        <v>-9.7116421966442195E-3</v>
      </c>
      <c r="I464" s="15">
        <f t="shared" si="54"/>
        <v>-1.7254901960784365E-2</v>
      </c>
      <c r="J464" s="15">
        <f t="shared" si="55"/>
        <v>-3.6240637835225557E-3</v>
      </c>
      <c r="K464" s="15">
        <f t="shared" si="56"/>
        <v>-6.131469684037004E-4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BJ464">
        <f t="shared" si="50"/>
        <v>9.4315994155640562E-5</v>
      </c>
      <c r="BK464">
        <f t="shared" si="52"/>
        <v>6.8166466684231228E-5</v>
      </c>
      <c r="BO464">
        <f t="shared" si="53"/>
        <v>8.7935983871340536E-5</v>
      </c>
      <c r="BP464">
        <f t="shared" si="51"/>
        <v>3.2142357509508468</v>
      </c>
    </row>
    <row r="465" spans="1:68" x14ac:dyDescent="0.15">
      <c r="A465" s="5">
        <v>44235</v>
      </c>
      <c r="B465" s="1"/>
      <c r="C465">
        <v>99.3</v>
      </c>
      <c r="D465">
        <v>83.1</v>
      </c>
      <c r="E465">
        <v>77.453559999999996</v>
      </c>
      <c r="G465" s="3">
        <v>2.1720708872310299E-3</v>
      </c>
      <c r="I465" s="15">
        <f t="shared" si="54"/>
        <v>-9.3774940143655002E-3</v>
      </c>
      <c r="J465" s="15">
        <f t="shared" si="55"/>
        <v>7.5169738118330545E-3</v>
      </c>
      <c r="K465" s="15">
        <f t="shared" si="56"/>
        <v>2.9453772752993297E-3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BJ465">
        <f t="shared" si="50"/>
        <v>4.7178919391565934E-6</v>
      </c>
      <c r="BK465">
        <f t="shared" si="52"/>
        <v>6.9735438332515788E-5</v>
      </c>
      <c r="BO465">
        <f t="shared" si="53"/>
        <v>8.8347450062584043E-5</v>
      </c>
      <c r="BP465">
        <f t="shared" si="51"/>
        <v>3.7214772958819564</v>
      </c>
    </row>
    <row r="466" spans="1:68" x14ac:dyDescent="0.15">
      <c r="A466" s="5">
        <v>44236</v>
      </c>
      <c r="B466" s="1"/>
      <c r="C466">
        <v>99.26</v>
      </c>
      <c r="D466">
        <v>83.28</v>
      </c>
      <c r="E466">
        <v>77.235564999999994</v>
      </c>
      <c r="G466" s="3">
        <v>2.3049547770406199E-3</v>
      </c>
      <c r="I466" s="15">
        <f t="shared" si="54"/>
        <v>-4.0281973816709007E-4</v>
      </c>
      <c r="J466" s="15">
        <f t="shared" si="55"/>
        <v>2.1660649819495409E-3</v>
      </c>
      <c r="K466" s="15">
        <f t="shared" si="56"/>
        <v>-2.8145252458376601E-3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BJ466">
        <f t="shared" si="50"/>
        <v>5.3128165242023735E-6</v>
      </c>
      <c r="BK466">
        <f t="shared" si="52"/>
        <v>6.5834385548914226E-5</v>
      </c>
      <c r="BO466">
        <f t="shared" si="53"/>
        <v>7.5909616793235906E-5</v>
      </c>
      <c r="BP466">
        <f t="shared" si="51"/>
        <v>3.7890506984301005</v>
      </c>
    </row>
    <row r="467" spans="1:68" x14ac:dyDescent="0.15">
      <c r="A467" s="5">
        <v>44237</v>
      </c>
      <c r="B467" s="1"/>
      <c r="C467">
        <v>100.2</v>
      </c>
      <c r="D467">
        <v>83.82</v>
      </c>
      <c r="E467">
        <v>77.425129999999996</v>
      </c>
      <c r="G467" s="3">
        <v>2.0434909789690502E-3</v>
      </c>
      <c r="I467" s="15">
        <f t="shared" si="54"/>
        <v>9.470078581503099E-3</v>
      </c>
      <c r="J467" s="15">
        <f t="shared" si="55"/>
        <v>6.4841498559076857E-3</v>
      </c>
      <c r="K467" s="15">
        <f t="shared" si="56"/>
        <v>2.4543744840864667E-3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BJ467">
        <f t="shared" si="50"/>
        <v>4.1758553811278867E-6</v>
      </c>
      <c r="BK467">
        <f t="shared" si="52"/>
        <v>6.2203091407431511E-5</v>
      </c>
      <c r="BO467">
        <f t="shared" si="53"/>
        <v>6.6238373093531301E-5</v>
      </c>
      <c r="BP467">
        <f t="shared" si="51"/>
        <v>3.8606653495894334</v>
      </c>
    </row>
    <row r="468" spans="1:68" x14ac:dyDescent="0.15">
      <c r="A468" s="5">
        <v>44238</v>
      </c>
      <c r="B468" s="1"/>
      <c r="C468">
        <v>100.7</v>
      </c>
      <c r="D468">
        <v>83.9</v>
      </c>
      <c r="E468">
        <v>77.491479999999996</v>
      </c>
      <c r="G468" s="3">
        <v>2.5083933965932498E-3</v>
      </c>
      <c r="I468" s="15">
        <f t="shared" si="54"/>
        <v>4.9900199600798403E-3</v>
      </c>
      <c r="J468" s="15">
        <f t="shared" si="55"/>
        <v>9.5442615127669427E-4</v>
      </c>
      <c r="K468" s="15">
        <f t="shared" si="56"/>
        <v>8.5695690791865527E-4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BJ468">
        <f t="shared" si="50"/>
        <v>6.2920374320726207E-6</v>
      </c>
      <c r="BK468">
        <f t="shared" si="52"/>
        <v>5.8721457245853291E-5</v>
      </c>
      <c r="BO468">
        <f t="shared" si="53"/>
        <v>5.8490528160884911E-5</v>
      </c>
      <c r="BP468">
        <f t="shared" si="51"/>
        <v>3.9005975246754176</v>
      </c>
    </row>
    <row r="469" spans="1:68" x14ac:dyDescent="0.15">
      <c r="A469" s="5">
        <v>44239</v>
      </c>
      <c r="B469" s="1"/>
      <c r="C469">
        <v>100.72</v>
      </c>
      <c r="D469">
        <v>83.9</v>
      </c>
      <c r="E469">
        <v>77.718940000000003</v>
      </c>
      <c r="G469" s="3">
        <v>2.5303814298092099E-3</v>
      </c>
      <c r="I469" s="15">
        <f t="shared" si="54"/>
        <v>1.9860973187682245E-4</v>
      </c>
      <c r="J469" s="15">
        <f t="shared" si="55"/>
        <v>0</v>
      </c>
      <c r="K469" s="15">
        <f t="shared" si="56"/>
        <v>2.9352904345098041E-3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BJ469">
        <f t="shared" si="50"/>
        <v>6.4028301803233012E-6</v>
      </c>
      <c r="BK469">
        <f t="shared" si="52"/>
        <v>5.5575692057026448E-5</v>
      </c>
      <c r="BO469">
        <f t="shared" si="53"/>
        <v>5.2714669749630386E-5</v>
      </c>
      <c r="BP469">
        <f t="shared" si="51"/>
        <v>3.9456388465505392</v>
      </c>
    </row>
    <row r="470" spans="1:68" x14ac:dyDescent="0.15">
      <c r="A470" s="5">
        <v>44243</v>
      </c>
      <c r="B470" s="1"/>
      <c r="C470">
        <v>100.3</v>
      </c>
      <c r="D470">
        <v>84.46</v>
      </c>
      <c r="E470">
        <v>77.339830000000006</v>
      </c>
      <c r="G470" s="3">
        <v>2.5032407848923897E-3</v>
      </c>
      <c r="I470" s="15">
        <f t="shared" si="54"/>
        <v>-4.1699761715647508E-3</v>
      </c>
      <c r="J470" s="15">
        <f t="shared" si="55"/>
        <v>6.6746126340880571E-3</v>
      </c>
      <c r="K470" s="15">
        <f t="shared" si="56"/>
        <v>-4.877961536788808E-3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BJ470">
        <f t="shared" si="50"/>
        <v>6.2662144271486672E-6</v>
      </c>
      <c r="BK470">
        <f t="shared" si="52"/>
        <v>5.2625320344424258E-5</v>
      </c>
      <c r="BO470">
        <f t="shared" si="53"/>
        <v>4.8199987874097226E-5</v>
      </c>
      <c r="BP470">
        <f t="shared" si="51"/>
        <v>3.9861351203356379</v>
      </c>
    </row>
    <row r="471" spans="1:68" x14ac:dyDescent="0.15">
      <c r="A471" s="5">
        <v>44244</v>
      </c>
      <c r="B471" s="1"/>
      <c r="C471">
        <v>100.36</v>
      </c>
      <c r="D471">
        <v>83.38</v>
      </c>
      <c r="E471">
        <v>76.581599999999995</v>
      </c>
      <c r="G471" s="3">
        <v>-9.0147409782239604E-3</v>
      </c>
      <c r="I471" s="15">
        <f t="shared" si="54"/>
        <v>5.9820538384847729E-4</v>
      </c>
      <c r="J471" s="15">
        <f t="shared" si="55"/>
        <v>-1.2787118162443741E-2</v>
      </c>
      <c r="K471" s="15">
        <f t="shared" si="56"/>
        <v>-9.8038746658741256E-3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BJ471">
        <f t="shared" si="50"/>
        <v>8.126555490447029E-5</v>
      </c>
      <c r="BK471">
        <f t="shared" si="52"/>
        <v>4.9843773989387722E-5</v>
      </c>
      <c r="BO471">
        <f t="shared" si="53"/>
        <v>4.4639310194789286E-5</v>
      </c>
      <c r="BP471">
        <f t="shared" si="51"/>
        <v>3.179262777606346</v>
      </c>
    </row>
    <row r="472" spans="1:68" x14ac:dyDescent="0.15">
      <c r="A472" s="5">
        <v>44245</v>
      </c>
      <c r="B472" s="1"/>
      <c r="C472">
        <v>99.24</v>
      </c>
      <c r="D472">
        <v>82.58</v>
      </c>
      <c r="E472">
        <v>75.823359999999994</v>
      </c>
      <c r="G472" s="3">
        <v>-8.4707238329339001E-3</v>
      </c>
      <c r="I472" s="15">
        <f t="shared" si="54"/>
        <v>-1.1159824631327267E-2</v>
      </c>
      <c r="J472" s="15">
        <f t="shared" si="55"/>
        <v>-9.5946270088749959E-3</v>
      </c>
      <c r="K472" s="15">
        <f t="shared" si="56"/>
        <v>-9.9010728425627144E-3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BJ472">
        <f t="shared" si="50"/>
        <v>7.175316225383438E-5</v>
      </c>
      <c r="BK472">
        <f t="shared" si="52"/>
        <v>5.1729080844292678E-5</v>
      </c>
      <c r="BO472">
        <f t="shared" si="53"/>
        <v>5.2527810272914472E-5</v>
      </c>
      <c r="BP472">
        <f t="shared" si="51"/>
        <v>3.3251437206081009</v>
      </c>
    </row>
    <row r="473" spans="1:68" x14ac:dyDescent="0.15">
      <c r="A473" s="5">
        <v>44246</v>
      </c>
      <c r="B473" s="1"/>
      <c r="C473">
        <v>98.21</v>
      </c>
      <c r="D473">
        <v>82.52</v>
      </c>
      <c r="E473">
        <v>75.112520000000004</v>
      </c>
      <c r="G473" s="3">
        <v>-1.2095210575598899E-3</v>
      </c>
      <c r="I473" s="15">
        <f t="shared" si="54"/>
        <v>-1.0378879484079012E-2</v>
      </c>
      <c r="J473" s="15">
        <f t="shared" si="55"/>
        <v>-7.2656817631390502E-4</v>
      </c>
      <c r="K473" s="15">
        <f t="shared" si="56"/>
        <v>-9.3749472458090812E-3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BJ473">
        <f t="shared" si="50"/>
        <v>1.4629411886807944E-6</v>
      </c>
      <c r="BK473">
        <f t="shared" si="52"/>
        <v>5.2930525728865176E-5</v>
      </c>
      <c r="BO473">
        <f t="shared" si="53"/>
        <v>5.7360625891001536E-5</v>
      </c>
      <c r="BP473">
        <f t="shared" si="51"/>
        <v>3.9513855542446548</v>
      </c>
    </row>
    <row r="474" spans="1:68" x14ac:dyDescent="0.15">
      <c r="A474" s="5">
        <v>44249</v>
      </c>
      <c r="B474" s="1"/>
      <c r="C474">
        <v>98.22</v>
      </c>
      <c r="D474">
        <v>83.46</v>
      </c>
      <c r="E474">
        <v>74.970344999999995</v>
      </c>
      <c r="G474" s="3">
        <v>-6.8828492816774801E-4</v>
      </c>
      <c r="I474" s="15">
        <f t="shared" si="54"/>
        <v>1.0182262498732427E-4</v>
      </c>
      <c r="J474" s="15">
        <f t="shared" si="55"/>
        <v>1.1391177896267545E-2</v>
      </c>
      <c r="K474" s="15">
        <f t="shared" si="56"/>
        <v>-1.8928269215306426E-3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BJ474">
        <f t="shared" si="50"/>
        <v>4.7373614234288205E-7</v>
      </c>
      <c r="BK474">
        <f t="shared" si="52"/>
        <v>4.9842470656454113E-5</v>
      </c>
      <c r="BO474">
        <f t="shared" si="53"/>
        <v>5.1140637542773702E-5</v>
      </c>
      <c r="BP474">
        <f t="shared" si="51"/>
        <v>4.0168953279623958</v>
      </c>
    </row>
    <row r="475" spans="1:68" x14ac:dyDescent="0.15">
      <c r="A475" s="5">
        <v>44250</v>
      </c>
      <c r="B475" s="1"/>
      <c r="C475">
        <v>96.7</v>
      </c>
      <c r="D475">
        <v>84.44</v>
      </c>
      <c r="E475">
        <v>74.250020000000006</v>
      </c>
      <c r="G475" s="3">
        <v>-8.2590702135805199E-3</v>
      </c>
      <c r="I475" s="15">
        <f t="shared" si="54"/>
        <v>-1.5475463245774751E-2</v>
      </c>
      <c r="J475" s="15">
        <f t="shared" si="55"/>
        <v>1.1742151929067865E-2</v>
      </c>
      <c r="K475" s="15">
        <f t="shared" si="56"/>
        <v>-9.608132388879741E-3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BJ475">
        <f t="shared" si="50"/>
        <v>6.8212240792852973E-5</v>
      </c>
      <c r="BK475">
        <f t="shared" si="52"/>
        <v>4.6880346585607434E-5</v>
      </c>
      <c r="BO475">
        <f t="shared" si="53"/>
        <v>4.6120927658175989E-5</v>
      </c>
      <c r="BP475">
        <f t="shared" si="51"/>
        <v>3.3336899673793878</v>
      </c>
    </row>
    <row r="476" spans="1:68" x14ac:dyDescent="0.15">
      <c r="A476" s="5">
        <v>44251</v>
      </c>
      <c r="B476" s="1"/>
      <c r="C476">
        <v>96.75</v>
      </c>
      <c r="D476">
        <v>86.62</v>
      </c>
      <c r="E476">
        <v>75.226249999999993</v>
      </c>
      <c r="G476" s="3">
        <v>1.11853226351537E-2</v>
      </c>
      <c r="I476" s="15">
        <f t="shared" si="54"/>
        <v>5.1706308169593746E-4</v>
      </c>
      <c r="J476" s="15">
        <f t="shared" si="55"/>
        <v>2.5817148270961709E-2</v>
      </c>
      <c r="K476" s="15">
        <f t="shared" si="56"/>
        <v>1.3147875246363391E-2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BJ476">
        <f t="shared" si="50"/>
        <v>1.251114424524817E-4</v>
      </c>
      <c r="BK476">
        <f t="shared" si="52"/>
        <v>4.8160260238042168E-5</v>
      </c>
      <c r="BO476">
        <f t="shared" si="53"/>
        <v>5.1830904168791545E-5</v>
      </c>
      <c r="BP476">
        <f t="shared" si="51"/>
        <v>2.8079041062079675</v>
      </c>
    </row>
    <row r="477" spans="1:68" x14ac:dyDescent="0.15">
      <c r="A477" s="5">
        <v>44252</v>
      </c>
      <c r="B477" s="1"/>
      <c r="C477">
        <v>96.2</v>
      </c>
      <c r="D477">
        <v>87.1</v>
      </c>
      <c r="E477">
        <v>74.913480000000007</v>
      </c>
      <c r="G477" s="3">
        <v>-6.4155201272665299E-3</v>
      </c>
      <c r="I477" s="15">
        <f t="shared" si="54"/>
        <v>-5.6847545219637953E-3</v>
      </c>
      <c r="J477" s="15">
        <f t="shared" si="55"/>
        <v>5.5414453936733984E-3</v>
      </c>
      <c r="K477" s="15">
        <f t="shared" si="56"/>
        <v>-4.1577241986671711E-3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BJ477">
        <f t="shared" si="50"/>
        <v>4.1158898503361951E-5</v>
      </c>
      <c r="BK477">
        <f t="shared" si="52"/>
        <v>5.2777331170908547E-5</v>
      </c>
      <c r="BO477">
        <f t="shared" si="53"/>
        <v>6.441328384442215E-5</v>
      </c>
      <c r="BP477">
        <f t="shared" si="51"/>
        <v>3.5866660406606865</v>
      </c>
    </row>
    <row r="478" spans="1:68" x14ac:dyDescent="0.15">
      <c r="A478" s="5">
        <v>44253</v>
      </c>
      <c r="B478" s="1"/>
      <c r="C478">
        <v>95</v>
      </c>
      <c r="D478">
        <v>85.44</v>
      </c>
      <c r="E478">
        <v>74.107860000000002</v>
      </c>
      <c r="G478" s="3">
        <v>-1.2820976767548399E-2</v>
      </c>
      <c r="I478" s="15">
        <f t="shared" si="54"/>
        <v>-1.2474012474012502E-2</v>
      </c>
      <c r="J478" s="15">
        <f t="shared" si="55"/>
        <v>-1.9058553386911557E-2</v>
      </c>
      <c r="K478" s="15">
        <f t="shared" si="56"/>
        <v>-1.07540058211153E-2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BJ478">
        <f t="shared" si="50"/>
        <v>1.6437744527401579E-4</v>
      </c>
      <c r="BK478">
        <f t="shared" si="52"/>
        <v>5.2080225210855752E-5</v>
      </c>
      <c r="BO478">
        <f t="shared" si="53"/>
        <v>6.2326098795161884E-5</v>
      </c>
      <c r="BP478">
        <f t="shared" si="51"/>
        <v>2.6039379090353565</v>
      </c>
    </row>
    <row r="479" spans="1:68" x14ac:dyDescent="0.15">
      <c r="A479" s="5">
        <v>44256</v>
      </c>
      <c r="B479" s="1"/>
      <c r="C479">
        <v>96.93</v>
      </c>
      <c r="D479">
        <v>87.12</v>
      </c>
      <c r="E479">
        <v>75.52955</v>
      </c>
      <c r="G479" s="3">
        <v>1.7522162769261801E-2</v>
      </c>
      <c r="I479" s="15">
        <f t="shared" si="54"/>
        <v>2.0315789473684284E-2</v>
      </c>
      <c r="J479" s="15">
        <f t="shared" si="55"/>
        <v>1.9662921348314686E-2</v>
      </c>
      <c r="K479" s="15">
        <f t="shared" si="56"/>
        <v>1.9184064956132833E-2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BJ479">
        <f t="shared" si="50"/>
        <v>3.0702618811250437E-4</v>
      </c>
      <c r="BK479">
        <f t="shared" si="52"/>
        <v>5.8818058414645359E-5</v>
      </c>
      <c r="BO479">
        <f t="shared" si="53"/>
        <v>7.8237763746804572E-5</v>
      </c>
      <c r="BP479">
        <f t="shared" si="51"/>
        <v>1.8468050193984975</v>
      </c>
    </row>
    <row r="480" spans="1:68" x14ac:dyDescent="0.15">
      <c r="A480" s="5">
        <v>44257</v>
      </c>
      <c r="B480" s="1"/>
      <c r="C480">
        <v>97.78</v>
      </c>
      <c r="D480">
        <v>89.36</v>
      </c>
      <c r="E480">
        <v>76.714290000000005</v>
      </c>
      <c r="G480" s="3">
        <v>1.0326439429465898E-2</v>
      </c>
      <c r="I480" s="15">
        <f t="shared" si="54"/>
        <v>8.7692148973485436E-3</v>
      </c>
      <c r="J480" s="15">
        <f t="shared" si="55"/>
        <v>2.5711662075298378E-2</v>
      </c>
      <c r="K480" s="15">
        <f t="shared" si="56"/>
        <v>1.5685781260447135E-2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BJ480">
        <f t="shared" si="50"/>
        <v>1.0663535129042799E-4</v>
      </c>
      <c r="BK480">
        <f t="shared" si="52"/>
        <v>7.3710546196516913E-5</v>
      </c>
      <c r="BO480">
        <f t="shared" si="53"/>
        <v>1.1103459759909032E-4</v>
      </c>
      <c r="BP480">
        <f t="shared" si="51"/>
        <v>3.1537060745182819</v>
      </c>
    </row>
    <row r="481" spans="1:68" x14ac:dyDescent="0.15">
      <c r="A481" s="5">
        <v>44258</v>
      </c>
      <c r="B481" s="1"/>
      <c r="C481">
        <v>96.96</v>
      </c>
      <c r="D481">
        <v>89.58</v>
      </c>
      <c r="E481">
        <v>76.562640000000002</v>
      </c>
      <c r="G481" s="3">
        <v>-4.1850494122830303E-3</v>
      </c>
      <c r="I481" s="15">
        <f t="shared" si="54"/>
        <v>-8.3861730415218591E-3</v>
      </c>
      <c r="J481" s="15">
        <f t="shared" si="55"/>
        <v>2.4619516562220107E-3</v>
      </c>
      <c r="K481" s="15">
        <f t="shared" si="56"/>
        <v>-1.9768155320215256E-3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BJ481">
        <f t="shared" si="50"/>
        <v>1.7514638583250537E-5</v>
      </c>
      <c r="BK481">
        <f t="shared" si="52"/>
        <v>7.568603450215159E-5</v>
      </c>
      <c r="BO481">
        <f t="shared" si="53"/>
        <v>1.0822003858933015E-4</v>
      </c>
      <c r="BP481">
        <f t="shared" si="51"/>
        <v>3.5658120504871773</v>
      </c>
    </row>
    <row r="482" spans="1:68" x14ac:dyDescent="0.15">
      <c r="A482" s="5">
        <v>44259</v>
      </c>
      <c r="B482" s="1"/>
      <c r="C482">
        <v>98.5</v>
      </c>
      <c r="D482">
        <v>90</v>
      </c>
      <c r="E482">
        <v>74.117329999999995</v>
      </c>
      <c r="G482" s="3">
        <v>-2.0231584741560098E-3</v>
      </c>
      <c r="I482" s="15">
        <f t="shared" si="54"/>
        <v>1.5882838283828447E-2</v>
      </c>
      <c r="J482" s="15">
        <f t="shared" si="55"/>
        <v>4.6885465505693428E-3</v>
      </c>
      <c r="K482" s="15">
        <f t="shared" si="56"/>
        <v>-3.1938684454977079E-2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BJ482">
        <f t="shared" si="50"/>
        <v>4.0931702115492734E-6</v>
      </c>
      <c r="BK482">
        <f t="shared" si="52"/>
        <v>7.2195750747017527E-5</v>
      </c>
      <c r="BO482">
        <f t="shared" si="53"/>
        <v>9.3319769386622547E-5</v>
      </c>
      <c r="BP482">
        <f t="shared" si="51"/>
        <v>3.6988698730742016</v>
      </c>
    </row>
    <row r="483" spans="1:68" x14ac:dyDescent="0.15">
      <c r="A483" s="5">
        <v>44260</v>
      </c>
      <c r="B483" s="1"/>
      <c r="C483">
        <v>98.57</v>
      </c>
      <c r="D483">
        <v>88.66</v>
      </c>
      <c r="E483">
        <v>72.875725000000003</v>
      </c>
      <c r="G483" s="3">
        <v>-1.3237106661076302E-2</v>
      </c>
      <c r="I483" s="15">
        <f t="shared" si="54"/>
        <v>7.1065989847708807E-4</v>
      </c>
      <c r="J483" s="15">
        <f t="shared" si="55"/>
        <v>-1.4888888888888927E-2</v>
      </c>
      <c r="K483" s="15">
        <f t="shared" si="56"/>
        <v>-1.6751885152905439E-2</v>
      </c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BJ483">
        <f t="shared" si="50"/>
        <v>1.752209927567106E-4</v>
      </c>
      <c r="BK483">
        <f t="shared" si="52"/>
        <v>6.8109595914889423E-5</v>
      </c>
      <c r="BO483">
        <f t="shared" si="53"/>
        <v>7.9720825766198871E-5</v>
      </c>
      <c r="BP483">
        <f t="shared" si="51"/>
        <v>2.700585076001063</v>
      </c>
    </row>
    <row r="484" spans="1:68" x14ac:dyDescent="0.15">
      <c r="A484" s="5">
        <v>44263</v>
      </c>
      <c r="B484" s="1"/>
      <c r="C484">
        <v>99.36</v>
      </c>
      <c r="D484">
        <v>91.54</v>
      </c>
      <c r="E484">
        <v>74.742874</v>
      </c>
      <c r="G484" s="3">
        <v>2.0983683341483303E-2</v>
      </c>
      <c r="I484" s="15">
        <f t="shared" si="54"/>
        <v>8.0146089073755335E-3</v>
      </c>
      <c r="J484" s="15">
        <f t="shared" si="55"/>
        <v>3.2483645386871304E-2</v>
      </c>
      <c r="K484" s="15">
        <f t="shared" si="56"/>
        <v>2.5621000683012041E-2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BJ484">
        <f t="shared" si="50"/>
        <v>4.4031496657564388E-4</v>
      </c>
      <c r="BK484">
        <f t="shared" si="52"/>
        <v>7.4536279725398693E-5</v>
      </c>
      <c r="BO484">
        <f t="shared" si="53"/>
        <v>9.3426159225992224E-5</v>
      </c>
      <c r="BP484">
        <f t="shared" si="51"/>
        <v>1.3637445506063597</v>
      </c>
    </row>
    <row r="485" spans="1:68" x14ac:dyDescent="0.15">
      <c r="A485" s="5">
        <v>44264</v>
      </c>
      <c r="B485" s="1"/>
      <c r="C485">
        <v>100.38</v>
      </c>
      <c r="D485">
        <v>91.38</v>
      </c>
      <c r="E485">
        <v>74.117329999999995</v>
      </c>
      <c r="G485" s="3">
        <v>2.5475610927789801E-3</v>
      </c>
      <c r="I485" s="15">
        <f t="shared" si="54"/>
        <v>1.0265700483091748E-2</v>
      </c>
      <c r="J485" s="15">
        <f t="shared" si="55"/>
        <v>-1.7478697837012322E-3</v>
      </c>
      <c r="K485" s="15">
        <f t="shared" si="56"/>
        <v>-8.3692794579989654E-3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BJ485">
        <f t="shared" si="50"/>
        <v>6.4900675214412315E-6</v>
      </c>
      <c r="BK485">
        <f t="shared" si="52"/>
        <v>9.6483000936413427E-5</v>
      </c>
      <c r="BO485">
        <f t="shared" si="53"/>
        <v>1.4193106630313801E-4</v>
      </c>
      <c r="BP485">
        <f t="shared" si="51"/>
        <v>3.4882825507392701</v>
      </c>
    </row>
    <row r="486" spans="1:68" x14ac:dyDescent="0.15">
      <c r="A486" s="5">
        <v>44265</v>
      </c>
      <c r="B486" s="1"/>
      <c r="C486">
        <v>100.56</v>
      </c>
      <c r="D486">
        <v>92.02</v>
      </c>
      <c r="E486">
        <v>74.231070000000003</v>
      </c>
      <c r="G486" s="3">
        <v>4.7707074006502195E-3</v>
      </c>
      <c r="I486" s="15">
        <f t="shared" si="54"/>
        <v>1.7931858936043716E-3</v>
      </c>
      <c r="J486" s="15">
        <f t="shared" si="55"/>
        <v>7.0037207266360323E-3</v>
      </c>
      <c r="K486" s="15">
        <f t="shared" si="56"/>
        <v>1.5345938662389357E-3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BJ486">
        <f t="shared" si="50"/>
        <v>2.2759649102618776E-5</v>
      </c>
      <c r="BK486">
        <f t="shared" si="52"/>
        <v>9.1083424931515087E-5</v>
      </c>
      <c r="BO486">
        <f t="shared" si="53"/>
        <v>1.1819186400181034E-4</v>
      </c>
      <c r="BP486">
        <f t="shared" si="51"/>
        <v>3.5063794719075578</v>
      </c>
    </row>
    <row r="487" spans="1:68" x14ac:dyDescent="0.15">
      <c r="A487" s="5">
        <v>44266</v>
      </c>
      <c r="B487" s="1"/>
      <c r="C487">
        <v>100.46</v>
      </c>
      <c r="D487">
        <v>91.64</v>
      </c>
      <c r="E487">
        <v>74.354280000000003</v>
      </c>
      <c r="G487" s="3">
        <v>-2.4320326668100202E-3</v>
      </c>
      <c r="I487" s="15">
        <f t="shared" si="54"/>
        <v>-9.9443118536205778E-4</v>
      </c>
      <c r="J487" s="15">
        <f t="shared" si="55"/>
        <v>-4.129537057161437E-3</v>
      </c>
      <c r="K487" s="15">
        <f t="shared" si="56"/>
        <v>1.6598171089275725E-3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BJ487">
        <f t="shared" si="50"/>
        <v>5.9147828924310583E-6</v>
      </c>
      <c r="BK487">
        <f t="shared" si="52"/>
        <v>8.6983998381781304E-5</v>
      </c>
      <c r="BO487">
        <f t="shared" si="53"/>
        <v>1.0188845341597051E-4</v>
      </c>
      <c r="BP487">
        <f t="shared" si="51"/>
        <v>3.6478516591209686</v>
      </c>
    </row>
    <row r="488" spans="1:68" x14ac:dyDescent="0.15">
      <c r="A488" s="5">
        <v>44267</v>
      </c>
      <c r="B488" s="1"/>
      <c r="C488">
        <v>100</v>
      </c>
      <c r="D488">
        <v>92.02</v>
      </c>
      <c r="E488">
        <v>73.795079999999999</v>
      </c>
      <c r="G488" s="3">
        <v>-3.9794162671045099E-3</v>
      </c>
      <c r="I488" s="15">
        <f t="shared" si="54"/>
        <v>-4.5789368903045372E-3</v>
      </c>
      <c r="J488" s="15">
        <f t="shared" si="55"/>
        <v>4.1466608467917443E-3</v>
      </c>
      <c r="K488" s="15">
        <f t="shared" si="56"/>
        <v>-7.5207506548379474E-3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BJ488">
        <f t="shared" si="50"/>
        <v>1.5835753826895992E-5</v>
      </c>
      <c r="BK488">
        <f t="shared" si="52"/>
        <v>8.211984545242029E-5</v>
      </c>
      <c r="BO488">
        <f t="shared" si="53"/>
        <v>8.6701354447953825E-5</v>
      </c>
      <c r="BP488">
        <f t="shared" si="51"/>
        <v>3.6662584262704074</v>
      </c>
    </row>
    <row r="489" spans="1:68" x14ac:dyDescent="0.15">
      <c r="A489" s="5">
        <v>44270</v>
      </c>
      <c r="B489" s="1"/>
      <c r="C489">
        <v>100.36</v>
      </c>
      <c r="D489">
        <v>91.2</v>
      </c>
      <c r="E489">
        <v>74.354280000000003</v>
      </c>
      <c r="G489" s="3">
        <v>2.52772644694165E-3</v>
      </c>
      <c r="I489" s="15">
        <f t="shared" si="54"/>
        <v>3.5999999999999943E-3</v>
      </c>
      <c r="J489" s="15">
        <f t="shared" si="55"/>
        <v>-8.9111062812431349E-3</v>
      </c>
      <c r="K489" s="15">
        <f t="shared" si="56"/>
        <v>7.5777409550881192E-3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BJ489">
        <f t="shared" si="50"/>
        <v>6.3894009905682581E-6</v>
      </c>
      <c r="BK489">
        <f t="shared" si="52"/>
        <v>7.8142799954888828E-5</v>
      </c>
      <c r="BO489">
        <f t="shared" si="53"/>
        <v>7.6201862248172125E-5</v>
      </c>
      <c r="BP489">
        <f t="shared" si="51"/>
        <v>3.7801996163371054</v>
      </c>
    </row>
    <row r="490" spans="1:68" x14ac:dyDescent="0.15">
      <c r="A490" s="5">
        <v>44271</v>
      </c>
      <c r="B490" s="1"/>
      <c r="C490">
        <v>101.16</v>
      </c>
      <c r="D490">
        <v>91.46</v>
      </c>
      <c r="E490">
        <v>75.425285000000002</v>
      </c>
      <c r="G490" s="3">
        <v>7.0993077100367499E-3</v>
      </c>
      <c r="I490" s="15">
        <f t="shared" si="54"/>
        <v>7.9713033080908453E-3</v>
      </c>
      <c r="J490" s="15">
        <f t="shared" si="55"/>
        <v>2.8508771929823561E-3</v>
      </c>
      <c r="K490" s="15">
        <f t="shared" si="56"/>
        <v>1.4404080034128493E-2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BJ490">
        <f t="shared" si="50"/>
        <v>5.0400169961787244E-5</v>
      </c>
      <c r="BK490">
        <f t="shared" si="52"/>
        <v>7.3837596017029599E-5</v>
      </c>
      <c r="BO490">
        <f t="shared" si="53"/>
        <v>6.6620931601316485E-5</v>
      </c>
      <c r="BP490">
        <f t="shared" si="51"/>
        <v>3.5110465661094614</v>
      </c>
    </row>
    <row r="491" spans="1:68" x14ac:dyDescent="0.15">
      <c r="A491" s="5">
        <v>44272</v>
      </c>
      <c r="B491" s="1"/>
      <c r="C491">
        <v>101.38</v>
      </c>
      <c r="D491">
        <v>90.86</v>
      </c>
      <c r="E491">
        <v>75.103035000000006</v>
      </c>
      <c r="G491" s="3">
        <v>-2.00892777702899E-3</v>
      </c>
      <c r="I491" s="15">
        <f t="shared" si="54"/>
        <v>2.1747726374060782E-3</v>
      </c>
      <c r="J491" s="15">
        <f t="shared" si="55"/>
        <v>-6.5602449158101289E-3</v>
      </c>
      <c r="K491" s="15">
        <f t="shared" si="56"/>
        <v>-4.2724399384105318E-3</v>
      </c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BJ491">
        <f t="shared" si="50"/>
        <v>4.0357908133186394E-6</v>
      </c>
      <c r="BK491">
        <f t="shared" si="52"/>
        <v>7.2431350453715064E-5</v>
      </c>
      <c r="BO491">
        <f t="shared" si="53"/>
        <v>6.5373874561543138E-5</v>
      </c>
      <c r="BP491">
        <f t="shared" si="51"/>
        <v>3.8678883919042879</v>
      </c>
    </row>
    <row r="492" spans="1:68" x14ac:dyDescent="0.15">
      <c r="A492" s="5">
        <v>44273</v>
      </c>
      <c r="B492" s="1"/>
      <c r="C492">
        <v>101.62</v>
      </c>
      <c r="D492">
        <v>91.94</v>
      </c>
      <c r="E492">
        <v>75.396860000000004</v>
      </c>
      <c r="G492" s="3">
        <v>4.6938893362589102E-3</v>
      </c>
      <c r="I492" s="15">
        <f t="shared" si="54"/>
        <v>2.3673308344842091E-3</v>
      </c>
      <c r="J492" s="15">
        <f t="shared" si="55"/>
        <v>1.1886418666079665E-2</v>
      </c>
      <c r="K492" s="15">
        <f t="shared" si="56"/>
        <v>3.9122919599720333E-3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BJ492">
        <f t="shared" si="50"/>
        <v>2.2032597101045113E-5</v>
      </c>
      <c r="BK492">
        <f t="shared" si="52"/>
        <v>6.8327616875291271E-5</v>
      </c>
      <c r="BO492">
        <f t="shared" si="53"/>
        <v>5.7792485801095211E-5</v>
      </c>
      <c r="BP492">
        <f t="shared" si="51"/>
        <v>3.7697691823368786</v>
      </c>
    </row>
    <row r="493" spans="1:68" x14ac:dyDescent="0.15">
      <c r="A493" s="5">
        <v>44274</v>
      </c>
      <c r="B493" s="1"/>
      <c r="C493">
        <v>102.8</v>
      </c>
      <c r="D493">
        <v>91.46</v>
      </c>
      <c r="E493">
        <v>75.719099999999997</v>
      </c>
      <c r="G493" s="3">
        <v>-5.8257311393417001E-4</v>
      </c>
      <c r="I493" s="15">
        <f t="shared" si="54"/>
        <v>1.1611887423735413E-2</v>
      </c>
      <c r="J493" s="15">
        <f t="shared" si="55"/>
        <v>-5.220796171416184E-3</v>
      </c>
      <c r="K493" s="15">
        <f t="shared" si="56"/>
        <v>4.2739180384964793E-3</v>
      </c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BJ493">
        <f t="shared" si="50"/>
        <v>3.3939143307895542E-7</v>
      </c>
      <c r="BK493">
        <f t="shared" si="52"/>
        <v>6.5549915688836488E-5</v>
      </c>
      <c r="BO493">
        <f t="shared" si="53"/>
        <v>5.4408913587807034E-5</v>
      </c>
      <c r="BP493">
        <f t="shared" si="51"/>
        <v>3.9874338536846601</v>
      </c>
    </row>
    <row r="494" spans="1:68" x14ac:dyDescent="0.15">
      <c r="A494" s="5">
        <v>44277</v>
      </c>
      <c r="B494" s="1"/>
      <c r="C494">
        <v>102.78</v>
      </c>
      <c r="D494">
        <v>91.36</v>
      </c>
      <c r="E494">
        <v>75.823359999999994</v>
      </c>
      <c r="G494" s="3">
        <v>7.4049444752641806E-3</v>
      </c>
      <c r="I494" s="15">
        <f t="shared" si="54"/>
        <v>-1.9455252918284068E-4</v>
      </c>
      <c r="J494" s="15">
        <f t="shared" si="55"/>
        <v>-1.0933741526349696E-3</v>
      </c>
      <c r="K494" s="15">
        <f t="shared" si="56"/>
        <v>1.3769313158766608E-3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BJ494">
        <f t="shared" si="50"/>
        <v>5.4833202681745507E-5</v>
      </c>
      <c r="BK494">
        <f t="shared" si="52"/>
        <v>6.1637284233491025E-5</v>
      </c>
      <c r="BO494">
        <f t="shared" si="53"/>
        <v>4.866536076387126E-5</v>
      </c>
      <c r="BP494">
        <f t="shared" si="51"/>
        <v>3.4829630569198238</v>
      </c>
    </row>
    <row r="495" spans="1:68" x14ac:dyDescent="0.15">
      <c r="A495" s="5">
        <v>44278</v>
      </c>
      <c r="B495" s="1"/>
      <c r="C495">
        <v>104.48</v>
      </c>
      <c r="D495">
        <v>91.88</v>
      </c>
      <c r="E495">
        <v>76.714290000000005</v>
      </c>
      <c r="G495" s="3">
        <v>4.5326061672716902E-3</v>
      </c>
      <c r="I495" s="15">
        <f t="shared" si="54"/>
        <v>1.6540182914964029E-2</v>
      </c>
      <c r="J495" s="15">
        <f t="shared" si="55"/>
        <v>5.6917688266199216E-3</v>
      </c>
      <c r="K495" s="15">
        <f t="shared" si="56"/>
        <v>1.1750072800783447E-2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BJ495">
        <f t="shared" si="50"/>
        <v>2.0544518667589362E-5</v>
      </c>
      <c r="BK495">
        <f t="shared" si="52"/>
        <v>6.1229039340386301E-5</v>
      </c>
      <c r="BO495">
        <f t="shared" si="53"/>
        <v>5.1921258469550714E-5</v>
      </c>
      <c r="BP495">
        <f t="shared" si="51"/>
        <v>3.8161095558524769</v>
      </c>
    </row>
    <row r="496" spans="1:68" x14ac:dyDescent="0.15">
      <c r="A496" s="5">
        <v>44279</v>
      </c>
      <c r="B496" s="1"/>
      <c r="C496">
        <v>104.06</v>
      </c>
      <c r="D496">
        <v>92.82</v>
      </c>
      <c r="E496">
        <v>76.401510000000002</v>
      </c>
      <c r="G496" s="3">
        <v>-3.13445817431878E-3</v>
      </c>
      <c r="I496" s="15">
        <f t="shared" si="54"/>
        <v>-4.0199081163859269E-3</v>
      </c>
      <c r="J496" s="15">
        <f t="shared" si="55"/>
        <v>1.0230735742272505E-2</v>
      </c>
      <c r="K496" s="15">
        <f t="shared" si="56"/>
        <v>-4.0772064761337634E-3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BJ496">
        <f t="shared" si="50"/>
        <v>9.8248280465538196E-6</v>
      </c>
      <c r="BK496">
        <f t="shared" si="52"/>
        <v>5.8787968100018483E-5</v>
      </c>
      <c r="BO496">
        <f t="shared" si="53"/>
        <v>4.9591714815623698E-5</v>
      </c>
      <c r="BP496">
        <f t="shared" si="51"/>
        <v>3.9378477040767925</v>
      </c>
    </row>
    <row r="497" spans="1:68" x14ac:dyDescent="0.15">
      <c r="A497" s="5">
        <v>44280</v>
      </c>
      <c r="B497" s="1"/>
      <c r="C497">
        <v>104.5</v>
      </c>
      <c r="D497">
        <v>93.1</v>
      </c>
      <c r="E497">
        <v>77.406170000000003</v>
      </c>
      <c r="G497" s="3">
        <v>3.1578868054678E-3</v>
      </c>
      <c r="I497" s="15">
        <f t="shared" si="54"/>
        <v>4.2283298097251362E-3</v>
      </c>
      <c r="J497" s="15">
        <f t="shared" si="55"/>
        <v>3.0165912518853818E-3</v>
      </c>
      <c r="K497" s="15">
        <f t="shared" si="56"/>
        <v>1.3149740103304256E-2</v>
      </c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BJ497">
        <f t="shared" si="50"/>
        <v>9.9722490761476266E-6</v>
      </c>
      <c r="BK497">
        <f t="shared" si="52"/>
        <v>5.5850179696810596E-5</v>
      </c>
      <c r="BO497">
        <f t="shared" si="53"/>
        <v>4.623776975320368E-5</v>
      </c>
      <c r="BP497">
        <f t="shared" si="51"/>
        <v>3.9640816359733053</v>
      </c>
    </row>
    <row r="498" spans="1:68" x14ac:dyDescent="0.15">
      <c r="A498" s="5">
        <v>44281</v>
      </c>
      <c r="B498" s="1"/>
      <c r="C498">
        <v>104.14</v>
      </c>
      <c r="D498">
        <v>93.72</v>
      </c>
      <c r="E498">
        <v>77.60521</v>
      </c>
      <c r="G498" s="3">
        <v>1.6217286205921699E-3</v>
      </c>
      <c r="I498" s="15">
        <f t="shared" si="54"/>
        <v>-3.4449760765550186E-3</v>
      </c>
      <c r="J498" s="15">
        <f t="shared" si="55"/>
        <v>6.6595059076262576E-3</v>
      </c>
      <c r="K498" s="15">
        <f t="shared" si="56"/>
        <v>2.571371248570967E-3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BJ498">
        <f t="shared" si="50"/>
        <v>2.6300037188477821E-6</v>
      </c>
      <c r="BK498">
        <f t="shared" si="52"/>
        <v>5.309750385957081E-5</v>
      </c>
      <c r="BO498">
        <f t="shared" si="53"/>
        <v>4.3628002016831197E-5</v>
      </c>
      <c r="BP498">
        <f t="shared" si="51"/>
        <v>4.0708259146748649</v>
      </c>
    </row>
    <row r="499" spans="1:68" x14ac:dyDescent="0.15">
      <c r="A499" s="5">
        <v>44284</v>
      </c>
      <c r="B499" s="1"/>
      <c r="C499">
        <v>105.22</v>
      </c>
      <c r="D499">
        <v>94.24</v>
      </c>
      <c r="E499">
        <v>78.079099999999997</v>
      </c>
      <c r="G499" s="3">
        <v>-2.4471316654448498E-3</v>
      </c>
      <c r="I499" s="15">
        <f t="shared" si="54"/>
        <v>1.0370654887651222E-2</v>
      </c>
      <c r="J499" s="15">
        <f t="shared" si="55"/>
        <v>5.5484421681604359E-3</v>
      </c>
      <c r="K499" s="15">
        <f t="shared" si="56"/>
        <v>6.1064199169101824E-3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BJ499">
        <f t="shared" si="50"/>
        <v>5.9884533880228845E-6</v>
      </c>
      <c r="BK499">
        <f t="shared" si="52"/>
        <v>5.0069453851127427E-5</v>
      </c>
      <c r="BO499">
        <f t="shared" si="53"/>
        <v>4.0535271511701594E-5</v>
      </c>
      <c r="BP499">
        <f t="shared" si="51"/>
        <v>4.0638633052081659</v>
      </c>
    </row>
    <row r="500" spans="1:68" x14ac:dyDescent="0.15">
      <c r="A500" s="5">
        <v>44285</v>
      </c>
      <c r="B500" s="1"/>
      <c r="C500">
        <v>105.94</v>
      </c>
      <c r="D500">
        <v>94.56</v>
      </c>
      <c r="E500">
        <v>77.586250000000007</v>
      </c>
      <c r="G500" s="3">
        <v>2.8694435760194797E-3</v>
      </c>
      <c r="I500" s="15">
        <f t="shared" si="54"/>
        <v>6.8428055502756024E-3</v>
      </c>
      <c r="J500" s="15">
        <f t="shared" si="55"/>
        <v>3.3955857385399766E-3</v>
      </c>
      <c r="K500" s="15">
        <f t="shared" si="56"/>
        <v>-6.3121885370091358E-3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BJ500">
        <f t="shared" si="50"/>
        <v>8.233706435959459E-6</v>
      </c>
      <c r="BK500">
        <f t="shared" si="52"/>
        <v>4.7424593823341152E-5</v>
      </c>
      <c r="BO500">
        <f t="shared" si="53"/>
        <v>3.8587710246414262E-5</v>
      </c>
      <c r="BP500">
        <f t="shared" si="51"/>
        <v>4.0556616299669281</v>
      </c>
    </row>
    <row r="501" spans="1:68" x14ac:dyDescent="0.15">
      <c r="A501" s="5">
        <v>44286</v>
      </c>
      <c r="B501" s="1"/>
      <c r="C501">
        <v>105.34</v>
      </c>
      <c r="D501">
        <v>92.96</v>
      </c>
      <c r="E501">
        <v>76.553154000000006</v>
      </c>
      <c r="G501" s="3">
        <v>-6.6583147224882301E-3</v>
      </c>
      <c r="I501" s="15">
        <f t="shared" si="54"/>
        <v>-5.6635831602793495E-3</v>
      </c>
      <c r="J501" s="15">
        <f t="shared" si="55"/>
        <v>-1.6920473773265741E-2</v>
      </c>
      <c r="K501" s="15">
        <f t="shared" si="56"/>
        <v>-1.331545215808214E-2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BJ501">
        <f t="shared" si="50"/>
        <v>4.4333154943703515E-5</v>
      </c>
      <c r="BK501">
        <f t="shared" si="52"/>
        <v>4.5073140580098249E-5</v>
      </c>
      <c r="BO501">
        <f t="shared" si="53"/>
        <v>3.7379853804116975E-5</v>
      </c>
      <c r="BP501">
        <f t="shared" si="51"/>
        <v>3.5852421280919056</v>
      </c>
    </row>
    <row r="502" spans="1:68" x14ac:dyDescent="0.15">
      <c r="A502" s="5">
        <v>44287</v>
      </c>
      <c r="B502" s="1"/>
      <c r="C502">
        <v>105.52</v>
      </c>
      <c r="D502">
        <v>93.5</v>
      </c>
      <c r="E502">
        <v>76.913319999999999</v>
      </c>
      <c r="G502" s="3">
        <v>6.3961540313401902E-3</v>
      </c>
      <c r="I502" s="15">
        <f t="shared" si="54"/>
        <v>1.7087526105941959E-3</v>
      </c>
      <c r="J502" s="15">
        <f t="shared" si="55"/>
        <v>5.8089500860585876E-3</v>
      </c>
      <c r="K502" s="15">
        <f t="shared" si="56"/>
        <v>4.7047832934485291E-3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BJ502">
        <f t="shared" si="50"/>
        <v>4.0910786392629366E-5</v>
      </c>
      <c r="BK502">
        <f t="shared" si="52"/>
        <v>4.5028741441914561E-5</v>
      </c>
      <c r="BO502">
        <f t="shared" si="53"/>
        <v>4.1573727066658524E-5</v>
      </c>
      <c r="BP502">
        <f t="shared" si="51"/>
        <v>3.633055614780214</v>
      </c>
    </row>
    <row r="503" spans="1:68" x14ac:dyDescent="0.15">
      <c r="A503" s="5">
        <v>44292</v>
      </c>
      <c r="B503" s="1"/>
      <c r="C503">
        <v>106.28</v>
      </c>
      <c r="D503">
        <v>93.34</v>
      </c>
      <c r="E503">
        <v>77.131309999999999</v>
      </c>
      <c r="G503" s="3">
        <v>5.8386627971183103E-3</v>
      </c>
      <c r="I503" s="15">
        <f t="shared" si="54"/>
        <v>7.2024260803639608E-3</v>
      </c>
      <c r="J503" s="15">
        <f t="shared" si="55"/>
        <v>-1.7112299465240277E-3</v>
      </c>
      <c r="K503" s="15">
        <f t="shared" si="56"/>
        <v>2.8342294936689817E-3</v>
      </c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BJ503">
        <f t="shared" si="50"/>
        <v>3.4089983258453409E-5</v>
      </c>
      <c r="BK503">
        <f t="shared" si="52"/>
        <v>4.4781664138957449E-5</v>
      </c>
      <c r="BO503">
        <f t="shared" si="53"/>
        <v>4.4375898048388821E-5</v>
      </c>
      <c r="BP503">
        <f t="shared" si="51"/>
        <v>3.7083637891076626</v>
      </c>
    </row>
    <row r="504" spans="1:68" x14ac:dyDescent="0.15">
      <c r="A504" s="5">
        <v>44293</v>
      </c>
      <c r="B504" s="1"/>
      <c r="C504">
        <v>107</v>
      </c>
      <c r="D504">
        <v>93.48</v>
      </c>
      <c r="E504">
        <v>76.107699999999994</v>
      </c>
      <c r="G504" s="3">
        <v>-4.8971489347797697E-3</v>
      </c>
      <c r="I504" s="15">
        <f t="shared" si="54"/>
        <v>6.7745577719232107E-3</v>
      </c>
      <c r="J504" s="15">
        <f t="shared" si="55"/>
        <v>1.4998928647953777E-3</v>
      </c>
      <c r="K504" s="15">
        <f t="shared" si="56"/>
        <v>-1.3271004991358309E-2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BJ504">
        <f t="shared" si="50"/>
        <v>2.3982067689414632E-5</v>
      </c>
      <c r="BK504">
        <f t="shared" si="52"/>
        <v>4.4140163286127208E-5</v>
      </c>
      <c r="BO504">
        <f t="shared" si="53"/>
        <v>4.5602441543640837E-5</v>
      </c>
      <c r="BP504">
        <f t="shared" si="51"/>
        <v>3.8158889272802661</v>
      </c>
    </row>
    <row r="505" spans="1:68" x14ac:dyDescent="0.15">
      <c r="A505" s="5">
        <v>44294</v>
      </c>
      <c r="B505" s="1"/>
      <c r="C505">
        <v>108.26</v>
      </c>
      <c r="D505">
        <v>93.5</v>
      </c>
      <c r="E505">
        <v>76.439419999999998</v>
      </c>
      <c r="G505" s="3">
        <v>7.0720104817798505E-3</v>
      </c>
      <c r="I505" s="15">
        <f t="shared" si="54"/>
        <v>1.1775700934579487E-2</v>
      </c>
      <c r="J505" s="15">
        <f t="shared" si="55"/>
        <v>2.1394950791608921E-4</v>
      </c>
      <c r="K505" s="15">
        <f t="shared" si="56"/>
        <v>4.3585603033596369E-3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BJ505">
        <f t="shared" si="50"/>
        <v>5.0013332254404074E-5</v>
      </c>
      <c r="BK505">
        <f t="shared" si="52"/>
        <v>4.2930677550324451E-5</v>
      </c>
      <c r="BO505">
        <f t="shared" si="53"/>
        <v>4.5124945038169448E-5</v>
      </c>
      <c r="BP505">
        <f t="shared" si="51"/>
        <v>3.5299341251696337</v>
      </c>
    </row>
    <row r="506" spans="1:68" x14ac:dyDescent="0.15">
      <c r="A506" s="5">
        <v>44295</v>
      </c>
      <c r="B506" s="1"/>
      <c r="C506">
        <v>108.8</v>
      </c>
      <c r="D506">
        <v>93.34</v>
      </c>
      <c r="E506">
        <v>76.676379999999995</v>
      </c>
      <c r="G506" s="3">
        <v>2.8228819803053301E-3</v>
      </c>
      <c r="I506" s="15">
        <f t="shared" si="54"/>
        <v>4.9879918714205804E-3</v>
      </c>
      <c r="J506" s="15">
        <f t="shared" si="55"/>
        <v>-1.7112299465240277E-3</v>
      </c>
      <c r="K506" s="15">
        <f t="shared" si="56"/>
        <v>3.0999711928739945E-3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BJ506">
        <f t="shared" si="50"/>
        <v>7.9686626747325424E-6</v>
      </c>
      <c r="BK506">
        <f t="shared" si="52"/>
        <v>4.335563683256923E-5</v>
      </c>
      <c r="BO506">
        <f t="shared" si="53"/>
        <v>4.8457784507363084E-5</v>
      </c>
      <c r="BP506">
        <f t="shared" si="51"/>
        <v>3.9662475174770373</v>
      </c>
    </row>
    <row r="507" spans="1:68" x14ac:dyDescent="0.15">
      <c r="A507" s="5">
        <v>44298</v>
      </c>
      <c r="B507" s="1"/>
      <c r="C507">
        <v>108.3</v>
      </c>
      <c r="D507">
        <v>93.76</v>
      </c>
      <c r="E507">
        <v>76.467860000000002</v>
      </c>
      <c r="G507" s="3">
        <v>-5.0865817015377504E-3</v>
      </c>
      <c r="I507" s="15">
        <f t="shared" si="54"/>
        <v>-4.5955882352941178E-3</v>
      </c>
      <c r="J507" s="15">
        <f t="shared" si="55"/>
        <v>4.4996785943861332E-3</v>
      </c>
      <c r="K507" s="15">
        <f t="shared" si="56"/>
        <v>-2.719481540469085E-3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BJ507">
        <f t="shared" si="50"/>
        <v>2.5873313406418677E-5</v>
      </c>
      <c r="BK507">
        <f t="shared" si="52"/>
        <v>4.1232418383099027E-5</v>
      </c>
      <c r="BO507">
        <f t="shared" si="53"/>
        <v>4.5083983414403989E-5</v>
      </c>
      <c r="BP507">
        <f t="shared" si="51"/>
        <v>3.7976074877344783</v>
      </c>
    </row>
    <row r="508" spans="1:68" x14ac:dyDescent="0.15">
      <c r="A508" s="5">
        <v>44299</v>
      </c>
      <c r="B508" s="1"/>
      <c r="C508">
        <v>107.78</v>
      </c>
      <c r="D508">
        <v>91.04</v>
      </c>
      <c r="E508">
        <v>75.624319999999997</v>
      </c>
      <c r="G508" s="3">
        <v>-5.2752871055686797E-3</v>
      </c>
      <c r="I508" s="15">
        <f t="shared" si="54"/>
        <v>-4.8014773776546265E-3</v>
      </c>
      <c r="J508" s="15">
        <f t="shared" si="55"/>
        <v>-2.9010238907849817E-2</v>
      </c>
      <c r="K508" s="15">
        <f t="shared" si="56"/>
        <v>-1.1031301255194069E-2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BJ508">
        <f t="shared" si="50"/>
        <v>2.7828654046179177E-5</v>
      </c>
      <c r="BK508">
        <f t="shared" si="52"/>
        <v>4.0310872084498202E-5</v>
      </c>
      <c r="BO508">
        <f t="shared" si="53"/>
        <v>4.4987629035126574E-5</v>
      </c>
      <c r="BP508">
        <f t="shared" si="51"/>
        <v>3.7763306801281846</v>
      </c>
    </row>
    <row r="509" spans="1:68" x14ac:dyDescent="0.15">
      <c r="A509" s="5">
        <v>44300</v>
      </c>
      <c r="B509" s="1"/>
      <c r="C509">
        <v>107.32</v>
      </c>
      <c r="D509">
        <v>90.38</v>
      </c>
      <c r="E509">
        <v>75.709625000000003</v>
      </c>
      <c r="G509" s="3">
        <v>3.0430592096324298E-3</v>
      </c>
      <c r="I509" s="15">
        <f t="shared" si="54"/>
        <v>-4.2679532380776389E-3</v>
      </c>
      <c r="J509" s="15">
        <f t="shared" si="55"/>
        <v>-7.2495606326890465E-3</v>
      </c>
      <c r="K509" s="15">
        <f t="shared" si="56"/>
        <v>1.1280101427689571E-3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BJ509">
        <f t="shared" si="50"/>
        <v>9.2602093533287481E-6</v>
      </c>
      <c r="BK509">
        <f t="shared" si="52"/>
        <v>3.9561939002199058E-5</v>
      </c>
      <c r="BO509">
        <f t="shared" si="53"/>
        <v>4.5190530683996834E-5</v>
      </c>
      <c r="BP509">
        <f t="shared" si="51"/>
        <v>3.9809155535923675</v>
      </c>
    </row>
    <row r="510" spans="1:68" x14ac:dyDescent="0.15">
      <c r="A510" s="5">
        <v>44301</v>
      </c>
      <c r="B510" s="1"/>
      <c r="C510">
        <v>107.88</v>
      </c>
      <c r="D510">
        <v>90.2</v>
      </c>
      <c r="E510">
        <v>76.325689999999994</v>
      </c>
      <c r="G510" s="3">
        <v>3.8087374118083101E-3</v>
      </c>
      <c r="I510" s="15">
        <f t="shared" si="54"/>
        <v>5.2180395080134393E-3</v>
      </c>
      <c r="J510" s="15">
        <f t="shared" si="55"/>
        <v>-1.9915910599689378E-3</v>
      </c>
      <c r="K510" s="15">
        <f t="shared" si="56"/>
        <v>8.1372084460858418E-3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BJ510">
        <f t="shared" si="50"/>
        <v>1.4506480672108264E-5</v>
      </c>
      <c r="BK510">
        <f t="shared" si="52"/>
        <v>3.7743835223266838E-5</v>
      </c>
      <c r="BO510">
        <f t="shared" si="53"/>
        <v>4.2705161040694145E-5</v>
      </c>
      <c r="BP510">
        <f t="shared" si="51"/>
        <v>3.9418122710079357</v>
      </c>
    </row>
    <row r="511" spans="1:68" x14ac:dyDescent="0.15">
      <c r="A511" s="5">
        <v>44302</v>
      </c>
      <c r="B511" s="1"/>
      <c r="C511">
        <v>108.7</v>
      </c>
      <c r="D511">
        <v>90.64</v>
      </c>
      <c r="E511">
        <v>76.647940000000006</v>
      </c>
      <c r="G511" s="3">
        <v>5.7388017825430408E-3</v>
      </c>
      <c r="I511" s="15">
        <f t="shared" si="54"/>
        <v>7.6010381905821968E-3</v>
      </c>
      <c r="J511" s="15">
        <f t="shared" si="55"/>
        <v>4.8780487804877797E-3</v>
      </c>
      <c r="K511" s="15">
        <f t="shared" si="56"/>
        <v>4.2220384774773875E-3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BJ511">
        <f t="shared" si="50"/>
        <v>3.2933845899319183E-5</v>
      </c>
      <c r="BK511">
        <f t="shared" si="52"/>
        <v>3.6349593950197321E-5</v>
      </c>
      <c r="BO511">
        <f t="shared" si="53"/>
        <v>4.1502864686720409E-5</v>
      </c>
      <c r="BP511">
        <f t="shared" si="51"/>
        <v>3.7291695831596652</v>
      </c>
    </row>
    <row r="512" spans="1:68" x14ac:dyDescent="0.15">
      <c r="A512" s="5">
        <v>44305</v>
      </c>
      <c r="B512" s="1"/>
      <c r="C512">
        <v>106.48</v>
      </c>
      <c r="D512">
        <v>90.8</v>
      </c>
      <c r="E512">
        <v>76.714290000000005</v>
      </c>
      <c r="G512" s="3">
        <v>-4.7176319843855704E-3</v>
      </c>
      <c r="I512" s="15">
        <f t="shared" si="54"/>
        <v>-2.0423183072677081E-2</v>
      </c>
      <c r="J512" s="15">
        <f t="shared" si="55"/>
        <v>1.7652250661959023E-3</v>
      </c>
      <c r="K512" s="15">
        <f t="shared" si="56"/>
        <v>8.6564622610861954E-4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BJ512">
        <f t="shared" si="50"/>
        <v>2.2256051540097736E-5</v>
      </c>
      <c r="BK512">
        <f t="shared" si="52"/>
        <v>3.6144649067144634E-5</v>
      </c>
      <c r="BO512">
        <f t="shared" si="53"/>
        <v>4.3184237727329357E-5</v>
      </c>
      <c r="BP512">
        <f t="shared" si="51"/>
        <v>3.8483917543640298</v>
      </c>
    </row>
    <row r="513" spans="1:68" x14ac:dyDescent="0.15">
      <c r="A513" s="5">
        <v>44306</v>
      </c>
      <c r="B513" s="1"/>
      <c r="C513">
        <v>105.96</v>
      </c>
      <c r="D513">
        <v>84</v>
      </c>
      <c r="E513">
        <v>76.155079999999998</v>
      </c>
      <c r="G513" s="3">
        <v>-1.1673811228164702E-2</v>
      </c>
      <c r="I513" s="15">
        <f t="shared" si="54"/>
        <v>-4.8835462058603512E-3</v>
      </c>
      <c r="J513" s="15">
        <f t="shared" si="55"/>
        <v>-7.4889867841409663E-2</v>
      </c>
      <c r="K513" s="15">
        <f t="shared" si="56"/>
        <v>-7.2895154214424364E-3</v>
      </c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BJ513">
        <f t="shared" si="50"/>
        <v>1.3627786859082426E-4</v>
      </c>
      <c r="BK513">
        <f t="shared" si="52"/>
        <v>3.531133321552182E-5</v>
      </c>
      <c r="BO513">
        <f t="shared" si="53"/>
        <v>4.2982337638621525E-5</v>
      </c>
      <c r="BP513">
        <f t="shared" si="51"/>
        <v>2.5231445705996665</v>
      </c>
    </row>
    <row r="514" spans="1:68" x14ac:dyDescent="0.15">
      <c r="A514" s="5">
        <v>44307</v>
      </c>
      <c r="B514" s="1"/>
      <c r="C514">
        <v>106.94</v>
      </c>
      <c r="D514">
        <v>83.8</v>
      </c>
      <c r="E514">
        <v>76.989140000000006</v>
      </c>
      <c r="G514" s="3">
        <v>1.1744597340368701E-2</v>
      </c>
      <c r="I514" s="15">
        <f t="shared" si="54"/>
        <v>9.2487731219328424E-3</v>
      </c>
      <c r="J514" s="15">
        <f t="shared" si="55"/>
        <v>-2.380952380952415E-3</v>
      </c>
      <c r="K514" s="15">
        <f t="shared" si="56"/>
        <v>1.0952125583743174E-2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BJ514">
        <f t="shared" ref="BJ514:BJ577" si="57">G514^2</f>
        <v>1.3793556668739558E-4</v>
      </c>
      <c r="BK514">
        <f t="shared" si="52"/>
        <v>4.1369325338039972E-5</v>
      </c>
      <c r="BO514">
        <f t="shared" si="53"/>
        <v>5.9062980198078437E-5</v>
      </c>
      <c r="BP514">
        <f t="shared" ref="BP514:BP577" si="58" xml:space="preserve"> -0.5 * (LN(2 * PI()) + LN(BO514) + (BJ514) / BO514)</f>
        <v>2.7818155707281944</v>
      </c>
    </row>
    <row r="515" spans="1:68" x14ac:dyDescent="0.15">
      <c r="A515" s="5">
        <v>44308</v>
      </c>
      <c r="B515" s="1"/>
      <c r="C515">
        <v>110.02</v>
      </c>
      <c r="D515">
        <v>83.54</v>
      </c>
      <c r="E515">
        <v>76.932274000000007</v>
      </c>
      <c r="G515" s="3">
        <v>1.4099516803578399E-3</v>
      </c>
      <c r="I515" s="15">
        <f t="shared" si="54"/>
        <v>2.8801196932859534E-2</v>
      </c>
      <c r="J515" s="15">
        <f t="shared" si="55"/>
        <v>-3.1026252983292471E-3</v>
      </c>
      <c r="K515" s="15">
        <f t="shared" si="56"/>
        <v>-7.3862365523240565E-4</v>
      </c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BJ515">
        <f t="shared" si="57"/>
        <v>1.9879637409438963E-6</v>
      </c>
      <c r="BK515">
        <f t="shared" ref="BK515:BK578" si="59">$BM$2 * BK514 + (1 - $BM$2) * BJ514</f>
        <v>4.7163299819001314E-5</v>
      </c>
      <c r="BO515">
        <f t="shared" ref="BO515:BO578" si="60" xml:space="preserve"> $BR$2 + $BS$2 * BJ514 + $BT$2 * BO514</f>
        <v>7.1912385294436017E-5</v>
      </c>
      <c r="BP515">
        <f t="shared" si="58"/>
        <v>3.8372703687224781</v>
      </c>
    </row>
    <row r="516" spans="1:68" x14ac:dyDescent="0.15">
      <c r="A516" s="5">
        <v>44309</v>
      </c>
      <c r="B516" s="1"/>
      <c r="C516">
        <v>109.64</v>
      </c>
      <c r="D516">
        <v>83.26</v>
      </c>
      <c r="E516">
        <v>76.439419999999998</v>
      </c>
      <c r="G516" s="3">
        <v>-2.16970557225737E-3</v>
      </c>
      <c r="I516" s="15">
        <f t="shared" ref="I516:I579" si="61">(C516-C515)/C515</f>
        <v>-3.4539174695509497E-3</v>
      </c>
      <c r="J516" s="15">
        <f t="shared" ref="J516:J579" si="62">(D516-D515)/D515</f>
        <v>-3.3516878142207458E-3</v>
      </c>
      <c r="K516" s="15">
        <f t="shared" ref="K516:K579" si="63">(E516-E515)/E515</f>
        <v>-6.4063360456498176E-3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BJ516">
        <f t="shared" si="57"/>
        <v>4.707622270284682E-6</v>
      </c>
      <c r="BK516">
        <f t="shared" si="59"/>
        <v>4.4452779654317866E-5</v>
      </c>
      <c r="BO516">
        <f t="shared" si="60"/>
        <v>6.2629503209856311E-5</v>
      </c>
      <c r="BP516">
        <f t="shared" si="58"/>
        <v>3.8826154095557301</v>
      </c>
    </row>
    <row r="517" spans="1:68" x14ac:dyDescent="0.15">
      <c r="A517" s="5">
        <v>44312</v>
      </c>
      <c r="B517" s="1"/>
      <c r="C517">
        <v>108.54</v>
      </c>
      <c r="D517">
        <v>83.96</v>
      </c>
      <c r="E517">
        <v>76.230909999999994</v>
      </c>
      <c r="G517" s="3">
        <v>-3.4335846049980902E-3</v>
      </c>
      <c r="I517" s="15">
        <f t="shared" si="61"/>
        <v>-1.0032834731849637E-2</v>
      </c>
      <c r="J517" s="15">
        <f t="shared" si="62"/>
        <v>8.4073985106892703E-3</v>
      </c>
      <c r="K517" s="15">
        <f t="shared" si="63"/>
        <v>-2.7277810323522076E-3</v>
      </c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BJ517">
        <f t="shared" si="57"/>
        <v>1.1789503239679891E-5</v>
      </c>
      <c r="BK517">
        <f t="shared" si="59"/>
        <v>4.2068070211275871E-5</v>
      </c>
      <c r="BO517">
        <f t="shared" si="60"/>
        <v>5.5735541404154819E-5</v>
      </c>
      <c r="BP517">
        <f t="shared" si="58"/>
        <v>3.8727448465785237</v>
      </c>
    </row>
    <row r="518" spans="1:68" x14ac:dyDescent="0.15">
      <c r="A518" s="5">
        <v>44313</v>
      </c>
      <c r="B518" s="1"/>
      <c r="C518">
        <v>108.12</v>
      </c>
      <c r="D518">
        <v>83.04</v>
      </c>
      <c r="E518">
        <v>74.9893</v>
      </c>
      <c r="G518" s="3">
        <v>-6.2715202455200202E-3</v>
      </c>
      <c r="I518" s="15">
        <f t="shared" si="61"/>
        <v>-3.8695411829740341E-3</v>
      </c>
      <c r="J518" s="15">
        <f t="shared" si="62"/>
        <v>-1.0957598856598232E-2</v>
      </c>
      <c r="K518" s="15">
        <f t="shared" si="63"/>
        <v>-1.6287487582136884E-2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BJ518">
        <f t="shared" si="57"/>
        <v>3.9331966189967497E-5</v>
      </c>
      <c r="BK518">
        <f t="shared" si="59"/>
        <v>4.0251356192980104E-5</v>
      </c>
      <c r="BO518">
        <f t="shared" si="60"/>
        <v>5.1336666609155433E-5</v>
      </c>
      <c r="BP518">
        <f t="shared" si="58"/>
        <v>3.6365354310116289</v>
      </c>
    </row>
    <row r="519" spans="1:68" x14ac:dyDescent="0.15">
      <c r="A519" s="5">
        <v>44314</v>
      </c>
      <c r="B519" s="1"/>
      <c r="C519">
        <v>108.38</v>
      </c>
      <c r="D519">
        <v>83.78</v>
      </c>
      <c r="E519">
        <v>74.9893</v>
      </c>
      <c r="G519" s="3">
        <v>1.02545345390958E-3</v>
      </c>
      <c r="I519" s="15">
        <f t="shared" si="61"/>
        <v>2.4047354790972149E-3</v>
      </c>
      <c r="J519" s="15">
        <f t="shared" si="62"/>
        <v>8.9113680154141953E-3</v>
      </c>
      <c r="K519" s="15">
        <f t="shared" si="63"/>
        <v>0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BJ519">
        <f t="shared" si="57"/>
        <v>1.0515547861350871E-6</v>
      </c>
      <c r="BK519">
        <f t="shared" si="59"/>
        <v>4.0196192792799343E-5</v>
      </c>
      <c r="BO519">
        <f t="shared" si="60"/>
        <v>5.1808885165895797E-5</v>
      </c>
      <c r="BP519">
        <f t="shared" si="58"/>
        <v>4.0048875123646397</v>
      </c>
    </row>
    <row r="520" spans="1:68" x14ac:dyDescent="0.15">
      <c r="A520" s="5">
        <v>44315</v>
      </c>
      <c r="B520" s="1"/>
      <c r="C520">
        <v>109.16</v>
      </c>
      <c r="D520">
        <v>82.48</v>
      </c>
      <c r="E520">
        <v>74.193150000000003</v>
      </c>
      <c r="G520" s="3">
        <v>-2.15665152392774E-3</v>
      </c>
      <c r="I520" s="15">
        <f t="shared" si="61"/>
        <v>7.1968997970105293E-3</v>
      </c>
      <c r="J520" s="15">
        <f t="shared" si="62"/>
        <v>-1.5516829792313168E-2</v>
      </c>
      <c r="K520" s="15">
        <f t="shared" si="63"/>
        <v>-1.0616848003648484E-2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BJ520">
        <f t="shared" si="57"/>
        <v>4.6511457956598434E-6</v>
      </c>
      <c r="BK520">
        <f t="shared" si="59"/>
        <v>3.7847514512399488E-5</v>
      </c>
      <c r="BO520">
        <f t="shared" si="60"/>
        <v>4.6727379979983549E-5</v>
      </c>
      <c r="BP520">
        <f t="shared" si="58"/>
        <v>4.0168826462409886</v>
      </c>
    </row>
    <row r="521" spans="1:68" x14ac:dyDescent="0.15">
      <c r="A521" s="5">
        <v>44316</v>
      </c>
      <c r="B521" s="1"/>
      <c r="C521">
        <v>108.88</v>
      </c>
      <c r="D521">
        <v>84.88</v>
      </c>
      <c r="E521">
        <v>73.889859999999999</v>
      </c>
      <c r="G521" s="3">
        <v>-5.1596556374160496E-3</v>
      </c>
      <c r="I521" s="15">
        <f t="shared" si="61"/>
        <v>-2.5650421399780244E-3</v>
      </c>
      <c r="J521" s="15">
        <f t="shared" si="62"/>
        <v>2.9097963142579914E-2</v>
      </c>
      <c r="K521" s="15">
        <f t="shared" si="63"/>
        <v>-4.0878436890737762E-3</v>
      </c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BJ521">
        <f t="shared" si="57"/>
        <v>2.6622046296719222E-5</v>
      </c>
      <c r="BK521">
        <f t="shared" si="59"/>
        <v>3.585573238939511E-5</v>
      </c>
      <c r="BO521">
        <f t="shared" si="60"/>
        <v>4.3254209374436418E-5</v>
      </c>
      <c r="BP521">
        <f t="shared" si="58"/>
        <v>3.7975300980382127</v>
      </c>
    </row>
    <row r="522" spans="1:68" x14ac:dyDescent="0.15">
      <c r="A522" s="5">
        <v>44319</v>
      </c>
      <c r="B522" s="1"/>
      <c r="C522">
        <v>109.2</v>
      </c>
      <c r="D522">
        <v>86.06</v>
      </c>
      <c r="E522">
        <v>74.458534</v>
      </c>
      <c r="G522" s="3">
        <v>8.7694848273880393E-3</v>
      </c>
      <c r="I522" s="15">
        <f t="shared" si="61"/>
        <v>2.9390154298310745E-3</v>
      </c>
      <c r="J522" s="15">
        <f t="shared" si="62"/>
        <v>1.3901979264844568E-2</v>
      </c>
      <c r="K522" s="15">
        <f t="shared" si="63"/>
        <v>7.696238699058321E-3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BJ522">
        <f t="shared" si="57"/>
        <v>7.6903864137789027E-5</v>
      </c>
      <c r="BK522">
        <f t="shared" si="59"/>
        <v>3.530171122383456E-5</v>
      </c>
      <c r="BO522">
        <f t="shared" si="60"/>
        <v>4.3659027714119929E-5</v>
      </c>
      <c r="BP522">
        <f t="shared" si="58"/>
        <v>3.2198790346123292</v>
      </c>
    </row>
    <row r="523" spans="1:68" x14ac:dyDescent="0.15">
      <c r="A523" s="5">
        <v>44320</v>
      </c>
      <c r="B523" s="1"/>
      <c r="C523">
        <v>107.96</v>
      </c>
      <c r="D523">
        <v>84.54</v>
      </c>
      <c r="E523">
        <v>73.937256000000005</v>
      </c>
      <c r="G523" s="3">
        <v>-1.33175934362934E-2</v>
      </c>
      <c r="I523" s="15">
        <f t="shared" si="61"/>
        <v>-1.1355311355311438E-2</v>
      </c>
      <c r="J523" s="15">
        <f t="shared" si="62"/>
        <v>-1.7662096211945109E-2</v>
      </c>
      <c r="K523" s="15">
        <f t="shared" si="63"/>
        <v>-7.000916778726737E-3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BJ523">
        <f t="shared" si="57"/>
        <v>1.7735829493440504E-4</v>
      </c>
      <c r="BK523">
        <f t="shared" si="59"/>
        <v>3.7797840398671827E-5</v>
      </c>
      <c r="BO523">
        <f t="shared" si="60"/>
        <v>5.1137704635872019E-5</v>
      </c>
      <c r="BP523">
        <f t="shared" si="58"/>
        <v>2.2874311840646291</v>
      </c>
    </row>
    <row r="524" spans="1:68" x14ac:dyDescent="0.15">
      <c r="A524" s="5">
        <v>44321</v>
      </c>
      <c r="B524" s="1"/>
      <c r="C524">
        <v>108.72</v>
      </c>
      <c r="D524">
        <v>85.8</v>
      </c>
      <c r="E524">
        <v>74.761830000000003</v>
      </c>
      <c r="G524" s="3">
        <v>1.2574094224388299E-2</v>
      </c>
      <c r="I524" s="15">
        <f t="shared" si="61"/>
        <v>7.0396443127084584E-3</v>
      </c>
      <c r="J524" s="15">
        <f t="shared" si="62"/>
        <v>1.490418736692679E-2</v>
      </c>
      <c r="K524" s="15">
        <f t="shared" si="63"/>
        <v>1.1152347877232533E-2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BJ524">
        <f t="shared" si="57"/>
        <v>1.5810784556379517E-4</v>
      </c>
      <c r="BK524">
        <f t="shared" si="59"/>
        <v>4.6171467670815826E-5</v>
      </c>
      <c r="BO524">
        <f t="shared" si="60"/>
        <v>7.1310559408523688E-5</v>
      </c>
      <c r="BP524">
        <f t="shared" si="58"/>
        <v>2.7467080480195882</v>
      </c>
    </row>
    <row r="525" spans="1:68" x14ac:dyDescent="0.15">
      <c r="A525" s="5">
        <v>44322</v>
      </c>
      <c r="B525" s="1"/>
      <c r="C525">
        <v>108.9</v>
      </c>
      <c r="D525">
        <v>87.1</v>
      </c>
      <c r="E525">
        <v>74.951390000000004</v>
      </c>
      <c r="G525" s="3">
        <v>2.0049052624559999E-4</v>
      </c>
      <c r="I525" s="15">
        <f t="shared" si="61"/>
        <v>1.6556291390729103E-3</v>
      </c>
      <c r="J525" s="15">
        <f t="shared" si="62"/>
        <v>1.5151515151515119E-2</v>
      </c>
      <c r="K525" s="15">
        <f t="shared" si="63"/>
        <v>2.5355184590853401E-3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BJ525">
        <f t="shared" si="57"/>
        <v>4.0196451114237619E-8</v>
      </c>
      <c r="BK525">
        <f t="shared" si="59"/>
        <v>5.2887650344394599E-5</v>
      </c>
      <c r="BO525">
        <f t="shared" si="60"/>
        <v>8.4392066778092551E-5</v>
      </c>
      <c r="BP525">
        <f t="shared" si="58"/>
        <v>3.7708418919256723</v>
      </c>
    </row>
    <row r="526" spans="1:68" x14ac:dyDescent="0.15">
      <c r="A526" s="5">
        <v>44323</v>
      </c>
      <c r="B526" s="1"/>
      <c r="C526">
        <v>109.12</v>
      </c>
      <c r="D526">
        <v>87.74</v>
      </c>
      <c r="E526">
        <v>75.339979999999997</v>
      </c>
      <c r="G526" s="3">
        <v>5.6218606752314005E-3</v>
      </c>
      <c r="I526" s="15">
        <f t="shared" si="61"/>
        <v>2.0202020202020098E-3</v>
      </c>
      <c r="J526" s="15">
        <f t="shared" si="62"/>
        <v>7.3478760045924294E-3</v>
      </c>
      <c r="K526" s="15">
        <f t="shared" si="63"/>
        <v>5.1845602863401672E-3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BJ526">
        <f t="shared" si="57"/>
        <v>3.1605317451713259E-5</v>
      </c>
      <c r="BK526">
        <f t="shared" si="59"/>
        <v>4.9716803110797771E-5</v>
      </c>
      <c r="BO526">
        <f t="shared" si="60"/>
        <v>7.2140899649036797E-5</v>
      </c>
      <c r="BP526">
        <f t="shared" si="58"/>
        <v>3.6304534743411097</v>
      </c>
    </row>
    <row r="527" spans="1:68" x14ac:dyDescent="0.15">
      <c r="A527" s="5">
        <v>44326</v>
      </c>
      <c r="B527" s="1"/>
      <c r="C527">
        <v>109</v>
      </c>
      <c r="D527">
        <v>88.1</v>
      </c>
      <c r="E527">
        <v>75.292595000000006</v>
      </c>
      <c r="G527" s="3">
        <v>-4.4659074827654299E-3</v>
      </c>
      <c r="I527" s="15">
        <f t="shared" si="61"/>
        <v>-1.0997067448680767E-3</v>
      </c>
      <c r="J527" s="15">
        <f t="shared" si="62"/>
        <v>4.1030316845224466E-3</v>
      </c>
      <c r="K527" s="15">
        <f t="shared" si="63"/>
        <v>-6.2894893255866738E-4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BJ527">
        <f t="shared" si="57"/>
        <v>1.994432964462026E-5</v>
      </c>
      <c r="BK527">
        <f t="shared" si="59"/>
        <v>4.8630113971252703E-5</v>
      </c>
      <c r="BO527">
        <f t="shared" si="60"/>
        <v>6.7026854136939025E-5</v>
      </c>
      <c r="BP527">
        <f t="shared" si="58"/>
        <v>3.7374914229709457</v>
      </c>
    </row>
    <row r="528" spans="1:68" x14ac:dyDescent="0.15">
      <c r="A528" s="5">
        <v>44327</v>
      </c>
      <c r="B528" s="1"/>
      <c r="C528">
        <v>108.24</v>
      </c>
      <c r="D528">
        <v>86.5</v>
      </c>
      <c r="E528">
        <v>74.79974</v>
      </c>
      <c r="G528" s="3">
        <v>-1.2077313458667799E-2</v>
      </c>
      <c r="I528" s="15">
        <f t="shared" si="61"/>
        <v>-6.9724770642202302E-3</v>
      </c>
      <c r="J528" s="15">
        <f t="shared" si="62"/>
        <v>-1.8161180476730925E-2</v>
      </c>
      <c r="K528" s="15">
        <f t="shared" si="63"/>
        <v>-6.5458628434842204E-3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BJ528">
        <f t="shared" si="57"/>
        <v>1.4586150037891835E-4</v>
      </c>
      <c r="BK528">
        <f t="shared" si="59"/>
        <v>4.6908966911654752E-5</v>
      </c>
      <c r="BO528">
        <f t="shared" si="60"/>
        <v>6.1354745072383479E-5</v>
      </c>
      <c r="BP528">
        <f t="shared" si="58"/>
        <v>2.7418071423859316</v>
      </c>
    </row>
    <row r="529" spans="1:68" x14ac:dyDescent="0.15">
      <c r="A529" s="5">
        <v>44328</v>
      </c>
      <c r="B529" s="1"/>
      <c r="C529">
        <v>108.42</v>
      </c>
      <c r="D529">
        <v>87.16</v>
      </c>
      <c r="E529">
        <v>75.870750000000001</v>
      </c>
      <c r="G529" s="3">
        <v>4.0566508188610798E-3</v>
      </c>
      <c r="I529" s="15">
        <f t="shared" si="61"/>
        <v>1.6629711751663602E-3</v>
      </c>
      <c r="J529" s="15">
        <f t="shared" si="62"/>
        <v>7.6300578034681687E-3</v>
      </c>
      <c r="K529" s="15">
        <f t="shared" si="63"/>
        <v>1.4318365277740285E-2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BJ529">
        <f t="shared" si="57"/>
        <v>1.6456415866166271E-5</v>
      </c>
      <c r="BK529">
        <f t="shared" si="59"/>
        <v>5.2846118919690571E-5</v>
      </c>
      <c r="BO529">
        <f t="shared" si="60"/>
        <v>7.483881009292566E-5</v>
      </c>
      <c r="BP529">
        <f t="shared" si="58"/>
        <v>3.7212027104670464</v>
      </c>
    </row>
    <row r="530" spans="1:68" x14ac:dyDescent="0.15">
      <c r="A530" s="5">
        <v>44330</v>
      </c>
      <c r="B530" s="1"/>
      <c r="C530">
        <v>108.84</v>
      </c>
      <c r="D530">
        <v>88.12</v>
      </c>
      <c r="E530">
        <v>76.287769999999995</v>
      </c>
      <c r="G530" s="3">
        <v>7.8726817739245211E-3</v>
      </c>
      <c r="I530" s="15">
        <f t="shared" si="61"/>
        <v>3.8738240177089256E-3</v>
      </c>
      <c r="J530" s="15">
        <f t="shared" si="62"/>
        <v>1.1014226709499862E-2</v>
      </c>
      <c r="K530" s="15">
        <f t="shared" si="63"/>
        <v>5.4964528490886637E-3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BJ530">
        <f t="shared" si="57"/>
        <v>6.1979118313483343E-5</v>
      </c>
      <c r="BK530">
        <f t="shared" si="59"/>
        <v>5.0662736736479112E-5</v>
      </c>
      <c r="BO530">
        <f t="shared" si="60"/>
        <v>6.6985528520788234E-5</v>
      </c>
      <c r="BP530">
        <f t="shared" si="58"/>
        <v>3.4239477855514449</v>
      </c>
    </row>
    <row r="531" spans="1:68" x14ac:dyDescent="0.15">
      <c r="A531" s="5">
        <v>44333</v>
      </c>
      <c r="B531" s="1"/>
      <c r="C531">
        <v>109.62</v>
      </c>
      <c r="D531">
        <v>87.88</v>
      </c>
      <c r="E531">
        <v>75.965530000000001</v>
      </c>
      <c r="G531" s="3">
        <v>1.31275731224334E-3</v>
      </c>
      <c r="I531" s="15">
        <f t="shared" si="61"/>
        <v>7.1664829106946075E-3</v>
      </c>
      <c r="J531" s="15">
        <f t="shared" si="62"/>
        <v>-2.7235587834771799E-3</v>
      </c>
      <c r="K531" s="15">
        <f t="shared" si="63"/>
        <v>-4.2240060235080104E-3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BJ531">
        <f t="shared" si="57"/>
        <v>1.7233317608483582E-6</v>
      </c>
      <c r="BK531">
        <f t="shared" si="59"/>
        <v>5.1341719631099369E-5</v>
      </c>
      <c r="BO531">
        <f t="shared" si="60"/>
        <v>6.7308932673117611E-5</v>
      </c>
      <c r="BP531">
        <f t="shared" si="58"/>
        <v>3.8713686101031817</v>
      </c>
    </row>
    <row r="532" spans="1:68" x14ac:dyDescent="0.15">
      <c r="A532" s="5">
        <v>44334</v>
      </c>
      <c r="B532" s="1"/>
      <c r="C532">
        <v>109.42</v>
      </c>
      <c r="D532">
        <v>87.56</v>
      </c>
      <c r="E532">
        <v>75.557975999999996</v>
      </c>
      <c r="G532" s="3">
        <v>5.7278961249340699E-4</v>
      </c>
      <c r="I532" s="15">
        <f t="shared" si="61"/>
        <v>-1.8244845831052986E-3</v>
      </c>
      <c r="J532" s="15">
        <f t="shared" si="62"/>
        <v>-3.6413290851159898E-3</v>
      </c>
      <c r="K532" s="15">
        <f t="shared" si="63"/>
        <v>-5.3649859350682425E-3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BJ532">
        <f t="shared" si="57"/>
        <v>3.2808794018034736E-7</v>
      </c>
      <c r="BK532">
        <f t="shared" si="59"/>
        <v>4.8364616358884307E-5</v>
      </c>
      <c r="BO532">
        <f t="shared" si="60"/>
        <v>5.8980963542593994E-5</v>
      </c>
      <c r="BP532">
        <f t="shared" si="58"/>
        <v>3.9474280721010677</v>
      </c>
    </row>
    <row r="533" spans="1:68" x14ac:dyDescent="0.15">
      <c r="A533" s="5">
        <v>44335</v>
      </c>
      <c r="B533" s="1"/>
      <c r="C533">
        <v>109.34</v>
      </c>
      <c r="D533">
        <v>85.62</v>
      </c>
      <c r="E533">
        <v>74.932434000000001</v>
      </c>
      <c r="G533" s="3">
        <v>-8.6655690918987505E-3</v>
      </c>
      <c r="I533" s="15">
        <f t="shared" si="61"/>
        <v>-7.3112776457684425E-4</v>
      </c>
      <c r="J533" s="15">
        <f t="shared" si="62"/>
        <v>-2.2156235724074894E-2</v>
      </c>
      <c r="K533" s="15">
        <f t="shared" si="63"/>
        <v>-8.2789671337940001E-3</v>
      </c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BJ533">
        <f t="shared" si="57"/>
        <v>7.5092087686470937E-5</v>
      </c>
      <c r="BK533">
        <f t="shared" si="59"/>
        <v>4.5482424653762068E-5</v>
      </c>
      <c r="BO533">
        <f t="shared" si="60"/>
        <v>5.2249970062481738E-5</v>
      </c>
      <c r="BP533">
        <f t="shared" si="58"/>
        <v>3.2922121039507353</v>
      </c>
    </row>
    <row r="534" spans="1:68" x14ac:dyDescent="0.15">
      <c r="A534" s="5">
        <v>44336</v>
      </c>
      <c r="B534" s="1"/>
      <c r="C534">
        <v>110.44</v>
      </c>
      <c r="D534">
        <v>85.6</v>
      </c>
      <c r="E534">
        <v>75.036689999999993</v>
      </c>
      <c r="G534" s="3">
        <v>9.6773008833754802E-3</v>
      </c>
      <c r="I534" s="15">
        <f t="shared" si="61"/>
        <v>1.0060362173038177E-2</v>
      </c>
      <c r="J534" s="15">
        <f t="shared" si="62"/>
        <v>-2.3359028264436149E-4</v>
      </c>
      <c r="K534" s="15">
        <f t="shared" si="63"/>
        <v>1.3913334244553214E-3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BJ534">
        <f t="shared" si="57"/>
        <v>9.3650152387379855E-5</v>
      </c>
      <c r="BK534">
        <f t="shared" si="59"/>
        <v>4.7259004435724604E-5</v>
      </c>
      <c r="BO534">
        <f t="shared" si="60"/>
        <v>5.7618224305388089E-5</v>
      </c>
      <c r="BP534">
        <f t="shared" si="58"/>
        <v>3.1492190659363164</v>
      </c>
    </row>
    <row r="535" spans="1:68" x14ac:dyDescent="0.15">
      <c r="A535" s="5">
        <v>44337</v>
      </c>
      <c r="B535" s="1"/>
      <c r="C535">
        <v>110.54</v>
      </c>
      <c r="D535">
        <v>85.78</v>
      </c>
      <c r="E535">
        <v>75.159903999999997</v>
      </c>
      <c r="G535" s="3">
        <v>6.5900838073662503E-3</v>
      </c>
      <c r="I535" s="15">
        <f t="shared" si="61"/>
        <v>9.0546903295915006E-4</v>
      </c>
      <c r="J535" s="15">
        <f t="shared" si="62"/>
        <v>2.1028037383178369E-3</v>
      </c>
      <c r="K535" s="15">
        <f t="shared" si="63"/>
        <v>1.642050042452624E-3</v>
      </c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BJ535">
        <f t="shared" si="57"/>
        <v>4.342920458811085E-5</v>
      </c>
      <c r="BK535">
        <f t="shared" si="59"/>
        <v>5.0042473312823925E-5</v>
      </c>
      <c r="BO535">
        <f t="shared" si="60"/>
        <v>6.4472012307450241E-5</v>
      </c>
      <c r="BP535">
        <f t="shared" si="58"/>
        <v>3.5688944927649806</v>
      </c>
    </row>
    <row r="536" spans="1:68" x14ac:dyDescent="0.15">
      <c r="A536" s="5">
        <v>44341</v>
      </c>
      <c r="B536" s="1"/>
      <c r="C536">
        <v>111.62</v>
      </c>
      <c r="D536">
        <v>85.82</v>
      </c>
      <c r="E536">
        <v>75.302070000000001</v>
      </c>
      <c r="G536" s="3">
        <v>7.1411676650789905E-3</v>
      </c>
      <c r="I536" s="15">
        <f t="shared" si="61"/>
        <v>9.7702189252759017E-3</v>
      </c>
      <c r="J536" s="15">
        <f t="shared" si="62"/>
        <v>4.6630916297495968E-4</v>
      </c>
      <c r="K536" s="15">
        <f t="shared" si="63"/>
        <v>1.8915138582402012E-3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BJ536">
        <f t="shared" si="57"/>
        <v>5.0996275620769722E-5</v>
      </c>
      <c r="BK536">
        <f t="shared" si="59"/>
        <v>4.9645677189341139E-5</v>
      </c>
      <c r="BO536">
        <f t="shared" si="60"/>
        <v>6.2695501578878931E-5</v>
      </c>
      <c r="BP536">
        <f t="shared" si="58"/>
        <v>3.5129738526086971</v>
      </c>
    </row>
    <row r="537" spans="1:68" x14ac:dyDescent="0.15">
      <c r="A537" s="5">
        <v>44342</v>
      </c>
      <c r="B537" s="1"/>
      <c r="C537">
        <v>111.78</v>
      </c>
      <c r="D537">
        <v>85.74</v>
      </c>
      <c r="E537">
        <v>75.813879999999997</v>
      </c>
      <c r="G537" s="3">
        <v>3.8028005478731803E-3</v>
      </c>
      <c r="I537" s="15">
        <f t="shared" si="61"/>
        <v>1.4334348683031409E-3</v>
      </c>
      <c r="J537" s="15">
        <f t="shared" si="62"/>
        <v>-9.3218364017709509E-4</v>
      </c>
      <c r="K537" s="15">
        <f t="shared" si="63"/>
        <v>6.796758707961109E-3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BJ537">
        <f t="shared" si="57"/>
        <v>1.446129200690456E-5</v>
      </c>
      <c r="BK537">
        <f t="shared" si="59"/>
        <v>4.9726713095226854E-5</v>
      </c>
      <c r="BO537">
        <f t="shared" si="60"/>
        <v>6.237974787675634E-5</v>
      </c>
      <c r="BP537">
        <f t="shared" si="58"/>
        <v>3.8062830537652679</v>
      </c>
    </row>
    <row r="538" spans="1:68" x14ac:dyDescent="0.15">
      <c r="A538" s="5">
        <v>44343</v>
      </c>
      <c r="B538" s="1"/>
      <c r="C538">
        <v>110.6</v>
      </c>
      <c r="D538">
        <v>86.7</v>
      </c>
      <c r="E538">
        <v>75.396860000000004</v>
      </c>
      <c r="G538" s="3">
        <v>-7.4609531984914902E-4</v>
      </c>
      <c r="I538" s="15">
        <f t="shared" si="61"/>
        <v>-1.05564501699768E-2</v>
      </c>
      <c r="J538" s="15">
        <f t="shared" si="62"/>
        <v>1.1196641007697784E-2</v>
      </c>
      <c r="K538" s="15">
        <f t="shared" si="63"/>
        <v>-5.5005758839937191E-3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BJ538">
        <f t="shared" si="57"/>
        <v>5.5665822630080393E-7</v>
      </c>
      <c r="BK538">
        <f t="shared" si="59"/>
        <v>4.7610787829927516E-5</v>
      </c>
      <c r="BO538">
        <f t="shared" si="60"/>
        <v>5.6928758096385866E-5</v>
      </c>
      <c r="BP538">
        <f t="shared" si="58"/>
        <v>3.9630273541513454</v>
      </c>
    </row>
    <row r="539" spans="1:68" x14ac:dyDescent="0.15">
      <c r="A539" s="5">
        <v>44344</v>
      </c>
      <c r="B539" s="1"/>
      <c r="C539">
        <v>111.12</v>
      </c>
      <c r="D539">
        <v>87.08</v>
      </c>
      <c r="E539">
        <v>75.444243999999998</v>
      </c>
      <c r="G539" s="3">
        <v>7.5736000238959501E-3</v>
      </c>
      <c r="I539" s="15">
        <f t="shared" si="61"/>
        <v>4.701627486437706E-3</v>
      </c>
      <c r="J539" s="15">
        <f t="shared" si="62"/>
        <v>4.3829296424451611E-3</v>
      </c>
      <c r="K539" s="15">
        <f t="shared" si="63"/>
        <v>6.2846118525352213E-4</v>
      </c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BJ539">
        <f t="shared" si="57"/>
        <v>5.7359417321956734E-5</v>
      </c>
      <c r="BK539">
        <f t="shared" si="59"/>
        <v>4.4787540053709912E-5</v>
      </c>
      <c r="BO539">
        <f t="shared" si="60"/>
        <v>5.0672816601428803E-5</v>
      </c>
      <c r="BP539">
        <f t="shared" si="58"/>
        <v>3.4601437603557592</v>
      </c>
    </row>
    <row r="540" spans="1:68" x14ac:dyDescent="0.15">
      <c r="A540" s="5">
        <v>44348</v>
      </c>
      <c r="B540" s="1"/>
      <c r="C540">
        <v>110.78</v>
      </c>
      <c r="D540">
        <v>87.02</v>
      </c>
      <c r="E540">
        <v>75.159903999999997</v>
      </c>
      <c r="G540" s="3">
        <v>7.6364646866666709E-4</v>
      </c>
      <c r="I540" s="15">
        <f t="shared" si="61"/>
        <v>-3.0597552195824641E-3</v>
      </c>
      <c r="J540" s="15">
        <f t="shared" si="62"/>
        <v>-6.8902158934315886E-4</v>
      </c>
      <c r="K540" s="15">
        <f t="shared" si="63"/>
        <v>-3.768875992713245E-3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BJ540">
        <f t="shared" si="57"/>
        <v>5.8315592910707099E-7</v>
      </c>
      <c r="BK540">
        <f t="shared" si="59"/>
        <v>4.554185268980472E-5</v>
      </c>
      <c r="BO540">
        <f t="shared" si="60"/>
        <v>5.3855648274750875E-5</v>
      </c>
      <c r="BP540">
        <f t="shared" si="58"/>
        <v>3.9902490375007997</v>
      </c>
    </row>
    <row r="541" spans="1:68" x14ac:dyDescent="0.15">
      <c r="A541" s="5">
        <v>44349</v>
      </c>
      <c r="B541" s="1"/>
      <c r="C541">
        <v>111.52</v>
      </c>
      <c r="D541">
        <v>86.56</v>
      </c>
      <c r="E541">
        <v>75.870750000000001</v>
      </c>
      <c r="G541" s="3">
        <v>3.1017052568766902E-3</v>
      </c>
      <c r="I541" s="15">
        <f t="shared" si="61"/>
        <v>6.679906120238264E-3</v>
      </c>
      <c r="J541" s="15">
        <f t="shared" si="62"/>
        <v>-5.28614111698453E-3</v>
      </c>
      <c r="K541" s="15">
        <f t="shared" si="63"/>
        <v>9.4577821706638109E-3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BJ541">
        <f t="shared" si="57"/>
        <v>9.6205755005364958E-6</v>
      </c>
      <c r="BK541">
        <f t="shared" si="59"/>
        <v>4.2844330884162861E-5</v>
      </c>
      <c r="BO541">
        <f t="shared" si="60"/>
        <v>4.8266108156540359E-5</v>
      </c>
      <c r="BP541">
        <f t="shared" si="58"/>
        <v>3.9507901248100192</v>
      </c>
    </row>
    <row r="542" spans="1:68" x14ac:dyDescent="0.15">
      <c r="A542" s="5">
        <v>44350</v>
      </c>
      <c r="B542" s="1"/>
      <c r="C542">
        <v>111.82</v>
      </c>
      <c r="D542">
        <v>86.64</v>
      </c>
      <c r="E542">
        <v>76.410995</v>
      </c>
      <c r="G542" s="3">
        <v>3.5091516156513501E-3</v>
      </c>
      <c r="I542" s="15">
        <f t="shared" si="61"/>
        <v>2.6901004304160435E-3</v>
      </c>
      <c r="J542" s="15">
        <f t="shared" si="62"/>
        <v>9.2421441774489708E-4</v>
      </c>
      <c r="K542" s="15">
        <f t="shared" si="63"/>
        <v>7.1205965408276412E-3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BJ542">
        <f t="shared" si="57"/>
        <v>1.231414506162848E-5</v>
      </c>
      <c r="BK542">
        <f t="shared" si="59"/>
        <v>4.085090556114528E-5</v>
      </c>
      <c r="BO542">
        <f t="shared" si="60"/>
        <v>4.5168902281250093E-5</v>
      </c>
      <c r="BP542">
        <f t="shared" si="58"/>
        <v>3.9473001200867808</v>
      </c>
    </row>
    <row r="543" spans="1:68" x14ac:dyDescent="0.15">
      <c r="A543" s="5">
        <v>44351</v>
      </c>
      <c r="B543" s="1"/>
      <c r="C543">
        <v>112.9</v>
      </c>
      <c r="D543">
        <v>86.26</v>
      </c>
      <c r="E543">
        <v>76.790109999999999</v>
      </c>
      <c r="G543" s="3">
        <v>5.2198163685426204E-3</v>
      </c>
      <c r="I543" s="15">
        <f t="shared" si="61"/>
        <v>9.6583795385442005E-3</v>
      </c>
      <c r="J543" s="15">
        <f t="shared" si="62"/>
        <v>-4.3859649122806495E-3</v>
      </c>
      <c r="K543" s="15">
        <f t="shared" si="63"/>
        <v>4.9615241890253979E-3</v>
      </c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BJ543">
        <f t="shared" si="57"/>
        <v>2.724648292130547E-5</v>
      </c>
      <c r="BK543">
        <f t="shared" si="59"/>
        <v>3.9138699931174275E-5</v>
      </c>
      <c r="BO543">
        <f t="shared" si="60"/>
        <v>4.3123138279873365E-5</v>
      </c>
      <c r="BP543">
        <f t="shared" si="58"/>
        <v>3.7908720043195809</v>
      </c>
    </row>
    <row r="544" spans="1:68" x14ac:dyDescent="0.15">
      <c r="A544" s="5">
        <v>44354</v>
      </c>
      <c r="B544" s="1"/>
      <c r="C544">
        <v>112.82</v>
      </c>
      <c r="D544">
        <v>85.54</v>
      </c>
      <c r="E544">
        <v>76.572109999999995</v>
      </c>
      <c r="G544" s="3">
        <v>5.1837973220367692E-3</v>
      </c>
      <c r="I544" s="15">
        <f t="shared" si="61"/>
        <v>-7.0859167404794068E-4</v>
      </c>
      <c r="J544" s="15">
        <f t="shared" si="62"/>
        <v>-8.3468583352654634E-3</v>
      </c>
      <c r="K544" s="15">
        <f t="shared" si="63"/>
        <v>-2.8389072499050141E-3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BJ544">
        <f t="shared" si="57"/>
        <v>2.6871754675955578E-5</v>
      </c>
      <c r="BK544">
        <f t="shared" si="59"/>
        <v>3.8425166910582149E-5</v>
      </c>
      <c r="BO544">
        <f t="shared" si="60"/>
        <v>4.3645150705726361E-5</v>
      </c>
      <c r="BP544">
        <f t="shared" si="58"/>
        <v>3.7929271234199109</v>
      </c>
    </row>
    <row r="545" spans="1:68" x14ac:dyDescent="0.15">
      <c r="A545" s="5">
        <v>44355</v>
      </c>
      <c r="B545" s="1"/>
      <c r="C545">
        <v>113.4</v>
      </c>
      <c r="D545">
        <v>84.86</v>
      </c>
      <c r="E545">
        <v>76.183520000000001</v>
      </c>
      <c r="G545" s="3">
        <v>2.25502399456001E-3</v>
      </c>
      <c r="I545" s="15">
        <f t="shared" si="61"/>
        <v>5.1409324587840151E-3</v>
      </c>
      <c r="J545" s="15">
        <f t="shared" si="62"/>
        <v>-7.9494973111995174E-3</v>
      </c>
      <c r="K545" s="15">
        <f t="shared" si="63"/>
        <v>-5.0748242408364293E-3</v>
      </c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BJ545">
        <f t="shared" si="57"/>
        <v>5.0851332160413835E-6</v>
      </c>
      <c r="BK545">
        <f t="shared" si="59"/>
        <v>3.7731962176504556E-5</v>
      </c>
      <c r="BO545">
        <f t="shared" si="60"/>
        <v>4.4001237328395327E-5</v>
      </c>
      <c r="BP545">
        <f t="shared" si="58"/>
        <v>4.0389238886874059</v>
      </c>
    </row>
    <row r="546" spans="1:68" x14ac:dyDescent="0.15">
      <c r="A546" s="5">
        <v>44356</v>
      </c>
      <c r="B546" s="1"/>
      <c r="C546">
        <v>113.92</v>
      </c>
      <c r="D546">
        <v>83.88</v>
      </c>
      <c r="E546">
        <v>77.955894000000001</v>
      </c>
      <c r="G546" s="3">
        <v>1.12559822147892E-2</v>
      </c>
      <c r="I546" s="15">
        <f t="shared" si="61"/>
        <v>4.5855379188712167E-3</v>
      </c>
      <c r="J546" s="15">
        <f t="shared" si="62"/>
        <v>-1.1548432712703323E-2</v>
      </c>
      <c r="K546" s="15">
        <f t="shared" si="63"/>
        <v>2.3264532801844796E-2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BJ546">
        <f t="shared" si="57"/>
        <v>1.2669713561965079E-4</v>
      </c>
      <c r="BK546">
        <f t="shared" si="59"/>
        <v>3.5773152438876766E-5</v>
      </c>
      <c r="BO546">
        <f t="shared" si="60"/>
        <v>4.1177689391155058E-5</v>
      </c>
      <c r="BP546">
        <f t="shared" si="58"/>
        <v>2.591448768967112</v>
      </c>
    </row>
    <row r="547" spans="1:68" x14ac:dyDescent="0.15">
      <c r="A547" s="5">
        <v>44357</v>
      </c>
      <c r="B547" s="1"/>
      <c r="C547">
        <v>113.74</v>
      </c>
      <c r="D547">
        <v>83.8</v>
      </c>
      <c r="E547">
        <v>79.197495000000004</v>
      </c>
      <c r="G547" s="3">
        <v>1.9259002405762602E-3</v>
      </c>
      <c r="I547" s="15">
        <f t="shared" si="61"/>
        <v>-1.5800561797753407E-3</v>
      </c>
      <c r="J547" s="15">
        <f t="shared" si="62"/>
        <v>-9.5374344301380897E-4</v>
      </c>
      <c r="K547" s="15">
        <f t="shared" si="63"/>
        <v>1.5926967626078443E-2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BJ547">
        <f t="shared" si="57"/>
        <v>3.7090917366516969E-6</v>
      </c>
      <c r="BK547">
        <f t="shared" si="59"/>
        <v>4.1228591429723215E-5</v>
      </c>
      <c r="BO547">
        <f t="shared" si="60"/>
        <v>5.6282962538243907E-5</v>
      </c>
      <c r="BP547">
        <f t="shared" si="58"/>
        <v>3.9406704153392269</v>
      </c>
    </row>
    <row r="548" spans="1:68" x14ac:dyDescent="0.15">
      <c r="A548" s="5">
        <v>44358</v>
      </c>
      <c r="B548" s="1"/>
      <c r="C548">
        <v>113.82</v>
      </c>
      <c r="D548">
        <v>84.48</v>
      </c>
      <c r="E548">
        <v>78.970029999999994</v>
      </c>
      <c r="G548" s="3">
        <v>2.5823247986092E-3</v>
      </c>
      <c r="I548" s="15">
        <f t="shared" si="61"/>
        <v>7.0335853701422807E-4</v>
      </c>
      <c r="J548" s="15">
        <f t="shared" si="62"/>
        <v>8.1145584725537817E-3</v>
      </c>
      <c r="K548" s="15">
        <f t="shared" si="63"/>
        <v>-2.8721236700732689E-3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BJ548">
        <f t="shared" si="57"/>
        <v>6.6684013655120451E-6</v>
      </c>
      <c r="BK548">
        <f t="shared" si="59"/>
        <v>3.8977421448138923E-5</v>
      </c>
      <c r="BO548">
        <f t="shared" si="60"/>
        <v>5.0615238419930556E-5</v>
      </c>
      <c r="BP548">
        <f t="shared" si="58"/>
        <v>3.9608169469926837</v>
      </c>
    </row>
    <row r="549" spans="1:68" x14ac:dyDescent="0.15">
      <c r="A549" s="5">
        <v>44361</v>
      </c>
      <c r="B549" s="1"/>
      <c r="C549">
        <v>113.82</v>
      </c>
      <c r="D549">
        <v>84.8</v>
      </c>
      <c r="E549">
        <v>79.462874999999997</v>
      </c>
      <c r="G549" s="3">
        <v>2.1200699218801799E-3</v>
      </c>
      <c r="I549" s="15">
        <f t="shared" si="61"/>
        <v>0</v>
      </c>
      <c r="J549" s="15">
        <f t="shared" si="62"/>
        <v>3.7878787878787069E-3</v>
      </c>
      <c r="K549" s="15">
        <f t="shared" si="63"/>
        <v>6.2409119003754045E-3</v>
      </c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BJ549">
        <f t="shared" si="57"/>
        <v>4.4946964736610319E-6</v>
      </c>
      <c r="BK549">
        <f t="shared" si="59"/>
        <v>3.703888024318131E-5</v>
      </c>
      <c r="BO549">
        <f t="shared" si="60"/>
        <v>4.6591061105353546E-5</v>
      </c>
      <c r="BP549">
        <f t="shared" si="58"/>
        <v>4.019876785644783</v>
      </c>
    </row>
    <row r="550" spans="1:68" x14ac:dyDescent="0.15">
      <c r="A550" s="5">
        <v>44362</v>
      </c>
      <c r="B550" s="1"/>
      <c r="C550">
        <v>114.6</v>
      </c>
      <c r="D550">
        <v>85.36</v>
      </c>
      <c r="E550">
        <v>79.889390000000006</v>
      </c>
      <c r="G550" s="3">
        <v>4.68278344056471E-3</v>
      </c>
      <c r="I550" s="15">
        <f t="shared" si="61"/>
        <v>6.8529256721138743E-3</v>
      </c>
      <c r="J550" s="15">
        <f t="shared" si="62"/>
        <v>6.6037735849056875E-3</v>
      </c>
      <c r="K550" s="15">
        <f t="shared" si="63"/>
        <v>5.3674750630405598E-3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BJ550">
        <f t="shared" si="57"/>
        <v>2.1928460751227062E-5</v>
      </c>
      <c r="BK550">
        <f t="shared" si="59"/>
        <v>3.5086229217010087E-5</v>
      </c>
      <c r="BO550">
        <f t="shared" si="60"/>
        <v>4.3125002194561052E-5</v>
      </c>
      <c r="BP550">
        <f t="shared" si="58"/>
        <v>3.8525222723928967</v>
      </c>
    </row>
    <row r="551" spans="1:68" x14ac:dyDescent="0.15">
      <c r="A551" s="5">
        <v>44363</v>
      </c>
      <c r="B551" s="1"/>
      <c r="C551">
        <v>114.76</v>
      </c>
      <c r="D551">
        <v>86.16</v>
      </c>
      <c r="E551">
        <v>80.732924999999994</v>
      </c>
      <c r="G551" s="3">
        <v>5.0376201959423297E-3</v>
      </c>
      <c r="I551" s="15">
        <f t="shared" si="61"/>
        <v>1.3961605584643178E-3</v>
      </c>
      <c r="J551" s="15">
        <f t="shared" si="62"/>
        <v>9.3720712277412972E-3</v>
      </c>
      <c r="K551" s="15">
        <f t="shared" si="63"/>
        <v>1.0558786341965918E-2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BJ551">
        <f t="shared" si="57"/>
        <v>2.5377617238566036E-5</v>
      </c>
      <c r="BK551">
        <f t="shared" si="59"/>
        <v>3.4296763109063107E-5</v>
      </c>
      <c r="BO551">
        <f t="shared" si="60"/>
        <v>4.288921899937979E-5</v>
      </c>
      <c r="BP551">
        <f t="shared" si="58"/>
        <v>3.8136557277078671</v>
      </c>
    </row>
    <row r="552" spans="1:68" x14ac:dyDescent="0.15">
      <c r="A552" s="5">
        <v>44364</v>
      </c>
      <c r="B552" s="1"/>
      <c r="C552">
        <v>115.46</v>
      </c>
      <c r="D552">
        <v>86.36</v>
      </c>
      <c r="E552">
        <v>81.443759999999997</v>
      </c>
      <c r="G552" s="3">
        <v>2.42683638659202E-3</v>
      </c>
      <c r="I552" s="15">
        <f t="shared" si="61"/>
        <v>6.0996863018472338E-3</v>
      </c>
      <c r="J552" s="15">
        <f t="shared" si="62"/>
        <v>2.3212627669452514E-3</v>
      </c>
      <c r="K552" s="15">
        <f t="shared" si="63"/>
        <v>8.8047720307421421E-3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BJ552">
        <f t="shared" si="57"/>
        <v>5.8895348472870129E-6</v>
      </c>
      <c r="BK552">
        <f t="shared" si="59"/>
        <v>3.376161435683328E-5</v>
      </c>
      <c r="BO552">
        <f t="shared" si="60"/>
        <v>4.3195505173345567E-5</v>
      </c>
      <c r="BP552">
        <f t="shared" si="58"/>
        <v>4.0377755185405473</v>
      </c>
    </row>
    <row r="553" spans="1:68" x14ac:dyDescent="0.15">
      <c r="A553" s="5">
        <v>44365</v>
      </c>
      <c r="B553" s="1"/>
      <c r="C553">
        <v>115.5</v>
      </c>
      <c r="D553">
        <v>85.12</v>
      </c>
      <c r="E553">
        <v>81.244730000000004</v>
      </c>
      <c r="G553" s="3">
        <v>-5.8161543700491203E-3</v>
      </c>
      <c r="I553" s="15">
        <f t="shared" si="61"/>
        <v>3.4644032565396028E-4</v>
      </c>
      <c r="J553" s="15">
        <f t="shared" si="62"/>
        <v>-1.4358499305233845E-2</v>
      </c>
      <c r="K553" s="15">
        <f t="shared" si="63"/>
        <v>-2.4437722423423648E-3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BJ553">
        <f t="shared" si="57"/>
        <v>3.382765165624148E-5</v>
      </c>
      <c r="BK553">
        <f t="shared" si="59"/>
        <v>3.2089289586260506E-5</v>
      </c>
      <c r="BO553">
        <f t="shared" si="60"/>
        <v>4.0660253187100788E-5</v>
      </c>
      <c r="BP553">
        <f t="shared" si="58"/>
        <v>3.7202118748630379</v>
      </c>
    </row>
    <row r="554" spans="1:68" x14ac:dyDescent="0.15">
      <c r="A554" s="5">
        <v>44368</v>
      </c>
      <c r="B554" s="1"/>
      <c r="C554">
        <v>116.2</v>
      </c>
      <c r="D554">
        <v>85.14</v>
      </c>
      <c r="E554">
        <v>81.661760000000001</v>
      </c>
      <c r="G554" s="3">
        <v>4.5538303210414998E-3</v>
      </c>
      <c r="I554" s="15">
        <f t="shared" si="61"/>
        <v>6.0606060606060849E-3</v>
      </c>
      <c r="J554" s="15">
        <f t="shared" si="62"/>
        <v>2.3496240601499082E-4</v>
      </c>
      <c r="K554" s="15">
        <f t="shared" si="63"/>
        <v>5.1330098579932121E-3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BJ554">
        <f t="shared" si="57"/>
        <v>2.073737059283693E-5</v>
      </c>
      <c r="BK554">
        <f t="shared" si="59"/>
        <v>3.2193591310459366E-5</v>
      </c>
      <c r="BO554">
        <f t="shared" si="60"/>
        <v>4.2650607098992897E-5</v>
      </c>
      <c r="BP554">
        <f t="shared" si="58"/>
        <v>3.8691884252588946</v>
      </c>
    </row>
    <row r="555" spans="1:68" x14ac:dyDescent="0.15">
      <c r="A555" s="5">
        <v>44369</v>
      </c>
      <c r="B555" s="1"/>
      <c r="C555">
        <v>116.24</v>
      </c>
      <c r="D555">
        <v>85.1</v>
      </c>
      <c r="E555">
        <v>81.311070000000001</v>
      </c>
      <c r="G555" s="3">
        <v>-1.0960307231168099E-3</v>
      </c>
      <c r="I555" s="15">
        <f t="shared" si="61"/>
        <v>3.4423407917376971E-4</v>
      </c>
      <c r="J555" s="15">
        <f t="shared" si="62"/>
        <v>-4.6981442330286882E-4</v>
      </c>
      <c r="K555" s="15">
        <f t="shared" si="63"/>
        <v>-4.294421281147996E-3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BJ555">
        <f t="shared" si="57"/>
        <v>1.2012833460159572E-6</v>
      </c>
      <c r="BK555">
        <f t="shared" si="59"/>
        <v>3.1506218067402019E-5</v>
      </c>
      <c r="BO555">
        <f t="shared" si="60"/>
        <v>4.2347478249306456E-5</v>
      </c>
      <c r="BP555">
        <f t="shared" si="58"/>
        <v>4.1016786620822439</v>
      </c>
    </row>
    <row r="556" spans="1:68" x14ac:dyDescent="0.15">
      <c r="A556" s="5">
        <v>44370</v>
      </c>
      <c r="B556" s="1"/>
      <c r="C556">
        <v>115.66</v>
      </c>
      <c r="D556">
        <v>84.6</v>
      </c>
      <c r="E556">
        <v>80.514930000000007</v>
      </c>
      <c r="G556" s="3">
        <v>-6.9985639859810799E-3</v>
      </c>
      <c r="I556" s="15">
        <f t="shared" si="61"/>
        <v>-4.9896765313145073E-3</v>
      </c>
      <c r="J556" s="15">
        <f t="shared" si="62"/>
        <v>-5.8754406580493537E-3</v>
      </c>
      <c r="K556" s="15">
        <f t="shared" si="63"/>
        <v>-9.7912867214758597E-3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BJ556">
        <f t="shared" si="57"/>
        <v>4.897989786587138E-5</v>
      </c>
      <c r="BK556">
        <f t="shared" si="59"/>
        <v>2.9687921984118852E-5</v>
      </c>
      <c r="BO556">
        <f t="shared" si="60"/>
        <v>3.9327377165904043E-5</v>
      </c>
      <c r="BP556">
        <f t="shared" si="58"/>
        <v>3.5301361800228168</v>
      </c>
    </row>
    <row r="557" spans="1:68" x14ac:dyDescent="0.15">
      <c r="A557" s="5">
        <v>44371</v>
      </c>
      <c r="B557" s="1"/>
      <c r="C557">
        <v>116</v>
      </c>
      <c r="D557">
        <v>85.08</v>
      </c>
      <c r="E557">
        <v>80.638144999999994</v>
      </c>
      <c r="G557" s="3">
        <v>7.9858797677816399E-3</v>
      </c>
      <c r="I557" s="15">
        <f t="shared" si="61"/>
        <v>2.9396507003285788E-3</v>
      </c>
      <c r="J557" s="15">
        <f t="shared" si="62"/>
        <v>5.6737588652482742E-3</v>
      </c>
      <c r="K557" s="15">
        <f t="shared" si="63"/>
        <v>1.5303372927230718E-3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BJ557">
        <f t="shared" si="57"/>
        <v>6.3774275665464132E-5</v>
      </c>
      <c r="BK557">
        <f t="shared" si="59"/>
        <v>3.0845440537024002E-5</v>
      </c>
      <c r="BO557">
        <f t="shared" si="60"/>
        <v>4.3763113145579841E-5</v>
      </c>
      <c r="BP557">
        <f t="shared" si="58"/>
        <v>3.3707906242749939</v>
      </c>
    </row>
    <row r="558" spans="1:68" x14ac:dyDescent="0.15">
      <c r="A558" s="5">
        <v>44372</v>
      </c>
      <c r="B558" s="1"/>
      <c r="C558">
        <v>115.9</v>
      </c>
      <c r="D558">
        <v>84.96</v>
      </c>
      <c r="E558">
        <v>80.240074000000007</v>
      </c>
      <c r="G558" s="3">
        <v>5.0506362933022599E-4</v>
      </c>
      <c r="I558" s="15">
        <f t="shared" si="61"/>
        <v>-8.6206896551719236E-4</v>
      </c>
      <c r="J558" s="15">
        <f t="shared" si="62"/>
        <v>-1.4104372355430719E-3</v>
      </c>
      <c r="K558" s="15">
        <f t="shared" si="63"/>
        <v>-4.9365098862329659E-3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BJ558">
        <f t="shared" si="57"/>
        <v>2.5508926967221994E-7</v>
      </c>
      <c r="BK558">
        <f t="shared" si="59"/>
        <v>3.2821170644730412E-5</v>
      </c>
      <c r="BO558">
        <f t="shared" si="60"/>
        <v>4.934942857448061E-5</v>
      </c>
      <c r="BP558">
        <f t="shared" si="58"/>
        <v>4.0367691313831386</v>
      </c>
    </row>
    <row r="559" spans="1:68" x14ac:dyDescent="0.15">
      <c r="A559" s="5">
        <v>44375</v>
      </c>
      <c r="B559" s="1"/>
      <c r="C559">
        <v>116.12</v>
      </c>
      <c r="D559">
        <v>84.14</v>
      </c>
      <c r="E559">
        <v>80.477019999999996</v>
      </c>
      <c r="G559" s="3">
        <v>7.894869531770431E-4</v>
      </c>
      <c r="I559" s="15">
        <f t="shared" si="61"/>
        <v>1.8981880931837692E-3</v>
      </c>
      <c r="J559" s="15">
        <f t="shared" si="62"/>
        <v>-9.6516007532955889E-3</v>
      </c>
      <c r="K559" s="15">
        <f t="shared" si="63"/>
        <v>2.9529633783736166E-3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BJ559">
        <f t="shared" si="57"/>
        <v>6.2328964923677066E-7</v>
      </c>
      <c r="BK559">
        <f t="shared" si="59"/>
        <v>3.0867205762226919E-5</v>
      </c>
      <c r="BO559">
        <f t="shared" si="60"/>
        <v>4.4684801554054719E-5</v>
      </c>
      <c r="BP559">
        <f t="shared" si="58"/>
        <v>4.0820257375216853</v>
      </c>
    </row>
    <row r="560" spans="1:68" x14ac:dyDescent="0.15">
      <c r="A560" s="5">
        <v>44376</v>
      </c>
      <c r="B560" s="1"/>
      <c r="C560">
        <v>116.3</v>
      </c>
      <c r="D560">
        <v>84.28</v>
      </c>
      <c r="E560">
        <v>80.154769999999999</v>
      </c>
      <c r="G560" s="3">
        <v>1.6054345941935999E-3</v>
      </c>
      <c r="I560" s="15">
        <f t="shared" si="61"/>
        <v>1.5501205649327645E-3</v>
      </c>
      <c r="J560" s="15">
        <f t="shared" si="62"/>
        <v>1.6638935108153146E-3</v>
      </c>
      <c r="K560" s="15">
        <f t="shared" si="63"/>
        <v>-4.0042486662651873E-3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BJ560">
        <f t="shared" si="57"/>
        <v>2.5774202362335687E-6</v>
      </c>
      <c r="BK560">
        <f t="shared" si="59"/>
        <v>2.9052570795447507E-5</v>
      </c>
      <c r="BO560">
        <f t="shared" si="60"/>
        <v>4.1078406088010632E-5</v>
      </c>
      <c r="BP560">
        <f t="shared" si="58"/>
        <v>4.0997034935879846</v>
      </c>
    </row>
    <row r="561" spans="1:68" x14ac:dyDescent="0.15">
      <c r="A561" s="5">
        <v>44377</v>
      </c>
      <c r="B561" s="1"/>
      <c r="C561">
        <v>115.22</v>
      </c>
      <c r="D561">
        <v>83.48</v>
      </c>
      <c r="E561">
        <v>79.917820000000006</v>
      </c>
      <c r="G561" s="3">
        <v>-7.1274398605419799E-3</v>
      </c>
      <c r="I561" s="15">
        <f t="shared" si="61"/>
        <v>-9.2863284608770275E-3</v>
      </c>
      <c r="J561" s="15">
        <f t="shared" si="62"/>
        <v>-9.4921689606074656E-3</v>
      </c>
      <c r="K561" s="15">
        <f t="shared" si="63"/>
        <v>-2.9561559468013333E-3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BJ561">
        <f t="shared" si="57"/>
        <v>5.0800398965642676E-5</v>
      </c>
      <c r="BK561">
        <f t="shared" si="59"/>
        <v>2.7464061761894671E-5</v>
      </c>
      <c r="BO561">
        <f t="shared" si="60"/>
        <v>3.8527933518459859E-5</v>
      </c>
      <c r="BP561">
        <f t="shared" si="58"/>
        <v>3.5038578711648833</v>
      </c>
    </row>
    <row r="562" spans="1:68" x14ac:dyDescent="0.15">
      <c r="A562" s="5">
        <v>44378</v>
      </c>
      <c r="B562" s="1"/>
      <c r="C562">
        <v>115.56</v>
      </c>
      <c r="D562">
        <v>84.06</v>
      </c>
      <c r="E562">
        <v>80.012596000000002</v>
      </c>
      <c r="G562" s="3">
        <v>2.8723924576448102E-3</v>
      </c>
      <c r="I562" s="15">
        <f t="shared" si="61"/>
        <v>2.9508765839264314E-3</v>
      </c>
      <c r="J562" s="15">
        <f t="shared" si="62"/>
        <v>6.947771921418283E-3</v>
      </c>
      <c r="K562" s="15">
        <f t="shared" si="63"/>
        <v>1.1859182345063462E-3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BJ562">
        <f t="shared" si="57"/>
        <v>8.2506384307347927E-6</v>
      </c>
      <c r="BK562">
        <f t="shared" si="59"/>
        <v>2.8864241994119554E-5</v>
      </c>
      <c r="BO562">
        <f t="shared" si="60"/>
        <v>4.339532259185007E-5</v>
      </c>
      <c r="BP562">
        <f t="shared" si="58"/>
        <v>4.0085772317472008</v>
      </c>
    </row>
    <row r="563" spans="1:68" x14ac:dyDescent="0.15">
      <c r="A563" s="5">
        <v>44379</v>
      </c>
      <c r="B563" s="1"/>
      <c r="C563">
        <v>115.62</v>
      </c>
      <c r="D563">
        <v>83.96</v>
      </c>
      <c r="E563">
        <v>80.107376000000002</v>
      </c>
      <c r="G563" s="3">
        <v>-1.0175703812904601E-3</v>
      </c>
      <c r="I563" s="15">
        <f t="shared" si="61"/>
        <v>5.1921079958465108E-4</v>
      </c>
      <c r="J563" s="15">
        <f t="shared" si="62"/>
        <v>-1.1896264572925116E-3</v>
      </c>
      <c r="K563" s="15">
        <f t="shared" si="63"/>
        <v>1.1845634904784253E-3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BJ563">
        <f t="shared" si="57"/>
        <v>1.0354494808796124E-6</v>
      </c>
      <c r="BK563">
        <f t="shared" si="59"/>
        <v>2.7627425780316466E-5</v>
      </c>
      <c r="BO563">
        <f t="shared" si="60"/>
        <v>4.1153254556004345E-5</v>
      </c>
      <c r="BP563">
        <f t="shared" si="58"/>
        <v>4.1175848305646099</v>
      </c>
    </row>
    <row r="564" spans="1:68" x14ac:dyDescent="0.15">
      <c r="A564" s="5">
        <v>44383</v>
      </c>
      <c r="B564" s="1"/>
      <c r="C564">
        <v>115.08</v>
      </c>
      <c r="D564">
        <v>82.78</v>
      </c>
      <c r="E564">
        <v>80.135819999999995</v>
      </c>
      <c r="G564" s="3">
        <v>3.1928928871494102E-5</v>
      </c>
      <c r="I564" s="15">
        <f t="shared" si="61"/>
        <v>-4.6704722366373141E-3</v>
      </c>
      <c r="J564" s="15">
        <f t="shared" si="62"/>
        <v>-1.4054311576941314E-2</v>
      </c>
      <c r="K564" s="15">
        <f t="shared" si="63"/>
        <v>3.5507342045498097E-4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BJ564">
        <f t="shared" si="57"/>
        <v>1.0194564988809297E-9</v>
      </c>
      <c r="BK564">
        <f t="shared" si="59"/>
        <v>2.6031907202350252E-5</v>
      </c>
      <c r="BO564">
        <f t="shared" si="60"/>
        <v>3.836703530527891E-5</v>
      </c>
      <c r="BP564">
        <f t="shared" si="58"/>
        <v>4.1652041425402384</v>
      </c>
    </row>
    <row r="565" spans="1:68" x14ac:dyDescent="0.15">
      <c r="A565" s="5">
        <v>44384</v>
      </c>
      <c r="B565" s="1"/>
      <c r="C565">
        <v>116.5</v>
      </c>
      <c r="D565">
        <v>83.84</v>
      </c>
      <c r="E565">
        <v>80.53389</v>
      </c>
      <c r="G565" s="3">
        <v>1.0052958325862999E-2</v>
      </c>
      <c r="I565" s="15">
        <f t="shared" si="61"/>
        <v>1.233924226624958E-2</v>
      </c>
      <c r="J565" s="15">
        <f t="shared" si="62"/>
        <v>1.2805025368446512E-2</v>
      </c>
      <c r="K565" s="15">
        <f t="shared" si="63"/>
        <v>4.9674415261490327E-3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BJ565">
        <f t="shared" si="57"/>
        <v>1.0106197110153819E-4</v>
      </c>
      <c r="BK565">
        <f t="shared" si="59"/>
        <v>2.447005393759917E-5</v>
      </c>
      <c r="BO565">
        <f t="shared" si="60"/>
        <v>3.6034260220381248E-5</v>
      </c>
      <c r="BP565">
        <f t="shared" si="58"/>
        <v>2.7942777134236847</v>
      </c>
    </row>
    <row r="566" spans="1:68" x14ac:dyDescent="0.15">
      <c r="A566" s="5">
        <v>44385</v>
      </c>
      <c r="B566" s="1"/>
      <c r="C566">
        <v>115.46</v>
      </c>
      <c r="D566">
        <v>83.04</v>
      </c>
      <c r="E566">
        <v>79.718789999999998</v>
      </c>
      <c r="G566" s="3">
        <v>-1.3309114424723901E-2</v>
      </c>
      <c r="I566" s="15">
        <f t="shared" si="61"/>
        <v>-8.9270386266094952E-3</v>
      </c>
      <c r="J566" s="15">
        <f t="shared" si="62"/>
        <v>-9.5419847328243931E-3</v>
      </c>
      <c r="K566" s="15">
        <f t="shared" si="63"/>
        <v>-1.0121204874121952E-2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BJ566">
        <f t="shared" si="57"/>
        <v>1.7713252677039381E-4</v>
      </c>
      <c r="BK566">
        <f t="shared" si="59"/>
        <v>2.9065568967435514E-5</v>
      </c>
      <c r="BO566">
        <f t="shared" si="60"/>
        <v>4.8597600668575577E-5</v>
      </c>
      <c r="BP566">
        <f t="shared" si="58"/>
        <v>2.2245885949332904</v>
      </c>
    </row>
    <row r="567" spans="1:68" x14ac:dyDescent="0.15">
      <c r="A567" s="5">
        <v>44386</v>
      </c>
      <c r="B567" s="1"/>
      <c r="C567">
        <v>115.2</v>
      </c>
      <c r="D567">
        <v>84.2</v>
      </c>
      <c r="E567">
        <v>80.505454999999998</v>
      </c>
      <c r="G567" s="3">
        <v>5.4632096857809495E-3</v>
      </c>
      <c r="I567" s="15">
        <f t="shared" si="61"/>
        <v>-2.2518621167503111E-3</v>
      </c>
      <c r="J567" s="15">
        <f t="shared" si="62"/>
        <v>1.3969171483622308E-2</v>
      </c>
      <c r="K567" s="15">
        <f t="shared" si="63"/>
        <v>9.8679997526304568E-3</v>
      </c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BJ567">
        <f t="shared" si="57"/>
        <v>2.9846660070810783E-5</v>
      </c>
      <c r="BK567">
        <f t="shared" si="59"/>
        <v>3.7949586435613021E-5</v>
      </c>
      <c r="BO567">
        <f t="shared" si="60"/>
        <v>6.9286001713829545E-5</v>
      </c>
      <c r="BP567">
        <f t="shared" si="58"/>
        <v>3.654307925588042</v>
      </c>
    </row>
    <row r="568" spans="1:68" x14ac:dyDescent="0.15">
      <c r="A568" s="5">
        <v>44389</v>
      </c>
      <c r="B568" s="1"/>
      <c r="C568">
        <v>115.8</v>
      </c>
      <c r="D568">
        <v>85.06</v>
      </c>
      <c r="E568">
        <v>80.96987</v>
      </c>
      <c r="G568" s="3">
        <v>7.6574973057639195E-3</v>
      </c>
      <c r="I568" s="15">
        <f t="shared" si="61"/>
        <v>5.2083333333332836E-3</v>
      </c>
      <c r="J568" s="15">
        <f t="shared" si="62"/>
        <v>1.0213776722090255E-2</v>
      </c>
      <c r="K568" s="15">
        <f t="shared" si="63"/>
        <v>5.7687395220609892E-3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BJ568">
        <f t="shared" si="57"/>
        <v>5.8637264987781685E-5</v>
      </c>
      <c r="BK568">
        <f t="shared" si="59"/>
        <v>3.7463410853724885E-5</v>
      </c>
      <c r="BO568">
        <f t="shared" si="60"/>
        <v>6.453706434975737E-5</v>
      </c>
      <c r="BP568">
        <f t="shared" si="58"/>
        <v>3.4509055085856803</v>
      </c>
    </row>
    <row r="569" spans="1:68" x14ac:dyDescent="0.15">
      <c r="A569" s="5">
        <v>44390</v>
      </c>
      <c r="B569" s="1"/>
      <c r="C569">
        <v>115.88</v>
      </c>
      <c r="D569">
        <v>85.56</v>
      </c>
      <c r="E569">
        <v>80.6571</v>
      </c>
      <c r="G569" s="3">
        <v>-8.7445585795309301E-4</v>
      </c>
      <c r="I569" s="15">
        <f t="shared" si="61"/>
        <v>6.9084628670119431E-4</v>
      </c>
      <c r="J569" s="15">
        <f t="shared" si="62"/>
        <v>5.87820362097343E-3</v>
      </c>
      <c r="K569" s="15">
        <f t="shared" si="63"/>
        <v>-3.8627948890124246E-3</v>
      </c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BJ569">
        <f t="shared" si="57"/>
        <v>7.6467304750847993E-7</v>
      </c>
      <c r="BK569">
        <f t="shared" si="59"/>
        <v>3.8733842101768298E-5</v>
      </c>
      <c r="BO569">
        <f t="shared" si="60"/>
        <v>6.4912461856526837E-5</v>
      </c>
      <c r="BP569">
        <f t="shared" si="58"/>
        <v>3.8964069022871297</v>
      </c>
    </row>
    <row r="570" spans="1:68" x14ac:dyDescent="0.15">
      <c r="A570" s="5">
        <v>44391</v>
      </c>
      <c r="B570" s="1"/>
      <c r="C570">
        <v>115.46</v>
      </c>
      <c r="D570">
        <v>84.98</v>
      </c>
      <c r="E570">
        <v>80.448586000000006</v>
      </c>
      <c r="G570" s="3">
        <v>-2.2953716062252801E-3</v>
      </c>
      <c r="I570" s="15">
        <f t="shared" si="61"/>
        <v>-3.6244390749050892E-3</v>
      </c>
      <c r="J570" s="15">
        <f t="shared" si="62"/>
        <v>-6.7788686302010081E-3</v>
      </c>
      <c r="K570" s="15">
        <f t="shared" si="63"/>
        <v>-2.5851908883408139E-3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BJ570">
        <f t="shared" si="57"/>
        <v>5.2687308106652222E-6</v>
      </c>
      <c r="BK570">
        <f t="shared" si="59"/>
        <v>3.6455691958512708E-5</v>
      </c>
      <c r="BO570">
        <f t="shared" si="60"/>
        <v>5.6964690238616689E-5</v>
      </c>
      <c r="BP570">
        <f t="shared" si="58"/>
        <v>3.9213553579196434</v>
      </c>
    </row>
    <row r="571" spans="1:68" x14ac:dyDescent="0.15">
      <c r="A571" s="5">
        <v>44392</v>
      </c>
      <c r="B571" s="1"/>
      <c r="C571">
        <v>114.82</v>
      </c>
      <c r="D571">
        <v>83.98</v>
      </c>
      <c r="E571">
        <v>79.443923999999996</v>
      </c>
      <c r="G571" s="3">
        <v>-5.52624259414669E-3</v>
      </c>
      <c r="I571" s="15">
        <f t="shared" si="61"/>
        <v>-5.5430452104625032E-3</v>
      </c>
      <c r="J571" s="15">
        <f t="shared" si="62"/>
        <v>-1.1767474699929394E-2</v>
      </c>
      <c r="K571" s="15">
        <f t="shared" si="63"/>
        <v>-1.2488249327340698E-2</v>
      </c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BJ571">
        <f t="shared" si="57"/>
        <v>3.0539357209361137E-5</v>
      </c>
      <c r="BK571">
        <f t="shared" si="59"/>
        <v>3.4584474289641862E-5</v>
      </c>
      <c r="BO571">
        <f t="shared" si="60"/>
        <v>5.1372095279860555E-5</v>
      </c>
      <c r="BP571">
        <f t="shared" si="58"/>
        <v>3.7220323528077204</v>
      </c>
    </row>
    <row r="572" spans="1:68" x14ac:dyDescent="0.15">
      <c r="A572" s="5">
        <v>44393</v>
      </c>
      <c r="B572" s="1"/>
      <c r="C572">
        <v>115.74</v>
      </c>
      <c r="D572">
        <v>83.5</v>
      </c>
      <c r="E572">
        <v>80.059989999999999</v>
      </c>
      <c r="G572" s="3">
        <v>4.1504581032893997E-3</v>
      </c>
      <c r="I572" s="15">
        <f t="shared" si="61"/>
        <v>8.0125413690994747E-3</v>
      </c>
      <c r="J572" s="15">
        <f t="shared" si="62"/>
        <v>-5.7156465825196944E-3</v>
      </c>
      <c r="K572" s="15">
        <f t="shared" si="63"/>
        <v>7.7547277246778944E-3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BJ572">
        <f t="shared" si="57"/>
        <v>1.7226302467160643E-5</v>
      </c>
      <c r="BK572">
        <f t="shared" si="59"/>
        <v>3.4341767264825014E-5</v>
      </c>
      <c r="BO572">
        <f t="shared" si="60"/>
        <v>5.0584429633650632E-5</v>
      </c>
      <c r="BP572">
        <f t="shared" si="58"/>
        <v>3.856722063127854</v>
      </c>
    </row>
    <row r="573" spans="1:68" x14ac:dyDescent="0.15">
      <c r="A573" s="5">
        <v>44396</v>
      </c>
      <c r="B573" s="1"/>
      <c r="C573">
        <v>115.54</v>
      </c>
      <c r="D573">
        <v>79.92</v>
      </c>
      <c r="E573">
        <v>78.742559999999997</v>
      </c>
      <c r="G573" s="3">
        <v>-1.3671242280276401E-2</v>
      </c>
      <c r="I573" s="15">
        <f t="shared" si="61"/>
        <v>-1.7280110592706812E-3</v>
      </c>
      <c r="J573" s="15">
        <f t="shared" si="62"/>
        <v>-4.2874251497005966E-2</v>
      </c>
      <c r="K573" s="15">
        <f t="shared" si="63"/>
        <v>-1.6455535405387904E-2</v>
      </c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BJ573">
        <f t="shared" si="57"/>
        <v>1.869028654860171E-4</v>
      </c>
      <c r="BK573">
        <f t="shared" si="59"/>
        <v>3.331483937696515E-5</v>
      </c>
      <c r="BO573">
        <f t="shared" si="60"/>
        <v>4.8070553614268569E-5</v>
      </c>
      <c r="BP573">
        <f t="shared" si="58"/>
        <v>2.1084344886149857</v>
      </c>
    </row>
    <row r="574" spans="1:68" x14ac:dyDescent="0.15">
      <c r="A574" s="5">
        <v>44397</v>
      </c>
      <c r="B574" s="1"/>
      <c r="C574">
        <v>116.34</v>
      </c>
      <c r="D574">
        <v>80.62</v>
      </c>
      <c r="E574">
        <v>78.988979999999998</v>
      </c>
      <c r="G574" s="3">
        <v>7.0472064914159907E-3</v>
      </c>
      <c r="I574" s="15">
        <f t="shared" si="61"/>
        <v>6.9240090012116767E-3</v>
      </c>
      <c r="J574" s="15">
        <f t="shared" si="62"/>
        <v>8.7587587587587938E-3</v>
      </c>
      <c r="K574" s="15">
        <f t="shared" si="63"/>
        <v>3.1294385145720503E-3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BJ574">
        <f t="shared" si="57"/>
        <v>4.9663119332655677E-5</v>
      </c>
      <c r="BK574">
        <f t="shared" si="59"/>
        <v>4.2530120943508275E-5</v>
      </c>
      <c r="BO574">
        <f t="shared" si="60"/>
        <v>7.0264090652382956E-5</v>
      </c>
      <c r="BP574">
        <f t="shared" si="58"/>
        <v>3.5092830385977871</v>
      </c>
    </row>
    <row r="575" spans="1:68" x14ac:dyDescent="0.15">
      <c r="A575" s="5">
        <v>44398</v>
      </c>
      <c r="B575" s="1"/>
      <c r="C575">
        <v>116.04</v>
      </c>
      <c r="D575">
        <v>82.86</v>
      </c>
      <c r="E575">
        <v>78.439269999999993</v>
      </c>
      <c r="G575" s="3">
        <v>6.3539999245563195E-3</v>
      </c>
      <c r="I575" s="15">
        <f t="shared" si="61"/>
        <v>-2.578648788035045E-3</v>
      </c>
      <c r="J575" s="15">
        <f t="shared" si="62"/>
        <v>2.7784668816670736E-2</v>
      </c>
      <c r="K575" s="15">
        <f t="shared" si="63"/>
        <v>-6.959325212200545E-3</v>
      </c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BJ575">
        <f t="shared" si="57"/>
        <v>4.0373315041261715E-5</v>
      </c>
      <c r="BK575">
        <f t="shared" si="59"/>
        <v>4.2958100846857121E-5</v>
      </c>
      <c r="BO575">
        <f t="shared" si="60"/>
        <v>6.8126520465891757E-5</v>
      </c>
      <c r="BP575">
        <f t="shared" si="58"/>
        <v>3.5818221647701591</v>
      </c>
    </row>
    <row r="576" spans="1:68" x14ac:dyDescent="0.15">
      <c r="A576" s="5">
        <v>44399</v>
      </c>
      <c r="B576" s="1"/>
      <c r="C576">
        <v>114.2</v>
      </c>
      <c r="D576">
        <v>83.04</v>
      </c>
      <c r="E576">
        <v>79.443923999999996</v>
      </c>
      <c r="G576" s="3">
        <v>-3.7081363463635701E-3</v>
      </c>
      <c r="I576" s="15">
        <f t="shared" si="61"/>
        <v>-1.5856601172009679E-2</v>
      </c>
      <c r="J576" s="15">
        <f t="shared" si="62"/>
        <v>2.1723388848661216E-3</v>
      </c>
      <c r="K576" s="15">
        <f t="shared" si="63"/>
        <v>1.2808048825543662E-2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BJ576">
        <f t="shared" si="57"/>
        <v>1.3750275163222567E-5</v>
      </c>
      <c r="BK576">
        <f t="shared" si="59"/>
        <v>4.2803013698521399E-5</v>
      </c>
      <c r="BO576">
        <f t="shared" si="60"/>
        <v>6.5126800006190877E-5</v>
      </c>
      <c r="BP576">
        <f t="shared" si="58"/>
        <v>3.7950832626678213</v>
      </c>
    </row>
    <row r="577" spans="1:68" x14ac:dyDescent="0.15">
      <c r="A577" s="5">
        <v>44400</v>
      </c>
      <c r="B577" s="1"/>
      <c r="C577">
        <v>115.62</v>
      </c>
      <c r="D577">
        <v>83.26</v>
      </c>
      <c r="E577">
        <v>80.154769999999999</v>
      </c>
      <c r="G577" s="3">
        <v>1.2843804424462899E-2</v>
      </c>
      <c r="I577" s="15">
        <f t="shared" si="61"/>
        <v>1.2434325744308247E-2</v>
      </c>
      <c r="J577" s="15">
        <f t="shared" si="62"/>
        <v>2.6493256262042249E-3</v>
      </c>
      <c r="K577" s="15">
        <f t="shared" si="63"/>
        <v>8.9477705053945186E-3</v>
      </c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BJ577">
        <f t="shared" si="57"/>
        <v>1.6496331209385275E-4</v>
      </c>
      <c r="BK577">
        <f t="shared" si="59"/>
        <v>4.1059849386403471E-5</v>
      </c>
      <c r="BO577">
        <f t="shared" si="60"/>
        <v>5.8982224448435558E-5</v>
      </c>
      <c r="BP577">
        <f t="shared" si="58"/>
        <v>2.5517832011366046</v>
      </c>
    </row>
    <row r="578" spans="1:68" x14ac:dyDescent="0.15">
      <c r="A578" s="5">
        <v>44403</v>
      </c>
      <c r="B578" s="1"/>
      <c r="C578">
        <v>114.32</v>
      </c>
      <c r="D578">
        <v>83.74</v>
      </c>
      <c r="E578">
        <v>79.150109999999998</v>
      </c>
      <c r="G578" s="3">
        <v>-6.6939363375757496E-3</v>
      </c>
      <c r="I578" s="15">
        <f t="shared" si="61"/>
        <v>-1.1243729458571279E-2</v>
      </c>
      <c r="J578" s="15">
        <f t="shared" si="62"/>
        <v>5.765073264472613E-3</v>
      </c>
      <c r="K578" s="15">
        <f t="shared" si="63"/>
        <v>-1.2534001407526979E-2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BJ578">
        <f t="shared" ref="BJ578:BJ641" si="64">G578^2</f>
        <v>4.4808783691517038E-5</v>
      </c>
      <c r="BK578">
        <f t="shared" si="59"/>
        <v>4.8494057148850431E-5</v>
      </c>
      <c r="BO578">
        <f t="shared" si="60"/>
        <v>7.5698338798743488E-5</v>
      </c>
      <c r="BP578">
        <f t="shared" ref="BP578:BP641" si="65" xml:space="preserve"> -0.5 * (LN(2 * PI()) + LN(BO578) + (BJ578) / BO578)</f>
        <v>3.5294692388615201</v>
      </c>
    </row>
    <row r="579" spans="1:68" x14ac:dyDescent="0.15">
      <c r="A579" s="5">
        <v>44404</v>
      </c>
      <c r="B579" s="1"/>
      <c r="C579">
        <v>114.52</v>
      </c>
      <c r="D579">
        <v>83.68</v>
      </c>
      <c r="E579">
        <v>78.932109999999994</v>
      </c>
      <c r="G579" s="3">
        <v>-2.3688907861040202E-3</v>
      </c>
      <c r="I579" s="15">
        <f t="shared" si="61"/>
        <v>1.7494751574527892E-3</v>
      </c>
      <c r="J579" s="15">
        <f t="shared" si="62"/>
        <v>-7.1650346309992913E-4</v>
      </c>
      <c r="K579" s="15">
        <f t="shared" si="63"/>
        <v>-2.7542602278127415E-3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BJ579">
        <f t="shared" si="64"/>
        <v>5.6116435564885227E-6</v>
      </c>
      <c r="BK579">
        <f t="shared" ref="BK579:BK642" si="66">$BM$2 * BK578 + (1 - $BM$2) * BJ578</f>
        <v>4.8272940741410425E-5</v>
      </c>
      <c r="BO579">
        <f t="shared" ref="BO579:BO642" si="67" xml:space="preserve"> $BR$2 + $BS$2 * BJ578 + $BT$2 * BO578</f>
        <v>7.1697674210845439E-5</v>
      </c>
      <c r="BP579">
        <f t="shared" si="65"/>
        <v>3.8134535214530514</v>
      </c>
    </row>
    <row r="580" spans="1:68" x14ac:dyDescent="0.15">
      <c r="A580" s="5">
        <v>44405</v>
      </c>
      <c r="B580" s="1"/>
      <c r="C580">
        <v>114.12</v>
      </c>
      <c r="D580">
        <v>84.04</v>
      </c>
      <c r="E580">
        <v>79.595569999999995</v>
      </c>
      <c r="G580" s="3">
        <v>4.3374488416185707E-3</v>
      </c>
      <c r="I580" s="15">
        <f t="shared" ref="I580:I643" si="68">(C580-C579)/C579</f>
        <v>-3.492839678658675E-3</v>
      </c>
      <c r="J580" s="15">
        <f t="shared" ref="J580:J643" si="69">(D580-D579)/D579</f>
        <v>4.3021032504780045E-3</v>
      </c>
      <c r="K580" s="15">
        <f t="shared" ref="K580:K643" si="70">(E580-E579)/E579</f>
        <v>8.405451216241408E-3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BJ580">
        <f t="shared" si="64"/>
        <v>1.8813462453658281E-5</v>
      </c>
      <c r="BK580">
        <f t="shared" si="66"/>
        <v>4.5713262910315108E-5</v>
      </c>
      <c r="BO580">
        <f t="shared" si="67"/>
        <v>6.2977173547181078E-5</v>
      </c>
      <c r="BP580">
        <f t="shared" si="65"/>
        <v>3.7680632641974343</v>
      </c>
    </row>
    <row r="581" spans="1:68" x14ac:dyDescent="0.15">
      <c r="A581" s="5">
        <v>44406</v>
      </c>
      <c r="B581" s="1"/>
      <c r="C581">
        <v>113.7</v>
      </c>
      <c r="D581">
        <v>84.76</v>
      </c>
      <c r="E581">
        <v>79.159583999999995</v>
      </c>
      <c r="G581" s="3">
        <v>1.1190968118279701E-3</v>
      </c>
      <c r="I581" s="15">
        <f t="shared" si="68"/>
        <v>-3.6803364879074807E-3</v>
      </c>
      <c r="J581" s="15">
        <f t="shared" si="69"/>
        <v>8.5673488814849933E-3</v>
      </c>
      <c r="K581" s="15">
        <f t="shared" si="70"/>
        <v>-5.4775158969274269E-3</v>
      </c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BJ581">
        <f t="shared" si="64"/>
        <v>1.252377674243527E-6</v>
      </c>
      <c r="BK581">
        <f t="shared" si="66"/>
        <v>4.4099274882915698E-5</v>
      </c>
      <c r="BO581">
        <f t="shared" si="67"/>
        <v>5.8017203074979294E-5</v>
      </c>
      <c r="BP581">
        <f t="shared" si="65"/>
        <v>3.9476538021640901</v>
      </c>
    </row>
    <row r="582" spans="1:68" x14ac:dyDescent="0.15">
      <c r="A582" s="5">
        <v>44407</v>
      </c>
      <c r="B582" s="1"/>
      <c r="C582">
        <v>114.8</v>
      </c>
      <c r="D582">
        <v>82.02</v>
      </c>
      <c r="E582">
        <v>79.500789999999995</v>
      </c>
      <c r="G582" s="3">
        <v>2.4889863631509801E-3</v>
      </c>
      <c r="I582" s="15">
        <f t="shared" si="68"/>
        <v>9.6745822339489376E-3</v>
      </c>
      <c r="J582" s="15">
        <f t="shared" si="69"/>
        <v>-3.2326569136385194E-2</v>
      </c>
      <c r="K582" s="15">
        <f t="shared" si="70"/>
        <v>4.3103561534633596E-3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BJ582">
        <f t="shared" si="64"/>
        <v>6.1950531159515429E-6</v>
      </c>
      <c r="BK582">
        <f t="shared" si="66"/>
        <v>4.1528461050395364E-5</v>
      </c>
      <c r="BO582">
        <f t="shared" si="67"/>
        <v>5.1625654283479393E-5</v>
      </c>
      <c r="BP582">
        <f t="shared" si="65"/>
        <v>3.9568076292740155</v>
      </c>
    </row>
    <row r="583" spans="1:68" x14ac:dyDescent="0.15">
      <c r="A583" s="5">
        <v>44410</v>
      </c>
      <c r="B583" s="1"/>
      <c r="C583">
        <v>114.86</v>
      </c>
      <c r="D583">
        <v>82.62</v>
      </c>
      <c r="E583">
        <v>79.396529999999998</v>
      </c>
      <c r="G583" s="3">
        <v>4.4727277009259901E-3</v>
      </c>
      <c r="I583" s="15">
        <f t="shared" si="68"/>
        <v>5.2264808362371322E-4</v>
      </c>
      <c r="J583" s="15">
        <f t="shared" si="69"/>
        <v>7.3152889539137836E-3</v>
      </c>
      <c r="K583" s="15">
        <f t="shared" si="70"/>
        <v>-1.3114335090254634E-3</v>
      </c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BJ583">
        <f t="shared" si="64"/>
        <v>2.0005293086630692E-5</v>
      </c>
      <c r="BK583">
        <f t="shared" si="66"/>
        <v>3.9408456574328739E-5</v>
      </c>
      <c r="BO583">
        <f t="shared" si="67"/>
        <v>4.7316195560085594E-5</v>
      </c>
      <c r="BP583">
        <f t="shared" si="65"/>
        <v>3.8489903676908881</v>
      </c>
    </row>
    <row r="584" spans="1:68" x14ac:dyDescent="0.15">
      <c r="A584" s="5">
        <v>44411</v>
      </c>
      <c r="B584" s="1"/>
      <c r="C584">
        <v>114.1</v>
      </c>
      <c r="D584">
        <v>82.28</v>
      </c>
      <c r="E584">
        <v>79.121679999999998</v>
      </c>
      <c r="G584" s="3">
        <v>-6.4101306410579897E-4</v>
      </c>
      <c r="I584" s="15">
        <f t="shared" si="68"/>
        <v>-6.6167508270938979E-3</v>
      </c>
      <c r="J584" s="15">
        <f t="shared" si="69"/>
        <v>-4.1152263374486008E-3</v>
      </c>
      <c r="K584" s="15">
        <f t="shared" si="70"/>
        <v>-3.461738189313824E-3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BJ584">
        <f t="shared" si="64"/>
        <v>4.1089774835430514E-7</v>
      </c>
      <c r="BK584">
        <f t="shared" si="66"/>
        <v>3.8244266765066852E-5</v>
      </c>
      <c r="BO584">
        <f t="shared" si="67"/>
        <v>4.5902804399966106E-5</v>
      </c>
      <c r="BP584">
        <f t="shared" si="65"/>
        <v>4.0710779022862669</v>
      </c>
    </row>
    <row r="585" spans="1:68" x14ac:dyDescent="0.15">
      <c r="A585" s="5">
        <v>44412</v>
      </c>
      <c r="B585" s="1"/>
      <c r="C585">
        <v>113.56</v>
      </c>
      <c r="D585">
        <v>82.62</v>
      </c>
      <c r="E585">
        <v>78.998459999999994</v>
      </c>
      <c r="G585" s="3">
        <v>1.27652328954042E-3</v>
      </c>
      <c r="I585" s="15">
        <f t="shared" si="68"/>
        <v>-4.732690622261105E-3</v>
      </c>
      <c r="J585" s="15">
        <f t="shared" si="69"/>
        <v>4.1322314049587194E-3</v>
      </c>
      <c r="K585" s="15">
        <f t="shared" si="70"/>
        <v>-1.557348125065133E-3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BJ585">
        <f t="shared" si="64"/>
        <v>1.6295117087390948E-6</v>
      </c>
      <c r="BK585">
        <f t="shared" si="66"/>
        <v>3.5974264624064101E-5</v>
      </c>
      <c r="BO585">
        <f t="shared" si="67"/>
        <v>4.200353282726912E-5</v>
      </c>
      <c r="BP585">
        <f t="shared" si="65"/>
        <v>4.1005425636275454</v>
      </c>
    </row>
    <row r="586" spans="1:68" x14ac:dyDescent="0.15">
      <c r="A586" s="5">
        <v>44413</v>
      </c>
      <c r="B586" s="1"/>
      <c r="C586">
        <v>113.04</v>
      </c>
      <c r="D586">
        <v>83.36</v>
      </c>
      <c r="E586">
        <v>78.951070000000001</v>
      </c>
      <c r="G586" s="3">
        <v>1.73100089699973E-3</v>
      </c>
      <c r="I586" s="15">
        <f t="shared" si="68"/>
        <v>-4.5790771398379363E-3</v>
      </c>
      <c r="J586" s="15">
        <f t="shared" si="69"/>
        <v>8.9566690873879792E-3</v>
      </c>
      <c r="K586" s="15">
        <f t="shared" si="70"/>
        <v>-5.9988511168436627E-4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BJ586">
        <f t="shared" si="64"/>
        <v>2.99636410541387E-6</v>
      </c>
      <c r="BK586">
        <f t="shared" si="66"/>
        <v>3.3913579449144596E-5</v>
      </c>
      <c r="BO586">
        <f t="shared" si="67"/>
        <v>3.9118582026218501E-5</v>
      </c>
      <c r="BP586">
        <f t="shared" si="65"/>
        <v>4.1172194714763473</v>
      </c>
    </row>
    <row r="587" spans="1:68" x14ac:dyDescent="0.15">
      <c r="A587" s="5">
        <v>44414</v>
      </c>
      <c r="B587" s="1"/>
      <c r="C587">
        <v>112.88</v>
      </c>
      <c r="D587">
        <v>84.24</v>
      </c>
      <c r="E587">
        <v>79.140630000000002</v>
      </c>
      <c r="G587" s="3">
        <v>-1.92825313101829E-3</v>
      </c>
      <c r="I587" s="15">
        <f t="shared" si="68"/>
        <v>-1.4154281670206192E-3</v>
      </c>
      <c r="J587" s="15">
        <f t="shared" si="69"/>
        <v>1.0556621880998027E-2</v>
      </c>
      <c r="K587" s="15">
        <f t="shared" si="70"/>
        <v>2.4009807593487987E-3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BJ587">
        <f t="shared" si="64"/>
        <v>3.7181601372818387E-6</v>
      </c>
      <c r="BK587">
        <f t="shared" si="66"/>
        <v>3.2058546528520747E-5</v>
      </c>
      <c r="BO587">
        <f t="shared" si="67"/>
        <v>3.705035510026141E-5</v>
      </c>
      <c r="BP587">
        <f t="shared" si="65"/>
        <v>4.1325006589748972</v>
      </c>
    </row>
    <row r="588" spans="1:68" x14ac:dyDescent="0.15">
      <c r="A588" s="5">
        <v>44417</v>
      </c>
      <c r="B588" s="1"/>
      <c r="C588">
        <v>113.72</v>
      </c>
      <c r="D588">
        <v>84.76</v>
      </c>
      <c r="E588">
        <v>80.230590000000007</v>
      </c>
      <c r="G588" s="3">
        <v>1.1042290907100601E-2</v>
      </c>
      <c r="I588" s="15">
        <f t="shared" si="68"/>
        <v>7.4415308291991798E-3</v>
      </c>
      <c r="J588" s="15">
        <f t="shared" si="69"/>
        <v>6.1728395061729615E-3</v>
      </c>
      <c r="K588" s="15">
        <f t="shared" si="70"/>
        <v>1.3772445329282883E-2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BJ588">
        <f t="shared" si="64"/>
        <v>1.2193218847703661E-4</v>
      </c>
      <c r="BK588">
        <f t="shared" si="66"/>
        <v>3.0358123345046413E-5</v>
      </c>
      <c r="BO588">
        <f t="shared" si="67"/>
        <v>3.5530880033677814E-5</v>
      </c>
      <c r="BP588">
        <f t="shared" si="65"/>
        <v>2.4877534493346203</v>
      </c>
    </row>
    <row r="589" spans="1:68" x14ac:dyDescent="0.15">
      <c r="A589" s="5">
        <v>44418</v>
      </c>
      <c r="B589" s="1"/>
      <c r="C589">
        <v>113.84</v>
      </c>
      <c r="D589">
        <v>85.3</v>
      </c>
      <c r="E589">
        <v>80.382239999999996</v>
      </c>
      <c r="G589" s="3">
        <v>4.1374659851354202E-3</v>
      </c>
      <c r="I589" s="15">
        <f t="shared" si="68"/>
        <v>1.0552233556103108E-3</v>
      </c>
      <c r="J589" s="15">
        <f t="shared" si="69"/>
        <v>6.3709296838130253E-3</v>
      </c>
      <c r="K589" s="15">
        <f t="shared" si="70"/>
        <v>1.8901768016412368E-3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BJ589">
        <f t="shared" si="64"/>
        <v>1.7118624778152612E-5</v>
      </c>
      <c r="BK589">
        <f t="shared" si="66"/>
        <v>3.5852567252965827E-5</v>
      </c>
      <c r="BO589">
        <f t="shared" si="67"/>
        <v>5.1175100211276869E-5</v>
      </c>
      <c r="BP589">
        <f t="shared" si="65"/>
        <v>3.853934790481806</v>
      </c>
    </row>
    <row r="590" spans="1:68" x14ac:dyDescent="0.15">
      <c r="A590" s="5">
        <v>44419</v>
      </c>
      <c r="B590" s="1"/>
      <c r="C590">
        <v>113.9</v>
      </c>
      <c r="D590">
        <v>85.76</v>
      </c>
      <c r="E590">
        <v>80.84666</v>
      </c>
      <c r="G590" s="3">
        <v>2.1206500143038302E-3</v>
      </c>
      <c r="I590" s="15">
        <f t="shared" si="68"/>
        <v>5.2705551651442619E-4</v>
      </c>
      <c r="J590" s="15">
        <f t="shared" si="69"/>
        <v>5.392731535756248E-3</v>
      </c>
      <c r="K590" s="15">
        <f t="shared" si="70"/>
        <v>5.7776444149852512E-3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BJ590">
        <f t="shared" si="64"/>
        <v>4.4971564831668355E-6</v>
      </c>
      <c r="BK590">
        <f t="shared" si="66"/>
        <v>3.4728530704477031E-5</v>
      </c>
      <c r="BO590">
        <f t="shared" si="67"/>
        <v>4.8518527627599542E-5</v>
      </c>
      <c r="BP590">
        <f t="shared" si="65"/>
        <v>4.001499143127015</v>
      </c>
    </row>
    <row r="591" spans="1:68" x14ac:dyDescent="0.15">
      <c r="A591" s="5">
        <v>44420</v>
      </c>
      <c r="B591" s="1"/>
      <c r="C591">
        <v>113.6</v>
      </c>
      <c r="D591">
        <v>86.4</v>
      </c>
      <c r="E591">
        <v>81.263689999999997</v>
      </c>
      <c r="G591" s="3">
        <v>3.3314017148418002E-3</v>
      </c>
      <c r="I591" s="15">
        <f t="shared" si="68"/>
        <v>-2.6338893766462805E-3</v>
      </c>
      <c r="J591" s="15">
        <f t="shared" si="69"/>
        <v>7.462686567164185E-3</v>
      </c>
      <c r="K591" s="15">
        <f t="shared" si="70"/>
        <v>5.1582835951416777E-3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BJ591">
        <f t="shared" si="64"/>
        <v>1.1098237385650887E-5</v>
      </c>
      <c r="BK591">
        <f t="shared" si="66"/>
        <v>3.2914648251198418E-5</v>
      </c>
      <c r="BO591">
        <f t="shared" si="67"/>
        <v>4.4637216464069664E-5</v>
      </c>
      <c r="BP591">
        <f t="shared" si="65"/>
        <v>3.9652167991194061</v>
      </c>
    </row>
    <row r="592" spans="1:68" x14ac:dyDescent="0.15">
      <c r="A592" s="5">
        <v>44421</v>
      </c>
      <c r="B592" s="1"/>
      <c r="C592">
        <v>114.54</v>
      </c>
      <c r="D592">
        <v>86.92</v>
      </c>
      <c r="E592">
        <v>81.472200000000001</v>
      </c>
      <c r="G592" s="3">
        <v>2.8377232335237102E-3</v>
      </c>
      <c r="I592" s="15">
        <f t="shared" si="68"/>
        <v>8.2746478873240489E-3</v>
      </c>
      <c r="J592" s="15">
        <f t="shared" si="69"/>
        <v>6.0185185185184717E-3</v>
      </c>
      <c r="K592" s="15">
        <f t="shared" si="70"/>
        <v>2.5658445979994753E-3</v>
      </c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BJ592">
        <f t="shared" si="64"/>
        <v>8.0526731500802617E-6</v>
      </c>
      <c r="BK592">
        <f t="shared" si="66"/>
        <v>3.1605663599265565E-5</v>
      </c>
      <c r="BO592">
        <f t="shared" si="67"/>
        <v>4.2532925385698346E-5</v>
      </c>
      <c r="BP592">
        <f t="shared" si="65"/>
        <v>4.0190135067361892</v>
      </c>
    </row>
    <row r="593" spans="1:68" x14ac:dyDescent="0.15">
      <c r="A593" s="5">
        <v>44424</v>
      </c>
      <c r="B593" s="1"/>
      <c r="C593">
        <v>114.64</v>
      </c>
      <c r="D593">
        <v>86.78</v>
      </c>
      <c r="E593">
        <v>81.424809999999994</v>
      </c>
      <c r="G593" s="3">
        <v>-3.6346321885709597E-3</v>
      </c>
      <c r="I593" s="15">
        <f t="shared" si="68"/>
        <v>8.730574471799748E-4</v>
      </c>
      <c r="J593" s="15">
        <f t="shared" si="69"/>
        <v>-1.6106764841233383E-3</v>
      </c>
      <c r="K593" s="15">
        <f t="shared" si="70"/>
        <v>-5.8167080304701664E-4</v>
      </c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BJ593">
        <f t="shared" si="64"/>
        <v>1.3210551146196124E-5</v>
      </c>
      <c r="BK593">
        <f t="shared" si="66"/>
        <v>3.0192484172314446E-5</v>
      </c>
      <c r="BO593">
        <f t="shared" si="67"/>
        <v>4.0448614201237128E-5</v>
      </c>
      <c r="BP593">
        <f t="shared" si="65"/>
        <v>3.9755001369210556</v>
      </c>
    </row>
    <row r="594" spans="1:68" x14ac:dyDescent="0.15">
      <c r="A594" s="5">
        <v>44425</v>
      </c>
      <c r="B594" s="1"/>
      <c r="C594">
        <v>116.36</v>
      </c>
      <c r="D594">
        <v>86.5</v>
      </c>
      <c r="E594">
        <v>82.211479999999995</v>
      </c>
      <c r="G594" s="3">
        <v>4.69401830713689E-3</v>
      </c>
      <c r="I594" s="15">
        <f t="shared" si="68"/>
        <v>1.5003489183531045E-2</v>
      </c>
      <c r="J594" s="15">
        <f t="shared" si="69"/>
        <v>-3.2265498962894806E-3</v>
      </c>
      <c r="K594" s="15">
        <f t="shared" si="70"/>
        <v>9.6613059336583158E-3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BJ594">
        <f t="shared" si="64"/>
        <v>2.2033807867736274E-5</v>
      </c>
      <c r="BK594">
        <f t="shared" si="66"/>
        <v>2.9173568190747344E-5</v>
      </c>
      <c r="BO594">
        <f t="shared" si="67"/>
        <v>3.954831061387898E-5</v>
      </c>
      <c r="BP594">
        <f t="shared" si="65"/>
        <v>3.8714870002607036</v>
      </c>
    </row>
    <row r="595" spans="1:68" x14ac:dyDescent="0.15">
      <c r="A595" s="5">
        <v>44426</v>
      </c>
      <c r="B595" s="1"/>
      <c r="C595">
        <v>116.14</v>
      </c>
      <c r="D595">
        <v>86.7</v>
      </c>
      <c r="E595">
        <v>82.220955000000004</v>
      </c>
      <c r="G595" s="3">
        <v>5.4426287215663107E-3</v>
      </c>
      <c r="I595" s="15">
        <f t="shared" si="68"/>
        <v>-1.8906840838776114E-3</v>
      </c>
      <c r="J595" s="15">
        <f t="shared" si="69"/>
        <v>2.3121387283237321E-3</v>
      </c>
      <c r="K595" s="15">
        <f t="shared" si="70"/>
        <v>1.152515439450671E-4</v>
      </c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BJ595">
        <f t="shared" si="64"/>
        <v>2.9622207400818533E-5</v>
      </c>
      <c r="BK595">
        <f t="shared" si="66"/>
        <v>2.8745182571366682E-5</v>
      </c>
      <c r="BO595">
        <f t="shared" si="67"/>
        <v>4.0098741437418556E-5</v>
      </c>
      <c r="BP595">
        <f t="shared" si="65"/>
        <v>3.773778471907546</v>
      </c>
    </row>
    <row r="596" spans="1:68" x14ac:dyDescent="0.15">
      <c r="A596" s="5">
        <v>44427</v>
      </c>
      <c r="B596" s="1"/>
      <c r="C596">
        <v>116.18</v>
      </c>
      <c r="D596">
        <v>85.14</v>
      </c>
      <c r="E596">
        <v>80.950919999999996</v>
      </c>
      <c r="G596" s="3">
        <v>-1.13001156979283E-2</v>
      </c>
      <c r="I596" s="15">
        <f t="shared" si="68"/>
        <v>3.4441191665236998E-4</v>
      </c>
      <c r="J596" s="15">
        <f t="shared" si="69"/>
        <v>-1.7993079584775112E-2</v>
      </c>
      <c r="K596" s="15">
        <f t="shared" si="70"/>
        <v>-1.5446609687275063E-2</v>
      </c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BJ596">
        <f t="shared" si="64"/>
        <v>1.2769261478656559E-4</v>
      </c>
      <c r="BK596">
        <f t="shared" si="66"/>
        <v>2.8797804061133791E-5</v>
      </c>
      <c r="BO596">
        <f t="shared" si="67"/>
        <v>4.1611229011011576E-5</v>
      </c>
      <c r="BP596">
        <f t="shared" si="65"/>
        <v>2.5902788766573992</v>
      </c>
    </row>
    <row r="597" spans="1:68" x14ac:dyDescent="0.15">
      <c r="A597" s="5">
        <v>44428</v>
      </c>
      <c r="B597" s="1"/>
      <c r="C597">
        <v>116.42</v>
      </c>
      <c r="D597">
        <v>85.32</v>
      </c>
      <c r="E597">
        <v>81.007779999999997</v>
      </c>
      <c r="G597" s="3">
        <v>9.7354796802973098E-4</v>
      </c>
      <c r="I597" s="15">
        <f t="shared" si="68"/>
        <v>2.0657600275434231E-3</v>
      </c>
      <c r="J597" s="15">
        <f t="shared" si="69"/>
        <v>2.1141649048624926E-3</v>
      </c>
      <c r="K597" s="15">
        <f t="shared" si="70"/>
        <v>7.0240091156469075E-4</v>
      </c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BJ597">
        <f t="shared" si="64"/>
        <v>9.477956460548181E-7</v>
      </c>
      <c r="BK597">
        <f t="shared" si="66"/>
        <v>3.4731492704659708E-5</v>
      </c>
      <c r="BO597">
        <f t="shared" si="67"/>
        <v>5.6764798164187698E-5</v>
      </c>
      <c r="BP597">
        <f t="shared" si="65"/>
        <v>3.9610101088050373</v>
      </c>
    </row>
    <row r="598" spans="1:68" x14ac:dyDescent="0.15">
      <c r="A598" s="5">
        <v>44431</v>
      </c>
      <c r="B598" s="1"/>
      <c r="C598">
        <v>116.22</v>
      </c>
      <c r="D598">
        <v>86.26</v>
      </c>
      <c r="E598">
        <v>81.481679999999997</v>
      </c>
      <c r="G598" s="3">
        <v>4.9301816668665399E-3</v>
      </c>
      <c r="I598" s="15">
        <f t="shared" si="68"/>
        <v>-1.7179178835251918E-3</v>
      </c>
      <c r="J598" s="15">
        <f t="shared" si="69"/>
        <v>1.1017346460384577E-2</v>
      </c>
      <c r="K598" s="15">
        <f t="shared" si="70"/>
        <v>5.8500553897415835E-3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BJ598">
        <f t="shared" si="64"/>
        <v>2.4306691268306933E-5</v>
      </c>
      <c r="BK598">
        <f t="shared" si="66"/>
        <v>3.2704470881143414E-5</v>
      </c>
      <c r="BO598">
        <f t="shared" si="67"/>
        <v>5.0599915768609891E-5</v>
      </c>
      <c r="BP598">
        <f t="shared" si="65"/>
        <v>3.7866566938056962</v>
      </c>
    </row>
    <row r="599" spans="1:68" x14ac:dyDescent="0.15">
      <c r="A599" s="5">
        <v>44432</v>
      </c>
      <c r="B599" s="1"/>
      <c r="C599">
        <v>115.96</v>
      </c>
      <c r="D599">
        <v>86.66</v>
      </c>
      <c r="E599">
        <v>80.107376000000002</v>
      </c>
      <c r="G599" s="3">
        <v>-3.2225392098150702E-3</v>
      </c>
      <c r="I599" s="15">
        <f t="shared" si="68"/>
        <v>-2.237136465324429E-3</v>
      </c>
      <c r="J599" s="15">
        <f t="shared" si="69"/>
        <v>4.6371435195918321E-3</v>
      </c>
      <c r="K599" s="15">
        <f t="shared" si="70"/>
        <v>-1.6866417089092849E-2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BJ599">
        <f t="shared" si="64"/>
        <v>1.0384758958795537E-5</v>
      </c>
      <c r="BK599">
        <f t="shared" si="66"/>
        <v>3.2200604104373225E-5</v>
      </c>
      <c r="BO599">
        <f t="shared" si="67"/>
        <v>4.9091090920413547E-5</v>
      </c>
      <c r="BP599">
        <f t="shared" si="65"/>
        <v>3.9362076591011532</v>
      </c>
    </row>
    <row r="600" spans="1:68" x14ac:dyDescent="0.15">
      <c r="A600" s="5">
        <v>44433</v>
      </c>
      <c r="B600" s="1"/>
      <c r="C600">
        <v>115.04</v>
      </c>
      <c r="D600">
        <v>86.34</v>
      </c>
      <c r="E600">
        <v>79.443923999999996</v>
      </c>
      <c r="G600" s="3">
        <v>-5.7964085029347202E-3</v>
      </c>
      <c r="I600" s="15">
        <f t="shared" si="68"/>
        <v>-7.933770265608724E-3</v>
      </c>
      <c r="J600" s="15">
        <f t="shared" si="69"/>
        <v>-3.6925917378259079E-3</v>
      </c>
      <c r="K600" s="15">
        <f t="shared" si="70"/>
        <v>-8.2820338541610278E-3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BJ600">
        <f t="shared" si="64"/>
        <v>3.3598351532893926E-5</v>
      </c>
      <c r="BK600">
        <f t="shared" si="66"/>
        <v>3.0891653395638565E-5</v>
      </c>
      <c r="BO600">
        <f t="shared" si="67"/>
        <v>4.5924836439728206E-5</v>
      </c>
      <c r="BP600">
        <f t="shared" si="65"/>
        <v>3.709516528679738</v>
      </c>
    </row>
    <row r="601" spans="1:68" x14ac:dyDescent="0.15">
      <c r="A601" s="5">
        <v>44434</v>
      </c>
      <c r="B601" s="1"/>
      <c r="C601">
        <v>115.56</v>
      </c>
      <c r="D601">
        <v>85.96</v>
      </c>
      <c r="E601">
        <v>79.841994999999997</v>
      </c>
      <c r="G601" s="3">
        <v>3.59581290101052E-3</v>
      </c>
      <c r="I601" s="15">
        <f t="shared" si="68"/>
        <v>4.5201668984700622E-3</v>
      </c>
      <c r="J601" s="15">
        <f t="shared" si="69"/>
        <v>-4.4012045401900582E-3</v>
      </c>
      <c r="K601" s="15">
        <f t="shared" si="70"/>
        <v>5.0107167415345899E-3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BJ601">
        <f t="shared" si="64"/>
        <v>1.2929870419073692E-5</v>
      </c>
      <c r="BK601">
        <f t="shared" si="66"/>
        <v>3.1054055283873885E-5</v>
      </c>
      <c r="BO601">
        <f t="shared" si="67"/>
        <v>4.6747377726652729E-5</v>
      </c>
      <c r="BP601">
        <f t="shared" si="65"/>
        <v>3.9281425230704747</v>
      </c>
    </row>
    <row r="602" spans="1:68" x14ac:dyDescent="0.15">
      <c r="A602" s="5">
        <v>44435</v>
      </c>
      <c r="B602" s="1"/>
      <c r="C602">
        <v>116.36</v>
      </c>
      <c r="D602">
        <v>85.92</v>
      </c>
      <c r="E602">
        <v>79.879906000000005</v>
      </c>
      <c r="G602" s="3">
        <v>2.4146206368758001E-3</v>
      </c>
      <c r="I602" s="15">
        <f t="shared" si="68"/>
        <v>6.9228106611283931E-3</v>
      </c>
      <c r="J602" s="15">
        <f t="shared" si="69"/>
        <v>-4.6533271288962358E-4</v>
      </c>
      <c r="K602" s="15">
        <f t="shared" si="70"/>
        <v>4.7482530966326986E-4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BJ602">
        <f t="shared" si="64"/>
        <v>5.8303928200264942E-6</v>
      </c>
      <c r="BK602">
        <f t="shared" si="66"/>
        <v>2.9966604191985872E-5</v>
      </c>
      <c r="BO602">
        <f t="shared" si="67"/>
        <v>4.4448952707309295E-5</v>
      </c>
      <c r="BP602">
        <f t="shared" si="65"/>
        <v>4.0260607789826768</v>
      </c>
    </row>
    <row r="603" spans="1:68" x14ac:dyDescent="0.15">
      <c r="A603" s="5">
        <v>44438</v>
      </c>
      <c r="B603" s="1"/>
      <c r="C603">
        <v>116.98</v>
      </c>
      <c r="D603">
        <v>84.86</v>
      </c>
      <c r="E603">
        <v>79.680869999999999</v>
      </c>
      <c r="G603" s="3">
        <v>-1.9400062571750499E-4</v>
      </c>
      <c r="I603" s="15">
        <f t="shared" si="68"/>
        <v>5.3282915091096986E-3</v>
      </c>
      <c r="J603" s="15">
        <f t="shared" si="69"/>
        <v>-1.2337057728119208E-2</v>
      </c>
      <c r="K603" s="15">
        <f t="shared" si="70"/>
        <v>-2.4916904634315249E-3</v>
      </c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BJ603">
        <f t="shared" si="64"/>
        <v>3.7636242778783457E-8</v>
      </c>
      <c r="BK603">
        <f t="shared" si="66"/>
        <v>2.8518431509668309E-5</v>
      </c>
      <c r="BO603">
        <f t="shared" si="67"/>
        <v>4.163500786485165E-5</v>
      </c>
      <c r="BP603">
        <f t="shared" si="65"/>
        <v>4.1238940931520176</v>
      </c>
    </row>
    <row r="604" spans="1:68" x14ac:dyDescent="0.15">
      <c r="A604" s="5">
        <v>44439</v>
      </c>
      <c r="B604" s="1"/>
      <c r="C604">
        <v>115.74</v>
      </c>
      <c r="D604">
        <v>84.26</v>
      </c>
      <c r="E604">
        <v>80.363280000000003</v>
      </c>
      <c r="G604" s="3">
        <v>-2.04790019256229E-3</v>
      </c>
      <c r="I604" s="15">
        <f t="shared" si="68"/>
        <v>-1.0600102581637964E-2</v>
      </c>
      <c r="J604" s="15">
        <f t="shared" si="69"/>
        <v>-7.0704690077774491E-3</v>
      </c>
      <c r="K604" s="15">
        <f t="shared" si="70"/>
        <v>8.5642890194347083E-3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BJ604">
        <f t="shared" si="64"/>
        <v>4.1938951986966646E-6</v>
      </c>
      <c r="BK604">
        <f t="shared" si="66"/>
        <v>2.6809583793654938E-5</v>
      </c>
      <c r="BO604">
        <f t="shared" si="67"/>
        <v>3.8602803646983617E-5</v>
      </c>
      <c r="BP604">
        <f t="shared" si="65"/>
        <v>4.1078331703741</v>
      </c>
    </row>
    <row r="605" spans="1:68" x14ac:dyDescent="0.15">
      <c r="A605" s="5">
        <v>44440</v>
      </c>
      <c r="B605" s="1"/>
      <c r="C605">
        <v>115.88</v>
      </c>
      <c r="D605">
        <v>84.52</v>
      </c>
      <c r="E605">
        <v>80.240074000000007</v>
      </c>
      <c r="G605" s="3">
        <v>1.7464347408595502E-3</v>
      </c>
      <c r="I605" s="15">
        <f t="shared" si="68"/>
        <v>1.2096077414895504E-3</v>
      </c>
      <c r="J605" s="15">
        <f t="shared" si="69"/>
        <v>3.0856871587941004E-3</v>
      </c>
      <c r="K605" s="15">
        <f t="shared" si="70"/>
        <v>-1.53311313326181E-3</v>
      </c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BJ605">
        <f t="shared" si="64"/>
        <v>3.0500343040811643E-6</v>
      </c>
      <c r="BK605">
        <f t="shared" si="66"/>
        <v>2.5452642477957442E-5</v>
      </c>
      <c r="BO605">
        <f t="shared" si="67"/>
        <v>3.681634206867114E-5</v>
      </c>
      <c r="BP605">
        <f t="shared" si="65"/>
        <v>4.1444235447460631</v>
      </c>
    </row>
    <row r="606" spans="1:68" x14ac:dyDescent="0.15">
      <c r="A606" s="5">
        <v>44441</v>
      </c>
      <c r="B606" s="1"/>
      <c r="C606">
        <v>115.52</v>
      </c>
      <c r="D606">
        <v>83.3</v>
      </c>
      <c r="E606">
        <v>80.041030000000006</v>
      </c>
      <c r="G606" s="3">
        <v>-2.63399764904859E-5</v>
      </c>
      <c r="I606" s="15">
        <f t="shared" si="68"/>
        <v>-3.1066620642043446E-3</v>
      </c>
      <c r="J606" s="15">
        <f t="shared" si="69"/>
        <v>-1.443445338381447E-2</v>
      </c>
      <c r="K606" s="15">
        <f t="shared" si="70"/>
        <v>-2.480605887776233E-3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BJ606">
        <f t="shared" si="64"/>
        <v>6.9379436151934986E-10</v>
      </c>
      <c r="BK606">
        <f t="shared" si="66"/>
        <v>2.4108485987524865E-5</v>
      </c>
      <c r="BO606">
        <f t="shared" si="67"/>
        <v>3.5252170561003201E-5</v>
      </c>
      <c r="BP606">
        <f t="shared" si="65"/>
        <v>4.2075433535480204</v>
      </c>
    </row>
    <row r="607" spans="1:68" x14ac:dyDescent="0.15">
      <c r="A607" s="5">
        <v>44442</v>
      </c>
      <c r="B607" s="1"/>
      <c r="C607">
        <v>115.22</v>
      </c>
      <c r="D607">
        <v>82.62</v>
      </c>
      <c r="E607">
        <v>79.017420000000001</v>
      </c>
      <c r="G607" s="3">
        <v>-6.4846732864516296E-3</v>
      </c>
      <c r="I607" s="15">
        <f t="shared" si="68"/>
        <v>-2.5969529085872333E-3</v>
      </c>
      <c r="J607" s="15">
        <f t="shared" si="69"/>
        <v>-8.1632653061223612E-3</v>
      </c>
      <c r="K607" s="15">
        <f t="shared" si="70"/>
        <v>-1.2788566064179895E-2</v>
      </c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BJ607">
        <f t="shared" si="64"/>
        <v>4.2050987632019379E-5</v>
      </c>
      <c r="BK607">
        <f t="shared" si="66"/>
        <v>2.2662018455935064E-5</v>
      </c>
      <c r="BO607">
        <f t="shared" si="67"/>
        <v>3.3590979909882338E-5</v>
      </c>
      <c r="BP607">
        <f t="shared" si="65"/>
        <v>3.6057611801079879</v>
      </c>
    </row>
    <row r="608" spans="1:68" x14ac:dyDescent="0.15">
      <c r="A608" s="5">
        <v>44446</v>
      </c>
      <c r="B608" s="1"/>
      <c r="C608">
        <v>115.64</v>
      </c>
      <c r="D608">
        <v>82.86</v>
      </c>
      <c r="E608">
        <v>78.287620000000004</v>
      </c>
      <c r="G608" s="3">
        <v>-6.0388517582687896E-4</v>
      </c>
      <c r="I608" s="15">
        <f t="shared" si="68"/>
        <v>3.6452004860267461E-3</v>
      </c>
      <c r="J608" s="15">
        <f t="shared" si="69"/>
        <v>2.9048656499636272E-3</v>
      </c>
      <c r="K608" s="15">
        <f t="shared" si="70"/>
        <v>-9.2359381007377523E-3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BJ608">
        <f t="shared" si="64"/>
        <v>3.6467730558346051E-7</v>
      </c>
      <c r="BK608">
        <f t="shared" si="66"/>
        <v>2.3825356606500124E-5</v>
      </c>
      <c r="BO608">
        <f t="shared" si="67"/>
        <v>3.8276787936522924E-5</v>
      </c>
      <c r="BP608">
        <f t="shared" si="65"/>
        <v>4.1616312316874131</v>
      </c>
    </row>
    <row r="609" spans="1:68" x14ac:dyDescent="0.15">
      <c r="A609" s="5">
        <v>44447</v>
      </c>
      <c r="B609" s="1"/>
      <c r="C609">
        <v>114.82</v>
      </c>
      <c r="D609">
        <v>82.44</v>
      </c>
      <c r="E609">
        <v>76.913319999999999</v>
      </c>
      <c r="G609" s="3">
        <v>-1.0469488460657398E-2</v>
      </c>
      <c r="I609" s="15">
        <f t="shared" si="68"/>
        <v>-7.0909719820132083E-3</v>
      </c>
      <c r="J609" s="15">
        <f t="shared" si="69"/>
        <v>-5.0687907313541119E-3</v>
      </c>
      <c r="K609" s="15">
        <f t="shared" si="70"/>
        <v>-1.7554499676960485E-2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BJ609">
        <f t="shared" si="64"/>
        <v>1.0961018862783842E-4</v>
      </c>
      <c r="BK609">
        <f t="shared" si="66"/>
        <v>2.2417715848445126E-5</v>
      </c>
      <c r="BO609">
        <f t="shared" si="67"/>
        <v>3.6015264315381641E-5</v>
      </c>
      <c r="BP609">
        <f t="shared" si="65"/>
        <v>2.6751268081390349</v>
      </c>
    </row>
    <row r="610" spans="1:68" x14ac:dyDescent="0.15">
      <c r="A610" s="5">
        <v>44448</v>
      </c>
      <c r="B610" s="1"/>
      <c r="C610">
        <v>114.82</v>
      </c>
      <c r="D610">
        <v>82.58</v>
      </c>
      <c r="E610">
        <v>75.614845000000003</v>
      </c>
      <c r="G610" s="3">
        <v>-8.0812658346266497E-3</v>
      </c>
      <c r="I610" s="15">
        <f t="shared" si="68"/>
        <v>0</v>
      </c>
      <c r="J610" s="15">
        <f t="shared" si="69"/>
        <v>1.6982047549733209E-3</v>
      </c>
      <c r="K610" s="15">
        <f t="shared" si="70"/>
        <v>-1.6882316353006167E-2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BJ610">
        <f t="shared" si="64"/>
        <v>6.5306857489903967E-5</v>
      </c>
      <c r="BK610">
        <f t="shared" si="66"/>
        <v>2.7649264215208728E-5</v>
      </c>
      <c r="BO610">
        <f t="shared" si="67"/>
        <v>4.9800139437113309E-5</v>
      </c>
      <c r="BP610">
        <f t="shared" si="65"/>
        <v>3.3791183494256272</v>
      </c>
    </row>
    <row r="611" spans="1:68" x14ac:dyDescent="0.15">
      <c r="A611" s="5">
        <v>44449</v>
      </c>
      <c r="B611" s="1"/>
      <c r="C611">
        <v>114.96</v>
      </c>
      <c r="D611">
        <v>81.34</v>
      </c>
      <c r="E611">
        <v>74.562799999999996</v>
      </c>
      <c r="G611" s="3">
        <v>-4.6044624139216497E-3</v>
      </c>
      <c r="I611" s="15">
        <f t="shared" si="68"/>
        <v>1.2192997735586185E-3</v>
      </c>
      <c r="J611" s="15">
        <f t="shared" si="69"/>
        <v>-1.5015742310486739E-2</v>
      </c>
      <c r="K611" s="15">
        <f t="shared" si="70"/>
        <v>-1.3913207122225889E-2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BJ611">
        <f t="shared" si="64"/>
        <v>2.1201074121217186E-5</v>
      </c>
      <c r="BK611">
        <f t="shared" si="66"/>
        <v>2.9908719811690446E-5</v>
      </c>
      <c r="BO611">
        <f t="shared" si="67"/>
        <v>5.4303014720447454E-5</v>
      </c>
      <c r="BP611">
        <f t="shared" si="65"/>
        <v>3.7963160342802262</v>
      </c>
    </row>
    <row r="612" spans="1:68" x14ac:dyDescent="0.15">
      <c r="A612" s="5">
        <v>44452</v>
      </c>
      <c r="B612" s="1"/>
      <c r="C612">
        <v>115.06</v>
      </c>
      <c r="D612">
        <v>82.96</v>
      </c>
      <c r="E612">
        <v>74.496449999999996</v>
      </c>
      <c r="G612" s="3">
        <v>1.1745684717368E-3</v>
      </c>
      <c r="I612" s="15">
        <f t="shared" si="68"/>
        <v>8.6986778009749937E-4</v>
      </c>
      <c r="J612" s="15">
        <f t="shared" si="69"/>
        <v>1.9916400295057663E-2</v>
      </c>
      <c r="K612" s="15">
        <f t="shared" si="70"/>
        <v>-8.8985392179478126E-4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BJ612">
        <f t="shared" si="64"/>
        <v>1.379611094798122E-6</v>
      </c>
      <c r="BK612">
        <f t="shared" si="66"/>
        <v>2.9386261070262051E-5</v>
      </c>
      <c r="BO612">
        <f t="shared" si="67"/>
        <v>5.1553420722651263E-5</v>
      </c>
      <c r="BP612">
        <f t="shared" si="65"/>
        <v>4.0041270599187859</v>
      </c>
    </row>
    <row r="613" spans="1:68" x14ac:dyDescent="0.15">
      <c r="A613" s="5">
        <v>44453</v>
      </c>
      <c r="B613" s="1"/>
      <c r="C613">
        <v>114.56</v>
      </c>
      <c r="D613">
        <v>82.46</v>
      </c>
      <c r="E613">
        <v>74.686009999999996</v>
      </c>
      <c r="G613" s="3">
        <v>1.8608758206646301E-3</v>
      </c>
      <c r="I613" s="15">
        <f t="shared" si="68"/>
        <v>-4.3455588388666777E-3</v>
      </c>
      <c r="J613" s="15">
        <f t="shared" si="69"/>
        <v>-6.0270009643201543E-3</v>
      </c>
      <c r="K613" s="15">
        <f t="shared" si="70"/>
        <v>2.5445507806076688E-3</v>
      </c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BJ613">
        <f t="shared" si="64"/>
        <v>3.4628588199342605E-6</v>
      </c>
      <c r="BK613">
        <f t="shared" si="66"/>
        <v>2.7705862071734215E-5</v>
      </c>
      <c r="BO613">
        <f t="shared" si="67"/>
        <v>4.6573720923099934E-5</v>
      </c>
      <c r="BP613">
        <f t="shared" si="65"/>
        <v>4.0311224168663529</v>
      </c>
    </row>
    <row r="614" spans="1:68" x14ac:dyDescent="0.15">
      <c r="A614" s="5">
        <v>44454</v>
      </c>
      <c r="B614" s="1"/>
      <c r="C614">
        <v>113.58</v>
      </c>
      <c r="D614">
        <v>81.8</v>
      </c>
      <c r="E614">
        <v>74.164730000000006</v>
      </c>
      <c r="G614" s="3">
        <v>-9.2949896633035493E-3</v>
      </c>
      <c r="I614" s="15">
        <f t="shared" si="68"/>
        <v>-8.5544692737430511E-3</v>
      </c>
      <c r="J614" s="15">
        <f t="shared" si="69"/>
        <v>-8.0038806694154342E-3</v>
      </c>
      <c r="K614" s="15">
        <f t="shared" si="70"/>
        <v>-6.979620413515064E-3</v>
      </c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BJ614">
        <f t="shared" si="64"/>
        <v>8.6396832840919823E-5</v>
      </c>
      <c r="BK614">
        <f t="shared" si="66"/>
        <v>2.6251281876626217E-5</v>
      </c>
      <c r="BO614">
        <f t="shared" si="67"/>
        <v>4.2964446409419688E-5</v>
      </c>
      <c r="BP614">
        <f t="shared" si="65"/>
        <v>3.103184607105308</v>
      </c>
    </row>
    <row r="615" spans="1:68" x14ac:dyDescent="0.15">
      <c r="A615" s="5">
        <v>44455</v>
      </c>
      <c r="B615" s="1"/>
      <c r="C615">
        <v>114.24</v>
      </c>
      <c r="D615">
        <v>82.06</v>
      </c>
      <c r="E615">
        <v>73.823520000000002</v>
      </c>
      <c r="G615" s="3">
        <v>3.63877124968414E-3</v>
      </c>
      <c r="I615" s="15">
        <f t="shared" si="68"/>
        <v>5.8108821975699646E-3</v>
      </c>
      <c r="J615" s="15">
        <f t="shared" si="69"/>
        <v>3.1784841075795248E-3</v>
      </c>
      <c r="K615" s="15">
        <f t="shared" si="70"/>
        <v>-4.6007044049105788E-3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BJ615">
        <f t="shared" si="64"/>
        <v>1.3240656207527878E-5</v>
      </c>
      <c r="BK615">
        <f t="shared" si="66"/>
        <v>2.9860014934483834E-5</v>
      </c>
      <c r="BO615">
        <f t="shared" si="67"/>
        <v>5.1944880167401584E-5</v>
      </c>
      <c r="BP615">
        <f t="shared" si="65"/>
        <v>3.8862760683454178</v>
      </c>
    </row>
    <row r="616" spans="1:68" x14ac:dyDescent="0.15">
      <c r="A616" s="5">
        <v>44456</v>
      </c>
      <c r="B616" s="1"/>
      <c r="C616">
        <v>114.38</v>
      </c>
      <c r="D616">
        <v>80.62</v>
      </c>
      <c r="E616">
        <v>73.397009999999995</v>
      </c>
      <c r="G616" s="3">
        <v>-7.7245355518907799E-3</v>
      </c>
      <c r="I616" s="15">
        <f t="shared" si="68"/>
        <v>1.2254901960784363E-3</v>
      </c>
      <c r="J616" s="15">
        <f t="shared" si="69"/>
        <v>-1.754813551060197E-2</v>
      </c>
      <c r="K616" s="15">
        <f t="shared" si="70"/>
        <v>-5.7774270313852207E-3</v>
      </c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BJ616">
        <f t="shared" si="64"/>
        <v>5.9668449492424596E-5</v>
      </c>
      <c r="BK616">
        <f t="shared" si="66"/>
        <v>2.8862853410866476E-5</v>
      </c>
      <c r="BO616">
        <f t="shared" si="67"/>
        <v>4.8570025704497861E-5</v>
      </c>
      <c r="BP616">
        <f t="shared" si="65"/>
        <v>3.4330616729327059</v>
      </c>
    </row>
    <row r="617" spans="1:68" x14ac:dyDescent="0.15">
      <c r="A617" s="5">
        <v>44459</v>
      </c>
      <c r="B617" s="1"/>
      <c r="C617">
        <v>113.78</v>
      </c>
      <c r="D617">
        <v>78.099999999999994</v>
      </c>
      <c r="E617">
        <v>73.179016000000004</v>
      </c>
      <c r="G617" s="3">
        <v>-1.41683419686164E-2</v>
      </c>
      <c r="I617" s="15">
        <f t="shared" si="68"/>
        <v>-5.2456723203356736E-3</v>
      </c>
      <c r="J617" s="15">
        <f t="shared" si="69"/>
        <v>-3.1257752418754774E-2</v>
      </c>
      <c r="K617" s="15">
        <f t="shared" si="70"/>
        <v>-2.9700664918092751E-3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BJ617">
        <f t="shared" si="64"/>
        <v>2.0074191413965684E-4</v>
      </c>
      <c r="BK617">
        <f t="shared" si="66"/>
        <v>3.0711189175759968E-5</v>
      </c>
      <c r="BO617">
        <f t="shared" si="67"/>
        <v>5.2535116431975312E-5</v>
      </c>
      <c r="BP617">
        <f t="shared" si="65"/>
        <v>2.0975260138634204</v>
      </c>
    </row>
    <row r="618" spans="1:68" x14ac:dyDescent="0.15">
      <c r="A618" s="5">
        <v>44460</v>
      </c>
      <c r="B618" s="1"/>
      <c r="C618">
        <v>114.64</v>
      </c>
      <c r="D618">
        <v>78.48</v>
      </c>
      <c r="E618">
        <v>73.046325999999993</v>
      </c>
      <c r="G618" s="3">
        <v>1.9337306895566E-3</v>
      </c>
      <c r="I618" s="15">
        <f t="shared" si="68"/>
        <v>7.5584461240991337E-3</v>
      </c>
      <c r="J618" s="15">
        <f t="shared" si="69"/>
        <v>4.8655569782331586E-3</v>
      </c>
      <c r="K618" s="15">
        <f t="shared" si="70"/>
        <v>-1.813224709116215E-3</v>
      </c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BJ618">
        <f t="shared" si="64"/>
        <v>3.7393143797330436E-6</v>
      </c>
      <c r="BK618">
        <f t="shared" si="66"/>
        <v>4.091303267359379E-5</v>
      </c>
      <c r="BO618">
        <f t="shared" si="67"/>
        <v>7.5736959085115086E-5</v>
      </c>
      <c r="BP618">
        <f t="shared" si="65"/>
        <v>3.8004974166305225</v>
      </c>
    </row>
    <row r="619" spans="1:68" x14ac:dyDescent="0.15">
      <c r="A619" s="5">
        <v>44461</v>
      </c>
      <c r="B619" s="1"/>
      <c r="C619">
        <v>114.78</v>
      </c>
      <c r="D619">
        <v>79.88</v>
      </c>
      <c r="E619">
        <v>72.629294999999999</v>
      </c>
      <c r="G619" s="3">
        <v>4.1052663449183601E-3</v>
      </c>
      <c r="I619" s="15">
        <f t="shared" si="68"/>
        <v>1.2212142358688117E-3</v>
      </c>
      <c r="J619" s="15">
        <f t="shared" si="69"/>
        <v>1.783893985728837E-2</v>
      </c>
      <c r="K619" s="15">
        <f t="shared" si="70"/>
        <v>-5.7091303948674215E-3</v>
      </c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BJ619">
        <f t="shared" si="64"/>
        <v>1.6853211762719352E-5</v>
      </c>
      <c r="BK619">
        <f t="shared" si="66"/>
        <v>3.8682609575962142E-5</v>
      </c>
      <c r="BO619">
        <f t="shared" si="67"/>
        <v>6.5878845571829239E-5</v>
      </c>
      <c r="BP619">
        <f t="shared" si="65"/>
        <v>3.7669974059661979</v>
      </c>
    </row>
    <row r="620" spans="1:68" x14ac:dyDescent="0.15">
      <c r="A620" s="5">
        <v>44462</v>
      </c>
      <c r="B620" s="1"/>
      <c r="C620">
        <v>115.02</v>
      </c>
      <c r="D620">
        <v>80.42</v>
      </c>
      <c r="E620">
        <v>73.273796000000004</v>
      </c>
      <c r="G620" s="3">
        <v>8.5358951441707395E-3</v>
      </c>
      <c r="I620" s="15">
        <f t="shared" si="68"/>
        <v>2.0909566126502428E-3</v>
      </c>
      <c r="J620" s="15">
        <f t="shared" si="69"/>
        <v>6.7601402103155519E-3</v>
      </c>
      <c r="K620" s="15">
        <f t="shared" si="70"/>
        <v>8.8738435365509922E-3</v>
      </c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BJ620">
        <f t="shared" si="64"/>
        <v>7.2861505912277612E-5</v>
      </c>
      <c r="BK620">
        <f t="shared" si="66"/>
        <v>3.7372845707167573E-5</v>
      </c>
      <c r="BO620">
        <f t="shared" si="67"/>
        <v>6.001403387744751E-5</v>
      </c>
      <c r="BP620">
        <f t="shared" si="65"/>
        <v>3.3344902981954405</v>
      </c>
    </row>
    <row r="621" spans="1:68" x14ac:dyDescent="0.15">
      <c r="A621" s="5">
        <v>44463</v>
      </c>
      <c r="B621" s="1"/>
      <c r="C621">
        <v>113.44</v>
      </c>
      <c r="D621">
        <v>80.3</v>
      </c>
      <c r="E621">
        <v>72.942070000000001</v>
      </c>
      <c r="G621" s="3">
        <v>-1.01703640676141E-2</v>
      </c>
      <c r="I621" s="15">
        <f t="shared" si="68"/>
        <v>-1.3736741436271939E-2</v>
      </c>
      <c r="J621" s="15">
        <f t="shared" si="69"/>
        <v>-1.4921661278289547E-3</v>
      </c>
      <c r="K621" s="15">
        <f t="shared" si="70"/>
        <v>-4.5272118834952029E-3</v>
      </c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BJ621">
        <f t="shared" si="64"/>
        <v>1.0343630526781601E-4</v>
      </c>
      <c r="BK621">
        <f t="shared" si="66"/>
        <v>3.9502165319474177E-5</v>
      </c>
      <c r="BO621">
        <f t="shared" si="67"/>
        <v>6.3390511634218039E-5</v>
      </c>
      <c r="BP621">
        <f t="shared" si="65"/>
        <v>3.0982938161688378</v>
      </c>
    </row>
    <row r="622" spans="1:68" x14ac:dyDescent="0.15">
      <c r="A622" s="5">
        <v>44466</v>
      </c>
      <c r="B622" s="1"/>
      <c r="C622">
        <v>111.5</v>
      </c>
      <c r="D622">
        <v>81.3</v>
      </c>
      <c r="E622">
        <v>72.657740000000004</v>
      </c>
      <c r="G622" s="3">
        <v>-1.0663920647246401E-2</v>
      </c>
      <c r="I622" s="15">
        <f t="shared" si="68"/>
        <v>-1.7101551480959078E-2</v>
      </c>
      <c r="J622" s="15">
        <f t="shared" si="69"/>
        <v>1.2453300124533002E-2</v>
      </c>
      <c r="K622" s="15">
        <f t="shared" si="70"/>
        <v>-3.8980248298409559E-3</v>
      </c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BJ622">
        <f t="shared" si="64"/>
        <v>1.137192035707681E-4</v>
      </c>
      <c r="BK622">
        <f t="shared" si="66"/>
        <v>4.3338213716374686E-5</v>
      </c>
      <c r="BO622">
        <f t="shared" si="67"/>
        <v>7.0393417966629367E-5</v>
      </c>
      <c r="BP622">
        <f t="shared" si="65"/>
        <v>3.054026546176035</v>
      </c>
    </row>
    <row r="623" spans="1:68" x14ac:dyDescent="0.15">
      <c r="A623" s="5">
        <v>44467</v>
      </c>
      <c r="B623" s="1"/>
      <c r="C623">
        <v>109.96</v>
      </c>
      <c r="D623">
        <v>80.02</v>
      </c>
      <c r="E623">
        <v>72.145930000000007</v>
      </c>
      <c r="G623" s="3">
        <v>-1.75859604309286E-2</v>
      </c>
      <c r="I623" s="15">
        <f t="shared" si="68"/>
        <v>-1.3811659192825168E-2</v>
      </c>
      <c r="J623" s="15">
        <f t="shared" si="69"/>
        <v>-1.5744157441574431E-2</v>
      </c>
      <c r="K623" s="15">
        <f t="shared" si="70"/>
        <v>-7.0441222091410629E-3</v>
      </c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BJ623">
        <f t="shared" si="64"/>
        <v>3.0926600427818641E-4</v>
      </c>
      <c r="BK623">
        <f t="shared" si="66"/>
        <v>4.7561073107638291E-5</v>
      </c>
      <c r="BO623">
        <f t="shared" si="67"/>
        <v>7.7350841683410438E-5</v>
      </c>
      <c r="BP623">
        <f t="shared" si="65"/>
        <v>1.8155289348499053</v>
      </c>
    </row>
    <row r="624" spans="1:68" x14ac:dyDescent="0.15">
      <c r="A624" s="5">
        <v>44468</v>
      </c>
      <c r="B624" s="1"/>
      <c r="C624">
        <v>112.46</v>
      </c>
      <c r="D624">
        <v>80.819999999999993</v>
      </c>
      <c r="E624">
        <v>73.197975</v>
      </c>
      <c r="G624" s="3">
        <v>1.2428726081442401E-2</v>
      </c>
      <c r="I624" s="15">
        <f t="shared" si="68"/>
        <v>2.2735540196435068E-2</v>
      </c>
      <c r="J624" s="15">
        <f t="shared" si="69"/>
        <v>9.9975006248437543E-3</v>
      </c>
      <c r="K624" s="15">
        <f t="shared" si="70"/>
        <v>1.4582180865919845E-2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BJ624">
        <f t="shared" si="64"/>
        <v>1.5447323200752658E-4</v>
      </c>
      <c r="BK624">
        <f t="shared" si="66"/>
        <v>6.3263368977871186E-5</v>
      </c>
      <c r="BO624">
        <f t="shared" si="67"/>
        <v>1.1065790975962187E-4</v>
      </c>
      <c r="BP624">
        <f t="shared" si="65"/>
        <v>2.9376185126535352</v>
      </c>
    </row>
    <row r="625" spans="1:68" x14ac:dyDescent="0.15">
      <c r="A625" s="5">
        <v>44469</v>
      </c>
      <c r="B625" s="1"/>
      <c r="C625">
        <v>112.7</v>
      </c>
      <c r="D625">
        <v>80.14</v>
      </c>
      <c r="E625">
        <v>72.818860000000001</v>
      </c>
      <c r="G625" s="3">
        <v>1.21398963428909E-3</v>
      </c>
      <c r="I625" s="15">
        <f t="shared" si="68"/>
        <v>2.1340921216433319E-3</v>
      </c>
      <c r="J625" s="15">
        <f t="shared" si="69"/>
        <v>-8.4137589705517522E-3</v>
      </c>
      <c r="K625" s="15">
        <f t="shared" si="70"/>
        <v>-5.1793099467573904E-3</v>
      </c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BJ625">
        <f t="shared" si="64"/>
        <v>1.4737708321613583E-6</v>
      </c>
      <c r="BK625">
        <f t="shared" si="66"/>
        <v>6.8735960759650519E-5</v>
      </c>
      <c r="BO625">
        <f t="shared" si="67"/>
        <v>1.1473765263056256E-4</v>
      </c>
      <c r="BP625">
        <f t="shared" si="65"/>
        <v>3.6110702749165453</v>
      </c>
    </row>
    <row r="626" spans="1:68" x14ac:dyDescent="0.15">
      <c r="A626" s="5">
        <v>44470</v>
      </c>
      <c r="B626" s="1"/>
      <c r="C626">
        <v>111.72</v>
      </c>
      <c r="D626">
        <v>79.739999999999995</v>
      </c>
      <c r="E626">
        <v>72.089060000000003</v>
      </c>
      <c r="G626" s="3">
        <v>-5.76091068654494E-3</v>
      </c>
      <c r="I626" s="15">
        <f t="shared" si="68"/>
        <v>-8.6956521739130783E-3</v>
      </c>
      <c r="J626" s="15">
        <f t="shared" si="69"/>
        <v>-4.9912652857500087E-3</v>
      </c>
      <c r="K626" s="15">
        <f t="shared" si="70"/>
        <v>-1.0022128882544952E-2</v>
      </c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BJ626">
        <f t="shared" si="64"/>
        <v>3.318809193834769E-5</v>
      </c>
      <c r="BK626">
        <f t="shared" si="66"/>
        <v>6.4700229364001168E-5</v>
      </c>
      <c r="BO626">
        <f t="shared" si="67"/>
        <v>9.6147504377595136E-5</v>
      </c>
      <c r="BP626">
        <f t="shared" si="65"/>
        <v>3.533285526557747</v>
      </c>
    </row>
    <row r="627" spans="1:68" x14ac:dyDescent="0.15">
      <c r="A627" s="5">
        <v>44473</v>
      </c>
      <c r="B627" s="1"/>
      <c r="C627">
        <v>112</v>
      </c>
      <c r="D627">
        <v>79.8</v>
      </c>
      <c r="E627">
        <v>72.326003999999998</v>
      </c>
      <c r="G627" s="3">
        <v>6.02902669528004E-4</v>
      </c>
      <c r="I627" s="15">
        <f t="shared" si="68"/>
        <v>2.5062656641604113E-3</v>
      </c>
      <c r="J627" s="15">
        <f t="shared" si="69"/>
        <v>7.5244544770506998E-4</v>
      </c>
      <c r="K627" s="15">
        <f t="shared" si="70"/>
        <v>3.2868232711037435E-3</v>
      </c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BJ627">
        <f t="shared" si="64"/>
        <v>3.6349162892399358E-7</v>
      </c>
      <c r="BK627">
        <f t="shared" si="66"/>
        <v>6.2809501118461954E-5</v>
      </c>
      <c r="BO627">
        <f t="shared" si="67"/>
        <v>8.6082545444709791E-5</v>
      </c>
      <c r="BP627">
        <f t="shared" si="65"/>
        <v>3.7590521155097374</v>
      </c>
    </row>
    <row r="628" spans="1:68" x14ac:dyDescent="0.15">
      <c r="A628" s="5">
        <v>44474</v>
      </c>
      <c r="B628" s="1"/>
      <c r="C628">
        <v>112.16</v>
      </c>
      <c r="D628">
        <v>79.959999999999994</v>
      </c>
      <c r="E628">
        <v>72.03219</v>
      </c>
      <c r="G628" s="3">
        <v>4.0140726970405699E-4</v>
      </c>
      <c r="I628" s="15">
        <f t="shared" si="68"/>
        <v>1.4285714285713982E-3</v>
      </c>
      <c r="J628" s="15">
        <f t="shared" si="69"/>
        <v>2.0050125313282783E-3</v>
      </c>
      <c r="K628" s="15">
        <f t="shared" si="70"/>
        <v>-4.0623563276079456E-3</v>
      </c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BJ628">
        <f t="shared" si="64"/>
        <v>1.6112779617126555E-7</v>
      </c>
      <c r="BK628">
        <f t="shared" si="66"/>
        <v>5.9062740549089673E-5</v>
      </c>
      <c r="BO628">
        <f t="shared" si="67"/>
        <v>7.3512919069462716E-5</v>
      </c>
      <c r="BP628">
        <f t="shared" si="65"/>
        <v>3.8389902507362508</v>
      </c>
    </row>
    <row r="629" spans="1:68" x14ac:dyDescent="0.15">
      <c r="A629" s="5">
        <v>44475</v>
      </c>
      <c r="B629" s="1"/>
      <c r="C629">
        <v>112.16</v>
      </c>
      <c r="D629">
        <v>79.56</v>
      </c>
      <c r="E629">
        <v>71.634119999999996</v>
      </c>
      <c r="G629" s="3">
        <v>-1.52042907693195E-3</v>
      </c>
      <c r="I629" s="15">
        <f t="shared" si="68"/>
        <v>0</v>
      </c>
      <c r="J629" s="15">
        <f t="shared" si="69"/>
        <v>-5.0025012506252067E-3</v>
      </c>
      <c r="K629" s="15">
        <f t="shared" si="70"/>
        <v>-5.5262792926329763E-3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BJ629">
        <f t="shared" si="64"/>
        <v>2.3117045779801414E-6</v>
      </c>
      <c r="BK629">
        <f t="shared" si="66"/>
        <v>5.5528643783914559E-5</v>
      </c>
      <c r="BO629">
        <f t="shared" si="67"/>
        <v>6.3624749681995938E-5</v>
      </c>
      <c r="BP629">
        <f t="shared" si="65"/>
        <v>3.8941487668537738</v>
      </c>
    </row>
    <row r="630" spans="1:68" x14ac:dyDescent="0.15">
      <c r="A630" s="5">
        <v>44476</v>
      </c>
      <c r="B630" s="1"/>
      <c r="C630">
        <v>112.82</v>
      </c>
      <c r="D630">
        <v>80.72</v>
      </c>
      <c r="E630">
        <v>72.752520000000004</v>
      </c>
      <c r="G630" s="3">
        <v>1.6790335872095899E-2</v>
      </c>
      <c r="I630" s="15">
        <f t="shared" si="68"/>
        <v>5.8844507845934079E-3</v>
      </c>
      <c r="J630" s="15">
        <f t="shared" si="69"/>
        <v>1.4580191050779243E-2</v>
      </c>
      <c r="K630" s="15">
        <f t="shared" si="70"/>
        <v>1.5612671726825266E-2</v>
      </c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BJ630">
        <f t="shared" si="64"/>
        <v>2.8191537869779034E-4</v>
      </c>
      <c r="BK630">
        <f t="shared" si="66"/>
        <v>5.233562743155849E-5</v>
      </c>
      <c r="BO630">
        <f t="shared" si="67"/>
        <v>5.6174964606535247E-5</v>
      </c>
      <c r="BP630">
        <f t="shared" si="65"/>
        <v>1.4653194132682632</v>
      </c>
    </row>
    <row r="631" spans="1:68" x14ac:dyDescent="0.15">
      <c r="A631" s="5">
        <v>44477</v>
      </c>
      <c r="B631" s="1"/>
      <c r="C631">
        <v>112.46</v>
      </c>
      <c r="D631">
        <v>80.7</v>
      </c>
      <c r="E631">
        <v>72.60087</v>
      </c>
      <c r="G631" s="3">
        <v>1.1456610947391199E-4</v>
      </c>
      <c r="I631" s="15">
        <f t="shared" si="68"/>
        <v>-3.1909235951072456E-3</v>
      </c>
      <c r="J631" s="15">
        <f t="shared" si="69"/>
        <v>-2.4777006937557014E-4</v>
      </c>
      <c r="K631" s="15">
        <f t="shared" si="70"/>
        <v>-2.0844638783646752E-3</v>
      </c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BJ631">
        <f t="shared" si="64"/>
        <v>1.3125393439988387E-8</v>
      </c>
      <c r="BK631">
        <f t="shared" si="66"/>
        <v>6.6110412507532421E-5</v>
      </c>
      <c r="BO631">
        <f t="shared" si="67"/>
        <v>9.0152719046396969E-5</v>
      </c>
      <c r="BP631">
        <f t="shared" si="65"/>
        <v>3.7379913951737391</v>
      </c>
    </row>
    <row r="632" spans="1:68" x14ac:dyDescent="0.15">
      <c r="A632" s="5">
        <v>44480</v>
      </c>
      <c r="B632" s="1"/>
      <c r="C632">
        <v>112.12</v>
      </c>
      <c r="D632">
        <v>80.36</v>
      </c>
      <c r="E632">
        <v>72.695639999999997</v>
      </c>
      <c r="G632" s="3">
        <v>5.59664250595171E-4</v>
      </c>
      <c r="I632" s="15">
        <f t="shared" si="68"/>
        <v>-3.0232971723278428E-3</v>
      </c>
      <c r="J632" s="15">
        <f t="shared" si="69"/>
        <v>-4.2131350681536978E-3</v>
      </c>
      <c r="K632" s="15">
        <f t="shared" si="70"/>
        <v>1.3053562581274427E-3</v>
      </c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BJ632">
        <f t="shared" si="64"/>
        <v>3.1322407339425434E-7</v>
      </c>
      <c r="BK632">
        <f t="shared" si="66"/>
        <v>6.2144575280686877E-5</v>
      </c>
      <c r="BO632">
        <f t="shared" si="67"/>
        <v>7.6655577807099574E-5</v>
      </c>
      <c r="BP632">
        <f t="shared" si="65"/>
        <v>3.8171124983308613</v>
      </c>
    </row>
    <row r="633" spans="1:68" x14ac:dyDescent="0.15">
      <c r="A633" s="5">
        <v>44481</v>
      </c>
      <c r="B633" s="1"/>
      <c r="C633">
        <v>112.6</v>
      </c>
      <c r="D633">
        <v>80.260000000000005</v>
      </c>
      <c r="E633">
        <v>72.562950000000001</v>
      </c>
      <c r="G633" s="3">
        <v>-1.2584963460985298E-3</v>
      </c>
      <c r="I633" s="15">
        <f t="shared" si="68"/>
        <v>4.2811273635389741E-3</v>
      </c>
      <c r="J633" s="15">
        <f t="shared" si="69"/>
        <v>-1.2444001991039611E-3</v>
      </c>
      <c r="K633" s="15">
        <f t="shared" si="70"/>
        <v>-1.8252814061475579E-3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BJ633">
        <f t="shared" si="64"/>
        <v>1.5838130531433506E-6</v>
      </c>
      <c r="BK633">
        <f t="shared" si="66"/>
        <v>5.843469420824932E-5</v>
      </c>
      <c r="BO633">
        <f t="shared" si="67"/>
        <v>6.6111446211840349E-5</v>
      </c>
      <c r="BP633">
        <f t="shared" si="65"/>
        <v>3.8811674399702407</v>
      </c>
    </row>
    <row r="634" spans="1:68" x14ac:dyDescent="0.15">
      <c r="A634" s="5">
        <v>44482</v>
      </c>
      <c r="B634" s="1"/>
      <c r="C634">
        <v>113.32</v>
      </c>
      <c r="D634">
        <v>79.7</v>
      </c>
      <c r="E634">
        <v>72.50609</v>
      </c>
      <c r="G634" s="3">
        <v>4.9195400049693002E-3</v>
      </c>
      <c r="I634" s="15">
        <f t="shared" si="68"/>
        <v>6.394316163410292E-3</v>
      </c>
      <c r="J634" s="15">
        <f t="shared" si="69"/>
        <v>-6.977323697981588E-3</v>
      </c>
      <c r="K634" s="15">
        <f t="shared" si="70"/>
        <v>-7.8359548502369807E-4</v>
      </c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BJ634">
        <f t="shared" si="64"/>
        <v>2.4201873860493343E-5</v>
      </c>
      <c r="BK634">
        <f t="shared" si="66"/>
        <v>5.5023641338942956E-5</v>
      </c>
      <c r="BO634">
        <f t="shared" si="67"/>
        <v>5.8021810245567538E-5</v>
      </c>
      <c r="BP634">
        <f t="shared" si="65"/>
        <v>3.7498488389030928</v>
      </c>
    </row>
    <row r="635" spans="1:68" x14ac:dyDescent="0.15">
      <c r="A635" s="5">
        <v>44483</v>
      </c>
      <c r="B635" s="1"/>
      <c r="C635">
        <v>114.42</v>
      </c>
      <c r="D635">
        <v>80.38</v>
      </c>
      <c r="E635">
        <v>72.468180000000004</v>
      </c>
      <c r="G635" s="3">
        <v>6.5953675286347605E-3</v>
      </c>
      <c r="I635" s="15">
        <f t="shared" si="68"/>
        <v>9.707024355806641E-3</v>
      </c>
      <c r="J635" s="15">
        <f t="shared" si="69"/>
        <v>8.5319949811793298E-3</v>
      </c>
      <c r="K635" s="15">
        <f t="shared" si="70"/>
        <v>-5.2285263210299384E-4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BJ635">
        <f t="shared" si="64"/>
        <v>4.3498872837769789E-5</v>
      </c>
      <c r="BK635">
        <f t="shared" si="66"/>
        <v>5.3174335290235981E-5</v>
      </c>
      <c r="BO635">
        <f t="shared" si="67"/>
        <v>5.4897739630400633E-5</v>
      </c>
      <c r="BP635">
        <f t="shared" si="65"/>
        <v>3.589899748639902</v>
      </c>
    </row>
    <row r="636" spans="1:68" x14ac:dyDescent="0.15">
      <c r="A636" s="5">
        <v>44484</v>
      </c>
      <c r="B636" s="1"/>
      <c r="C636">
        <v>114.82</v>
      </c>
      <c r="D636">
        <v>81.260000000000005</v>
      </c>
      <c r="E636">
        <v>72.913634999999999</v>
      </c>
      <c r="G636" s="3">
        <v>5.7872820112176903E-3</v>
      </c>
      <c r="I636" s="15">
        <f t="shared" si="68"/>
        <v>3.4958923265162689E-3</v>
      </c>
      <c r="J636" s="15">
        <f t="shared" si="69"/>
        <v>1.0947997014182753E-2</v>
      </c>
      <c r="K636" s="15">
        <f t="shared" si="70"/>
        <v>6.1469047518510258E-3</v>
      </c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BJ636">
        <f t="shared" si="64"/>
        <v>3.3492633077363872E-5</v>
      </c>
      <c r="BK636">
        <f t="shared" si="66"/>
        <v>5.2593807543088005E-5</v>
      </c>
      <c r="BO636">
        <f t="shared" si="67"/>
        <v>5.5195567048399849E-5</v>
      </c>
      <c r="BP636">
        <f t="shared" si="65"/>
        <v>3.6799757595361733</v>
      </c>
    </row>
    <row r="637" spans="1:68" x14ac:dyDescent="0.15">
      <c r="A637" s="5">
        <v>44487</v>
      </c>
      <c r="B637" s="1"/>
      <c r="C637">
        <v>115</v>
      </c>
      <c r="D637">
        <v>81.040000000000006</v>
      </c>
      <c r="E637">
        <v>72.335489999999993</v>
      </c>
      <c r="G637" s="3">
        <v>5.63742628327368E-4</v>
      </c>
      <c r="I637" s="15">
        <f t="shared" si="68"/>
        <v>1.5676711374325626E-3</v>
      </c>
      <c r="J637" s="15">
        <f t="shared" si="69"/>
        <v>-2.7073590942653068E-3</v>
      </c>
      <c r="K637" s="15">
        <f t="shared" si="70"/>
        <v>-7.9291753867435956E-3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BJ637">
        <f t="shared" si="64"/>
        <v>3.17805750993449E-7</v>
      </c>
      <c r="BK637">
        <f t="shared" si="66"/>
        <v>5.1447737075144555E-5</v>
      </c>
      <c r="BO637">
        <f t="shared" si="67"/>
        <v>5.4004086010876793E-5</v>
      </c>
      <c r="BP637">
        <f t="shared" si="65"/>
        <v>3.9913444672939957</v>
      </c>
    </row>
    <row r="638" spans="1:68" x14ac:dyDescent="0.15">
      <c r="A638" s="5">
        <v>44488</v>
      </c>
      <c r="B638" s="1"/>
      <c r="C638">
        <v>112.96</v>
      </c>
      <c r="D638">
        <v>82.08</v>
      </c>
      <c r="E638">
        <v>72.686170000000004</v>
      </c>
      <c r="G638" s="3">
        <v>-2.1178335999650897E-3</v>
      </c>
      <c r="I638" s="15">
        <f t="shared" si="68"/>
        <v>-1.7739130434782664E-2</v>
      </c>
      <c r="J638" s="15">
        <f t="shared" si="69"/>
        <v>1.2833168805528036E-2</v>
      </c>
      <c r="K638" s="15">
        <f t="shared" si="70"/>
        <v>4.8479660537311797E-3</v>
      </c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BJ638">
        <f t="shared" si="64"/>
        <v>4.4852191571410918E-6</v>
      </c>
      <c r="BK638">
        <f t="shared" si="66"/>
        <v>4.8379941195695483E-5</v>
      </c>
      <c r="BO638">
        <f t="shared" si="67"/>
        <v>4.8344748350239033E-5</v>
      </c>
      <c r="BP638">
        <f t="shared" si="65"/>
        <v>4.0032500831445459</v>
      </c>
    </row>
    <row r="639" spans="1:68" x14ac:dyDescent="0.15">
      <c r="A639" s="5">
        <v>44489</v>
      </c>
      <c r="B639" s="1"/>
      <c r="C639">
        <v>115.96</v>
      </c>
      <c r="D639">
        <v>82.42</v>
      </c>
      <c r="E639">
        <v>73.662390000000002</v>
      </c>
      <c r="G639" s="3">
        <v>5.8960898621465098E-3</v>
      </c>
      <c r="I639" s="15">
        <f t="shared" si="68"/>
        <v>2.6558073654390935E-2</v>
      </c>
      <c r="J639" s="15">
        <f t="shared" si="69"/>
        <v>4.1423001949318153E-3</v>
      </c>
      <c r="K639" s="15">
        <f t="shared" si="70"/>
        <v>1.3430615480221311E-2</v>
      </c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BJ639">
        <f t="shared" si="64"/>
        <v>3.4763875662506846E-5</v>
      </c>
      <c r="BK639">
        <f t="shared" si="66"/>
        <v>4.574625787338222E-5</v>
      </c>
      <c r="BO639">
        <f t="shared" si="67"/>
        <v>4.4499207563490682E-5</v>
      </c>
      <c r="BP639">
        <f t="shared" si="65"/>
        <v>3.7004687546763408</v>
      </c>
    </row>
    <row r="640" spans="1:68" x14ac:dyDescent="0.15">
      <c r="A640" s="5">
        <v>44490</v>
      </c>
      <c r="B640" s="1"/>
      <c r="C640">
        <v>116.88</v>
      </c>
      <c r="D640">
        <v>81.72</v>
      </c>
      <c r="E640">
        <v>73.501273999999995</v>
      </c>
      <c r="G640" s="3">
        <v>2.16307180768549E-3</v>
      </c>
      <c r="I640" s="15">
        <f t="shared" si="68"/>
        <v>7.9337702656088454E-3</v>
      </c>
      <c r="J640" s="15">
        <f t="shared" si="69"/>
        <v>-8.4930842028634167E-3</v>
      </c>
      <c r="K640" s="15">
        <f t="shared" si="70"/>
        <v>-2.1872220002637291E-3</v>
      </c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BJ640">
        <f t="shared" si="64"/>
        <v>4.6788796452037732E-6</v>
      </c>
      <c r="BK640">
        <f t="shared" si="66"/>
        <v>4.5087314940729702E-5</v>
      </c>
      <c r="BO640">
        <f t="shared" si="67"/>
        <v>4.5795138798896494E-5</v>
      </c>
      <c r="BP640">
        <f t="shared" si="65"/>
        <v>4.0256428786673162</v>
      </c>
    </row>
    <row r="641" spans="1:68" x14ac:dyDescent="0.15">
      <c r="A641" s="5">
        <v>44491</v>
      </c>
      <c r="B641" s="1"/>
      <c r="C641">
        <v>117.06</v>
      </c>
      <c r="D641">
        <v>81.58</v>
      </c>
      <c r="E641">
        <v>73.491789999999995</v>
      </c>
      <c r="G641" s="3">
        <v>1.41818890150036E-3</v>
      </c>
      <c r="I641" s="15">
        <f t="shared" si="68"/>
        <v>1.5400410677618654E-3</v>
      </c>
      <c r="J641" s="15">
        <f t="shared" si="69"/>
        <v>-1.7131669114048037E-3</v>
      </c>
      <c r="K641" s="15">
        <f t="shared" si="70"/>
        <v>-1.2903177705464661E-4</v>
      </c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BJ641">
        <f t="shared" si="64"/>
        <v>2.0112597603387978E-6</v>
      </c>
      <c r="BK641">
        <f t="shared" si="66"/>
        <v>4.2662808822998139E-5</v>
      </c>
      <c r="BO641">
        <f t="shared" si="67"/>
        <v>4.2526928997827903E-5</v>
      </c>
      <c r="BP641">
        <f t="shared" si="65"/>
        <v>4.0901011000957173</v>
      </c>
    </row>
    <row r="642" spans="1:68" x14ac:dyDescent="0.15">
      <c r="A642" s="5">
        <v>44494</v>
      </c>
      <c r="B642" s="1"/>
      <c r="C642">
        <v>116.8</v>
      </c>
      <c r="D642">
        <v>81.760000000000005</v>
      </c>
      <c r="E642">
        <v>72.998940000000005</v>
      </c>
      <c r="G642" s="3">
        <v>5.7680835039741708E-4</v>
      </c>
      <c r="I642" s="15">
        <f t="shared" si="68"/>
        <v>-2.2210832051939612E-3</v>
      </c>
      <c r="J642" s="15">
        <f t="shared" si="69"/>
        <v>2.2064231429272719E-3</v>
      </c>
      <c r="K642" s="15">
        <f t="shared" si="70"/>
        <v>-6.7061912629967245E-3</v>
      </c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BJ642">
        <f t="shared" ref="BJ642:BJ705" si="71">G642^2</f>
        <v>3.327078730881895E-7</v>
      </c>
      <c r="BK642">
        <f t="shared" si="66"/>
        <v>4.0223715879238577E-5</v>
      </c>
      <c r="BO642">
        <f t="shared" si="67"/>
        <v>3.9583491525966064E-5</v>
      </c>
      <c r="BP642">
        <f t="shared" ref="BP642:BP705" si="72" xml:space="preserve"> -0.5 * (LN(2 * PI()) + LN(BO642) + (BJ642) / BO642)</f>
        <v>4.1454080614655808</v>
      </c>
    </row>
    <row r="643" spans="1:68" x14ac:dyDescent="0.15">
      <c r="A643" s="5">
        <v>44495</v>
      </c>
      <c r="B643" s="1"/>
      <c r="C643">
        <v>117.46</v>
      </c>
      <c r="D643">
        <v>83.98</v>
      </c>
      <c r="E643">
        <v>73.804564999999997</v>
      </c>
      <c r="G643" s="3">
        <v>6.9097688635721896E-3</v>
      </c>
      <c r="I643" s="15">
        <f t="shared" si="68"/>
        <v>5.65068493150682E-3</v>
      </c>
      <c r="J643" s="15">
        <f t="shared" si="69"/>
        <v>2.7152641878669261E-2</v>
      </c>
      <c r="K643" s="15">
        <f t="shared" si="70"/>
        <v>1.1036119154606793E-2</v>
      </c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BJ643">
        <f t="shared" si="71"/>
        <v>4.7744905747991707E-5</v>
      </c>
      <c r="BK643">
        <f t="shared" ref="BK643:BK706" si="73">$BM$2 * BK642 + (1 - $BM$2) * BJ642</f>
        <v>3.7830255398869556E-5</v>
      </c>
      <c r="BO643">
        <f t="shared" ref="BO643:BO706" si="74" xml:space="preserve"> $BR$2 + $BS$2 * BJ642 + $BT$2 * BO642</f>
        <v>3.7035661841113924E-5</v>
      </c>
      <c r="BP643">
        <f t="shared" si="72"/>
        <v>3.5382959437320483</v>
      </c>
    </row>
    <row r="644" spans="1:68" x14ac:dyDescent="0.15">
      <c r="A644" s="5">
        <v>44496</v>
      </c>
      <c r="B644" s="1"/>
      <c r="C644">
        <v>118</v>
      </c>
      <c r="D644">
        <v>85.02</v>
      </c>
      <c r="E644">
        <v>72.051150000000007</v>
      </c>
      <c r="G644" s="3">
        <v>-4.8627978248331196E-3</v>
      </c>
      <c r="I644" s="15">
        <f t="shared" ref="I644:I707" si="75">(C644-C643)/C643</f>
        <v>4.5973097224587629E-3</v>
      </c>
      <c r="J644" s="15">
        <f t="shared" ref="J644:J707" si="76">(D644-D643)/D643</f>
        <v>1.2383900928792475E-2</v>
      </c>
      <c r="K644" s="15">
        <f t="shared" ref="K644:K707" si="77">(E644-E643)/E643</f>
        <v>-2.3757541284878378E-2</v>
      </c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BJ644">
        <f t="shared" si="71"/>
        <v>2.364680268520172E-5</v>
      </c>
      <c r="BK644">
        <f t="shared" si="73"/>
        <v>3.8425134419816883E-5</v>
      </c>
      <c r="BO644">
        <f t="shared" si="74"/>
        <v>4.1789652374902284E-5</v>
      </c>
      <c r="BP644">
        <f t="shared" si="72"/>
        <v>3.8395658366049399</v>
      </c>
    </row>
    <row r="645" spans="1:68" x14ac:dyDescent="0.15">
      <c r="A645" s="5">
        <v>44497</v>
      </c>
      <c r="B645" s="1"/>
      <c r="C645">
        <v>119.92</v>
      </c>
      <c r="D645">
        <v>85.7</v>
      </c>
      <c r="E645">
        <v>72.525040000000004</v>
      </c>
      <c r="G645" s="3">
        <v>5.4305945249390995E-3</v>
      </c>
      <c r="I645" s="15">
        <f t="shared" si="75"/>
        <v>1.627118644067798E-2</v>
      </c>
      <c r="J645" s="15">
        <f t="shared" si="76"/>
        <v>7.9981180898612905E-3</v>
      </c>
      <c r="K645" s="15">
        <f t="shared" si="77"/>
        <v>6.5771330506174744E-3</v>
      </c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BJ645">
        <f t="shared" si="71"/>
        <v>2.9491356894298524E-5</v>
      </c>
      <c r="BK645">
        <f t="shared" si="73"/>
        <v>3.7538434515739977E-5</v>
      </c>
      <c r="BO645">
        <f t="shared" si="74"/>
        <v>4.2086525467481996E-5</v>
      </c>
      <c r="BP645">
        <f t="shared" si="72"/>
        <v>3.7685871481736646</v>
      </c>
    </row>
    <row r="646" spans="1:68" x14ac:dyDescent="0.15">
      <c r="A646" s="5">
        <v>44498</v>
      </c>
      <c r="B646" s="1"/>
      <c r="C646">
        <v>120.82</v>
      </c>
      <c r="D646">
        <v>88.64</v>
      </c>
      <c r="E646">
        <v>71.690989999999999</v>
      </c>
      <c r="G646" s="3">
        <v>-3.6966511796418999E-3</v>
      </c>
      <c r="I646" s="15">
        <f t="shared" si="75"/>
        <v>7.5050033355569664E-3</v>
      </c>
      <c r="J646" s="15">
        <f t="shared" si="76"/>
        <v>3.4305717619603236E-2</v>
      </c>
      <c r="K646" s="15">
        <f t="shared" si="77"/>
        <v>-1.1500166011628602E-2</v>
      </c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BJ646">
        <f t="shared" si="71"/>
        <v>1.366522994394785E-5</v>
      </c>
      <c r="BK646">
        <f t="shared" si="73"/>
        <v>3.7055609858453488E-5</v>
      </c>
      <c r="BO646">
        <f t="shared" si="74"/>
        <v>4.3151768947207964E-5</v>
      </c>
      <c r="BP646">
        <f t="shared" si="72"/>
        <v>3.9481158769008409</v>
      </c>
    </row>
    <row r="647" spans="1:68" x14ac:dyDescent="0.15">
      <c r="A647" s="5">
        <v>44501</v>
      </c>
      <c r="B647" s="1"/>
      <c r="C647">
        <v>120.4</v>
      </c>
      <c r="D647">
        <v>88.96</v>
      </c>
      <c r="E647">
        <v>72.581909999999993</v>
      </c>
      <c r="G647" s="3">
        <v>8.9328202325986705E-3</v>
      </c>
      <c r="I647" s="15">
        <f t="shared" si="75"/>
        <v>-3.4762456546928284E-3</v>
      </c>
      <c r="J647" s="15">
        <f t="shared" si="76"/>
        <v>3.6101083032490204E-3</v>
      </c>
      <c r="K647" s="15">
        <f t="shared" si="77"/>
        <v>1.2427224118400292E-2</v>
      </c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BJ647">
        <f t="shared" si="71"/>
        <v>7.9795277307924173E-5</v>
      </c>
      <c r="BK647">
        <f t="shared" si="73"/>
        <v>3.5652187063583147E-5</v>
      </c>
      <c r="BO647">
        <f t="shared" si="74"/>
        <v>4.1733363381473493E-5</v>
      </c>
      <c r="BP647">
        <f t="shared" si="72"/>
        <v>3.1671532833436893</v>
      </c>
    </row>
    <row r="648" spans="1:68" x14ac:dyDescent="0.15">
      <c r="A648" s="5">
        <v>44502</v>
      </c>
      <c r="B648" s="1"/>
      <c r="C648">
        <v>120.6</v>
      </c>
      <c r="D648">
        <v>90.26</v>
      </c>
      <c r="E648">
        <v>72.828329999999994</v>
      </c>
      <c r="G648" s="3">
        <v>8.567840307619699E-3</v>
      </c>
      <c r="I648" s="15">
        <f t="shared" si="75"/>
        <v>1.6611295681062178E-3</v>
      </c>
      <c r="J648" s="15">
        <f t="shared" si="76"/>
        <v>1.4613309352518115E-2</v>
      </c>
      <c r="K648" s="15">
        <f t="shared" si="77"/>
        <v>3.3950608354065158E-3</v>
      </c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BJ648">
        <f t="shared" si="71"/>
        <v>7.3407887536872823E-5</v>
      </c>
      <c r="BK648">
        <f t="shared" si="73"/>
        <v>3.8300772478243612E-5</v>
      </c>
      <c r="BO648">
        <f t="shared" si="74"/>
        <v>5.0039049930344337E-5</v>
      </c>
      <c r="BP648">
        <f t="shared" si="72"/>
        <v>3.2989088879721211</v>
      </c>
    </row>
    <row r="649" spans="1:68" x14ac:dyDescent="0.15">
      <c r="A649" s="5">
        <v>44503</v>
      </c>
      <c r="B649" s="1"/>
      <c r="C649">
        <v>122.42</v>
      </c>
      <c r="D649">
        <v>91.5</v>
      </c>
      <c r="E649">
        <v>72.477649999999997</v>
      </c>
      <c r="G649" s="3">
        <v>5.0544389299564899E-3</v>
      </c>
      <c r="I649" s="15">
        <f t="shared" si="75"/>
        <v>1.5091210613598735E-2</v>
      </c>
      <c r="J649" s="15">
        <f t="shared" si="76"/>
        <v>1.3738089962330986E-2</v>
      </c>
      <c r="K649" s="15">
        <f t="shared" si="77"/>
        <v>-4.8151591557845279E-3</v>
      </c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BJ649">
        <f t="shared" si="71"/>
        <v>2.5547352896659707E-5</v>
      </c>
      <c r="BK649">
        <f t="shared" si="73"/>
        <v>4.0407199381761367E-5</v>
      </c>
      <c r="BO649">
        <f t="shared" si="74"/>
        <v>5.5644161279817475E-5</v>
      </c>
      <c r="BP649">
        <f t="shared" si="72"/>
        <v>3.7497681189206831</v>
      </c>
    </row>
    <row r="650" spans="1:68" x14ac:dyDescent="0.15">
      <c r="A650" s="5">
        <v>44504</v>
      </c>
      <c r="B650" s="1"/>
      <c r="C650">
        <v>123.34</v>
      </c>
      <c r="D650">
        <v>90.84</v>
      </c>
      <c r="E650">
        <v>72.34496</v>
      </c>
      <c r="G650" s="3">
        <v>1.5969565436264599E-3</v>
      </c>
      <c r="I650" s="15">
        <f t="shared" si="75"/>
        <v>7.5151119098186706E-3</v>
      </c>
      <c r="J650" s="15">
        <f t="shared" si="76"/>
        <v>-7.2131147540983234E-3</v>
      </c>
      <c r="K650" s="15">
        <f t="shared" si="77"/>
        <v>-1.8307712791460077E-3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BJ650">
        <f t="shared" si="71"/>
        <v>2.5502702022313692E-6</v>
      </c>
      <c r="BK650">
        <f t="shared" si="73"/>
        <v>3.9515608592655265E-5</v>
      </c>
      <c r="BO650">
        <f t="shared" si="74"/>
        <v>5.3224385520882732E-5</v>
      </c>
      <c r="BP650">
        <f t="shared" si="72"/>
        <v>3.9776006895881779</v>
      </c>
    </row>
    <row r="651" spans="1:68" x14ac:dyDescent="0.15">
      <c r="A651" s="5">
        <v>44505</v>
      </c>
      <c r="B651" s="1"/>
      <c r="C651">
        <v>123.18</v>
      </c>
      <c r="D651">
        <v>90.82</v>
      </c>
      <c r="E651">
        <v>72.117490000000004</v>
      </c>
      <c r="G651" s="3">
        <v>-6.5463856088012699E-3</v>
      </c>
      <c r="I651" s="15">
        <f t="shared" si="75"/>
        <v>-1.2972271769093285E-3</v>
      </c>
      <c r="J651" s="15">
        <f t="shared" si="76"/>
        <v>-2.2016732716876079E-4</v>
      </c>
      <c r="K651" s="15">
        <f t="shared" si="77"/>
        <v>-3.1442411468607726E-3</v>
      </c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BJ651">
        <f t="shared" si="71"/>
        <v>4.2855164539120375E-5</v>
      </c>
      <c r="BK651">
        <f t="shared" si="73"/>
        <v>3.7297688289229829E-5</v>
      </c>
      <c r="BO651">
        <f t="shared" si="74"/>
        <v>4.8051115809332323E-5</v>
      </c>
      <c r="BP651">
        <f t="shared" si="72"/>
        <v>3.6067509831379549</v>
      </c>
    </row>
    <row r="652" spans="1:68" x14ac:dyDescent="0.15">
      <c r="A652" s="5">
        <v>44508</v>
      </c>
      <c r="B652" s="1"/>
      <c r="C652">
        <v>122.2</v>
      </c>
      <c r="D652">
        <v>91.02</v>
      </c>
      <c r="E652">
        <v>72.089060000000003</v>
      </c>
      <c r="G652" s="3">
        <v>2.5559682125990604E-3</v>
      </c>
      <c r="I652" s="15">
        <f t="shared" si="75"/>
        <v>-7.9558369865238183E-3</v>
      </c>
      <c r="J652" s="15">
        <f t="shared" si="76"/>
        <v>2.202158114952685E-3</v>
      </c>
      <c r="K652" s="15">
        <f t="shared" si="77"/>
        <v>-3.9421782427536198E-4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BJ652">
        <f t="shared" si="71"/>
        <v>6.5329735038168355E-6</v>
      </c>
      <c r="BK652">
        <f t="shared" si="73"/>
        <v>3.7631136864223262E-5</v>
      </c>
      <c r="BO652">
        <f t="shared" si="74"/>
        <v>4.9733543283674958E-5</v>
      </c>
      <c r="BP652">
        <f t="shared" si="72"/>
        <v>3.9697971842151984</v>
      </c>
    </row>
    <row r="653" spans="1:68" x14ac:dyDescent="0.15">
      <c r="A653" s="5">
        <v>44509</v>
      </c>
      <c r="B653" s="1"/>
      <c r="C653">
        <v>122.96</v>
      </c>
      <c r="D653">
        <v>90.3</v>
      </c>
      <c r="E653">
        <v>71.918459999999996</v>
      </c>
      <c r="G653" s="3">
        <v>1.14740130718082E-3</v>
      </c>
      <c r="I653" s="15">
        <f t="shared" si="75"/>
        <v>6.219312602291251E-3</v>
      </c>
      <c r="J653" s="15">
        <f t="shared" si="76"/>
        <v>-7.910349373763996E-3</v>
      </c>
      <c r="K653" s="15">
        <f t="shared" si="77"/>
        <v>-2.366517194148563E-3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BJ653">
        <f t="shared" si="71"/>
        <v>1.3165297597202544E-6</v>
      </c>
      <c r="BK653">
        <f t="shared" si="73"/>
        <v>3.5765247062598875E-5</v>
      </c>
      <c r="BO653">
        <f t="shared" si="74"/>
        <v>4.5880190453976986E-5</v>
      </c>
      <c r="BP653">
        <f t="shared" si="72"/>
        <v>4.0614525492084024</v>
      </c>
    </row>
    <row r="654" spans="1:68" x14ac:dyDescent="0.15">
      <c r="A654" s="5">
        <v>44510</v>
      </c>
      <c r="B654" s="1"/>
      <c r="C654">
        <v>123.46</v>
      </c>
      <c r="D654">
        <v>90.2</v>
      </c>
      <c r="E654">
        <v>72.60087</v>
      </c>
      <c r="G654" s="3">
        <v>2.7393785222056201E-3</v>
      </c>
      <c r="I654" s="15">
        <f t="shared" si="75"/>
        <v>4.0663630448926485E-3</v>
      </c>
      <c r="J654" s="15">
        <f t="shared" si="76"/>
        <v>-1.1074197120708119E-3</v>
      </c>
      <c r="K654" s="15">
        <f t="shared" si="77"/>
        <v>9.4886625770352201E-3</v>
      </c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BJ654">
        <f t="shared" si="71"/>
        <v>7.5041946879214473E-6</v>
      </c>
      <c r="BK654">
        <f t="shared" si="73"/>
        <v>3.3698324024426155E-5</v>
      </c>
      <c r="BO654">
        <f t="shared" si="74"/>
        <v>4.2114775209069351E-5</v>
      </c>
      <c r="BP654">
        <f t="shared" si="72"/>
        <v>4.0295252436807987</v>
      </c>
    </row>
    <row r="655" spans="1:68" x14ac:dyDescent="0.15">
      <c r="A655" s="5">
        <v>44511</v>
      </c>
      <c r="B655" s="1"/>
      <c r="C655">
        <v>123.34</v>
      </c>
      <c r="D655">
        <v>89.28</v>
      </c>
      <c r="E655">
        <v>72.202799999999996</v>
      </c>
      <c r="G655" s="3">
        <v>1.5869044770819801E-3</v>
      </c>
      <c r="I655" s="15">
        <f t="shared" si="75"/>
        <v>-9.7197472865697668E-4</v>
      </c>
      <c r="J655" s="15">
        <f t="shared" si="76"/>
        <v>-1.0199556541019974E-2</v>
      </c>
      <c r="K655" s="15">
        <f t="shared" si="77"/>
        <v>-5.4829921459619447E-3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BJ655">
        <f t="shared" si="71"/>
        <v>2.5182658193828329E-6</v>
      </c>
      <c r="BK655">
        <f t="shared" si="73"/>
        <v>3.2126676264235871E-5</v>
      </c>
      <c r="BO655">
        <f t="shared" si="74"/>
        <v>4.0042511653366777E-5</v>
      </c>
      <c r="BP655">
        <f t="shared" si="72"/>
        <v>4.1124010018633728</v>
      </c>
    </row>
    <row r="656" spans="1:68" x14ac:dyDescent="0.15">
      <c r="A656" s="5">
        <v>44512</v>
      </c>
      <c r="B656" s="1"/>
      <c r="C656">
        <v>123.66</v>
      </c>
      <c r="D656">
        <v>89.18</v>
      </c>
      <c r="E656">
        <v>72.240710000000007</v>
      </c>
      <c r="G656" s="3">
        <v>7.6455674420712301E-3</v>
      </c>
      <c r="I656" s="15">
        <f t="shared" si="75"/>
        <v>2.594454353818657E-3</v>
      </c>
      <c r="J656" s="15">
        <f t="shared" si="76"/>
        <v>-1.12007168458775E-3</v>
      </c>
      <c r="K656" s="15">
        <f t="shared" si="77"/>
        <v>5.2504889007089434E-4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BJ656">
        <f t="shared" si="71"/>
        <v>5.8454701511259611E-5</v>
      </c>
      <c r="BK656">
        <f t="shared" si="73"/>
        <v>3.0350171637544688E-5</v>
      </c>
      <c r="BO656">
        <f t="shared" si="74"/>
        <v>3.7706975081929961E-5</v>
      </c>
      <c r="BP656">
        <f t="shared" si="72"/>
        <v>3.3987763149096204</v>
      </c>
    </row>
    <row r="657" spans="1:68" x14ac:dyDescent="0.15">
      <c r="A657" s="5">
        <v>44515</v>
      </c>
      <c r="B657" s="1"/>
      <c r="C657">
        <v>123.1</v>
      </c>
      <c r="D657">
        <v>88.8</v>
      </c>
      <c r="E657">
        <v>72.22175</v>
      </c>
      <c r="G657" s="3">
        <v>8.5562712909714693E-5</v>
      </c>
      <c r="I657" s="15">
        <f t="shared" si="75"/>
        <v>-4.5285460132621887E-3</v>
      </c>
      <c r="J657" s="15">
        <f t="shared" si="76"/>
        <v>-4.2610450773717164E-3</v>
      </c>
      <c r="K657" s="15">
        <f t="shared" si="77"/>
        <v>-2.6245589225253974E-4</v>
      </c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BJ657">
        <f t="shared" si="71"/>
        <v>7.3209778404702575E-9</v>
      </c>
      <c r="BK657">
        <f t="shared" si="73"/>
        <v>3.2036443429967586E-5</v>
      </c>
      <c r="BO657">
        <f t="shared" si="74"/>
        <v>4.3841507396651187E-5</v>
      </c>
      <c r="BP657">
        <f t="shared" si="72"/>
        <v>4.0984427390463063</v>
      </c>
    </row>
    <row r="658" spans="1:68" x14ac:dyDescent="0.15">
      <c r="A658" s="5">
        <v>44516</v>
      </c>
      <c r="B658" s="1"/>
      <c r="C658">
        <v>123.58</v>
      </c>
      <c r="D658">
        <v>88.82</v>
      </c>
      <c r="E658">
        <v>72.50609</v>
      </c>
      <c r="G658" s="3">
        <v>3.2135021614057E-3</v>
      </c>
      <c r="I658" s="15">
        <f>(C658-C657)/C657</f>
        <v>3.8992688870837042E-3</v>
      </c>
      <c r="J658" s="15">
        <f t="shared" si="76"/>
        <v>2.2522522522518042E-4</v>
      </c>
      <c r="K658" s="15">
        <f t="shared" si="77"/>
        <v>3.9370411268073715E-3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BJ658">
        <f t="shared" si="71"/>
        <v>1.0326596141359105E-5</v>
      </c>
      <c r="BK658">
        <f t="shared" si="73"/>
        <v>3.0114696082839958E-5</v>
      </c>
      <c r="BO658">
        <f t="shared" si="74"/>
        <v>4.0329217638229053E-5</v>
      </c>
      <c r="BP658">
        <f t="shared" si="72"/>
        <v>4.0122499219751671</v>
      </c>
    </row>
    <row r="659" spans="1:68" x14ac:dyDescent="0.15">
      <c r="A659" s="5">
        <v>44517</v>
      </c>
      <c r="B659" s="1"/>
      <c r="C659">
        <v>123.46</v>
      </c>
      <c r="D659">
        <v>88.76</v>
      </c>
      <c r="E659">
        <v>72.240710000000007</v>
      </c>
      <c r="G659" s="3">
        <v>3.4090772316179799E-3</v>
      </c>
      <c r="I659" s="15">
        <f t="shared" si="75"/>
        <v>-9.7103091115070849E-4</v>
      </c>
      <c r="J659" s="15">
        <f t="shared" si="76"/>
        <v>-6.7552353073618626E-4</v>
      </c>
      <c r="K659" s="15">
        <f t="shared" si="77"/>
        <v>-3.6601063441704454E-3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BJ659">
        <f t="shared" si="71"/>
        <v>1.162180757113611E-5</v>
      </c>
      <c r="BK659">
        <f t="shared" si="73"/>
        <v>2.8927410086351107E-5</v>
      </c>
      <c r="BO659">
        <f t="shared" si="74"/>
        <v>3.9043925062484403E-5</v>
      </c>
      <c r="BP659">
        <f t="shared" si="72"/>
        <v>4.0076431895062639</v>
      </c>
    </row>
    <row r="660" spans="1:68" x14ac:dyDescent="0.15">
      <c r="A660" s="5">
        <v>44518</v>
      </c>
      <c r="B660" s="1"/>
      <c r="C660">
        <v>123.14</v>
      </c>
      <c r="D660">
        <v>88.36</v>
      </c>
      <c r="E660">
        <v>71.795240000000007</v>
      </c>
      <c r="G660" s="3">
        <v>-3.7274032794653001E-3</v>
      </c>
      <c r="I660" s="15">
        <f t="shared" si="75"/>
        <v>-2.5919326097520912E-3</v>
      </c>
      <c r="J660" s="15">
        <f t="shared" si="76"/>
        <v>-4.5065344749887978E-3</v>
      </c>
      <c r="K660" s="15">
        <f t="shared" si="77"/>
        <v>-6.1664676330008411E-3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BJ660">
        <f t="shared" si="71"/>
        <v>1.3893535207768673E-5</v>
      </c>
      <c r="BK660">
        <f t="shared" si="73"/>
        <v>2.7889073935438206E-5</v>
      </c>
      <c r="BO660">
        <f t="shared" si="74"/>
        <v>3.8220233046154901E-5</v>
      </c>
      <c r="BP660">
        <f t="shared" si="72"/>
        <v>3.9853779417559374</v>
      </c>
    </row>
    <row r="661" spans="1:68" x14ac:dyDescent="0.15">
      <c r="A661" s="5">
        <v>44519</v>
      </c>
      <c r="B661" s="1"/>
      <c r="C661">
        <v>122.76</v>
      </c>
      <c r="D661">
        <v>87.5</v>
      </c>
      <c r="E661">
        <v>72.07011</v>
      </c>
      <c r="G661" s="3">
        <v>-6.5103758784468193E-4</v>
      </c>
      <c r="I661" s="15">
        <f t="shared" si="75"/>
        <v>-3.0859184667857355E-3</v>
      </c>
      <c r="J661" s="15">
        <f t="shared" si="76"/>
        <v>-9.7329108193752768E-3</v>
      </c>
      <c r="K661" s="15">
        <f t="shared" si="77"/>
        <v>3.828526793698201E-3</v>
      </c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BJ661">
        <f t="shared" si="71"/>
        <v>4.2384994078662194E-7</v>
      </c>
      <c r="BK661">
        <f t="shared" si="73"/>
        <v>2.7049341611778034E-5</v>
      </c>
      <c r="BO661">
        <f t="shared" si="74"/>
        <v>3.7897686354049814E-5</v>
      </c>
      <c r="BP661">
        <f t="shared" si="72"/>
        <v>4.1657796844540442</v>
      </c>
    </row>
    <row r="662" spans="1:68" x14ac:dyDescent="0.15">
      <c r="A662" s="5">
        <v>44522</v>
      </c>
      <c r="B662" s="1"/>
      <c r="C662">
        <v>122.62</v>
      </c>
      <c r="D662">
        <v>88.04</v>
      </c>
      <c r="E662">
        <v>72.212270000000004</v>
      </c>
      <c r="G662" s="3">
        <v>-2.72658962127703E-3</v>
      </c>
      <c r="I662" s="15">
        <f t="shared" si="75"/>
        <v>-1.1404366243075966E-3</v>
      </c>
      <c r="J662" s="15">
        <f t="shared" si="76"/>
        <v>6.1714285714286428E-3</v>
      </c>
      <c r="K662" s="15">
        <f t="shared" si="77"/>
        <v>1.9725236994921204E-3</v>
      </c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BJ662">
        <f t="shared" si="71"/>
        <v>7.4342909628556178E-6</v>
      </c>
      <c r="BK662">
        <f t="shared" si="73"/>
        <v>2.5451812111518547E-5</v>
      </c>
      <c r="BO662">
        <f t="shared" si="74"/>
        <v>3.5726332441696821E-5</v>
      </c>
      <c r="BP662">
        <f t="shared" si="72"/>
        <v>4.0968277573898604</v>
      </c>
    </row>
    <row r="663" spans="1:68" x14ac:dyDescent="0.15">
      <c r="A663" s="5">
        <v>44523</v>
      </c>
      <c r="B663" s="1"/>
      <c r="C663">
        <v>122.04</v>
      </c>
      <c r="D663">
        <v>88.46</v>
      </c>
      <c r="E663">
        <v>72.979979999999998</v>
      </c>
      <c r="G663" s="3">
        <v>-1.1516339424876501E-2</v>
      </c>
      <c r="I663" s="15">
        <f t="shared" si="75"/>
        <v>-4.7300603490458186E-3</v>
      </c>
      <c r="J663" s="15">
        <f t="shared" si="76"/>
        <v>4.7705588368921791E-3</v>
      </c>
      <c r="K663" s="15">
        <f t="shared" si="77"/>
        <v>1.0631295761786659E-2</v>
      </c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BJ663">
        <f t="shared" si="71"/>
        <v>1.3262607374896481E-4</v>
      </c>
      <c r="BK663">
        <f t="shared" si="73"/>
        <v>2.4370760842598772E-5</v>
      </c>
      <c r="BO663">
        <f t="shared" si="74"/>
        <v>3.5021596758162575E-5</v>
      </c>
      <c r="BP663">
        <f t="shared" si="72"/>
        <v>2.3173444669848138</v>
      </c>
    </row>
    <row r="664" spans="1:68" x14ac:dyDescent="0.15">
      <c r="A664" s="5">
        <v>44524</v>
      </c>
      <c r="B664" s="1"/>
      <c r="C664">
        <v>121.52</v>
      </c>
      <c r="D664">
        <v>89.06</v>
      </c>
      <c r="E664">
        <v>72.553479999999993</v>
      </c>
      <c r="G664" s="3">
        <v>2.3440805059267099E-3</v>
      </c>
      <c r="I664" s="15">
        <f t="shared" si="75"/>
        <v>-4.2608980662078846E-3</v>
      </c>
      <c r="J664" s="15">
        <f t="shared" si="76"/>
        <v>6.7827266561158554E-3</v>
      </c>
      <c r="K664" s="15">
        <f t="shared" si="77"/>
        <v>-5.8440684691884589E-3</v>
      </c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BJ664">
        <f t="shared" si="71"/>
        <v>5.4947134182656205E-6</v>
      </c>
      <c r="BK664">
        <f t="shared" si="73"/>
        <v>3.0866079616980739E-5</v>
      </c>
      <c r="BO664">
        <f t="shared" si="74"/>
        <v>5.229865435658295E-5</v>
      </c>
      <c r="BP664">
        <f t="shared" si="72"/>
        <v>3.9577993524369357</v>
      </c>
    </row>
    <row r="665" spans="1:68" x14ac:dyDescent="0.15">
      <c r="A665" s="5">
        <v>44526</v>
      </c>
      <c r="B665" s="1"/>
      <c r="C665">
        <v>120.5</v>
      </c>
      <c r="D665">
        <v>86.26</v>
      </c>
      <c r="E665">
        <v>70.819016000000005</v>
      </c>
      <c r="G665" s="3">
        <v>-1.5853312964601501E-2</v>
      </c>
      <c r="I665" s="15">
        <f t="shared" si="75"/>
        <v>-8.3936800526661949E-3</v>
      </c>
      <c r="J665" s="15">
        <f t="shared" si="76"/>
        <v>-3.1439479002919345E-2</v>
      </c>
      <c r="K665" s="15">
        <f t="shared" si="77"/>
        <v>-2.3906006989602546E-2</v>
      </c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BJ665">
        <f t="shared" si="71"/>
        <v>2.5132753195360202E-4</v>
      </c>
      <c r="BK665">
        <f t="shared" si="73"/>
        <v>2.9343797645057829E-5</v>
      </c>
      <c r="BO665">
        <f t="shared" si="74"/>
        <v>4.7744340050677303E-5</v>
      </c>
      <c r="BP665">
        <f t="shared" si="72"/>
        <v>1.4238725966153836</v>
      </c>
    </row>
    <row r="666" spans="1:68" x14ac:dyDescent="0.15">
      <c r="A666" s="5">
        <v>44529</v>
      </c>
      <c r="B666" s="1"/>
      <c r="C666">
        <v>120.1</v>
      </c>
      <c r="D666">
        <v>86.66</v>
      </c>
      <c r="E666">
        <v>70.364075</v>
      </c>
      <c r="G666" s="3">
        <v>1.7649118920433E-3</v>
      </c>
      <c r="I666" s="15">
        <f t="shared" si="75"/>
        <v>-3.3195020746888439E-3</v>
      </c>
      <c r="J666" s="15">
        <f t="shared" si="76"/>
        <v>4.6371435195918321E-3</v>
      </c>
      <c r="K666" s="15">
        <f t="shared" si="77"/>
        <v>-6.4239949337901716E-3</v>
      </c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BJ666">
        <f t="shared" si="71"/>
        <v>3.1149139866758609E-6</v>
      </c>
      <c r="BK666">
        <f t="shared" si="73"/>
        <v>4.2662821703570494E-5</v>
      </c>
      <c r="BO666">
        <f t="shared" si="74"/>
        <v>7.9183588804824129E-5</v>
      </c>
      <c r="BP666">
        <f t="shared" si="72"/>
        <v>3.7832632764652323</v>
      </c>
    </row>
    <row r="667" spans="1:68" x14ac:dyDescent="0.15">
      <c r="A667" s="5">
        <v>44530</v>
      </c>
      <c r="B667" s="1"/>
      <c r="C667">
        <v>118</v>
      </c>
      <c r="D667">
        <v>86.44</v>
      </c>
      <c r="E667">
        <v>69.605840000000001</v>
      </c>
      <c r="G667" s="3">
        <v>-4.9953223458070097E-3</v>
      </c>
      <c r="I667" s="15">
        <f t="shared" si="75"/>
        <v>-1.7485428809325517E-2</v>
      </c>
      <c r="J667" s="15">
        <f t="shared" si="76"/>
        <v>-2.5386568197553528E-3</v>
      </c>
      <c r="K667" s="15">
        <f t="shared" si="77"/>
        <v>-1.0775882437166965E-2</v>
      </c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BJ667">
        <f t="shared" si="71"/>
        <v>2.4953245338518845E-5</v>
      </c>
      <c r="BK667">
        <f t="shared" si="73"/>
        <v>4.0289947240556812E-5</v>
      </c>
      <c r="BO667">
        <f t="shared" si="74"/>
        <v>6.8493381699228739E-5</v>
      </c>
      <c r="BP667">
        <f t="shared" si="72"/>
        <v>3.6932901076551805</v>
      </c>
    </row>
    <row r="668" spans="1:68" x14ac:dyDescent="0.15">
      <c r="A668" s="5">
        <v>44531</v>
      </c>
      <c r="B668" s="1"/>
      <c r="C668">
        <v>118.16</v>
      </c>
      <c r="D668">
        <v>87.52</v>
      </c>
      <c r="E668">
        <v>70.364075</v>
      </c>
      <c r="G668" s="3">
        <v>8.7803176432750193E-3</v>
      </c>
      <c r="I668" s="15">
        <f t="shared" si="75"/>
        <v>1.3559322033898015E-3</v>
      </c>
      <c r="J668" s="15">
        <f t="shared" si="76"/>
        <v>1.2494215640906968E-2</v>
      </c>
      <c r="K668" s="15">
        <f t="shared" si="77"/>
        <v>1.0893267001734324E-2</v>
      </c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BJ668">
        <f t="shared" si="71"/>
        <v>7.709397791680659E-5</v>
      </c>
      <c r="BK668">
        <f t="shared" si="73"/>
        <v>3.9369745126434534E-5</v>
      </c>
      <c r="BO668">
        <f t="shared" si="74"/>
        <v>6.3218428948654947E-5</v>
      </c>
      <c r="BP668">
        <f t="shared" si="72"/>
        <v>3.3057759058226361</v>
      </c>
    </row>
    <row r="669" spans="1:68" x14ac:dyDescent="0.15">
      <c r="A669" s="5">
        <v>44532</v>
      </c>
      <c r="B669" s="1"/>
      <c r="C669">
        <v>117.8</v>
      </c>
      <c r="D669">
        <v>87.58</v>
      </c>
      <c r="E669">
        <v>69.947050000000004</v>
      </c>
      <c r="G669" s="3">
        <v>-7.2499772821478202E-3</v>
      </c>
      <c r="I669" s="15">
        <f t="shared" si="75"/>
        <v>-3.0467163168584922E-3</v>
      </c>
      <c r="J669" s="15">
        <f t="shared" si="76"/>
        <v>6.8555758683732032E-4</v>
      </c>
      <c r="K669" s="15">
        <f t="shared" si="77"/>
        <v>-5.9266749403015006E-3</v>
      </c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BJ669">
        <f t="shared" si="71"/>
        <v>5.2562170591659494E-5</v>
      </c>
      <c r="BK669">
        <f t="shared" si="73"/>
        <v>4.1633199093856858E-5</v>
      </c>
      <c r="BO669">
        <f t="shared" si="74"/>
        <v>6.650676071797226E-5</v>
      </c>
      <c r="BP669">
        <f t="shared" si="72"/>
        <v>3.495000826234445</v>
      </c>
    </row>
    <row r="670" spans="1:68" x14ac:dyDescent="0.15">
      <c r="A670" s="5">
        <v>44533</v>
      </c>
      <c r="B670" s="1"/>
      <c r="C670">
        <v>118.82</v>
      </c>
      <c r="D670">
        <v>88.14</v>
      </c>
      <c r="E670">
        <v>69.729060000000004</v>
      </c>
      <c r="G670" s="3">
        <v>-1.43899333218788E-4</v>
      </c>
      <c r="I670" s="15">
        <f t="shared" si="75"/>
        <v>8.6587436332767071E-3</v>
      </c>
      <c r="J670" s="15">
        <f t="shared" si="76"/>
        <v>6.3941539164192995E-3</v>
      </c>
      <c r="K670" s="15">
        <f t="shared" si="77"/>
        <v>-3.1165002669876762E-3</v>
      </c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BJ670">
        <f t="shared" si="71"/>
        <v>2.0707018100811784E-8</v>
      </c>
      <c r="BK670">
        <f t="shared" si="73"/>
        <v>4.2288937383725016E-5</v>
      </c>
      <c r="BO670">
        <f t="shared" si="74"/>
        <v>6.5592233876804552E-5</v>
      </c>
      <c r="BP670">
        <f t="shared" si="72"/>
        <v>3.8969302477499985</v>
      </c>
    </row>
    <row r="671" spans="1:68" x14ac:dyDescent="0.15">
      <c r="A671" s="5">
        <v>44536</v>
      </c>
      <c r="B671" s="1"/>
      <c r="C671">
        <v>121.76</v>
      </c>
      <c r="D671">
        <v>89.4</v>
      </c>
      <c r="E671">
        <v>70.733710000000002</v>
      </c>
      <c r="G671" s="3">
        <v>1.6391154104607498E-2</v>
      </c>
      <c r="I671" s="15">
        <f t="shared" si="75"/>
        <v>2.4743309207204276E-2</v>
      </c>
      <c r="J671" s="15">
        <f t="shared" si="76"/>
        <v>1.4295439074200195E-2</v>
      </c>
      <c r="K671" s="15">
        <f t="shared" si="77"/>
        <v>1.440790970077609E-2</v>
      </c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BJ671">
        <f t="shared" si="71"/>
        <v>2.6866993288099123E-4</v>
      </c>
      <c r="BK671">
        <f t="shared" si="73"/>
        <v>3.9752843561787563E-5</v>
      </c>
      <c r="BO671">
        <f t="shared" si="74"/>
        <v>5.7391933230734762E-5</v>
      </c>
      <c r="BP671">
        <f t="shared" si="72"/>
        <v>1.623205494262657</v>
      </c>
    </row>
    <row r="672" spans="1:68" x14ac:dyDescent="0.15">
      <c r="A672" s="5">
        <v>44537</v>
      </c>
      <c r="B672" s="1"/>
      <c r="C672">
        <v>121.88</v>
      </c>
      <c r="D672">
        <v>89.42</v>
      </c>
      <c r="E672">
        <v>70.942229999999995</v>
      </c>
      <c r="G672" s="3">
        <v>1.1173153808157801E-2</v>
      </c>
      <c r="I672" s="15">
        <f t="shared" si="75"/>
        <v>9.8554533508533448E-4</v>
      </c>
      <c r="J672" s="15">
        <f t="shared" si="76"/>
        <v>2.2371364653239395E-4</v>
      </c>
      <c r="K672" s="15">
        <f t="shared" si="77"/>
        <v>2.9479579114398626E-3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BJ672">
        <f t="shared" si="71"/>
        <v>1.2483936602075116E-4</v>
      </c>
      <c r="BK672">
        <f t="shared" si="73"/>
        <v>5.3487868920939796E-5</v>
      </c>
      <c r="BO672">
        <f t="shared" si="74"/>
        <v>8.9220864564599711E-5</v>
      </c>
      <c r="BP672">
        <f t="shared" si="72"/>
        <v>3.0436506985830567</v>
      </c>
    </row>
    <row r="673" spans="1:68" x14ac:dyDescent="0.15">
      <c r="A673" s="5">
        <v>44538</v>
      </c>
      <c r="B673" s="1"/>
      <c r="C673">
        <v>123.8</v>
      </c>
      <c r="D673">
        <v>89.24</v>
      </c>
      <c r="E673">
        <v>70.913794999999993</v>
      </c>
      <c r="G673" s="3">
        <v>6.6977569129007498E-3</v>
      </c>
      <c r="I673" s="15">
        <f t="shared" si="75"/>
        <v>1.5753199868723349E-2</v>
      </c>
      <c r="J673" s="15">
        <f t="shared" si="76"/>
        <v>-2.0129724893760549E-3</v>
      </c>
      <c r="K673" s="15">
        <f t="shared" si="77"/>
        <v>-4.008190889968044E-4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BJ673">
        <f t="shared" si="71"/>
        <v>4.4859947664309783E-5</v>
      </c>
      <c r="BK673">
        <f t="shared" si="73"/>
        <v>5.776895874692848E-5</v>
      </c>
      <c r="BO673">
        <f t="shared" si="74"/>
        <v>9.3702427647479554E-5</v>
      </c>
      <c r="BP673">
        <f t="shared" si="72"/>
        <v>3.4793801749203186</v>
      </c>
    </row>
    <row r="674" spans="1:68" x14ac:dyDescent="0.15">
      <c r="A674" s="5">
        <v>44539</v>
      </c>
      <c r="B674" s="1"/>
      <c r="C674">
        <v>124.4</v>
      </c>
      <c r="D674">
        <v>88.88</v>
      </c>
      <c r="E674">
        <v>70.743195</v>
      </c>
      <c r="G674" s="3">
        <v>8.0941374100795794E-4</v>
      </c>
      <c r="I674" s="15">
        <f t="shared" si="75"/>
        <v>4.8465266558966767E-3</v>
      </c>
      <c r="J674" s="15">
        <f t="shared" si="76"/>
        <v>-4.0340654415060451E-3</v>
      </c>
      <c r="K674" s="15">
        <f t="shared" si="77"/>
        <v>-2.4057378398658993E-3</v>
      </c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BJ674">
        <f t="shared" si="71"/>
        <v>6.5515060413249761E-7</v>
      </c>
      <c r="BK674">
        <f t="shared" si="73"/>
        <v>5.6994418081971356E-5</v>
      </c>
      <c r="BO674">
        <f t="shared" si="74"/>
        <v>8.5826986942871315E-5</v>
      </c>
      <c r="BP674">
        <f t="shared" si="72"/>
        <v>3.7588333072043314</v>
      </c>
    </row>
    <row r="675" spans="1:68" x14ac:dyDescent="0.15">
      <c r="A675" s="5">
        <v>44540</v>
      </c>
      <c r="B675" s="1"/>
      <c r="C675">
        <v>124.94</v>
      </c>
      <c r="D675">
        <v>88.3</v>
      </c>
      <c r="E675">
        <v>70.762150000000005</v>
      </c>
      <c r="G675" s="3">
        <v>7.9658520466541205E-6</v>
      </c>
      <c r="I675" s="15">
        <f t="shared" si="75"/>
        <v>4.3408360128616725E-3</v>
      </c>
      <c r="J675" s="15">
        <f t="shared" si="76"/>
        <v>-6.5256525652565064E-3</v>
      </c>
      <c r="K675" s="15">
        <f t="shared" si="77"/>
        <v>2.679409659120624E-4</v>
      </c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BJ675">
        <f t="shared" si="71"/>
        <v>6.3454798829183645E-11</v>
      </c>
      <c r="BK675">
        <f t="shared" si="73"/>
        <v>5.3614062033301021E-5</v>
      </c>
      <c r="BO675">
        <f t="shared" si="74"/>
        <v>7.3354002519907557E-5</v>
      </c>
      <c r="BP675">
        <f t="shared" si="72"/>
        <v>3.8411677779952771</v>
      </c>
    </row>
    <row r="676" spans="1:68" x14ac:dyDescent="0.15">
      <c r="A676" s="5">
        <v>44543</v>
      </c>
      <c r="B676" s="1"/>
      <c r="C676">
        <v>124.58</v>
      </c>
      <c r="D676">
        <v>87.3</v>
      </c>
      <c r="E676">
        <v>70.648415</v>
      </c>
      <c r="G676" s="3">
        <v>-4.4769851621563302E-3</v>
      </c>
      <c r="I676" s="15">
        <f t="shared" si="75"/>
        <v>-2.8813830638706535E-3</v>
      </c>
      <c r="J676" s="15">
        <f t="shared" si="76"/>
        <v>-1.1325028312570783E-2</v>
      </c>
      <c r="K676" s="15">
        <f t="shared" si="77"/>
        <v>-1.6072858159341607E-3</v>
      </c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BJ676">
        <f t="shared" si="71"/>
        <v>2.0043396142167942E-5</v>
      </c>
      <c r="BK676">
        <f t="shared" si="73"/>
        <v>5.039722211859088E-5</v>
      </c>
      <c r="BO676">
        <f t="shared" si="74"/>
        <v>6.3477160092618811E-5</v>
      </c>
      <c r="BP676">
        <f t="shared" si="72"/>
        <v>3.7555978636886103</v>
      </c>
    </row>
    <row r="677" spans="1:68" x14ac:dyDescent="0.15">
      <c r="A677" s="5">
        <v>44544</v>
      </c>
      <c r="B677" s="1"/>
      <c r="C677">
        <v>124.02</v>
      </c>
      <c r="D677">
        <v>87.64</v>
      </c>
      <c r="E677">
        <v>70.809539999999998</v>
      </c>
      <c r="G677" s="3">
        <v>-1.1130914818906702E-2</v>
      </c>
      <c r="I677" s="15">
        <f t="shared" si="75"/>
        <v>-4.4951035479210326E-3</v>
      </c>
      <c r="J677" s="15">
        <f t="shared" si="76"/>
        <v>3.8946162657503254E-3</v>
      </c>
      <c r="K677" s="15">
        <f t="shared" si="77"/>
        <v>2.2806597996571955E-3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BJ677">
        <f t="shared" si="71"/>
        <v>1.2389726470575681E-4</v>
      </c>
      <c r="BK677">
        <f t="shared" si="73"/>
        <v>4.8575992560005501E-5</v>
      </c>
      <c r="BO677">
        <f t="shared" si="74"/>
        <v>5.8584549319172865E-5</v>
      </c>
      <c r="BP677">
        <f t="shared" si="72"/>
        <v>2.8961585460442305</v>
      </c>
    </row>
    <row r="678" spans="1:68" x14ac:dyDescent="0.15">
      <c r="A678" s="5">
        <v>44545</v>
      </c>
      <c r="B678" s="1"/>
      <c r="C678">
        <v>125.44</v>
      </c>
      <c r="D678">
        <v>88.1</v>
      </c>
      <c r="E678">
        <v>71.084400000000002</v>
      </c>
      <c r="G678" s="3">
        <v>9.61818156084248E-3</v>
      </c>
      <c r="I678" s="15">
        <f t="shared" si="75"/>
        <v>1.1449766166747312E-2</v>
      </c>
      <c r="J678" s="15">
        <f t="shared" si="76"/>
        <v>5.2487448653582127E-3</v>
      </c>
      <c r="K678" s="15">
        <f t="shared" si="77"/>
        <v>3.8816803498512189E-3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BJ678">
        <f t="shared" si="71"/>
        <v>9.2509416537330281E-5</v>
      </c>
      <c r="BK678">
        <f t="shared" si="73"/>
        <v>5.3095268888750586E-5</v>
      </c>
      <c r="BO678">
        <f t="shared" si="74"/>
        <v>6.9537776627870028E-5</v>
      </c>
      <c r="BP678">
        <f t="shared" si="72"/>
        <v>3.2027078525515527</v>
      </c>
    </row>
    <row r="679" spans="1:68" x14ac:dyDescent="0.15">
      <c r="A679" s="5">
        <v>44546</v>
      </c>
      <c r="B679" s="1"/>
      <c r="C679">
        <v>127.12</v>
      </c>
      <c r="D679">
        <v>89.28</v>
      </c>
      <c r="E679">
        <v>75.159903999999997</v>
      </c>
      <c r="G679" s="3">
        <v>2.0743402947639402E-2</v>
      </c>
      <c r="I679" s="15">
        <f t="shared" si="75"/>
        <v>1.3392857142857198E-2</v>
      </c>
      <c r="J679" s="15">
        <f t="shared" si="76"/>
        <v>1.3393870601589182E-2</v>
      </c>
      <c r="K679" s="15">
        <f t="shared" si="77"/>
        <v>5.7333310824878525E-2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BJ679">
        <f t="shared" si="71"/>
        <v>4.3028876584813504E-4</v>
      </c>
      <c r="BK679">
        <f t="shared" si="73"/>
        <v>5.5460117747665372E-5</v>
      </c>
      <c r="BO679">
        <f t="shared" si="74"/>
        <v>7.3658992866697026E-5</v>
      </c>
      <c r="BP679">
        <f t="shared" si="72"/>
        <v>0.9182773821060235</v>
      </c>
    </row>
    <row r="680" spans="1:68" x14ac:dyDescent="0.15">
      <c r="A680" s="5">
        <v>44547</v>
      </c>
      <c r="B680" s="1"/>
      <c r="C680">
        <v>127.34</v>
      </c>
      <c r="D680">
        <v>89.66</v>
      </c>
      <c r="E680">
        <v>75.633803999999998</v>
      </c>
      <c r="G680" s="3">
        <v>-5.8951015622819005E-3</v>
      </c>
      <c r="I680" s="15">
        <f t="shared" si="75"/>
        <v>1.7306482064191225E-3</v>
      </c>
      <c r="J680" s="15">
        <f t="shared" si="76"/>
        <v>4.2562724014336408E-3</v>
      </c>
      <c r="K680" s="15">
        <f t="shared" si="77"/>
        <v>6.3052235936863418E-3</v>
      </c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BJ680">
        <f t="shared" si="71"/>
        <v>3.4752222429618502E-5</v>
      </c>
      <c r="BK680">
        <f t="shared" si="73"/>
        <v>7.7949836633693566E-5</v>
      </c>
      <c r="BO680">
        <f t="shared" si="74"/>
        <v>1.249981862975004E-4</v>
      </c>
      <c r="BP680">
        <f t="shared" si="72"/>
        <v>3.4356562252750393</v>
      </c>
    </row>
    <row r="681" spans="1:68" x14ac:dyDescent="0.15">
      <c r="A681" s="5">
        <v>44550</v>
      </c>
      <c r="B681" s="1"/>
      <c r="C681">
        <v>127.26</v>
      </c>
      <c r="D681">
        <v>87.04</v>
      </c>
      <c r="E681">
        <v>74.505930000000006</v>
      </c>
      <c r="G681" s="3">
        <v>-9.8775369732291198E-3</v>
      </c>
      <c r="I681" s="15">
        <f t="shared" si="75"/>
        <v>-6.2823935919584023E-4</v>
      </c>
      <c r="J681" s="15">
        <f t="shared" si="76"/>
        <v>-2.9221503457506029E-2</v>
      </c>
      <c r="K681" s="15">
        <f t="shared" si="77"/>
        <v>-1.4912300325394071E-2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BJ681">
        <f t="shared" si="71"/>
        <v>9.7565736657508287E-5</v>
      </c>
      <c r="BK681">
        <f t="shared" si="73"/>
        <v>7.5357979781449051E-5</v>
      </c>
      <c r="BO681">
        <f t="shared" si="74"/>
        <v>1.0893517301790811E-4</v>
      </c>
      <c r="BP681">
        <f t="shared" si="72"/>
        <v>3.1956246787179041</v>
      </c>
    </row>
    <row r="682" spans="1:68" x14ac:dyDescent="0.15">
      <c r="A682" s="5">
        <v>44551</v>
      </c>
      <c r="B682" s="1"/>
      <c r="C682">
        <v>127</v>
      </c>
      <c r="D682">
        <v>88.62</v>
      </c>
      <c r="E682">
        <v>75.216774000000001</v>
      </c>
      <c r="G682" s="3">
        <v>7.3586096062303596E-3</v>
      </c>
      <c r="I682" s="15">
        <f t="shared" si="75"/>
        <v>-2.043061449002083E-3</v>
      </c>
      <c r="J682" s="15">
        <f t="shared" si="76"/>
        <v>1.8152573529411745E-2</v>
      </c>
      <c r="K682" s="15">
        <f t="shared" si="77"/>
        <v>9.5407707816007985E-3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BJ682">
        <f t="shared" si="71"/>
        <v>5.4149135336905731E-5</v>
      </c>
      <c r="BK682">
        <f t="shared" si="73"/>
        <v>7.6690445194012608E-5</v>
      </c>
      <c r="BO682">
        <f t="shared" si="74"/>
        <v>1.0528159818720722E-4</v>
      </c>
      <c r="BP682">
        <f t="shared" si="72"/>
        <v>3.4033340796102802</v>
      </c>
    </row>
    <row r="683" spans="1:68" x14ac:dyDescent="0.15">
      <c r="A683" s="5">
        <v>44552</v>
      </c>
      <c r="B683" s="1"/>
      <c r="C683">
        <v>126.94</v>
      </c>
      <c r="D683">
        <v>88.66</v>
      </c>
      <c r="E683">
        <v>75.20729</v>
      </c>
      <c r="G683" s="3">
        <v>2.4731265831412401E-3</v>
      </c>
      <c r="I683" s="15">
        <f t="shared" si="75"/>
        <v>-4.7244094488190766E-4</v>
      </c>
      <c r="J683" s="15">
        <f t="shared" si="76"/>
        <v>4.5136538027524306E-4</v>
      </c>
      <c r="K683" s="15">
        <f t="shared" si="77"/>
        <v>-1.2608889607523572E-4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BJ683">
        <f t="shared" si="71"/>
        <v>6.1163550962398655E-6</v>
      </c>
      <c r="BK683">
        <f t="shared" si="73"/>
        <v>7.5337966602586194E-5</v>
      </c>
      <c r="BO683">
        <f t="shared" si="74"/>
        <v>9.6232410918681944E-5</v>
      </c>
      <c r="BP683">
        <f t="shared" si="72"/>
        <v>3.6736545587402882</v>
      </c>
    </row>
    <row r="684" spans="1:68" x14ac:dyDescent="0.15">
      <c r="A684" s="5">
        <v>44553</v>
      </c>
      <c r="B684" s="1"/>
      <c r="C684">
        <v>127.04</v>
      </c>
      <c r="D684">
        <v>89.9</v>
      </c>
      <c r="E684">
        <v>75.842315999999997</v>
      </c>
      <c r="G684" s="3">
        <v>5.6176436695640694E-3</v>
      </c>
      <c r="I684" s="15">
        <f t="shared" si="75"/>
        <v>7.8777375137867127E-4</v>
      </c>
      <c r="J684" s="15">
        <f t="shared" si="76"/>
        <v>1.3986013986014088E-2</v>
      </c>
      <c r="K684" s="15">
        <f t="shared" si="77"/>
        <v>8.4436761383104783E-3</v>
      </c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BJ684">
        <f t="shared" si="71"/>
        <v>3.1557920398193264E-5</v>
      </c>
      <c r="BK684">
        <f t="shared" si="73"/>
        <v>7.1184669912205409E-5</v>
      </c>
      <c r="BO684">
        <f t="shared" si="74"/>
        <v>8.2293582464721941E-5</v>
      </c>
      <c r="BP684">
        <f t="shared" si="72"/>
        <v>3.5919303194732759</v>
      </c>
    </row>
    <row r="685" spans="1:68" x14ac:dyDescent="0.15">
      <c r="A685" s="5">
        <v>44557</v>
      </c>
      <c r="B685" s="1"/>
      <c r="C685">
        <v>127.32</v>
      </c>
      <c r="D685">
        <v>90.02</v>
      </c>
      <c r="E685">
        <v>76.012919999999994</v>
      </c>
      <c r="G685" s="3">
        <v>6.3806906888068601E-3</v>
      </c>
      <c r="I685" s="15">
        <f t="shared" si="75"/>
        <v>2.2040302267001487E-3</v>
      </c>
      <c r="J685" s="15">
        <f t="shared" si="76"/>
        <v>1.3348164627362661E-3</v>
      </c>
      <c r="K685" s="15">
        <f t="shared" si="77"/>
        <v>2.2494566226062681E-3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BJ685">
        <f t="shared" si="71"/>
        <v>4.0713213666226566E-5</v>
      </c>
      <c r="BK685">
        <f t="shared" si="73"/>
        <v>6.8807064941364684E-5</v>
      </c>
      <c r="BO685">
        <f t="shared" si="74"/>
        <v>7.4983653196850474E-5</v>
      </c>
      <c r="BP685">
        <f t="shared" si="72"/>
        <v>3.5587010839354649</v>
      </c>
    </row>
    <row r="686" spans="1:68" x14ac:dyDescent="0.15">
      <c r="A686" s="5">
        <v>44558</v>
      </c>
      <c r="B686" s="1"/>
      <c r="C686">
        <v>128.74</v>
      </c>
      <c r="D686">
        <v>90.86</v>
      </c>
      <c r="E686">
        <v>76.628979999999999</v>
      </c>
      <c r="G686" s="3">
        <v>8.0540125385832797E-3</v>
      </c>
      <c r="I686" s="15">
        <f t="shared" si="75"/>
        <v>1.1153000314169149E-2</v>
      </c>
      <c r="J686" s="15">
        <f t="shared" si="76"/>
        <v>9.3312597200622474E-3</v>
      </c>
      <c r="K686" s="15">
        <f t="shared" si="77"/>
        <v>8.1046748368567411E-3</v>
      </c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BJ686">
        <f t="shared" si="71"/>
        <v>6.4867117971656682E-5</v>
      </c>
      <c r="BK686">
        <f t="shared" si="73"/>
        <v>6.7121433864856405E-5</v>
      </c>
      <c r="BO686">
        <f t="shared" si="74"/>
        <v>7.0553798106157308E-5</v>
      </c>
      <c r="BP686">
        <f t="shared" si="72"/>
        <v>3.4009293013895774</v>
      </c>
    </row>
    <row r="687" spans="1:68" x14ac:dyDescent="0.15">
      <c r="A687" s="5">
        <v>44559</v>
      </c>
      <c r="B687" s="1"/>
      <c r="C687">
        <v>128.34</v>
      </c>
      <c r="D687">
        <v>90.56</v>
      </c>
      <c r="E687">
        <v>76.136129999999994</v>
      </c>
      <c r="G687" s="3">
        <v>-3.38984377667739E-3</v>
      </c>
      <c r="I687" s="15">
        <f t="shared" si="75"/>
        <v>-3.1070374398011937E-3</v>
      </c>
      <c r="J687" s="15">
        <f t="shared" si="76"/>
        <v>-3.3017829627998807E-3</v>
      </c>
      <c r="K687" s="15">
        <f t="shared" si="77"/>
        <v>-6.4316398313014767E-3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BJ687">
        <f t="shared" si="71"/>
        <v>1.1491040830278431E-5</v>
      </c>
      <c r="BK687">
        <f t="shared" si="73"/>
        <v>6.6986174911264426E-5</v>
      </c>
      <c r="BO687">
        <f t="shared" si="74"/>
        <v>7.0519117213159487E-5</v>
      </c>
      <c r="BP687">
        <f t="shared" si="72"/>
        <v>3.7794001758653621</v>
      </c>
    </row>
    <row r="688" spans="1:68" x14ac:dyDescent="0.15">
      <c r="A688" s="5">
        <v>44560</v>
      </c>
      <c r="B688" s="1"/>
      <c r="C688">
        <v>127.44</v>
      </c>
      <c r="D688">
        <v>90.26</v>
      </c>
      <c r="E688">
        <v>76.088740000000001</v>
      </c>
      <c r="G688" s="3">
        <v>-3.93798422546542E-3</v>
      </c>
      <c r="I688" s="15">
        <f t="shared" si="75"/>
        <v>-7.0126227208976597E-3</v>
      </c>
      <c r="J688" s="15">
        <f t="shared" si="76"/>
        <v>-3.3127208480565056E-3</v>
      </c>
      <c r="K688" s="15">
        <f t="shared" si="77"/>
        <v>-6.2243773094315333E-4</v>
      </c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BJ688">
        <f t="shared" si="71"/>
        <v>1.5507719760014484E-5</v>
      </c>
      <c r="BK688">
        <f t="shared" si="73"/>
        <v>6.3656466866405251E-5</v>
      </c>
      <c r="BO688">
        <f t="shared" si="74"/>
        <v>6.2890083270956227E-5</v>
      </c>
      <c r="BP688">
        <f t="shared" si="72"/>
        <v>3.7948302492912322</v>
      </c>
    </row>
    <row r="689" spans="1:68" x14ac:dyDescent="0.15">
      <c r="A689" s="5">
        <v>44564</v>
      </c>
      <c r="B689" s="1"/>
      <c r="C689">
        <v>129.22</v>
      </c>
      <c r="D689">
        <v>91.54</v>
      </c>
      <c r="E689">
        <v>76.136129999999994</v>
      </c>
      <c r="G689" s="3">
        <v>4.9327153208229505E-3</v>
      </c>
      <c r="I689" s="15">
        <f t="shared" si="75"/>
        <v>1.3967357187696179E-2</v>
      </c>
      <c r="J689" s="15">
        <f t="shared" si="76"/>
        <v>1.4181254154664315E-2</v>
      </c>
      <c r="K689" s="15">
        <f t="shared" si="77"/>
        <v>6.2282540097250837E-4</v>
      </c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BJ689">
        <f t="shared" si="71"/>
        <v>2.4331680436281465E-5</v>
      </c>
      <c r="BK689">
        <f t="shared" si="73"/>
        <v>6.0767542040021804E-5</v>
      </c>
      <c r="BO689">
        <f t="shared" si="74"/>
        <v>5.7478086808383054E-5</v>
      </c>
      <c r="BP689">
        <f t="shared" si="72"/>
        <v>3.7514543642066074</v>
      </c>
    </row>
    <row r="690" spans="1:68" x14ac:dyDescent="0.15">
      <c r="A690" s="5">
        <v>44565</v>
      </c>
      <c r="B690" s="1"/>
      <c r="C690">
        <v>129.5</v>
      </c>
      <c r="D690">
        <v>92.58</v>
      </c>
      <c r="E690">
        <v>76.268820000000005</v>
      </c>
      <c r="G690" s="3">
        <v>-2.9519492703383699E-3</v>
      </c>
      <c r="I690" s="15">
        <f t="shared" si="75"/>
        <v>2.1668472372697815E-3</v>
      </c>
      <c r="J690" s="15">
        <f t="shared" si="76"/>
        <v>1.1361153594057155E-2</v>
      </c>
      <c r="K690" s="15">
        <f t="shared" si="77"/>
        <v>1.7427993779039054E-3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BJ690">
        <f t="shared" si="71"/>
        <v>8.7140044946512348E-6</v>
      </c>
      <c r="BK690">
        <f t="shared" si="73"/>
        <v>5.8581390343797386E-5</v>
      </c>
      <c r="BO690">
        <f t="shared" si="74"/>
        <v>5.4489741559880782E-5</v>
      </c>
      <c r="BP690">
        <f t="shared" si="72"/>
        <v>3.9098504718269345</v>
      </c>
    </row>
    <row r="691" spans="1:68" x14ac:dyDescent="0.15">
      <c r="A691" s="5">
        <v>44566</v>
      </c>
      <c r="B691" s="1"/>
      <c r="C691">
        <v>126</v>
      </c>
      <c r="D691">
        <v>93.34</v>
      </c>
      <c r="E691">
        <v>76.865930000000006</v>
      </c>
      <c r="G691" s="3">
        <v>4.18579272586816E-4</v>
      </c>
      <c r="I691" s="15">
        <f t="shared" si="75"/>
        <v>-2.7027027027027029E-2</v>
      </c>
      <c r="J691" s="15">
        <f t="shared" si="76"/>
        <v>8.2091164398358733E-3</v>
      </c>
      <c r="K691" s="15">
        <f t="shared" si="77"/>
        <v>7.8290184639017713E-3</v>
      </c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BJ691">
        <f t="shared" si="71"/>
        <v>1.7520860743930802E-7</v>
      </c>
      <c r="BK691">
        <f t="shared" si="73"/>
        <v>5.5589347192848614E-5</v>
      </c>
      <c r="BO691">
        <f t="shared" si="74"/>
        <v>4.9921474486576954E-5</v>
      </c>
      <c r="BP691">
        <f t="shared" si="72"/>
        <v>4.031836273397734</v>
      </c>
    </row>
    <row r="692" spans="1:68" x14ac:dyDescent="0.15">
      <c r="A692" s="5">
        <v>44567</v>
      </c>
      <c r="B692" s="1"/>
      <c r="C692">
        <v>125.72</v>
      </c>
      <c r="D692">
        <v>93.84</v>
      </c>
      <c r="E692">
        <v>77.339830000000006</v>
      </c>
      <c r="G692" s="3">
        <v>-8.8397456788354908E-3</v>
      </c>
      <c r="I692" s="15">
        <f t="shared" si="75"/>
        <v>-2.2222222222222313E-3</v>
      </c>
      <c r="J692" s="15">
        <f t="shared" si="76"/>
        <v>5.3567602314120418E-3</v>
      </c>
      <c r="K692" s="15">
        <f t="shared" si="77"/>
        <v>6.1652802483493059E-3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BJ692">
        <f t="shared" si="71"/>
        <v>7.8141103666490739E-5</v>
      </c>
      <c r="BK692">
        <f t="shared" si="73"/>
        <v>5.226449887772405E-5</v>
      </c>
      <c r="BO692">
        <f t="shared" si="74"/>
        <v>4.5122125632033645E-5</v>
      </c>
      <c r="BP692">
        <f t="shared" si="72"/>
        <v>3.2182458288786417</v>
      </c>
    </row>
    <row r="693" spans="1:68" x14ac:dyDescent="0.15">
      <c r="A693" s="5">
        <v>44568</v>
      </c>
      <c r="B693" s="1"/>
      <c r="C693">
        <v>124.46</v>
      </c>
      <c r="D693">
        <v>94.34</v>
      </c>
      <c r="E693">
        <v>77.463040000000007</v>
      </c>
      <c r="G693" s="3">
        <v>4.4242889828316403E-4</v>
      </c>
      <c r="I693" s="15">
        <f t="shared" si="75"/>
        <v>-1.002227171492209E-2</v>
      </c>
      <c r="J693" s="15">
        <f t="shared" si="76"/>
        <v>5.3282182438192669E-3</v>
      </c>
      <c r="K693" s="15">
        <f t="shared" si="77"/>
        <v>1.5930989245774171E-3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BJ693">
        <f t="shared" si="71"/>
        <v>1.9574333003605429E-7</v>
      </c>
      <c r="BK693">
        <f t="shared" si="73"/>
        <v>5.3817095165050051E-5</v>
      </c>
      <c r="BO693">
        <f t="shared" si="74"/>
        <v>5.2461535540167779E-5</v>
      </c>
      <c r="BP693">
        <f t="shared" si="72"/>
        <v>4.0069110344029601</v>
      </c>
    </row>
    <row r="694" spans="1:68" x14ac:dyDescent="0.15">
      <c r="A694" s="5">
        <v>44571</v>
      </c>
      <c r="B694" s="1"/>
      <c r="C694">
        <v>121.9</v>
      </c>
      <c r="D694">
        <v>95</v>
      </c>
      <c r="E694">
        <v>78.088584999999995</v>
      </c>
      <c r="G694" s="3">
        <v>-1.5673790882044701E-2</v>
      </c>
      <c r="I694" s="15">
        <f t="shared" si="75"/>
        <v>-2.0568857464245447E-2</v>
      </c>
      <c r="J694" s="15">
        <f t="shared" si="76"/>
        <v>6.9959720161118987E-3</v>
      </c>
      <c r="K694" s="15">
        <f t="shared" si="77"/>
        <v>8.0753995712018033E-3</v>
      </c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BJ694">
        <f t="shared" si="71"/>
        <v>2.4566772061406764E-4</v>
      </c>
      <c r="BK694">
        <f t="shared" si="73"/>
        <v>5.0599814054949211E-5</v>
      </c>
      <c r="BO694">
        <f t="shared" si="74"/>
        <v>4.7117420280650068E-5</v>
      </c>
      <c r="BP694">
        <f t="shared" si="72"/>
        <v>1.4555219728860034</v>
      </c>
    </row>
    <row r="695" spans="1:68" x14ac:dyDescent="0.15">
      <c r="A695" s="5">
        <v>44572</v>
      </c>
      <c r="B695" s="1"/>
      <c r="C695">
        <v>122.18</v>
      </c>
      <c r="D695">
        <v>94.6</v>
      </c>
      <c r="E695">
        <v>78.382390000000001</v>
      </c>
      <c r="G695" s="3">
        <v>8.9191278316442801E-3</v>
      </c>
      <c r="I695" s="15">
        <f t="shared" si="75"/>
        <v>2.2969647251845867E-3</v>
      </c>
      <c r="J695" s="15">
        <f t="shared" si="76"/>
        <v>-4.2105263157895334E-3</v>
      </c>
      <c r="K695" s="15">
        <f t="shared" si="77"/>
        <v>3.7624577266959841E-3</v>
      </c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BJ695">
        <f t="shared" si="71"/>
        <v>7.9550841277211599E-5</v>
      </c>
      <c r="BK695">
        <f t="shared" si="73"/>
        <v>6.2303888448496335E-5</v>
      </c>
      <c r="BO695">
        <f t="shared" si="74"/>
        <v>7.7885774816372361E-5</v>
      </c>
      <c r="BP695">
        <f t="shared" si="72"/>
        <v>3.3005059253810809</v>
      </c>
    </row>
    <row r="696" spans="1:68" x14ac:dyDescent="0.15">
      <c r="A696" s="5">
        <v>44573</v>
      </c>
      <c r="B696" s="1"/>
      <c r="C696">
        <v>121.8</v>
      </c>
      <c r="D696">
        <v>95.94</v>
      </c>
      <c r="E696">
        <v>77.624170000000007</v>
      </c>
      <c r="G696" s="3">
        <v>-3.0873683085154103E-3</v>
      </c>
      <c r="I696" s="15">
        <f t="shared" si="75"/>
        <v>-3.1101653298412969E-3</v>
      </c>
      <c r="J696" s="15">
        <f t="shared" si="76"/>
        <v>1.4164904862579318E-2</v>
      </c>
      <c r="K696" s="15">
        <f t="shared" si="77"/>
        <v>-9.6733462707630415E-3</v>
      </c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BJ696">
        <f t="shared" si="71"/>
        <v>9.5318430724253066E-6</v>
      </c>
      <c r="BK696">
        <f t="shared" si="73"/>
        <v>6.3338705618219246E-5</v>
      </c>
      <c r="BO696">
        <f t="shared" si="74"/>
        <v>7.8361423092050751E-5</v>
      </c>
      <c r="BP696">
        <f t="shared" si="72"/>
        <v>3.7473311268339144</v>
      </c>
    </row>
    <row r="697" spans="1:68" x14ac:dyDescent="0.15">
      <c r="A697" s="5">
        <v>44574</v>
      </c>
      <c r="B697" s="1"/>
      <c r="C697">
        <v>121.4</v>
      </c>
      <c r="D697">
        <v>96.06</v>
      </c>
      <c r="E697">
        <v>78.192840000000004</v>
      </c>
      <c r="G697" s="3">
        <v>-3.9486637213234001E-3</v>
      </c>
      <c r="I697" s="15">
        <f t="shared" si="75"/>
        <v>-3.284072249589421E-3</v>
      </c>
      <c r="J697" s="15">
        <f t="shared" si="76"/>
        <v>1.2507817385866641E-3</v>
      </c>
      <c r="K697" s="15">
        <f t="shared" si="77"/>
        <v>7.3259398457979942E-3</v>
      </c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BJ697">
        <f t="shared" si="71"/>
        <v>1.5591945184095562E-5</v>
      </c>
      <c r="BK697">
        <f t="shared" si="73"/>
        <v>6.0110293865471608E-5</v>
      </c>
      <c r="BO697">
        <f t="shared" si="74"/>
        <v>6.8762392580335282E-5</v>
      </c>
      <c r="BP697">
        <f t="shared" si="72"/>
        <v>3.7601127293807708</v>
      </c>
    </row>
    <row r="698" spans="1:68" x14ac:dyDescent="0.15">
      <c r="A698" s="5">
        <v>44575</v>
      </c>
      <c r="B698" s="1"/>
      <c r="C698">
        <v>120.84</v>
      </c>
      <c r="D698">
        <v>95.72</v>
      </c>
      <c r="E698">
        <v>78.022239999999996</v>
      </c>
      <c r="G698" s="3">
        <v>-7.5117926282746092E-3</v>
      </c>
      <c r="I698" s="15">
        <f t="shared" si="75"/>
        <v>-4.6128500823723415E-3</v>
      </c>
      <c r="J698" s="15">
        <f t="shared" si="76"/>
        <v>-3.5394545075994525E-3</v>
      </c>
      <c r="K698" s="15">
        <f t="shared" si="77"/>
        <v>-2.1817854422477479E-3</v>
      </c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BJ698">
        <f t="shared" si="71"/>
        <v>5.6427028490200759E-5</v>
      </c>
      <c r="BK698">
        <f t="shared" si="73"/>
        <v>5.7439192944589041E-5</v>
      </c>
      <c r="BO698">
        <f t="shared" si="74"/>
        <v>6.2096197250408576E-5</v>
      </c>
      <c r="BP698">
        <f t="shared" si="72"/>
        <v>3.4701226466714017</v>
      </c>
    </row>
    <row r="699" spans="1:68" x14ac:dyDescent="0.15">
      <c r="A699" s="5">
        <v>44579</v>
      </c>
      <c r="B699" s="1"/>
      <c r="C699">
        <v>122.38</v>
      </c>
      <c r="D699">
        <v>97.88</v>
      </c>
      <c r="E699">
        <v>77.813720000000004</v>
      </c>
      <c r="G699" s="3">
        <v>3.1381461960533404E-4</v>
      </c>
      <c r="I699" s="15">
        <f t="shared" si="75"/>
        <v>1.2744124462098577E-2</v>
      </c>
      <c r="J699" s="15">
        <f t="shared" si="76"/>
        <v>2.2565816966151238E-2</v>
      </c>
      <c r="K699" s="15">
        <f t="shared" si="77"/>
        <v>-2.6725713078731518E-3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BJ699">
        <f t="shared" si="71"/>
        <v>9.8479615478040499E-8</v>
      </c>
      <c r="BK699">
        <f t="shared" si="73"/>
        <v>5.7378463077325745E-5</v>
      </c>
      <c r="BO699">
        <f t="shared" si="74"/>
        <v>6.2683115104369689E-5</v>
      </c>
      <c r="BP699">
        <f t="shared" si="72"/>
        <v>3.9189851529525677</v>
      </c>
    </row>
    <row r="700" spans="1:68" x14ac:dyDescent="0.15">
      <c r="A700" s="5">
        <v>44580</v>
      </c>
      <c r="B700" s="1"/>
      <c r="C700">
        <v>120.16</v>
      </c>
      <c r="D700">
        <v>97.48</v>
      </c>
      <c r="E700">
        <v>77.207139999999995</v>
      </c>
      <c r="G700" s="3">
        <v>-3.0963657189530999E-4</v>
      </c>
      <c r="I700" s="15">
        <f t="shared" si="75"/>
        <v>-1.8140218990031043E-2</v>
      </c>
      <c r="J700" s="15">
        <f t="shared" si="76"/>
        <v>-4.0866366979974613E-3</v>
      </c>
      <c r="K700" s="15">
        <f t="shared" si="77"/>
        <v>-7.7952834024643484E-3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BJ700">
        <f t="shared" si="71"/>
        <v>9.5874806655079467E-8</v>
      </c>
      <c r="BK700">
        <f t="shared" si="73"/>
        <v>5.3941664069614874E-5</v>
      </c>
      <c r="BO700">
        <f t="shared" si="74"/>
        <v>5.5121158471519669E-5</v>
      </c>
      <c r="BP700">
        <f t="shared" si="72"/>
        <v>3.9831802505396277</v>
      </c>
    </row>
    <row r="701" spans="1:68" x14ac:dyDescent="0.15">
      <c r="A701" s="5">
        <v>44581</v>
      </c>
      <c r="B701" s="1"/>
      <c r="C701">
        <v>121.2</v>
      </c>
      <c r="D701">
        <v>97.08</v>
      </c>
      <c r="E701">
        <v>77.140789999999996</v>
      </c>
      <c r="G701" s="3">
        <v>2.7951075730396902E-3</v>
      </c>
      <c r="I701" s="15">
        <f t="shared" si="75"/>
        <v>8.6551264980027146E-3</v>
      </c>
      <c r="J701" s="15">
        <f t="shared" si="76"/>
        <v>-4.1034058268363321E-3</v>
      </c>
      <c r="K701" s="15">
        <f t="shared" si="77"/>
        <v>-8.5937647735688581E-4</v>
      </c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BJ701">
        <f t="shared" si="71"/>
        <v>7.8126263448638265E-6</v>
      </c>
      <c r="BK701">
        <f t="shared" si="73"/>
        <v>5.0710916713837287E-5</v>
      </c>
      <c r="BO701">
        <f t="shared" si="74"/>
        <v>4.918934888072364E-5</v>
      </c>
      <c r="BP701">
        <f t="shared" si="72"/>
        <v>3.9615643876436955</v>
      </c>
    </row>
    <row r="702" spans="1:68" x14ac:dyDescent="0.15">
      <c r="A702" s="5">
        <v>44582</v>
      </c>
      <c r="B702" s="1"/>
      <c r="C702">
        <v>121.04</v>
      </c>
      <c r="D702">
        <v>96.94</v>
      </c>
      <c r="E702">
        <v>75.700149999999994</v>
      </c>
      <c r="G702" s="3">
        <v>-1.6332781919002299E-2</v>
      </c>
      <c r="I702" s="15">
        <f t="shared" si="75"/>
        <v>-1.320132013201292E-3</v>
      </c>
      <c r="J702" s="15">
        <f t="shared" si="76"/>
        <v>-1.4421096003296309E-3</v>
      </c>
      <c r="K702" s="15">
        <f t="shared" si="77"/>
        <v>-1.8675463396213624E-2</v>
      </c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BJ702">
        <f t="shared" si="71"/>
        <v>2.6675976521368841E-4</v>
      </c>
      <c r="BK702">
        <f t="shared" si="73"/>
        <v>4.8137019291698877E-5</v>
      </c>
      <c r="BO702">
        <f t="shared" si="74"/>
        <v>4.563558429008356E-5</v>
      </c>
      <c r="BP702">
        <f t="shared" si="72"/>
        <v>1.1557561985736338</v>
      </c>
    </row>
    <row r="703" spans="1:68" x14ac:dyDescent="0.15">
      <c r="A703" s="5">
        <v>44585</v>
      </c>
      <c r="B703" s="1"/>
      <c r="C703">
        <v>118</v>
      </c>
      <c r="D703">
        <v>96.62</v>
      </c>
      <c r="E703">
        <v>72.743033999999994</v>
      </c>
      <c r="G703" s="3">
        <v>-3.8382753618468199E-2</v>
      </c>
      <c r="I703" s="15">
        <f t="shared" si="75"/>
        <v>-2.5115664243225429E-2</v>
      </c>
      <c r="J703" s="15">
        <f t="shared" si="76"/>
        <v>-3.3010109345986507E-3</v>
      </c>
      <c r="K703" s="15">
        <f t="shared" si="77"/>
        <v>-3.906354214621767E-2</v>
      </c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BJ703">
        <f t="shared" si="71"/>
        <v>1.4732357753360337E-3</v>
      </c>
      <c r="BK703">
        <f t="shared" si="73"/>
        <v>6.1254384047018261E-5</v>
      </c>
      <c r="BO703">
        <f t="shared" si="74"/>
        <v>7.9727387026282798E-5</v>
      </c>
      <c r="BP703">
        <f t="shared" si="72"/>
        <v>-5.4396975252261619</v>
      </c>
    </row>
    <row r="704" spans="1:68" x14ac:dyDescent="0.15">
      <c r="A704" s="5">
        <v>44586</v>
      </c>
      <c r="B704" s="1"/>
      <c r="C704">
        <v>117.72</v>
      </c>
      <c r="D704">
        <v>99.2</v>
      </c>
      <c r="E704">
        <v>73.188500000000005</v>
      </c>
      <c r="G704" s="3">
        <v>5.4192736450431296E-3</v>
      </c>
      <c r="I704" s="15">
        <f t="shared" si="75"/>
        <v>-2.3728813559322128E-3</v>
      </c>
      <c r="J704" s="15">
        <f t="shared" si="76"/>
        <v>2.6702546056717017E-2</v>
      </c>
      <c r="K704" s="15">
        <f t="shared" si="77"/>
        <v>6.1238303587943608E-3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BJ704">
        <f t="shared" si="71"/>
        <v>2.9368526839859049E-5</v>
      </c>
      <c r="BK704">
        <f t="shared" si="73"/>
        <v>1.4597326752435925E-4</v>
      </c>
      <c r="BO704">
        <f t="shared" si="74"/>
        <v>2.7829481615005612E-4</v>
      </c>
      <c r="BP704">
        <f t="shared" si="72"/>
        <v>3.1217110904646233</v>
      </c>
    </row>
    <row r="705" spans="1:68" x14ac:dyDescent="0.15">
      <c r="A705" s="5">
        <v>44587</v>
      </c>
      <c r="B705" s="1"/>
      <c r="C705">
        <v>117.96</v>
      </c>
      <c r="D705">
        <v>100.45</v>
      </c>
      <c r="E705">
        <v>74.079419999999999</v>
      </c>
      <c r="G705" s="3">
        <v>1.2772081211928299E-2</v>
      </c>
      <c r="I705" s="15">
        <f t="shared" si="75"/>
        <v>2.0387359836900685E-3</v>
      </c>
      <c r="J705" s="15">
        <f t="shared" si="76"/>
        <v>1.2600806451612902E-2</v>
      </c>
      <c r="K705" s="15">
        <f t="shared" si="77"/>
        <v>1.2172950668479256E-2</v>
      </c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BJ705">
        <f t="shared" si="71"/>
        <v>1.6312605848409185E-4</v>
      </c>
      <c r="BK705">
        <f t="shared" si="73"/>
        <v>1.3897698308328925E-4</v>
      </c>
      <c r="BO705">
        <f t="shared" si="74"/>
        <v>2.2841105556462403E-4</v>
      </c>
      <c r="BP705">
        <f t="shared" si="72"/>
        <v>2.9161545074456576</v>
      </c>
    </row>
    <row r="706" spans="1:68" x14ac:dyDescent="0.15">
      <c r="A706" s="5">
        <v>44588</v>
      </c>
      <c r="B706" s="1"/>
      <c r="C706">
        <v>118.3</v>
      </c>
      <c r="D706">
        <v>101.5</v>
      </c>
      <c r="E706">
        <v>75.510589999999993</v>
      </c>
      <c r="G706" s="3">
        <v>6.4996126985925598E-3</v>
      </c>
      <c r="I706" s="15">
        <f t="shared" si="75"/>
        <v>2.8823329942353629E-3</v>
      </c>
      <c r="J706" s="15">
        <f t="shared" si="76"/>
        <v>1.0452961672473839E-2</v>
      </c>
      <c r="K706" s="15">
        <f t="shared" si="77"/>
        <v>1.9319400718850046E-2</v>
      </c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BJ706">
        <f t="shared" ref="BJ706:BJ769" si="78">G706^2</f>
        <v>4.2244965231705657E-5</v>
      </c>
      <c r="BK706">
        <f t="shared" si="73"/>
        <v>1.4042592760733742E-4</v>
      </c>
      <c r="BO706">
        <f t="shared" si="74"/>
        <v>2.0833306325779833E-4</v>
      </c>
      <c r="BP706">
        <f t="shared" ref="BP706:BP769" si="79" xml:space="preserve"> -0.5 * (LN(2 * PI()) + LN(BO706) + (BJ706) / BO706)</f>
        <v>3.2178596654332585</v>
      </c>
    </row>
    <row r="707" spans="1:68" x14ac:dyDescent="0.15">
      <c r="A707" s="5">
        <v>44589</v>
      </c>
      <c r="B707" s="1"/>
      <c r="C707">
        <v>118.06</v>
      </c>
      <c r="D707">
        <v>100.85</v>
      </c>
      <c r="E707">
        <v>75.226249999999993</v>
      </c>
      <c r="G707" s="3">
        <v>-5.9503879155302598E-3</v>
      </c>
      <c r="I707" s="15">
        <f t="shared" si="75"/>
        <v>-2.0287404902789084E-3</v>
      </c>
      <c r="J707" s="15">
        <f t="shared" si="76"/>
        <v>-6.4039408866995631E-3</v>
      </c>
      <c r="K707" s="15">
        <f t="shared" si="77"/>
        <v>-3.7655645386958344E-3</v>
      </c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BJ707">
        <f t="shared" si="78"/>
        <v>3.5407116345288548E-5</v>
      </c>
      <c r="BK707">
        <f t="shared" ref="BK707:BK770" si="80">$BM$2 * BK706 + (1 - $BM$2) * BJ706</f>
        <v>1.3453506986479952E-4</v>
      </c>
      <c r="BO707">
        <f t="shared" ref="BO707:BO770" si="81" xml:space="preserve"> $BR$2 + $BS$2 * BJ706 + $BT$2 * BO706</f>
        <v>1.7536840323881204E-4</v>
      </c>
      <c r="BP707">
        <f t="shared" si="79"/>
        <v>3.3044216124037007</v>
      </c>
    </row>
    <row r="708" spans="1:68" x14ac:dyDescent="0.15">
      <c r="A708" s="5">
        <v>44592</v>
      </c>
      <c r="B708" s="1"/>
      <c r="C708">
        <v>119.08</v>
      </c>
      <c r="D708">
        <v>100.3</v>
      </c>
      <c r="E708">
        <v>75.946569999999994</v>
      </c>
      <c r="G708" s="3">
        <v>1.0100058099644199E-2</v>
      </c>
      <c r="I708" s="15">
        <f t="shared" ref="I708:I771" si="82">(C708-C707)/C707</f>
        <v>8.6396747416567516E-3</v>
      </c>
      <c r="J708" s="15">
        <f t="shared" ref="J708:J771" si="83">(D708-D707)/D707</f>
        <v>-5.4536440257808346E-3</v>
      </c>
      <c r="K708" s="15">
        <f t="shared" ref="K708:K771" si="84">(E708-E707)/E707</f>
        <v>9.5753809341818982E-3</v>
      </c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BJ708">
        <f t="shared" si="78"/>
        <v>1.020111736161884E-4</v>
      </c>
      <c r="BK708">
        <f t="shared" si="80"/>
        <v>1.2858739265362887E-4</v>
      </c>
      <c r="BO708">
        <f t="shared" si="81"/>
        <v>1.485377744130747E-4</v>
      </c>
      <c r="BP708">
        <f t="shared" si="79"/>
        <v>3.1450124790435239</v>
      </c>
    </row>
    <row r="709" spans="1:68" x14ac:dyDescent="0.15">
      <c r="A709" s="5">
        <v>44593</v>
      </c>
      <c r="B709" s="1"/>
      <c r="C709">
        <v>119</v>
      </c>
      <c r="D709">
        <v>101.3</v>
      </c>
      <c r="E709">
        <v>76.865930000000006</v>
      </c>
      <c r="G709" s="3">
        <v>1.08865395215296E-2</v>
      </c>
      <c r="I709" s="15">
        <f t="shared" si="82"/>
        <v>-6.7181726570371425E-4</v>
      </c>
      <c r="J709" s="15">
        <f t="shared" si="83"/>
        <v>9.9700897308075773E-3</v>
      </c>
      <c r="K709" s="15">
        <f t="shared" si="84"/>
        <v>1.2105352486623316E-2</v>
      </c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BJ709">
        <f t="shared" si="78"/>
        <v>1.1851674275382592E-4</v>
      </c>
      <c r="BK709">
        <f t="shared" si="80"/>
        <v>1.2699281951138245E-4</v>
      </c>
      <c r="BO709">
        <f t="shared" si="81"/>
        <v>1.3697815987210438E-4</v>
      </c>
      <c r="BP709">
        <f t="shared" si="79"/>
        <v>3.0962941752722921</v>
      </c>
    </row>
    <row r="710" spans="1:68" x14ac:dyDescent="0.15">
      <c r="A710" s="5">
        <v>44594</v>
      </c>
      <c r="B710" s="1"/>
      <c r="C710">
        <v>120.5</v>
      </c>
      <c r="D710">
        <v>101.55</v>
      </c>
      <c r="E710">
        <v>74.515410000000003</v>
      </c>
      <c r="G710" s="3">
        <v>4.5474939802669895E-5</v>
      </c>
      <c r="I710" s="15">
        <f t="shared" si="82"/>
        <v>1.2605042016806723E-2</v>
      </c>
      <c r="J710" s="15">
        <f t="shared" si="83"/>
        <v>2.4679170779861796E-3</v>
      </c>
      <c r="K710" s="15">
        <f t="shared" si="84"/>
        <v>-3.0579477799852324E-2</v>
      </c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BJ710">
        <f t="shared" si="78"/>
        <v>2.0679701500564508E-9</v>
      </c>
      <c r="BK710">
        <f t="shared" si="80"/>
        <v>1.2648425490592905E-4</v>
      </c>
      <c r="BO710">
        <f t="shared" si="81"/>
        <v>1.3026176934267648E-4</v>
      </c>
      <c r="BP710">
        <f t="shared" si="79"/>
        <v>3.5540357899356683</v>
      </c>
    </row>
    <row r="711" spans="1:68" x14ac:dyDescent="0.15">
      <c r="A711" s="5">
        <v>44595</v>
      </c>
      <c r="B711" s="1"/>
      <c r="C711">
        <v>119.4</v>
      </c>
      <c r="D711">
        <v>101.7</v>
      </c>
      <c r="E711">
        <v>75.330510000000004</v>
      </c>
      <c r="G711" s="3">
        <v>-1.0211277360333799E-2</v>
      </c>
      <c r="I711" s="15">
        <f t="shared" si="82"/>
        <v>-9.1286307053941446E-3</v>
      </c>
      <c r="J711" s="15">
        <f t="shared" si="83"/>
        <v>1.4771048744461417E-3</v>
      </c>
      <c r="K711" s="15">
        <f t="shared" si="84"/>
        <v>1.0938676979701259E-2</v>
      </c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BJ711">
        <f t="shared" si="78"/>
        <v>1.042701853296656E-4</v>
      </c>
      <c r="BK711">
        <f t="shared" si="80"/>
        <v>1.188953236897823E-4</v>
      </c>
      <c r="BO711">
        <f t="shared" si="81"/>
        <v>1.0811469251166185E-4</v>
      </c>
      <c r="BP711">
        <f t="shared" si="79"/>
        <v>3.1650001929367133</v>
      </c>
    </row>
    <row r="712" spans="1:68" x14ac:dyDescent="0.15">
      <c r="A712" s="5">
        <v>44596</v>
      </c>
      <c r="B712" s="1"/>
      <c r="C712">
        <v>119.1</v>
      </c>
      <c r="D712">
        <v>99.1</v>
      </c>
      <c r="E712">
        <v>75.671710000000004</v>
      </c>
      <c r="G712" s="3">
        <v>-7.6752764911866E-3</v>
      </c>
      <c r="I712" s="15">
        <f t="shared" si="82"/>
        <v>-2.5125628140704468E-3</v>
      </c>
      <c r="J712" s="15">
        <f t="shared" si="83"/>
        <v>-2.5565388397246886E-2</v>
      </c>
      <c r="K712" s="15">
        <f t="shared" si="84"/>
        <v>4.5293732911140597E-3</v>
      </c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BJ712">
        <f t="shared" si="78"/>
        <v>5.8909869216161688E-5</v>
      </c>
      <c r="BK712">
        <f t="shared" si="80"/>
        <v>1.1801781538817531E-4</v>
      </c>
      <c r="BO712">
        <f t="shared" si="81"/>
        <v>1.0559287950240159E-4</v>
      </c>
      <c r="BP712">
        <f t="shared" si="79"/>
        <v>3.3800731615748929</v>
      </c>
    </row>
    <row r="713" spans="1:68" x14ac:dyDescent="0.15">
      <c r="A713" s="5">
        <v>44599</v>
      </c>
      <c r="B713" s="1"/>
      <c r="C713">
        <v>119.04</v>
      </c>
      <c r="D713">
        <v>99.62</v>
      </c>
      <c r="E713">
        <v>76.202479999999994</v>
      </c>
      <c r="G713" s="3">
        <v>4.4115435453078097E-3</v>
      </c>
      <c r="I713" s="15">
        <f t="shared" si="82"/>
        <v>-5.0377833753138595E-4</v>
      </c>
      <c r="J713" s="15">
        <f t="shared" si="83"/>
        <v>5.2472250252271471E-3</v>
      </c>
      <c r="K713" s="15">
        <f t="shared" si="84"/>
        <v>7.0141139931949436E-3</v>
      </c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BJ713">
        <f t="shared" si="78"/>
        <v>1.9461716452146998E-5</v>
      </c>
      <c r="BK713">
        <f t="shared" si="80"/>
        <v>1.144713386178545E-4</v>
      </c>
      <c r="BO713">
        <f t="shared" si="81"/>
        <v>9.715459800703713E-5</v>
      </c>
      <c r="BP713">
        <f t="shared" si="79"/>
        <v>3.6005064999066185</v>
      </c>
    </row>
    <row r="714" spans="1:68" x14ac:dyDescent="0.15">
      <c r="A714" s="5">
        <v>44600</v>
      </c>
      <c r="B714" s="1"/>
      <c r="C714">
        <v>117.84</v>
      </c>
      <c r="D714">
        <v>100.2</v>
      </c>
      <c r="E714">
        <v>76.031875999999997</v>
      </c>
      <c r="G714" s="3">
        <v>-3.1283745231189802E-3</v>
      </c>
      <c r="I714" s="15">
        <f t="shared" si="82"/>
        <v>-1.0080645161290347E-2</v>
      </c>
      <c r="J714" s="15">
        <f t="shared" si="83"/>
        <v>5.8221240714715749E-3</v>
      </c>
      <c r="K714" s="15">
        <f t="shared" si="84"/>
        <v>-2.2388247731569542E-3</v>
      </c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BJ714">
        <f t="shared" si="78"/>
        <v>9.7867271568999069E-6</v>
      </c>
      <c r="BK714">
        <f t="shared" si="80"/>
        <v>1.0877076128791204E-4</v>
      </c>
      <c r="BO714">
        <f t="shared" si="81"/>
        <v>8.4917575368055541E-5</v>
      </c>
      <c r="BP714">
        <f t="shared" si="79"/>
        <v>3.7103513413466058</v>
      </c>
    </row>
    <row r="715" spans="1:68" x14ac:dyDescent="0.15">
      <c r="A715" s="5">
        <v>44601</v>
      </c>
      <c r="B715" s="1"/>
      <c r="C715">
        <v>118.9</v>
      </c>
      <c r="D715">
        <v>101.35</v>
      </c>
      <c r="E715">
        <v>76.382549999999995</v>
      </c>
      <c r="G715" s="3">
        <v>1.74537740068447E-2</v>
      </c>
      <c r="I715" s="15">
        <f t="shared" si="82"/>
        <v>8.9952477936184848E-3</v>
      </c>
      <c r="J715" s="15">
        <f t="shared" si="83"/>
        <v>1.1477045908183547E-2</v>
      </c>
      <c r="K715" s="15">
        <f t="shared" si="84"/>
        <v>4.612197126373653E-3</v>
      </c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BJ715">
        <f t="shared" si="78"/>
        <v>3.0463422708200768E-4</v>
      </c>
      <c r="BK715">
        <f t="shared" si="80"/>
        <v>1.028317192400513E-4</v>
      </c>
      <c r="BO715">
        <f t="shared" si="81"/>
        <v>7.3941200199577797E-5</v>
      </c>
      <c r="BP715">
        <f t="shared" si="79"/>
        <v>1.7772054404684239</v>
      </c>
    </row>
    <row r="716" spans="1:68" x14ac:dyDescent="0.15">
      <c r="A716" s="5">
        <v>44602</v>
      </c>
      <c r="B716" s="1"/>
      <c r="C716">
        <v>118.02</v>
      </c>
      <c r="D716">
        <v>100.7</v>
      </c>
      <c r="E716">
        <v>75.965530000000001</v>
      </c>
      <c r="G716" s="3">
        <v>-4.4199585695769896E-3</v>
      </c>
      <c r="I716" s="15">
        <f t="shared" si="82"/>
        <v>-7.4011774600505438E-3</v>
      </c>
      <c r="J716" s="15">
        <f t="shared" si="83"/>
        <v>-6.413418845584524E-3</v>
      </c>
      <c r="K716" s="15">
        <f t="shared" si="84"/>
        <v>-5.4596239586135022E-3</v>
      </c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BJ716">
        <f t="shared" si="78"/>
        <v>1.9536033756777068E-5</v>
      </c>
      <c r="BK716">
        <f t="shared" si="80"/>
        <v>1.1493986971056869E-4</v>
      </c>
      <c r="BO716">
        <f t="shared" si="81"/>
        <v>1.073238006163303E-4</v>
      </c>
      <c r="BP716">
        <f t="shared" si="79"/>
        <v>3.5598770745763328</v>
      </c>
    </row>
    <row r="717" spans="1:68" x14ac:dyDescent="0.15">
      <c r="A717" s="5">
        <v>44603</v>
      </c>
      <c r="B717" s="1"/>
      <c r="C717">
        <v>119.28</v>
      </c>
      <c r="D717">
        <v>100.35</v>
      </c>
      <c r="E717">
        <v>75.605360000000005</v>
      </c>
      <c r="G717" s="3">
        <v>-6.5935775472185602E-3</v>
      </c>
      <c r="I717" s="15">
        <f t="shared" si="82"/>
        <v>1.0676156583629937E-2</v>
      </c>
      <c r="J717" s="15">
        <f t="shared" si="83"/>
        <v>-3.4756703078451688E-3</v>
      </c>
      <c r="K717" s="15">
        <f t="shared" si="84"/>
        <v>-4.741229344414454E-3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BJ717">
        <f t="shared" si="78"/>
        <v>4.3475264871184725E-5</v>
      </c>
      <c r="BK717">
        <f t="shared" si="80"/>
        <v>1.0921563955334118E-4</v>
      </c>
      <c r="BO717">
        <f t="shared" si="81"/>
        <v>9.290466678603668E-5</v>
      </c>
      <c r="BP717">
        <f t="shared" si="79"/>
        <v>3.4890519751223681</v>
      </c>
    </row>
    <row r="718" spans="1:68" x14ac:dyDescent="0.15">
      <c r="A718" s="5">
        <v>44606</v>
      </c>
      <c r="B718" s="1"/>
      <c r="C718">
        <v>117.3</v>
      </c>
      <c r="D718">
        <v>98.06</v>
      </c>
      <c r="E718">
        <v>75.05565</v>
      </c>
      <c r="G718" s="3">
        <v>-1.68084360008341E-2</v>
      </c>
      <c r="I718" s="15">
        <f t="shared" si="82"/>
        <v>-1.6599597585513111E-2</v>
      </c>
      <c r="J718" s="15">
        <f t="shared" si="83"/>
        <v>-2.2820129546586868E-2</v>
      </c>
      <c r="K718" s="15">
        <f t="shared" si="84"/>
        <v>-7.2707808017844835E-3</v>
      </c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BJ718">
        <f t="shared" si="78"/>
        <v>2.8252352079413581E-4</v>
      </c>
      <c r="BK718">
        <f t="shared" si="80"/>
        <v>1.0527121707241179E-4</v>
      </c>
      <c r="BO718">
        <f t="shared" si="81"/>
        <v>8.5004033435647048E-5</v>
      </c>
      <c r="BP718">
        <f t="shared" si="79"/>
        <v>2.1056431856964091</v>
      </c>
    </row>
    <row r="719" spans="1:68" x14ac:dyDescent="0.15">
      <c r="A719" s="5">
        <v>44607</v>
      </c>
      <c r="B719" s="1"/>
      <c r="C719">
        <v>117.8</v>
      </c>
      <c r="D719">
        <v>98.96</v>
      </c>
      <c r="E719">
        <v>75.908659999999998</v>
      </c>
      <c r="G719" s="3">
        <v>1.2929477021075698E-2</v>
      </c>
      <c r="I719" s="15">
        <f t="shared" si="82"/>
        <v>4.2625745950554137E-3</v>
      </c>
      <c r="J719" s="15">
        <f t="shared" si="83"/>
        <v>9.178054252498383E-3</v>
      </c>
      <c r="K719" s="15">
        <f t="shared" si="84"/>
        <v>1.1365033811578443E-2</v>
      </c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BJ719">
        <f t="shared" si="78"/>
        <v>1.6717137603852451E-4</v>
      </c>
      <c r="BK719">
        <f t="shared" si="80"/>
        <v>1.1590635529571525E-4</v>
      </c>
      <c r="BO719">
        <f t="shared" si="81"/>
        <v>1.1285224172125896E-4</v>
      </c>
      <c r="BP719">
        <f t="shared" si="79"/>
        <v>2.8851122178529813</v>
      </c>
    </row>
    <row r="720" spans="1:68" x14ac:dyDescent="0.15">
      <c r="A720" s="5">
        <v>44608</v>
      </c>
      <c r="B720" s="1"/>
      <c r="C720">
        <v>117.3</v>
      </c>
      <c r="D720">
        <v>99.44</v>
      </c>
      <c r="E720">
        <v>76.515249999999995</v>
      </c>
      <c r="G720" s="3">
        <v>7.9672933593544204E-4</v>
      </c>
      <c r="I720" s="15">
        <f t="shared" si="82"/>
        <v>-4.2444821731748728E-3</v>
      </c>
      <c r="J720" s="15">
        <f t="shared" si="83"/>
        <v>4.8504446240905819E-3</v>
      </c>
      <c r="K720" s="15">
        <f t="shared" si="84"/>
        <v>7.9910513503992451E-3</v>
      </c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BJ720">
        <f t="shared" si="78"/>
        <v>6.3477763474013042E-7</v>
      </c>
      <c r="BK720">
        <f t="shared" si="80"/>
        <v>1.189822565402838E-4</v>
      </c>
      <c r="BO720">
        <f t="shared" si="81"/>
        <v>1.1826731221365642E-4</v>
      </c>
      <c r="BP720">
        <f t="shared" si="79"/>
        <v>3.5996593794014919</v>
      </c>
    </row>
    <row r="721" spans="1:68" x14ac:dyDescent="0.15">
      <c r="A721" s="5">
        <v>44609</v>
      </c>
      <c r="B721" s="1"/>
      <c r="C721">
        <v>117.38</v>
      </c>
      <c r="D721">
        <v>98.12</v>
      </c>
      <c r="E721">
        <v>75.804405000000003</v>
      </c>
      <c r="G721" s="3">
        <v>-9.5396153513482799E-3</v>
      </c>
      <c r="I721" s="15">
        <f t="shared" si="82"/>
        <v>6.820119352088516E-4</v>
      </c>
      <c r="J721" s="15">
        <f t="shared" si="83"/>
        <v>-1.3274336283185773E-2</v>
      </c>
      <c r="K721" s="15">
        <f t="shared" si="84"/>
        <v>-9.2902395274143644E-3</v>
      </c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BJ721">
        <f t="shared" si="78"/>
        <v>9.1004261051679769E-5</v>
      </c>
      <c r="BK721">
        <f t="shared" si="80"/>
        <v>1.1188140780595118E-4</v>
      </c>
      <c r="BO721">
        <f t="shared" si="81"/>
        <v>9.8796605023468453E-5</v>
      </c>
      <c r="BP721">
        <f t="shared" si="79"/>
        <v>3.2317214189938617</v>
      </c>
    </row>
    <row r="722" spans="1:68" x14ac:dyDescent="0.15">
      <c r="A722" s="5">
        <v>44610</v>
      </c>
      <c r="B722" s="1"/>
      <c r="C722">
        <v>118.2</v>
      </c>
      <c r="D722">
        <v>97.8</v>
      </c>
      <c r="E722">
        <v>75.662239999999997</v>
      </c>
      <c r="G722" s="3">
        <v>-5.3978262646369101E-3</v>
      </c>
      <c r="I722" s="15">
        <f t="shared" si="82"/>
        <v>6.9858578974272226E-3</v>
      </c>
      <c r="J722" s="15">
        <f t="shared" si="83"/>
        <v>-3.2613126783531121E-3</v>
      </c>
      <c r="K722" s="15">
        <f t="shared" si="84"/>
        <v>-1.8754187174215753E-3</v>
      </c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BJ722">
        <f t="shared" si="78"/>
        <v>2.9136528383204059E-5</v>
      </c>
      <c r="BK722">
        <f t="shared" si="80"/>
        <v>1.106287790006949E-4</v>
      </c>
      <c r="BO722">
        <f t="shared" si="81"/>
        <v>9.6394633602162516E-5</v>
      </c>
      <c r="BP722">
        <f t="shared" si="79"/>
        <v>3.5534599940389811</v>
      </c>
    </row>
    <row r="723" spans="1:68" x14ac:dyDescent="0.15">
      <c r="A723" s="5">
        <v>44614</v>
      </c>
      <c r="B723" s="1"/>
      <c r="C723">
        <v>118.8</v>
      </c>
      <c r="D723">
        <v>96.08</v>
      </c>
      <c r="E723">
        <v>75.159903999999997</v>
      </c>
      <c r="G723" s="3">
        <v>-4.2215341219737903E-3</v>
      </c>
      <c r="I723" s="15">
        <f t="shared" si="82"/>
        <v>5.0761421319796473E-3</v>
      </c>
      <c r="J723" s="15">
        <f t="shared" si="83"/>
        <v>-1.758691206543966E-2</v>
      </c>
      <c r="K723" s="15">
        <f t="shared" si="84"/>
        <v>-6.639190169363208E-3</v>
      </c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BJ723">
        <f t="shared" si="78"/>
        <v>1.7821350342989019E-5</v>
      </c>
      <c r="BK723">
        <f t="shared" si="80"/>
        <v>1.0573924396364544E-4</v>
      </c>
      <c r="BO723">
        <f t="shared" si="81"/>
        <v>8.5699363927538801E-5</v>
      </c>
      <c r="BP723">
        <f t="shared" si="79"/>
        <v>3.6594180661104883</v>
      </c>
    </row>
    <row r="724" spans="1:68" x14ac:dyDescent="0.15">
      <c r="A724" s="5">
        <v>44615</v>
      </c>
      <c r="B724" s="1"/>
      <c r="C724">
        <v>118.9</v>
      </c>
      <c r="D724">
        <v>95.58</v>
      </c>
      <c r="E724">
        <v>75.491630000000001</v>
      </c>
      <c r="G724" s="3">
        <v>-1.4625309159588202E-3</v>
      </c>
      <c r="I724" s="15">
        <f t="shared" si="82"/>
        <v>8.417508417509136E-4</v>
      </c>
      <c r="J724" s="15">
        <f t="shared" si="83"/>
        <v>-5.2039966694421317E-3</v>
      </c>
      <c r="K724" s="15">
        <f t="shared" si="84"/>
        <v>4.4136032957147377E-3</v>
      </c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BJ724">
        <f t="shared" si="78"/>
        <v>2.1389966801353453E-6</v>
      </c>
      <c r="BK724">
        <f t="shared" si="80"/>
        <v>1.0046417034640604E-4</v>
      </c>
      <c r="BO724">
        <f t="shared" si="81"/>
        <v>7.5698711137781792E-5</v>
      </c>
      <c r="BP724">
        <f t="shared" si="79"/>
        <v>3.8113078225838111</v>
      </c>
    </row>
    <row r="725" spans="1:68" x14ac:dyDescent="0.15">
      <c r="A725" s="5">
        <v>44616</v>
      </c>
      <c r="B725" s="1"/>
      <c r="C725">
        <v>115.16</v>
      </c>
      <c r="D725">
        <v>92.04</v>
      </c>
      <c r="E725">
        <v>74.572270000000003</v>
      </c>
      <c r="G725" s="3">
        <v>-2.55514212710189E-2</v>
      </c>
      <c r="I725" s="15">
        <f t="shared" si="82"/>
        <v>-3.1455004205214541E-2</v>
      </c>
      <c r="J725" s="15">
        <f t="shared" si="83"/>
        <v>-3.7037037037036952E-2</v>
      </c>
      <c r="K725" s="15">
        <f t="shared" si="84"/>
        <v>-1.2178303740427878E-2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BJ725">
        <f t="shared" si="78"/>
        <v>6.5287512896907709E-4</v>
      </c>
      <c r="BK725">
        <f t="shared" si="80"/>
        <v>9.4564659926429798E-5</v>
      </c>
      <c r="BO725">
        <f t="shared" si="81"/>
        <v>6.5620927143138994E-5</v>
      </c>
      <c r="BP725">
        <f t="shared" si="79"/>
        <v>-1.0777260155630475</v>
      </c>
    </row>
    <row r="726" spans="1:68" x14ac:dyDescent="0.15">
      <c r="A726" s="5">
        <v>44617</v>
      </c>
      <c r="B726" s="1"/>
      <c r="C726">
        <v>118.5</v>
      </c>
      <c r="D726">
        <v>88.18</v>
      </c>
      <c r="E726">
        <v>76.647940000000006</v>
      </c>
      <c r="G726" s="3">
        <v>3.0123895338512299E-2</v>
      </c>
      <c r="I726" s="15">
        <f t="shared" si="82"/>
        <v>2.9003126085446366E-2</v>
      </c>
      <c r="J726" s="15">
        <f t="shared" si="83"/>
        <v>-4.1938287700999555E-2</v>
      </c>
      <c r="K726" s="15">
        <f t="shared" si="84"/>
        <v>2.7834341102932796E-2</v>
      </c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BJ726">
        <f t="shared" si="78"/>
        <v>9.0744907036564306E-4</v>
      </c>
      <c r="BK726">
        <f t="shared" si="80"/>
        <v>1.2806328806898868E-4</v>
      </c>
      <c r="BO726">
        <f t="shared" si="81"/>
        <v>1.5039408965954583E-4</v>
      </c>
      <c r="BP726">
        <f t="shared" si="79"/>
        <v>0.46528315913886065</v>
      </c>
    </row>
    <row r="727" spans="1:68" x14ac:dyDescent="0.15">
      <c r="A727" s="5">
        <v>44620</v>
      </c>
      <c r="B727" s="1"/>
      <c r="C727">
        <v>119.78</v>
      </c>
      <c r="D727">
        <v>87.82</v>
      </c>
      <c r="E727">
        <v>76.145610000000005</v>
      </c>
      <c r="G727" s="3">
        <v>-4.3632463026410601E-5</v>
      </c>
      <c r="I727" s="15">
        <f t="shared" si="82"/>
        <v>1.080168776371309E-2</v>
      </c>
      <c r="J727" s="15">
        <f t="shared" si="83"/>
        <v>-4.0825584032662008E-3</v>
      </c>
      <c r="K727" s="15">
        <f t="shared" si="84"/>
        <v>-6.5537312548778291E-3</v>
      </c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BJ727">
        <f t="shared" si="78"/>
        <v>1.9037918297510883E-9</v>
      </c>
      <c r="BK727">
        <f t="shared" si="80"/>
        <v>1.7482643500678797E-4</v>
      </c>
      <c r="BO727">
        <f t="shared" si="81"/>
        <v>2.5314483156116928E-4</v>
      </c>
      <c r="BP727">
        <f t="shared" si="79"/>
        <v>3.2218320946455332</v>
      </c>
    </row>
    <row r="728" spans="1:68" x14ac:dyDescent="0.15">
      <c r="A728" s="5">
        <v>44621</v>
      </c>
      <c r="B728" s="1"/>
      <c r="C728">
        <v>120.44</v>
      </c>
      <c r="D728">
        <v>81.66</v>
      </c>
      <c r="E728">
        <v>76.373080000000002</v>
      </c>
      <c r="G728" s="3">
        <v>-1.0386516957743902E-2</v>
      </c>
      <c r="I728" s="15">
        <f t="shared" si="82"/>
        <v>5.5101018533978679E-3</v>
      </c>
      <c r="J728" s="15">
        <f t="shared" si="83"/>
        <v>-7.014347529036663E-2</v>
      </c>
      <c r="K728" s="15">
        <f t="shared" si="84"/>
        <v>2.9873028793123689E-3</v>
      </c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BJ728">
        <f t="shared" si="78"/>
        <v>1.0787973451350163E-4</v>
      </c>
      <c r="BK728">
        <f t="shared" si="80"/>
        <v>1.6433696313389047E-4</v>
      </c>
      <c r="BO728">
        <f t="shared" si="81"/>
        <v>2.045015403543468E-4</v>
      </c>
      <c r="BP728">
        <f t="shared" si="79"/>
        <v>3.0647663465784012</v>
      </c>
    </row>
    <row r="729" spans="1:68" x14ac:dyDescent="0.15">
      <c r="A729" s="5">
        <v>44622</v>
      </c>
      <c r="B729" s="1"/>
      <c r="C729">
        <v>120.04</v>
      </c>
      <c r="D729">
        <v>81.12</v>
      </c>
      <c r="E729">
        <v>76.799580000000006</v>
      </c>
      <c r="G729" s="3">
        <v>7.8498111211167088E-4</v>
      </c>
      <c r="I729" s="15">
        <f t="shared" si="82"/>
        <v>-3.3211557622051767E-3</v>
      </c>
      <c r="J729" s="15">
        <f t="shared" si="83"/>
        <v>-6.6127847171196675E-3</v>
      </c>
      <c r="K729" s="15">
        <f t="shared" si="84"/>
        <v>5.5844284399686949E-3</v>
      </c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BJ729">
        <f t="shared" si="78"/>
        <v>6.1619534637207561E-7</v>
      </c>
      <c r="BK729">
        <f t="shared" si="80"/>
        <v>1.6094952941666713E-4</v>
      </c>
      <c r="BO729">
        <f t="shared" si="81"/>
        <v>1.8171075406210287E-4</v>
      </c>
      <c r="BP729">
        <f t="shared" si="79"/>
        <v>3.385913127029677</v>
      </c>
    </row>
    <row r="730" spans="1:68" x14ac:dyDescent="0.15">
      <c r="A730" s="5">
        <v>44623</v>
      </c>
      <c r="B730" s="1"/>
      <c r="C730">
        <v>118.08</v>
      </c>
      <c r="D730">
        <v>80.44</v>
      </c>
      <c r="E730">
        <v>75.330510000000004</v>
      </c>
      <c r="G730" s="3">
        <v>-1.6500753051900699E-2</v>
      </c>
      <c r="I730" s="15">
        <f t="shared" si="82"/>
        <v>-1.6327890703099032E-2</v>
      </c>
      <c r="J730" s="15">
        <f t="shared" si="83"/>
        <v>-8.3826429980276979E-3</v>
      </c>
      <c r="K730" s="15">
        <f t="shared" si="84"/>
        <v>-1.9128620234641933E-2</v>
      </c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BJ730">
        <f t="shared" si="78"/>
        <v>2.7227485127981024E-4</v>
      </c>
      <c r="BK730">
        <f t="shared" si="80"/>
        <v>1.513295293724494E-4</v>
      </c>
      <c r="BO730">
        <f t="shared" si="81"/>
        <v>1.4855765052441708E-4</v>
      </c>
      <c r="BP730">
        <f t="shared" si="79"/>
        <v>2.5719356156107018</v>
      </c>
    </row>
    <row r="731" spans="1:68" x14ac:dyDescent="0.15">
      <c r="A731" s="5">
        <v>44624</v>
      </c>
      <c r="B731" s="1"/>
      <c r="C731">
        <v>115.9</v>
      </c>
      <c r="D731">
        <v>77.06</v>
      </c>
      <c r="E731">
        <v>73.321190000000001</v>
      </c>
      <c r="G731" s="3">
        <v>-3.2166776191129398E-2</v>
      </c>
      <c r="I731" s="15">
        <f t="shared" si="82"/>
        <v>-1.8462059620596143E-2</v>
      </c>
      <c r="J731" s="15">
        <f t="shared" si="83"/>
        <v>-4.201889607160611E-2</v>
      </c>
      <c r="K731" s="15">
        <f t="shared" si="84"/>
        <v>-2.6673389042500873E-2</v>
      </c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BJ731">
        <f t="shared" si="78"/>
        <v>1.0347014905302092E-3</v>
      </c>
      <c r="BK731">
        <f t="shared" si="80"/>
        <v>1.5858624868689104E-4</v>
      </c>
      <c r="BO731">
        <f t="shared" si="81"/>
        <v>1.6124273539285785E-4</v>
      </c>
      <c r="BP731">
        <f t="shared" si="79"/>
        <v>0.23884002979251928</v>
      </c>
    </row>
    <row r="732" spans="1:68" x14ac:dyDescent="0.15">
      <c r="A732" s="5">
        <v>44627</v>
      </c>
      <c r="B732" s="1"/>
      <c r="C732">
        <v>113.3</v>
      </c>
      <c r="D732">
        <v>75</v>
      </c>
      <c r="E732">
        <v>72.837813999999995</v>
      </c>
      <c r="G732" s="3">
        <v>-8.4479271652850799E-3</v>
      </c>
      <c r="I732" s="15">
        <f t="shared" si="82"/>
        <v>-2.2433132010353827E-2</v>
      </c>
      <c r="J732" s="15">
        <f t="shared" si="83"/>
        <v>-2.6732416298987829E-2</v>
      </c>
      <c r="K732" s="15">
        <f t="shared" si="84"/>
        <v>-6.5925825808338208E-3</v>
      </c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BJ732">
        <f t="shared" si="78"/>
        <v>7.1367473389961613E-5</v>
      </c>
      <c r="BK732">
        <f t="shared" si="80"/>
        <v>2.1115316319749017E-4</v>
      </c>
      <c r="BO732">
        <f t="shared" si="81"/>
        <v>2.7977759319595008E-4</v>
      </c>
      <c r="BP732">
        <f t="shared" si="79"/>
        <v>3.0442760313865631</v>
      </c>
    </row>
    <row r="733" spans="1:68" x14ac:dyDescent="0.15">
      <c r="A733" s="5">
        <v>44628</v>
      </c>
      <c r="B733" s="1"/>
      <c r="C733">
        <v>110.36</v>
      </c>
      <c r="D733">
        <v>77.36</v>
      </c>
      <c r="E733">
        <v>70.487290000000002</v>
      </c>
      <c r="G733" s="3">
        <v>-1.31740304723648E-2</v>
      </c>
      <c r="I733" s="15">
        <f t="shared" si="82"/>
        <v>-2.5948808473080297E-2</v>
      </c>
      <c r="J733" s="15">
        <f t="shared" si="83"/>
        <v>3.1466666666666657E-2</v>
      </c>
      <c r="K733" s="15">
        <f t="shared" si="84"/>
        <v>-3.2270655459264511E-2</v>
      </c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BJ733">
        <f t="shared" si="78"/>
        <v>1.7355507888679631E-4</v>
      </c>
      <c r="BK733">
        <f t="shared" si="80"/>
        <v>2.0276602180903844E-4</v>
      </c>
      <c r="BO733">
        <f t="shared" si="81"/>
        <v>2.3555561237021262E-4</v>
      </c>
      <c r="BP733">
        <f t="shared" si="79"/>
        <v>2.8894481042520144</v>
      </c>
    </row>
    <row r="734" spans="1:68" x14ac:dyDescent="0.15">
      <c r="A734" s="5">
        <v>44629</v>
      </c>
      <c r="B734" s="1"/>
      <c r="C734">
        <v>115.22</v>
      </c>
      <c r="D734">
        <v>81.06</v>
      </c>
      <c r="E734">
        <v>71.700460000000007</v>
      </c>
      <c r="G734" s="3">
        <v>3.9458534982511798E-2</v>
      </c>
      <c r="I734" s="15">
        <f t="shared" si="82"/>
        <v>4.4037694816962659E-2</v>
      </c>
      <c r="J734" s="15">
        <f t="shared" si="83"/>
        <v>4.7828335056876975E-2</v>
      </c>
      <c r="K734" s="15">
        <f t="shared" si="84"/>
        <v>1.7211188002830086E-2</v>
      </c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BJ734">
        <f t="shared" si="78"/>
        <v>1.5569759829661073E-3</v>
      </c>
      <c r="BK734">
        <f t="shared" si="80"/>
        <v>2.0101336523370393E-4</v>
      </c>
      <c r="BO734">
        <f t="shared" si="81"/>
        <v>2.1542240534248475E-4</v>
      </c>
      <c r="BP734">
        <f t="shared" si="79"/>
        <v>-0.31125812551936649</v>
      </c>
    </row>
    <row r="735" spans="1:68" x14ac:dyDescent="0.15">
      <c r="A735" s="5">
        <v>44630</v>
      </c>
      <c r="B735" s="1"/>
      <c r="C735">
        <v>113.5</v>
      </c>
      <c r="D735">
        <v>81.02</v>
      </c>
      <c r="E735">
        <v>72.581909999999993</v>
      </c>
      <c r="G735" s="3">
        <v>-8.8967305514956393E-3</v>
      </c>
      <c r="I735" s="15">
        <f t="shared" si="82"/>
        <v>-1.4927963895157081E-2</v>
      </c>
      <c r="J735" s="15">
        <f t="shared" si="83"/>
        <v>-4.9346163335808359E-4</v>
      </c>
      <c r="K735" s="15">
        <f t="shared" si="84"/>
        <v>1.2293505508890553E-2</v>
      </c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BJ735">
        <f t="shared" si="78"/>
        <v>7.9151814505915908E-5</v>
      </c>
      <c r="BK735">
        <f t="shared" si="80"/>
        <v>2.823711222976482E-4</v>
      </c>
      <c r="BO735">
        <f t="shared" si="81"/>
        <v>3.9665741055027679E-4</v>
      </c>
      <c r="BP735">
        <f t="shared" si="79"/>
        <v>2.8975067416231708</v>
      </c>
    </row>
    <row r="736" spans="1:68" x14ac:dyDescent="0.15">
      <c r="A736" s="5">
        <v>44631</v>
      </c>
      <c r="B736" s="1"/>
      <c r="C736">
        <v>112.98</v>
      </c>
      <c r="D736">
        <v>82.3</v>
      </c>
      <c r="E736">
        <v>73.434929999999994</v>
      </c>
      <c r="G736" s="3">
        <v>9.1818662976146312E-3</v>
      </c>
      <c r="I736" s="15">
        <f t="shared" si="82"/>
        <v>-4.5814977973567929E-3</v>
      </c>
      <c r="J736" s="15">
        <f t="shared" si="83"/>
        <v>1.5798568254751927E-2</v>
      </c>
      <c r="K736" s="15">
        <f t="shared" si="84"/>
        <v>1.1752515192835251E-2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BJ736">
        <f t="shared" si="78"/>
        <v>8.4306668707271416E-5</v>
      </c>
      <c r="BK736">
        <f t="shared" si="80"/>
        <v>2.7017796383014425E-4</v>
      </c>
      <c r="BO736">
        <f t="shared" si="81"/>
        <v>3.2834231280962382E-4</v>
      </c>
      <c r="BP736">
        <f t="shared" si="79"/>
        <v>2.9634061165566656</v>
      </c>
    </row>
    <row r="737" spans="1:68" x14ac:dyDescent="0.15">
      <c r="A737" s="5">
        <v>44634</v>
      </c>
      <c r="B737" s="1"/>
      <c r="C737">
        <v>114.74</v>
      </c>
      <c r="D737">
        <v>84.6</v>
      </c>
      <c r="E737">
        <v>75.283119999999997</v>
      </c>
      <c r="G737" s="3">
        <v>1.5940715515565699E-2</v>
      </c>
      <c r="I737" s="15">
        <f t="shared" si="82"/>
        <v>1.5577978403257132E-2</v>
      </c>
      <c r="J737" s="15">
        <f t="shared" si="83"/>
        <v>2.7946537059538239E-2</v>
      </c>
      <c r="K737" s="15">
        <f t="shared" si="84"/>
        <v>2.5167723316410904E-2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BJ737">
        <f t="shared" si="78"/>
        <v>2.5410641114819701E-4</v>
      </c>
      <c r="BK737">
        <f t="shared" si="80"/>
        <v>2.5902568612277185E-4</v>
      </c>
      <c r="BO737">
        <f t="shared" si="81"/>
        <v>2.7549155242871372E-4</v>
      </c>
      <c r="BP737">
        <f t="shared" si="79"/>
        <v>2.7183509618392336</v>
      </c>
    </row>
    <row r="738" spans="1:68" x14ac:dyDescent="0.15">
      <c r="A738" s="5">
        <v>44635</v>
      </c>
      <c r="B738" s="1"/>
      <c r="C738">
        <v>115.74</v>
      </c>
      <c r="D738">
        <v>84.64</v>
      </c>
      <c r="E738">
        <v>75.472669999999994</v>
      </c>
      <c r="G738" s="3">
        <v>2.8064701874486099E-4</v>
      </c>
      <c r="I738" s="15">
        <f t="shared" si="82"/>
        <v>8.7153564580791359E-3</v>
      </c>
      <c r="J738" s="15">
        <f t="shared" si="83"/>
        <v>4.728132387707595E-4</v>
      </c>
      <c r="K738" s="15">
        <f t="shared" si="84"/>
        <v>2.5178286978541405E-3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BJ738">
        <f t="shared" si="78"/>
        <v>7.876274913037836E-8</v>
      </c>
      <c r="BK738">
        <f t="shared" si="80"/>
        <v>2.5873052962429736E-4</v>
      </c>
      <c r="BO738">
        <f t="shared" si="81"/>
        <v>2.5821944679289567E-4</v>
      </c>
      <c r="BP738">
        <f t="shared" si="79"/>
        <v>3.2117593383333589</v>
      </c>
    </row>
    <row r="739" spans="1:68" x14ac:dyDescent="0.15">
      <c r="A739" s="5">
        <v>44636</v>
      </c>
      <c r="B739" s="1"/>
      <c r="C739">
        <v>116.46</v>
      </c>
      <c r="D739">
        <v>85.6</v>
      </c>
      <c r="E739">
        <v>75.292595000000006</v>
      </c>
      <c r="G739" s="3">
        <v>1.8723968667762002E-2</v>
      </c>
      <c r="I739" s="15">
        <f t="shared" si="82"/>
        <v>6.220839813374796E-3</v>
      </c>
      <c r="J739" s="15">
        <f t="shared" si="83"/>
        <v>1.1342155009451722E-2</v>
      </c>
      <c r="K739" s="15">
        <f t="shared" si="84"/>
        <v>-2.3859630247609898E-3</v>
      </c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BJ739">
        <f t="shared" si="78"/>
        <v>3.5058700267133318E-4</v>
      </c>
      <c r="BK739">
        <f t="shared" si="80"/>
        <v>2.4321142361178734E-4</v>
      </c>
      <c r="BO739">
        <f t="shared" si="81"/>
        <v>2.0849290732418498E-4</v>
      </c>
      <c r="BP739">
        <f t="shared" si="79"/>
        <v>2.4780994159986536</v>
      </c>
    </row>
    <row r="740" spans="1:68" x14ac:dyDescent="0.15">
      <c r="A740" s="5">
        <v>44637</v>
      </c>
      <c r="B740" s="1"/>
      <c r="C740">
        <v>118.9</v>
      </c>
      <c r="D740">
        <v>85.68</v>
      </c>
      <c r="E740">
        <v>76.401510000000002</v>
      </c>
      <c r="G740" s="3">
        <v>1.3521072561295899E-2</v>
      </c>
      <c r="I740" s="15">
        <f t="shared" si="82"/>
        <v>2.0951399622187981E-2</v>
      </c>
      <c r="J740" s="15">
        <f t="shared" si="83"/>
        <v>9.3457943925248264E-4</v>
      </c>
      <c r="K740" s="15">
        <f t="shared" si="84"/>
        <v>1.4728075184551628E-2</v>
      </c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BJ740">
        <f t="shared" si="78"/>
        <v>1.8281940320782883E-4</v>
      </c>
      <c r="BK740">
        <f t="shared" si="80"/>
        <v>2.4965395835536009E-4</v>
      </c>
      <c r="BO740">
        <f t="shared" si="81"/>
        <v>2.194079127284578E-4</v>
      </c>
      <c r="BP740">
        <f t="shared" si="79"/>
        <v>2.8767305443423119</v>
      </c>
    </row>
    <row r="741" spans="1:68" x14ac:dyDescent="0.15">
      <c r="A741" s="5">
        <v>44638</v>
      </c>
      <c r="B741" s="1"/>
      <c r="C741">
        <v>121.04</v>
      </c>
      <c r="D741">
        <v>85.84</v>
      </c>
      <c r="E741">
        <v>76.562640000000002</v>
      </c>
      <c r="G741" s="3">
        <v>1.0206801840647499E-2</v>
      </c>
      <c r="I741" s="15">
        <f t="shared" si="82"/>
        <v>1.7998317914213628E-2</v>
      </c>
      <c r="J741" s="15">
        <f t="shared" si="83"/>
        <v>1.8674136321194744E-3</v>
      </c>
      <c r="K741" s="15">
        <f t="shared" si="84"/>
        <v>2.1089897307003487E-3</v>
      </c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BJ741">
        <f t="shared" si="78"/>
        <v>1.0417880381424518E-4</v>
      </c>
      <c r="BK741">
        <f t="shared" si="80"/>
        <v>2.4564388504650823E-4</v>
      </c>
      <c r="BO741">
        <f t="shared" si="81"/>
        <v>2.0407591858598618E-4</v>
      </c>
      <c r="BP741">
        <f t="shared" si="79"/>
        <v>3.0743254925675148</v>
      </c>
    </row>
    <row r="742" spans="1:68" x14ac:dyDescent="0.15">
      <c r="A742" s="5">
        <v>44641</v>
      </c>
      <c r="B742" s="1"/>
      <c r="C742">
        <v>120.4</v>
      </c>
      <c r="D742">
        <v>86.44</v>
      </c>
      <c r="E742">
        <v>76.392039999999994</v>
      </c>
      <c r="G742" s="3">
        <v>-1.1244519739912399E-3</v>
      </c>
      <c r="I742" s="15">
        <f t="shared" si="82"/>
        <v>-5.287508261731663E-3</v>
      </c>
      <c r="J742" s="15">
        <f t="shared" si="83"/>
        <v>6.989748369058647E-3</v>
      </c>
      <c r="K742" s="15">
        <f t="shared" si="84"/>
        <v>-2.2282408234617747E-3</v>
      </c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BJ742">
        <f t="shared" si="78"/>
        <v>1.2643922418127961E-6</v>
      </c>
      <c r="BK742">
        <f t="shared" si="80"/>
        <v>2.3715598017257244E-4</v>
      </c>
      <c r="BO742">
        <f t="shared" si="81"/>
        <v>1.8084981811311769E-4</v>
      </c>
      <c r="BP742">
        <f t="shared" si="79"/>
        <v>3.3864875726981736</v>
      </c>
    </row>
    <row r="743" spans="1:68" x14ac:dyDescent="0.15">
      <c r="A743" s="5">
        <v>44642</v>
      </c>
      <c r="B743" s="1"/>
      <c r="C743">
        <v>120.56</v>
      </c>
      <c r="D743">
        <v>87.02</v>
      </c>
      <c r="E743">
        <v>76.012919999999994</v>
      </c>
      <c r="G743" s="3">
        <v>2.57454452190719E-3</v>
      </c>
      <c r="I743" s="15">
        <f t="shared" si="82"/>
        <v>1.3289036544850215E-3</v>
      </c>
      <c r="J743" s="15">
        <f t="shared" si="83"/>
        <v>6.7098565478944739E-3</v>
      </c>
      <c r="K743" s="15">
        <f t="shared" si="84"/>
        <v>-4.9628207336785404E-3</v>
      </c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BJ743">
        <f t="shared" si="78"/>
        <v>6.6282794952823216E-6</v>
      </c>
      <c r="BK743">
        <f t="shared" si="80"/>
        <v>2.2300248489672686E-4</v>
      </c>
      <c r="BO743">
        <f t="shared" si="81"/>
        <v>1.4797466692570224E-4</v>
      </c>
      <c r="BP743">
        <f t="shared" si="79"/>
        <v>3.4678995311737477</v>
      </c>
    </row>
    <row r="744" spans="1:68" x14ac:dyDescent="0.15">
      <c r="A744" s="5">
        <v>44643</v>
      </c>
      <c r="B744" s="1"/>
      <c r="C744">
        <v>118.66</v>
      </c>
      <c r="D744">
        <v>86.36</v>
      </c>
      <c r="E744">
        <v>75.738060000000004</v>
      </c>
      <c r="G744" s="3">
        <v>-8.4510162086380795E-3</v>
      </c>
      <c r="I744" s="15">
        <f t="shared" si="82"/>
        <v>-1.5759787657597925E-2</v>
      </c>
      <c r="J744" s="15">
        <f t="shared" si="83"/>
        <v>-7.5844633417604763E-3</v>
      </c>
      <c r="K744" s="15">
        <f t="shared" si="84"/>
        <v>-3.6159642334485992E-3</v>
      </c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BJ744">
        <f t="shared" si="78"/>
        <v>7.1419674958663533E-5</v>
      </c>
      <c r="BK744">
        <f t="shared" si="80"/>
        <v>2.1002003257264019E-4</v>
      </c>
      <c r="BO744">
        <f t="shared" si="81"/>
        <v>1.2295202049639661E-4</v>
      </c>
      <c r="BP744">
        <f t="shared" si="79"/>
        <v>3.2924824698891135</v>
      </c>
    </row>
    <row r="745" spans="1:68" x14ac:dyDescent="0.15">
      <c r="A745" s="5">
        <v>44644</v>
      </c>
      <c r="B745" s="1"/>
      <c r="C745">
        <v>119.92</v>
      </c>
      <c r="D745">
        <v>86.38</v>
      </c>
      <c r="E745">
        <v>76.268820000000005</v>
      </c>
      <c r="G745" s="3">
        <v>2.6412530916370904E-3</v>
      </c>
      <c r="I745" s="15">
        <f t="shared" si="82"/>
        <v>1.0618574077195391E-2</v>
      </c>
      <c r="J745" s="15">
        <f t="shared" si="83"/>
        <v>2.3158869847146851E-4</v>
      </c>
      <c r="K745" s="15">
        <f t="shared" si="84"/>
        <v>7.0078372749447339E-3</v>
      </c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BJ745">
        <f t="shared" si="78"/>
        <v>6.9762178940824884E-6</v>
      </c>
      <c r="BK745">
        <f t="shared" si="80"/>
        <v>2.0170401111580159E-4</v>
      </c>
      <c r="BO745">
        <f t="shared" si="81"/>
        <v>1.125523894155424E-4</v>
      </c>
      <c r="BP745">
        <f t="shared" si="79"/>
        <v>3.5961163664387259</v>
      </c>
    </row>
    <row r="746" spans="1:68" x14ac:dyDescent="0.15">
      <c r="A746" s="5">
        <v>44645</v>
      </c>
      <c r="B746" s="1"/>
      <c r="C746">
        <v>119.2</v>
      </c>
      <c r="D746">
        <v>87.02</v>
      </c>
      <c r="E746">
        <v>76.496290000000002</v>
      </c>
      <c r="G746" s="3">
        <v>-8.0645787208599707E-4</v>
      </c>
      <c r="I746" s="15">
        <f t="shared" si="82"/>
        <v>-6.0040026684456205E-3</v>
      </c>
      <c r="J746" s="15">
        <f t="shared" si="83"/>
        <v>7.4091224820560381E-3</v>
      </c>
      <c r="K746" s="15">
        <f t="shared" si="84"/>
        <v>2.9824769807635246E-3</v>
      </c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BJ746">
        <f t="shared" si="78"/>
        <v>6.5037429944947443E-7</v>
      </c>
      <c r="BK746">
        <f t="shared" si="80"/>
        <v>1.9002034352249845E-4</v>
      </c>
      <c r="BO746">
        <f t="shared" si="81"/>
        <v>9.5217089747135213E-5</v>
      </c>
      <c r="BP746">
        <f t="shared" si="79"/>
        <v>3.7073218075342282</v>
      </c>
    </row>
    <row r="747" spans="1:68" x14ac:dyDescent="0.15">
      <c r="A747" s="5">
        <v>44648</v>
      </c>
      <c r="B747" s="1"/>
      <c r="C747">
        <v>120.3</v>
      </c>
      <c r="D747">
        <v>87.2</v>
      </c>
      <c r="E747">
        <v>76.960710000000006</v>
      </c>
      <c r="G747" s="3">
        <v>2.8276178513302304E-3</v>
      </c>
      <c r="I747" s="15">
        <f t="shared" si="82"/>
        <v>9.2281879194630392E-3</v>
      </c>
      <c r="J747" s="15">
        <f t="shared" si="83"/>
        <v>2.0684900022984007E-3</v>
      </c>
      <c r="K747" s="15">
        <f t="shared" si="84"/>
        <v>6.0711441038513638E-3</v>
      </c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BJ747">
        <f t="shared" si="78"/>
        <v>7.9954227131613888E-6</v>
      </c>
      <c r="BK747">
        <f t="shared" si="80"/>
        <v>1.786581453691155E-4</v>
      </c>
      <c r="BO747">
        <f t="shared" si="81"/>
        <v>8.071872002612078E-5</v>
      </c>
      <c r="BP747">
        <f t="shared" si="79"/>
        <v>3.7438050399509648</v>
      </c>
    </row>
    <row r="748" spans="1:68" x14ac:dyDescent="0.15">
      <c r="A748" s="5">
        <v>44649</v>
      </c>
      <c r="B748" s="1"/>
      <c r="C748">
        <v>120.88</v>
      </c>
      <c r="D748">
        <v>89.38</v>
      </c>
      <c r="E748">
        <v>77.301910000000007</v>
      </c>
      <c r="G748" s="3">
        <v>1.3954994761740501E-2</v>
      </c>
      <c r="I748" s="15">
        <f t="shared" si="82"/>
        <v>4.8212801330008168E-3</v>
      </c>
      <c r="J748" s="15">
        <f t="shared" si="83"/>
        <v>2.4999999999999915E-2</v>
      </c>
      <c r="K748" s="15">
        <f t="shared" si="84"/>
        <v>4.4334310325359599E-3</v>
      </c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BJ748">
        <f t="shared" si="78"/>
        <v>1.9474187880020482E-4</v>
      </c>
      <c r="BK748">
        <f t="shared" si="80"/>
        <v>1.6841838200975826E-4</v>
      </c>
      <c r="BO748">
        <f t="shared" si="81"/>
        <v>7.0392589087991793E-5</v>
      </c>
      <c r="BP748">
        <f t="shared" si="79"/>
        <v>2.4785172031982756</v>
      </c>
    </row>
    <row r="749" spans="1:68" x14ac:dyDescent="0.15">
      <c r="A749" s="5">
        <v>44650</v>
      </c>
      <c r="B749" s="1"/>
      <c r="C749">
        <v>120.58</v>
      </c>
      <c r="D749">
        <v>88.84</v>
      </c>
      <c r="E749">
        <v>77.387214999999998</v>
      </c>
      <c r="G749" s="3">
        <v>-6.6407530522969403E-3</v>
      </c>
      <c r="I749" s="15">
        <f t="shared" si="82"/>
        <v>-2.4818001323626505E-3</v>
      </c>
      <c r="J749" s="15">
        <f t="shared" si="83"/>
        <v>-6.0416200492279266E-3</v>
      </c>
      <c r="K749" s="15">
        <f t="shared" si="84"/>
        <v>1.103530300868259E-3</v>
      </c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BJ749">
        <f t="shared" si="78"/>
        <v>4.4099601101591129E-5</v>
      </c>
      <c r="BK749">
        <f t="shared" si="80"/>
        <v>1.6999779181718505E-4</v>
      </c>
      <c r="BO749">
        <f t="shared" si="81"/>
        <v>8.8889456232475785E-5</v>
      </c>
      <c r="BP749">
        <f t="shared" si="79"/>
        <v>3.4970613063807621</v>
      </c>
    </row>
    <row r="750" spans="1:68" x14ac:dyDescent="0.15">
      <c r="A750" s="5">
        <v>44651</v>
      </c>
      <c r="B750" s="1"/>
      <c r="C750">
        <v>120.2</v>
      </c>
      <c r="D750">
        <v>88.12</v>
      </c>
      <c r="E750">
        <v>77.008099999999999</v>
      </c>
      <c r="G750" s="3">
        <v>-6.7139726594929103E-3</v>
      </c>
      <c r="I750" s="15">
        <f t="shared" si="82"/>
        <v>-3.15143473212801E-3</v>
      </c>
      <c r="J750" s="15">
        <f t="shared" si="83"/>
        <v>-8.1044574515983653E-3</v>
      </c>
      <c r="K750" s="15">
        <f t="shared" si="84"/>
        <v>-4.8989358255106964E-3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BJ750">
        <f t="shared" si="78"/>
        <v>4.5077428872418301E-5</v>
      </c>
      <c r="BK750">
        <f t="shared" si="80"/>
        <v>1.624439003742494E-4</v>
      </c>
      <c r="BO750">
        <f t="shared" si="81"/>
        <v>8.1943505407195815E-5</v>
      </c>
      <c r="BP750">
        <f t="shared" si="79"/>
        <v>3.5107498496069032</v>
      </c>
    </row>
    <row r="751" spans="1:68" x14ac:dyDescent="0.15">
      <c r="A751" s="5">
        <v>44652</v>
      </c>
      <c r="B751" s="1"/>
      <c r="C751">
        <v>120.86</v>
      </c>
      <c r="D751">
        <v>87.9</v>
      </c>
      <c r="E751">
        <v>76.392039999999994</v>
      </c>
      <c r="G751" s="3">
        <v>1.44301429607462E-3</v>
      </c>
      <c r="I751" s="15">
        <f t="shared" si="82"/>
        <v>5.490848585690487E-3</v>
      </c>
      <c r="J751" s="15">
        <f t="shared" si="83"/>
        <v>-2.4965955515206407E-3</v>
      </c>
      <c r="K751" s="15">
        <f t="shared" si="84"/>
        <v>-7.9999376688946293E-3</v>
      </c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BJ751">
        <f t="shared" si="78"/>
        <v>2.0822902586757311E-6</v>
      </c>
      <c r="BK751">
        <f t="shared" si="80"/>
        <v>1.5540191208413955E-4</v>
      </c>
      <c r="BO751">
        <f t="shared" si="81"/>
        <v>7.6634511117380921E-5</v>
      </c>
      <c r="BP751">
        <f t="shared" si="79"/>
        <v>3.8057071377027691</v>
      </c>
    </row>
    <row r="752" spans="1:68" x14ac:dyDescent="0.15">
      <c r="A752" s="5">
        <v>44655</v>
      </c>
      <c r="B752" s="1"/>
      <c r="C752">
        <v>121.92</v>
      </c>
      <c r="D752">
        <v>87.62</v>
      </c>
      <c r="E752">
        <v>77.463040000000007</v>
      </c>
      <c r="G752" s="3">
        <v>1.3284479308108601E-2</v>
      </c>
      <c r="I752" s="15">
        <f t="shared" si="82"/>
        <v>8.770478239285142E-3</v>
      </c>
      <c r="J752" s="15">
        <f t="shared" si="83"/>
        <v>-3.1854379977246999E-3</v>
      </c>
      <c r="K752" s="15">
        <f t="shared" si="84"/>
        <v>1.4019785307474605E-2</v>
      </c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BJ752">
        <f t="shared" si="78"/>
        <v>1.7647739048756559E-4</v>
      </c>
      <c r="BK752">
        <f t="shared" si="80"/>
        <v>1.4620273477461171E-4</v>
      </c>
      <c r="BO752">
        <f t="shared" si="81"/>
        <v>6.6346872686759179E-5</v>
      </c>
      <c r="BP752">
        <f t="shared" si="79"/>
        <v>2.5614083054452257</v>
      </c>
    </row>
    <row r="753" spans="1:68" x14ac:dyDescent="0.15">
      <c r="A753" s="5">
        <v>44656</v>
      </c>
      <c r="B753" s="1"/>
      <c r="C753">
        <v>123.58</v>
      </c>
      <c r="D753">
        <v>87.52</v>
      </c>
      <c r="E753">
        <v>77.79477</v>
      </c>
      <c r="G753" s="3">
        <v>2.9252948045117499E-3</v>
      </c>
      <c r="I753" s="15">
        <f t="shared" si="82"/>
        <v>1.3615485564304433E-2</v>
      </c>
      <c r="J753" s="15">
        <f t="shared" si="83"/>
        <v>-1.1412919424789833E-3</v>
      </c>
      <c r="K753" s="15">
        <f t="shared" si="84"/>
        <v>4.2824294011698117E-3</v>
      </c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BJ753">
        <f t="shared" si="78"/>
        <v>8.5573496933034376E-6</v>
      </c>
      <c r="BK753">
        <f t="shared" si="80"/>
        <v>1.4801921411738896E-4</v>
      </c>
      <c r="BO753">
        <f t="shared" si="81"/>
        <v>8.3114850105470207E-5</v>
      </c>
      <c r="BP753">
        <f t="shared" si="79"/>
        <v>3.727225986104608</v>
      </c>
    </row>
    <row r="754" spans="1:68" x14ac:dyDescent="0.15">
      <c r="A754" s="5">
        <v>44657</v>
      </c>
      <c r="B754" s="1"/>
      <c r="C754">
        <v>122.4</v>
      </c>
      <c r="D754">
        <v>87.5</v>
      </c>
      <c r="E754">
        <v>79.642960000000002</v>
      </c>
      <c r="G754" s="3">
        <v>-4.5947152448892999E-3</v>
      </c>
      <c r="I754" s="15">
        <f t="shared" si="82"/>
        <v>-9.5484706263148783E-3</v>
      </c>
      <c r="J754" s="15">
        <f t="shared" si="83"/>
        <v>-2.2851919561238599E-4</v>
      </c>
      <c r="K754" s="15">
        <f t="shared" si="84"/>
        <v>2.3757252576233626E-2</v>
      </c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BJ754">
        <f t="shared" si="78"/>
        <v>2.1111408181618139E-5</v>
      </c>
      <c r="BK754">
        <f t="shared" si="80"/>
        <v>1.3965150225194383E-4</v>
      </c>
      <c r="BO754">
        <f t="shared" si="81"/>
        <v>7.2352092516545926E-5</v>
      </c>
      <c r="BP754">
        <f t="shared" si="79"/>
        <v>3.7021510019716604</v>
      </c>
    </row>
    <row r="755" spans="1:68" x14ac:dyDescent="0.15">
      <c r="A755" s="5">
        <v>44658</v>
      </c>
      <c r="B755" s="1"/>
      <c r="C755">
        <v>123.14</v>
      </c>
      <c r="D755">
        <v>86.58</v>
      </c>
      <c r="E755">
        <v>80.401200000000003</v>
      </c>
      <c r="G755" s="3">
        <v>4.2502693581001304E-3</v>
      </c>
      <c r="I755" s="15">
        <f t="shared" si="82"/>
        <v>6.0457516339868858E-3</v>
      </c>
      <c r="J755" s="15">
        <f t="shared" si="83"/>
        <v>-1.0514285714285733E-2</v>
      </c>
      <c r="K755" s="15">
        <f t="shared" si="84"/>
        <v>9.5204899466318268E-3</v>
      </c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BJ755">
        <f t="shared" si="78"/>
        <v>1.8064789616404893E-5</v>
      </c>
      <c r="BK755">
        <f t="shared" si="80"/>
        <v>1.3253909660772427E-4</v>
      </c>
      <c r="BO755">
        <f t="shared" si="81"/>
        <v>6.5697964809367183E-5</v>
      </c>
      <c r="BP755">
        <f t="shared" si="79"/>
        <v>3.7587991399191774</v>
      </c>
    </row>
    <row r="756" spans="1:68" x14ac:dyDescent="0.15">
      <c r="A756" s="5">
        <v>44659</v>
      </c>
      <c r="B756" s="1"/>
      <c r="C756">
        <v>124.5</v>
      </c>
      <c r="D756">
        <v>87.88</v>
      </c>
      <c r="E756">
        <v>82.201999999999998</v>
      </c>
      <c r="G756" s="3">
        <v>1.09296284564603E-2</v>
      </c>
      <c r="I756" s="15">
        <f t="shared" si="82"/>
        <v>1.1044339775864864E-2</v>
      </c>
      <c r="J756" s="15">
        <f t="shared" si="83"/>
        <v>1.5015015015014982E-2</v>
      </c>
      <c r="K756" s="15">
        <f t="shared" si="84"/>
        <v>2.239767565658218E-2</v>
      </c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BJ756">
        <f t="shared" si="78"/>
        <v>1.1945677819626677E-4</v>
      </c>
      <c r="BK756">
        <f t="shared" si="80"/>
        <v>1.256706381882451E-4</v>
      </c>
      <c r="BO756">
        <f t="shared" si="81"/>
        <v>6.0044707985275071E-5</v>
      </c>
      <c r="BP756">
        <f t="shared" si="79"/>
        <v>2.9465400929088608</v>
      </c>
    </row>
    <row r="757" spans="1:68" x14ac:dyDescent="0.15">
      <c r="A757" s="5">
        <v>44662</v>
      </c>
      <c r="B757" s="1"/>
      <c r="C757">
        <v>124.08</v>
      </c>
      <c r="D757">
        <v>89.3</v>
      </c>
      <c r="E757">
        <v>83.216139999999996</v>
      </c>
      <c r="G757" s="3">
        <v>1.67258956488081E-3</v>
      </c>
      <c r="I757" s="15">
        <f t="shared" si="82"/>
        <v>-3.3734939759036283E-3</v>
      </c>
      <c r="J757" s="15">
        <f t="shared" si="83"/>
        <v>1.615839781520257E-2</v>
      </c>
      <c r="K757" s="15">
        <f t="shared" si="84"/>
        <v>1.2337169411936421E-2</v>
      </c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BJ757">
        <f t="shared" si="78"/>
        <v>2.7975558525481773E-6</v>
      </c>
      <c r="BK757">
        <f t="shared" si="80"/>
        <v>1.2529780658872641E-4</v>
      </c>
      <c r="BO757">
        <f t="shared" si="81"/>
        <v>7.005067923094114E-5</v>
      </c>
      <c r="BP757">
        <f t="shared" si="79"/>
        <v>3.8442391760932098</v>
      </c>
    </row>
    <row r="758" spans="1:68" x14ac:dyDescent="0.15">
      <c r="A758" s="5">
        <v>44663</v>
      </c>
      <c r="B758" s="1"/>
      <c r="C758">
        <v>122.84</v>
      </c>
      <c r="D758">
        <v>88.36</v>
      </c>
      <c r="E758">
        <v>82.145133999999999</v>
      </c>
      <c r="G758" s="3">
        <v>-1.19515182880697E-2</v>
      </c>
      <c r="I758" s="15">
        <f t="shared" si="82"/>
        <v>-9.9935525467439949E-3</v>
      </c>
      <c r="J758" s="15">
        <f t="shared" si="83"/>
        <v>-1.052631578947366E-2</v>
      </c>
      <c r="K758" s="15">
        <f t="shared" si="84"/>
        <v>-1.2870171579695923E-2</v>
      </c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BJ758">
        <f t="shared" si="78"/>
        <v>1.4283878939006449E-4</v>
      </c>
      <c r="BK758">
        <f t="shared" si="80"/>
        <v>1.1794779154455572E-4</v>
      </c>
      <c r="BO758">
        <f t="shared" si="81"/>
        <v>6.1284522667734008E-5</v>
      </c>
      <c r="BP758">
        <f t="shared" si="79"/>
        <v>2.7656789950444587</v>
      </c>
    </row>
    <row r="759" spans="1:68" x14ac:dyDescent="0.15">
      <c r="A759" s="5">
        <v>44664</v>
      </c>
      <c r="B759" s="1"/>
      <c r="C759">
        <v>123.78</v>
      </c>
      <c r="D759">
        <v>87.58</v>
      </c>
      <c r="E759">
        <v>82.154610000000005</v>
      </c>
      <c r="G759" s="3">
        <v>-1.55815616482701E-5</v>
      </c>
      <c r="I759" s="15">
        <f t="shared" si="82"/>
        <v>7.65223054379679E-3</v>
      </c>
      <c r="J759" s="15">
        <f t="shared" si="83"/>
        <v>-8.8275237664101527E-3</v>
      </c>
      <c r="K759" s="15">
        <f t="shared" si="84"/>
        <v>1.1535680251013382E-4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BJ759">
        <f t="shared" si="78"/>
        <v>2.4278506339884162E-10</v>
      </c>
      <c r="BK759">
        <f t="shared" si="80"/>
        <v>1.1944125141528624E-4</v>
      </c>
      <c r="BO759">
        <f t="shared" si="81"/>
        <v>7.4353234056350579E-5</v>
      </c>
      <c r="BP759">
        <f t="shared" si="79"/>
        <v>3.8344015282852508</v>
      </c>
    </row>
    <row r="760" spans="1:68" x14ac:dyDescent="0.15">
      <c r="A760" s="5">
        <v>44665</v>
      </c>
      <c r="B760" s="1"/>
      <c r="C760">
        <v>124.14</v>
      </c>
      <c r="D760">
        <v>89.18</v>
      </c>
      <c r="E760">
        <v>82.808586000000005</v>
      </c>
      <c r="G760" s="3">
        <v>7.7871118876737802E-3</v>
      </c>
      <c r="I760" s="15">
        <f t="shared" si="82"/>
        <v>2.9083858458555456E-3</v>
      </c>
      <c r="J760" s="15">
        <f t="shared" si="83"/>
        <v>1.8269011189769452E-2</v>
      </c>
      <c r="K760" s="15">
        <f t="shared" si="84"/>
        <v>7.9603080094957559E-3</v>
      </c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BJ760">
        <f t="shared" si="78"/>
        <v>6.0639111551150302E-5</v>
      </c>
      <c r="BK760">
        <f t="shared" si="80"/>
        <v>1.1227479089747286E-4</v>
      </c>
      <c r="BO760">
        <f t="shared" si="81"/>
        <v>6.4260961685388182E-5</v>
      </c>
      <c r="BP760">
        <f t="shared" si="79"/>
        <v>3.4355213824562179</v>
      </c>
    </row>
    <row r="761" spans="1:68" x14ac:dyDescent="0.15">
      <c r="A761" s="5">
        <v>44670</v>
      </c>
      <c r="B761" s="1"/>
      <c r="C761">
        <v>121.64</v>
      </c>
      <c r="D761">
        <v>82.42</v>
      </c>
      <c r="E761">
        <v>82.543199999999999</v>
      </c>
      <c r="G761" s="3">
        <v>-1.55231020957233E-2</v>
      </c>
      <c r="I761" s="15">
        <f t="shared" si="82"/>
        <v>-2.0138553246334782E-2</v>
      </c>
      <c r="J761" s="15">
        <f t="shared" si="83"/>
        <v>-7.5801749271137073E-2</v>
      </c>
      <c r="K761" s="15">
        <f t="shared" si="84"/>
        <v>-3.2048126024034097E-3</v>
      </c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BJ761">
        <f t="shared" si="78"/>
        <v>2.4096669867424908E-4</v>
      </c>
      <c r="BK761">
        <f t="shared" si="80"/>
        <v>1.091766501366935E-4</v>
      </c>
      <c r="BO761">
        <f t="shared" si="81"/>
        <v>6.4980996140230339E-5</v>
      </c>
      <c r="BP761">
        <f t="shared" si="79"/>
        <v>2.0476372387692088</v>
      </c>
    </row>
    <row r="762" spans="1:68" x14ac:dyDescent="0.15">
      <c r="A762" s="5">
        <v>44671</v>
      </c>
      <c r="B762" s="1"/>
      <c r="C762">
        <v>121.8</v>
      </c>
      <c r="D762">
        <v>83.4</v>
      </c>
      <c r="E762">
        <v>81.851320000000001</v>
      </c>
      <c r="G762" s="3">
        <v>2.3405951387609398E-3</v>
      </c>
      <c r="I762" s="15">
        <f t="shared" si="82"/>
        <v>1.3153567905294032E-3</v>
      </c>
      <c r="J762" s="15">
        <f t="shared" si="83"/>
        <v>1.1890317884008784E-2</v>
      </c>
      <c r="K762" s="15">
        <f t="shared" si="84"/>
        <v>-8.3820351040424599E-3</v>
      </c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BJ762">
        <f t="shared" si="78"/>
        <v>5.4783856035913428E-6</v>
      </c>
      <c r="BK762">
        <f t="shared" si="80"/>
        <v>1.1708405304894685E-4</v>
      </c>
      <c r="BO762">
        <f t="shared" si="81"/>
        <v>9.1228064920976907E-5</v>
      </c>
      <c r="BP762">
        <f t="shared" si="79"/>
        <v>3.7021096872286265</v>
      </c>
    </row>
    <row r="763" spans="1:68" x14ac:dyDescent="0.15">
      <c r="A763" s="5">
        <v>44672</v>
      </c>
      <c r="B763" s="1"/>
      <c r="C763">
        <v>122.68</v>
      </c>
      <c r="D763">
        <v>83.94</v>
      </c>
      <c r="E763">
        <v>81.737579999999994</v>
      </c>
      <c r="G763" s="3">
        <v>-7.1842076871964002E-4</v>
      </c>
      <c r="I763" s="15">
        <f t="shared" si="82"/>
        <v>7.22495894909696E-3</v>
      </c>
      <c r="J763" s="15">
        <f t="shared" si="83"/>
        <v>6.4748201438847965E-3</v>
      </c>
      <c r="K763" s="15">
        <f t="shared" si="84"/>
        <v>-1.3895927396162585E-3</v>
      </c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BJ763">
        <f t="shared" si="78"/>
        <v>5.1612840092771847E-7</v>
      </c>
      <c r="BK763">
        <f t="shared" si="80"/>
        <v>1.1038771300222551E-4</v>
      </c>
      <c r="BO763">
        <f t="shared" si="81"/>
        <v>7.8277419725294962E-5</v>
      </c>
      <c r="BP763">
        <f t="shared" si="79"/>
        <v>3.8053903660251334</v>
      </c>
    </row>
    <row r="764" spans="1:68" x14ac:dyDescent="0.15">
      <c r="A764" s="5">
        <v>44673</v>
      </c>
      <c r="B764" s="1"/>
      <c r="C764">
        <v>124.96</v>
      </c>
      <c r="D764">
        <v>81.88</v>
      </c>
      <c r="E764">
        <v>81.538539999999998</v>
      </c>
      <c r="G764" s="3">
        <v>-3.4954812237248901E-3</v>
      </c>
      <c r="I764" s="15">
        <f t="shared" si="82"/>
        <v>1.8584936419954245E-2</v>
      </c>
      <c r="J764" s="15">
        <f t="shared" si="83"/>
        <v>-2.4541339051703626E-2</v>
      </c>
      <c r="K764" s="15">
        <f t="shared" si="84"/>
        <v>-2.4351100191612788E-3</v>
      </c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BJ764">
        <f t="shared" si="78"/>
        <v>1.2218388985413255E-5</v>
      </c>
      <c r="BK764">
        <f t="shared" si="80"/>
        <v>1.0379541792614765E-4</v>
      </c>
      <c r="BO764">
        <f t="shared" si="81"/>
        <v>6.7412482332968133E-5</v>
      </c>
      <c r="BP764">
        <f t="shared" si="79"/>
        <v>3.7927775620210094</v>
      </c>
    </row>
    <row r="765" spans="1:68" x14ac:dyDescent="0.15">
      <c r="A765" s="5">
        <v>44676</v>
      </c>
      <c r="B765" s="1"/>
      <c r="C765">
        <v>125.86</v>
      </c>
      <c r="D765">
        <v>78.900000000000006</v>
      </c>
      <c r="E765">
        <v>81.434290000000004</v>
      </c>
      <c r="G765" s="3">
        <v>-1.41411298532272E-2</v>
      </c>
      <c r="I765" s="15">
        <f t="shared" si="82"/>
        <v>7.2023047375160514E-3</v>
      </c>
      <c r="J765" s="15">
        <f t="shared" si="83"/>
        <v>-3.639472398632132E-2</v>
      </c>
      <c r="K765" s="15">
        <f t="shared" si="84"/>
        <v>-1.2785365055591293E-3</v>
      </c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BJ765">
        <f t="shared" si="78"/>
        <v>1.9997155352583353E-4</v>
      </c>
      <c r="BK765">
        <f t="shared" si="80"/>
        <v>9.8300796189703581E-5</v>
      </c>
      <c r="BO765">
        <f t="shared" si="81"/>
        <v>6.0556893733975405E-5</v>
      </c>
      <c r="BP765">
        <f t="shared" si="79"/>
        <v>2.285920307118495</v>
      </c>
    </row>
    <row r="766" spans="1:68" x14ac:dyDescent="0.15">
      <c r="A766" s="5">
        <v>44677</v>
      </c>
      <c r="B766" s="1"/>
      <c r="C766">
        <v>123.72</v>
      </c>
      <c r="D766">
        <v>79.959999999999994</v>
      </c>
      <c r="E766">
        <v>81.728099999999998</v>
      </c>
      <c r="G766" s="3">
        <v>-1.2552722678782101E-2</v>
      </c>
      <c r="I766" s="15">
        <f t="shared" si="82"/>
        <v>-1.7003019227713335E-2</v>
      </c>
      <c r="J766" s="15">
        <f t="shared" si="83"/>
        <v>1.3434727503168415E-2</v>
      </c>
      <c r="K766" s="15">
        <f t="shared" si="84"/>
        <v>3.607939603820374E-3</v>
      </c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BJ766">
        <f t="shared" si="78"/>
        <v>1.5757084665041048E-4</v>
      </c>
      <c r="BK766">
        <f t="shared" si="80"/>
        <v>1.0440104162987139E-4</v>
      </c>
      <c r="BO766">
        <f t="shared" si="81"/>
        <v>8.1919356387921439E-5</v>
      </c>
      <c r="BP766">
        <f t="shared" si="79"/>
        <v>2.8242054128399818</v>
      </c>
    </row>
    <row r="767" spans="1:68" x14ac:dyDescent="0.15">
      <c r="A767" s="5">
        <v>44678</v>
      </c>
      <c r="B767" s="1"/>
      <c r="C767">
        <v>125.2</v>
      </c>
      <c r="D767">
        <v>80.040000000000006</v>
      </c>
      <c r="E767">
        <v>82.277823999999995</v>
      </c>
      <c r="G767" s="3">
        <v>9.9052442514715403E-3</v>
      </c>
      <c r="I767" s="15">
        <f t="shared" si="82"/>
        <v>1.1962495958616263E-2</v>
      </c>
      <c r="J767" s="15">
        <f t="shared" si="83"/>
        <v>1.000500250125219E-3</v>
      </c>
      <c r="K767" s="15">
        <f t="shared" si="84"/>
        <v>6.7262544950879525E-3</v>
      </c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BJ767">
        <f t="shared" si="78"/>
        <v>9.8113863681309997E-5</v>
      </c>
      <c r="BK767">
        <f t="shared" si="80"/>
        <v>1.0759122993110373E-4</v>
      </c>
      <c r="BO767">
        <f t="shared" si="81"/>
        <v>9.2636902937769135E-5</v>
      </c>
      <c r="BP767">
        <f t="shared" si="79"/>
        <v>3.1949115133859198</v>
      </c>
    </row>
    <row r="768" spans="1:68" x14ac:dyDescent="0.15">
      <c r="A768" s="5">
        <v>44679</v>
      </c>
      <c r="B768" s="1"/>
      <c r="C768">
        <v>125.86</v>
      </c>
      <c r="D768">
        <v>80.900000000000006</v>
      </c>
      <c r="E768">
        <v>82.353645</v>
      </c>
      <c r="G768" s="3">
        <v>1.4045324890739001E-3</v>
      </c>
      <c r="I768" s="15">
        <f t="shared" si="82"/>
        <v>5.2715654952076403E-3</v>
      </c>
      <c r="J768" s="15">
        <f t="shared" si="83"/>
        <v>1.0744627686156914E-2</v>
      </c>
      <c r="K768" s="15">
        <f t="shared" si="84"/>
        <v>9.2152412781364764E-4</v>
      </c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BJ768">
        <f t="shared" si="78"/>
        <v>1.9727115128641252E-6</v>
      </c>
      <c r="BK768">
        <f t="shared" si="80"/>
        <v>1.0702258795611611E-4</v>
      </c>
      <c r="BO768">
        <f t="shared" si="81"/>
        <v>9.2575644703303967E-5</v>
      </c>
      <c r="BP768">
        <f t="shared" si="79"/>
        <v>3.7141491079740541</v>
      </c>
    </row>
    <row r="769" spans="1:68" x14ac:dyDescent="0.15">
      <c r="A769" s="5">
        <v>44680</v>
      </c>
      <c r="B769" s="1"/>
      <c r="C769">
        <v>126</v>
      </c>
      <c r="D769">
        <v>80.319999999999993</v>
      </c>
      <c r="E769">
        <v>81.993483999999995</v>
      </c>
      <c r="G769" s="3">
        <v>5.0009676041553597E-3</v>
      </c>
      <c r="I769" s="15">
        <f t="shared" si="82"/>
        <v>1.112347052280316E-3</v>
      </c>
      <c r="J769" s="15">
        <f t="shared" si="83"/>
        <v>-7.1693448702102903E-3</v>
      </c>
      <c r="K769" s="15">
        <f t="shared" si="84"/>
        <v>-4.3733461949377597E-3</v>
      </c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BJ769">
        <f t="shared" si="78"/>
        <v>2.5009676977811399E-5</v>
      </c>
      <c r="BK769">
        <f t="shared" si="80"/>
        <v>1.0071959536952099E-4</v>
      </c>
      <c r="BO769">
        <f t="shared" si="81"/>
        <v>7.8835153997640147E-5</v>
      </c>
      <c r="BP769">
        <f t="shared" si="79"/>
        <v>3.6465171580276241</v>
      </c>
    </row>
    <row r="770" spans="1:68" x14ac:dyDescent="0.15">
      <c r="A770" s="5">
        <v>44683</v>
      </c>
      <c r="B770" s="1"/>
      <c r="C770">
        <v>125.8</v>
      </c>
      <c r="D770">
        <v>79.36</v>
      </c>
      <c r="E770">
        <v>81.168909999999997</v>
      </c>
      <c r="G770" s="3">
        <v>-1.29473298618073E-2</v>
      </c>
      <c r="I770" s="15">
        <f t="shared" si="82"/>
        <v>-1.5873015873016099E-3</v>
      </c>
      <c r="J770" s="15">
        <f t="shared" si="83"/>
        <v>-1.1952191235059684E-2</v>
      </c>
      <c r="K770" s="15">
        <f t="shared" si="84"/>
        <v>-1.0056579617960842E-2</v>
      </c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BJ770">
        <f t="shared" ref="BJ770:BJ833" si="85">G770^2</f>
        <v>1.6763335055044703E-4</v>
      </c>
      <c r="BK770">
        <f t="shared" si="80"/>
        <v>9.6177000266018406E-5</v>
      </c>
      <c r="BO770">
        <f t="shared" si="81"/>
        <v>7.1338333095757276E-5</v>
      </c>
      <c r="BP770">
        <f t="shared" ref="BP770:BP833" si="86" xml:space="preserve"> -0.5 * (LN(2 * PI()) + LN(BO770) + (BJ770) / BO770)</f>
        <v>2.6801820682205371</v>
      </c>
    </row>
    <row r="771" spans="1:68" x14ac:dyDescent="0.15">
      <c r="A771" s="5">
        <v>44684</v>
      </c>
      <c r="B771" s="1"/>
      <c r="C771">
        <v>125.3</v>
      </c>
      <c r="D771">
        <v>80.400000000000006</v>
      </c>
      <c r="E771">
        <v>81.367940000000004</v>
      </c>
      <c r="G771" s="3">
        <v>2.5185605748225797E-3</v>
      </c>
      <c r="I771" s="15">
        <f t="shared" si="82"/>
        <v>-3.9745627980922096E-3</v>
      </c>
      <c r="J771" s="15">
        <f t="shared" si="83"/>
        <v>1.3104838709677498E-2</v>
      </c>
      <c r="K771" s="15">
        <f t="shared" si="84"/>
        <v>2.4520472185718348E-3</v>
      </c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BJ771">
        <f t="shared" si="85"/>
        <v>6.3431473690506429E-6</v>
      </c>
      <c r="BK771">
        <f t="shared" ref="BK771:BK834" si="87">$BM$2 * BK770 + (1 - $BM$2) * BJ770</f>
        <v>1.0046438128308413E-4</v>
      </c>
      <c r="BO771">
        <f t="shared" ref="BO771:BO834" si="88" xml:space="preserve"> $BR$2 + $BS$2 * BJ770 + $BT$2 * BO770</f>
        <v>8.577047608877695E-5</v>
      </c>
      <c r="BP771">
        <f t="shared" si="86"/>
        <v>3.726001870647722</v>
      </c>
    </row>
    <row r="772" spans="1:68" x14ac:dyDescent="0.15">
      <c r="A772" s="5">
        <v>44685</v>
      </c>
      <c r="B772" s="1"/>
      <c r="C772">
        <v>123.98</v>
      </c>
      <c r="D772">
        <v>80.34</v>
      </c>
      <c r="E772">
        <v>80.856129999999993</v>
      </c>
      <c r="G772" s="3">
        <v>-1.0135447248006E-2</v>
      </c>
      <c r="I772" s="15">
        <f t="shared" ref="I772:I835" si="89">(C772-C771)/C771</f>
        <v>-1.0534716679968022E-2</v>
      </c>
      <c r="J772" s="15">
        <f t="shared" ref="J772:J835" si="90">(D772-D771)/D771</f>
        <v>-7.4626865671644611E-4</v>
      </c>
      <c r="K772" s="15">
        <f t="shared" ref="K772:K835" si="91">(E772-E771)/E771</f>
        <v>-6.2900695286130038E-3</v>
      </c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BJ772">
        <f t="shared" si="85"/>
        <v>1.027272909171124E-4</v>
      </c>
      <c r="BK772">
        <f t="shared" si="87"/>
        <v>9.4817107248242117E-5</v>
      </c>
      <c r="BO772">
        <f t="shared" si="88"/>
        <v>7.4119762176108535E-5</v>
      </c>
      <c r="BP772">
        <f t="shared" si="86"/>
        <v>3.1429938595043181</v>
      </c>
    </row>
    <row r="773" spans="1:68" x14ac:dyDescent="0.15">
      <c r="A773" s="5">
        <v>44686</v>
      </c>
      <c r="B773" s="1"/>
      <c r="C773">
        <v>124.8</v>
      </c>
      <c r="D773">
        <v>77.739999999999995</v>
      </c>
      <c r="E773">
        <v>80.78031</v>
      </c>
      <c r="G773" s="3">
        <v>-2.49254586387914E-4</v>
      </c>
      <c r="I773" s="15">
        <f t="shared" si="89"/>
        <v>6.6139699951604548E-3</v>
      </c>
      <c r="J773" s="15">
        <f t="shared" si="90"/>
        <v>-3.2362459546925675E-2</v>
      </c>
      <c r="K773" s="15">
        <f t="shared" si="91"/>
        <v>-9.3771492649961257E-4</v>
      </c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BJ773">
        <f t="shared" si="85"/>
        <v>6.2127848835410084E-8</v>
      </c>
      <c r="BK773">
        <f t="shared" si="87"/>
        <v>9.5291718268374336E-5</v>
      </c>
      <c r="BO773">
        <f t="shared" si="88"/>
        <v>7.8708236878344284E-5</v>
      </c>
      <c r="BP773">
        <f t="shared" si="86"/>
        <v>3.8055481681011156</v>
      </c>
    </row>
    <row r="774" spans="1:68" x14ac:dyDescent="0.15">
      <c r="A774" s="5">
        <v>44687</v>
      </c>
      <c r="B774" s="1"/>
      <c r="C774">
        <v>123.36</v>
      </c>
      <c r="D774">
        <v>78.16</v>
      </c>
      <c r="E774">
        <v>80.249549999999999</v>
      </c>
      <c r="G774" s="3">
        <v>-1.2364541208946801E-2</v>
      </c>
      <c r="I774" s="15">
        <f t="shared" si="89"/>
        <v>-1.153846153846152E-2</v>
      </c>
      <c r="J774" s="15">
        <f t="shared" si="90"/>
        <v>5.4026241317211444E-3</v>
      </c>
      <c r="K774" s="15">
        <f t="shared" si="91"/>
        <v>-6.5704130127750291E-3</v>
      </c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BJ774">
        <f t="shared" si="85"/>
        <v>1.5288187930774362E-4</v>
      </c>
      <c r="BK774">
        <f t="shared" si="87"/>
        <v>8.957794284320199E-5</v>
      </c>
      <c r="BO774">
        <f t="shared" si="88"/>
        <v>6.7685747338358299E-5</v>
      </c>
      <c r="BP774">
        <f t="shared" si="86"/>
        <v>2.752028326057038</v>
      </c>
    </row>
    <row r="775" spans="1:68" x14ac:dyDescent="0.15">
      <c r="A775" s="5">
        <v>44690</v>
      </c>
      <c r="B775" s="1"/>
      <c r="C775">
        <v>120.38</v>
      </c>
      <c r="D775">
        <v>77.959999999999994</v>
      </c>
      <c r="E775">
        <v>79.026889999999995</v>
      </c>
      <c r="G775" s="3">
        <v>-2.4401528968493701E-2</v>
      </c>
      <c r="I775" s="15">
        <f t="shared" si="89"/>
        <v>-2.4156939040207555E-2</v>
      </c>
      <c r="J775" s="15">
        <f t="shared" si="90"/>
        <v>-2.5588536335721963E-3</v>
      </c>
      <c r="K775" s="15">
        <f t="shared" si="91"/>
        <v>-1.5235724063250258E-2</v>
      </c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BJ775">
        <f t="shared" si="85"/>
        <v>5.9543461600023719E-4</v>
      </c>
      <c r="BK775">
        <f t="shared" si="87"/>
        <v>9.3376179031074493E-5</v>
      </c>
      <c r="BO775">
        <f t="shared" si="88"/>
        <v>8.0804557866302816E-5</v>
      </c>
      <c r="BP775">
        <f t="shared" si="86"/>
        <v>0.10838774556015229</v>
      </c>
    </row>
    <row r="776" spans="1:68" x14ac:dyDescent="0.15">
      <c r="A776" s="5">
        <v>44691</v>
      </c>
      <c r="B776" s="1"/>
      <c r="C776">
        <v>119.96</v>
      </c>
      <c r="D776">
        <v>79.84</v>
      </c>
      <c r="E776">
        <v>79.529229999999998</v>
      </c>
      <c r="G776" s="3">
        <v>8.5230773079452097E-3</v>
      </c>
      <c r="I776" s="15">
        <f t="shared" si="89"/>
        <v>-3.4889516530985354E-3</v>
      </c>
      <c r="J776" s="15">
        <f t="shared" si="90"/>
        <v>2.4114930733709721E-2</v>
      </c>
      <c r="K776" s="15">
        <f t="shared" si="91"/>
        <v>6.3565705293477173E-3</v>
      </c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BJ776">
        <f t="shared" si="85"/>
        <v>7.2642846797210558E-5</v>
      </c>
      <c r="BK776">
        <f t="shared" si="87"/>
        <v>1.2349968524922428E-4</v>
      </c>
      <c r="BO776">
        <f t="shared" si="88"/>
        <v>1.5412311929291641E-4</v>
      </c>
      <c r="BP776">
        <f t="shared" si="86"/>
        <v>3.2342758761064672</v>
      </c>
    </row>
    <row r="777" spans="1:68" x14ac:dyDescent="0.15">
      <c r="A777" s="5">
        <v>44692</v>
      </c>
      <c r="B777" s="1"/>
      <c r="C777">
        <v>121.78</v>
      </c>
      <c r="D777">
        <v>80.760000000000005</v>
      </c>
      <c r="E777">
        <v>80.287459999999996</v>
      </c>
      <c r="G777" s="3">
        <v>1.0347903879579499E-3</v>
      </c>
      <c r="I777" s="15">
        <f t="shared" si="89"/>
        <v>1.5171723907969385E-2</v>
      </c>
      <c r="J777" s="15">
        <f t="shared" si="90"/>
        <v>1.1523046092184389E-2</v>
      </c>
      <c r="K777" s="15">
        <f t="shared" si="91"/>
        <v>9.5339788905286459E-3</v>
      </c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BJ777">
        <f t="shared" si="85"/>
        <v>1.0707911470101646E-6</v>
      </c>
      <c r="BK777">
        <f t="shared" si="87"/>
        <v>1.2044827494210346E-4</v>
      </c>
      <c r="BO777">
        <f t="shared" si="88"/>
        <v>1.3717654344244182E-4</v>
      </c>
      <c r="BP777">
        <f t="shared" si="86"/>
        <v>3.5242794111474529</v>
      </c>
    </row>
    <row r="778" spans="1:68" x14ac:dyDescent="0.15">
      <c r="A778" s="5">
        <v>44693</v>
      </c>
      <c r="B778" s="1"/>
      <c r="C778">
        <v>121.72</v>
      </c>
      <c r="D778">
        <v>81.22</v>
      </c>
      <c r="E778">
        <v>80.742400000000004</v>
      </c>
      <c r="G778" s="3">
        <v>-4.1138636140938198E-3</v>
      </c>
      <c r="I778" s="15">
        <f t="shared" si="89"/>
        <v>-4.92691739201858E-4</v>
      </c>
      <c r="J778" s="15">
        <f t="shared" si="90"/>
        <v>5.6958890539870449E-3</v>
      </c>
      <c r="K778" s="15">
        <f t="shared" si="91"/>
        <v>5.6663892468388922E-3</v>
      </c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BJ778">
        <f t="shared" si="85"/>
        <v>1.6923873835365064E-5</v>
      </c>
      <c r="BK778">
        <f t="shared" si="87"/>
        <v>1.1328562591439786E-4</v>
      </c>
      <c r="BO778">
        <f t="shared" si="88"/>
        <v>1.136907026107105E-4</v>
      </c>
      <c r="BP778">
        <f t="shared" si="86"/>
        <v>3.5476464787099409</v>
      </c>
    </row>
    <row r="779" spans="1:68" x14ac:dyDescent="0.15">
      <c r="A779" s="5">
        <v>44694</v>
      </c>
      <c r="B779" s="1"/>
      <c r="C779">
        <v>122.54</v>
      </c>
      <c r="D779">
        <v>81.540000000000006</v>
      </c>
      <c r="E779">
        <v>81.851320000000001</v>
      </c>
      <c r="G779" s="3">
        <v>1.25402533883196E-2</v>
      </c>
      <c r="I779" s="15">
        <f t="shared" si="89"/>
        <v>6.7367729214591471E-3</v>
      </c>
      <c r="J779" s="15">
        <f t="shared" si="90"/>
        <v>3.9399162767792097E-3</v>
      </c>
      <c r="K779" s="15">
        <f t="shared" si="91"/>
        <v>1.3734048034242203E-2</v>
      </c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BJ779">
        <f t="shared" si="85"/>
        <v>1.5725795504326119E-4</v>
      </c>
      <c r="BK779">
        <f t="shared" si="87"/>
        <v>1.075039207896559E-4</v>
      </c>
      <c r="BO779">
        <f t="shared" si="88"/>
        <v>9.7526705544232942E-5</v>
      </c>
      <c r="BP779">
        <f t="shared" si="86"/>
        <v>2.8925234014060592</v>
      </c>
    </row>
    <row r="780" spans="1:68" x14ac:dyDescent="0.15">
      <c r="A780" s="5">
        <v>44697</v>
      </c>
      <c r="B780" s="1"/>
      <c r="C780">
        <v>123.32</v>
      </c>
      <c r="D780">
        <v>81.5</v>
      </c>
      <c r="E780">
        <v>82.960235999999995</v>
      </c>
      <c r="G780" s="3">
        <v>1.8724656661306398E-3</v>
      </c>
      <c r="I780" s="15">
        <f t="shared" si="89"/>
        <v>6.3652684837602978E-3</v>
      </c>
      <c r="J780" s="15">
        <f t="shared" si="90"/>
        <v>-4.9055678194758704E-4</v>
      </c>
      <c r="K780" s="15">
        <f t="shared" si="91"/>
        <v>1.3547930564833818E-2</v>
      </c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BJ780">
        <f t="shared" si="85"/>
        <v>3.5061276708380607E-6</v>
      </c>
      <c r="BK780">
        <f t="shared" si="87"/>
        <v>1.1048916284487221E-4</v>
      </c>
      <c r="BO780">
        <f t="shared" si="88"/>
        <v>1.0483441495583312E-4</v>
      </c>
      <c r="BP780">
        <f t="shared" si="86"/>
        <v>3.6459034763011808</v>
      </c>
    </row>
    <row r="781" spans="1:68" x14ac:dyDescent="0.15">
      <c r="A781" s="5">
        <v>44698</v>
      </c>
      <c r="B781" s="1"/>
      <c r="C781">
        <v>122.6</v>
      </c>
      <c r="D781">
        <v>82.86</v>
      </c>
      <c r="E781">
        <v>82.846503999999996</v>
      </c>
      <c r="G781" s="3">
        <v>4.9870234506641494E-3</v>
      </c>
      <c r="I781" s="15">
        <f t="shared" si="89"/>
        <v>-5.8384690236782267E-3</v>
      </c>
      <c r="J781" s="15">
        <f t="shared" si="90"/>
        <v>1.6687116564417171E-2</v>
      </c>
      <c r="K781" s="15">
        <f t="shared" si="91"/>
        <v>-1.3709218474257817E-3</v>
      </c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BJ781">
        <f t="shared" si="85"/>
        <v>2.4870402897474159E-5</v>
      </c>
      <c r="BK781">
        <f t="shared" si="87"/>
        <v>1.0407018073443015E-4</v>
      </c>
      <c r="BO781">
        <f t="shared" si="88"/>
        <v>8.8669063150144376E-5</v>
      </c>
      <c r="BP781">
        <f t="shared" si="86"/>
        <v>3.6061183795030551</v>
      </c>
    </row>
    <row r="782" spans="1:68" x14ac:dyDescent="0.15">
      <c r="A782" s="5">
        <v>44699</v>
      </c>
      <c r="B782" s="1"/>
      <c r="C782">
        <v>119.38</v>
      </c>
      <c r="D782">
        <v>81.92</v>
      </c>
      <c r="E782">
        <v>82.457899999999995</v>
      </c>
      <c r="G782" s="3">
        <v>-1.28987165684828E-2</v>
      </c>
      <c r="I782" s="15">
        <f t="shared" si="89"/>
        <v>-2.6264274061990205E-2</v>
      </c>
      <c r="J782" s="15">
        <f t="shared" si="90"/>
        <v>-1.1344436398744844E-2</v>
      </c>
      <c r="K782" s="15">
        <f t="shared" si="91"/>
        <v>-4.6906505553933921E-3</v>
      </c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BJ782">
        <f t="shared" si="85"/>
        <v>1.6637688911405271E-4</v>
      </c>
      <c r="BK782">
        <f t="shared" si="87"/>
        <v>9.9318194064212779E-5</v>
      </c>
      <c r="BO782">
        <f t="shared" si="88"/>
        <v>7.9032007702690114E-5</v>
      </c>
      <c r="BP782">
        <f t="shared" si="86"/>
        <v>2.7512984635786291</v>
      </c>
    </row>
    <row r="783" spans="1:68" x14ac:dyDescent="0.15">
      <c r="A783" s="5">
        <v>44700</v>
      </c>
      <c r="B783" s="1"/>
      <c r="C783">
        <v>113.38</v>
      </c>
      <c r="D783">
        <v>79.040000000000006</v>
      </c>
      <c r="E783">
        <v>81.216300000000004</v>
      </c>
      <c r="G783" s="3">
        <v>-2.3287221592191498E-2</v>
      </c>
      <c r="I783" s="15">
        <f t="shared" si="89"/>
        <v>-5.0259674987435082E-2</v>
      </c>
      <c r="J783" s="15">
        <f t="shared" si="90"/>
        <v>-3.5156249999999944E-2</v>
      </c>
      <c r="K783" s="15">
        <f t="shared" si="91"/>
        <v>-1.5057380796745869E-2</v>
      </c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BJ783">
        <f t="shared" si="85"/>
        <v>5.4229468948382986E-4</v>
      </c>
      <c r="BK783">
        <f t="shared" si="87"/>
        <v>1.0334171576720318E-4</v>
      </c>
      <c r="BO783">
        <f t="shared" si="88"/>
        <v>9.1626286016166853E-5</v>
      </c>
      <c r="BP783">
        <f t="shared" si="86"/>
        <v>0.77068300596923622</v>
      </c>
    </row>
    <row r="784" spans="1:68" x14ac:dyDescent="0.15">
      <c r="A784" s="5">
        <v>44701</v>
      </c>
      <c r="B784" s="1"/>
      <c r="C784">
        <v>113.2</v>
      </c>
      <c r="D784">
        <v>78.959999999999994</v>
      </c>
      <c r="E784">
        <v>82.173559999999995</v>
      </c>
      <c r="G784" s="3">
        <v>-4.5545428195681303E-5</v>
      </c>
      <c r="I784" s="15">
        <f t="shared" si="89"/>
        <v>-1.5875815840535599E-3</v>
      </c>
      <c r="J784" s="15">
        <f t="shared" si="90"/>
        <v>-1.0121457489880123E-3</v>
      </c>
      <c r="K784" s="15">
        <f t="shared" si="91"/>
        <v>1.1786550236836581E-2</v>
      </c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BJ784">
        <f t="shared" si="85"/>
        <v>2.0743860295279613E-9</v>
      </c>
      <c r="BK784">
        <f t="shared" si="87"/>
        <v>1.2967889419020082E-4</v>
      </c>
      <c r="BO784">
        <f t="shared" si="88"/>
        <v>1.5504325527154335E-4</v>
      </c>
      <c r="BP784">
        <f t="shared" si="86"/>
        <v>3.466957983948737</v>
      </c>
    </row>
    <row r="785" spans="1:68" x14ac:dyDescent="0.15">
      <c r="A785" s="5">
        <v>44704</v>
      </c>
      <c r="B785" s="1"/>
      <c r="C785">
        <v>114.66</v>
      </c>
      <c r="D785">
        <v>79.58</v>
      </c>
      <c r="E785">
        <v>83.102400000000003</v>
      </c>
      <c r="G785" s="3">
        <v>1.3909351860530399E-2</v>
      </c>
      <c r="I785" s="15">
        <f t="shared" si="89"/>
        <v>1.2897526501766728E-2</v>
      </c>
      <c r="J785" s="15">
        <f t="shared" si="90"/>
        <v>7.8520770010132301E-3</v>
      </c>
      <c r="K785" s="15">
        <f t="shared" si="91"/>
        <v>1.1303392478067253E-2</v>
      </c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BJ785">
        <f t="shared" si="85"/>
        <v>1.9347006918004047E-4</v>
      </c>
      <c r="BK785">
        <f t="shared" si="87"/>
        <v>1.2189828500195054E-4</v>
      </c>
      <c r="BO785">
        <f t="shared" si="88"/>
        <v>1.2755276609276341E-4</v>
      </c>
      <c r="BP785">
        <f t="shared" si="86"/>
        <v>2.8061593887287475</v>
      </c>
    </row>
    <row r="786" spans="1:68" x14ac:dyDescent="0.15">
      <c r="A786" s="5">
        <v>44705</v>
      </c>
      <c r="B786" s="1"/>
      <c r="C786">
        <v>114.74</v>
      </c>
      <c r="D786">
        <v>78.7</v>
      </c>
      <c r="E786">
        <v>83.102400000000003</v>
      </c>
      <c r="G786" s="3">
        <v>1.5076576647259298E-3</v>
      </c>
      <c r="I786" s="15">
        <f t="shared" si="89"/>
        <v>6.9771498342925426E-4</v>
      </c>
      <c r="J786" s="15">
        <f t="shared" si="90"/>
        <v>-1.1058054787635028E-2</v>
      </c>
      <c r="K786" s="15">
        <f t="shared" si="91"/>
        <v>0</v>
      </c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BJ786">
        <f t="shared" si="85"/>
        <v>2.2730316340068443E-6</v>
      </c>
      <c r="BK786">
        <f t="shared" si="87"/>
        <v>1.2619259205263594E-4</v>
      </c>
      <c r="BO786">
        <f t="shared" si="88"/>
        <v>1.3354355700230939E-4</v>
      </c>
      <c r="BP786">
        <f t="shared" si="86"/>
        <v>3.5330924482326598</v>
      </c>
    </row>
    <row r="787" spans="1:68" x14ac:dyDescent="0.15">
      <c r="A787" s="5">
        <v>44706</v>
      </c>
      <c r="B787" s="1"/>
      <c r="C787">
        <v>114.24</v>
      </c>
      <c r="D787">
        <v>78.94</v>
      </c>
      <c r="E787">
        <v>83.23509</v>
      </c>
      <c r="G787" s="3">
        <v>7.1763265448132596E-4</v>
      </c>
      <c r="I787" s="15">
        <f t="shared" si="89"/>
        <v>-4.3576782290395679E-3</v>
      </c>
      <c r="J787" s="15">
        <f t="shared" si="90"/>
        <v>3.0495552731892614E-3</v>
      </c>
      <c r="K787" s="15">
        <f t="shared" si="91"/>
        <v>1.5967047883093226E-3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BJ787">
        <f t="shared" si="85"/>
        <v>5.1499662677791419E-7</v>
      </c>
      <c r="BK787">
        <f t="shared" si="87"/>
        <v>1.1875741842751818E-4</v>
      </c>
      <c r="BO787">
        <f t="shared" si="88"/>
        <v>1.1101228831430181E-4</v>
      </c>
      <c r="BP787">
        <f t="shared" si="86"/>
        <v>3.6316767475795313</v>
      </c>
    </row>
    <row r="788" spans="1:68" x14ac:dyDescent="0.15">
      <c r="A788" s="5">
        <v>44708</v>
      </c>
      <c r="B788" s="1"/>
      <c r="C788">
        <v>116.58</v>
      </c>
      <c r="D788">
        <v>80.36</v>
      </c>
      <c r="E788">
        <v>82.571640000000002</v>
      </c>
      <c r="G788" s="3">
        <v>1.35193607888632E-2</v>
      </c>
      <c r="I788" s="15">
        <f t="shared" si="89"/>
        <v>2.0483193277310956E-2</v>
      </c>
      <c r="J788" s="15">
        <f t="shared" si="90"/>
        <v>1.798834557892072E-2</v>
      </c>
      <c r="K788" s="15">
        <f t="shared" si="91"/>
        <v>-7.970796931918947E-3</v>
      </c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BJ788">
        <f t="shared" si="85"/>
        <v>1.8277311613945179E-4</v>
      </c>
      <c r="BK788">
        <f t="shared" si="87"/>
        <v>1.1166287311947376E-4</v>
      </c>
      <c r="BO788">
        <f t="shared" si="88"/>
        <v>9.3088858711296135E-5</v>
      </c>
      <c r="BP788">
        <f t="shared" si="86"/>
        <v>2.7403263277302807</v>
      </c>
    </row>
    <row r="789" spans="1:68" x14ac:dyDescent="0.15">
      <c r="A789" s="5">
        <v>44712</v>
      </c>
      <c r="B789" s="1"/>
      <c r="C789">
        <v>117</v>
      </c>
      <c r="D789">
        <v>78.92</v>
      </c>
      <c r="E789">
        <v>82.325209999999998</v>
      </c>
      <c r="G789" s="3">
        <v>-3.0727790976888803E-3</v>
      </c>
      <c r="I789" s="15">
        <f t="shared" si="89"/>
        <v>3.6026762738034113E-3</v>
      </c>
      <c r="J789" s="15">
        <f t="shared" si="90"/>
        <v>-1.791936286709803E-2</v>
      </c>
      <c r="K789" s="15">
        <f t="shared" si="91"/>
        <v>-2.9844387249666313E-3</v>
      </c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BJ789">
        <f t="shared" si="85"/>
        <v>9.4419713831936898E-6</v>
      </c>
      <c r="BK789">
        <f t="shared" si="87"/>
        <v>1.1592948770067244E-4</v>
      </c>
      <c r="BO789">
        <f t="shared" si="88"/>
        <v>1.0498733595864842E-4</v>
      </c>
      <c r="BP789">
        <f t="shared" si="86"/>
        <v>3.6169296873137808</v>
      </c>
    </row>
    <row r="790" spans="1:68" x14ac:dyDescent="0.15">
      <c r="A790" s="5">
        <v>44713</v>
      </c>
      <c r="B790" s="1"/>
      <c r="C790">
        <v>115.08</v>
      </c>
      <c r="D790">
        <v>78.12</v>
      </c>
      <c r="E790">
        <v>81.680719999999994</v>
      </c>
      <c r="G790" s="3">
        <v>-1.0098556354084999E-2</v>
      </c>
      <c r="I790" s="15">
        <f t="shared" si="89"/>
        <v>-1.6410256410256424E-2</v>
      </c>
      <c r="J790" s="15">
        <f t="shared" si="90"/>
        <v>-1.0136847440445984E-2</v>
      </c>
      <c r="K790" s="15">
        <f t="shared" si="91"/>
        <v>-7.8285861645540251E-3</v>
      </c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BJ790">
        <f t="shared" si="85"/>
        <v>1.0198084043663051E-4</v>
      </c>
      <c r="BK790">
        <f t="shared" si="87"/>
        <v>1.0954023672162371E-4</v>
      </c>
      <c r="BO790">
        <f t="shared" si="88"/>
        <v>8.9634395127990537E-5</v>
      </c>
      <c r="BP790">
        <f t="shared" si="86"/>
        <v>3.1720760491044619</v>
      </c>
    </row>
    <row r="791" spans="1:68" x14ac:dyDescent="0.15">
      <c r="A791" s="5">
        <v>44714</v>
      </c>
      <c r="B791" s="1"/>
      <c r="C791">
        <v>114.74</v>
      </c>
      <c r="D791">
        <v>78.44</v>
      </c>
      <c r="E791">
        <v>81.131</v>
      </c>
      <c r="G791" s="3">
        <v>4.8788331769173895E-3</v>
      </c>
      <c r="I791" s="15">
        <f t="shared" si="89"/>
        <v>-2.9544664581161229E-3</v>
      </c>
      <c r="J791" s="15">
        <f t="shared" si="90"/>
        <v>4.0962621607782022E-3</v>
      </c>
      <c r="K791" s="15">
        <f t="shared" si="91"/>
        <v>-6.7301071782912003E-3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BJ791">
        <f t="shared" si="85"/>
        <v>2.3803013168189828E-5</v>
      </c>
      <c r="BK791">
        <f t="shared" si="87"/>
        <v>1.0908667294452411E-4</v>
      </c>
      <c r="BO791">
        <f t="shared" si="88"/>
        <v>9.0771276732871009E-5</v>
      </c>
      <c r="BP791">
        <f t="shared" si="86"/>
        <v>3.6035299582671514</v>
      </c>
    </row>
    <row r="792" spans="1:68" x14ac:dyDescent="0.15">
      <c r="A792" s="5">
        <v>44715</v>
      </c>
      <c r="B792" s="1"/>
      <c r="C792">
        <v>114.9</v>
      </c>
      <c r="D792">
        <v>78.64</v>
      </c>
      <c r="E792">
        <v>81.348990000000001</v>
      </c>
      <c r="G792" s="3">
        <v>-1.8214257489073099E-3</v>
      </c>
      <c r="I792" s="15">
        <f t="shared" si="89"/>
        <v>1.3944570332927559E-3</v>
      </c>
      <c r="J792" s="15">
        <f t="shared" si="90"/>
        <v>2.5497195308516428E-3</v>
      </c>
      <c r="K792" s="15">
        <f t="shared" si="91"/>
        <v>2.6868891052741904E-3</v>
      </c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BJ792">
        <f t="shared" si="85"/>
        <v>3.3175917587825544E-6</v>
      </c>
      <c r="BK792">
        <f t="shared" si="87"/>
        <v>1.0396965335794405E-4</v>
      </c>
      <c r="BO792">
        <f t="shared" si="88"/>
        <v>8.0528921663337378E-5</v>
      </c>
      <c r="BP792">
        <f t="shared" si="86"/>
        <v>3.7739097888001316</v>
      </c>
    </row>
    <row r="793" spans="1:68" x14ac:dyDescent="0.15">
      <c r="A793" s="5">
        <v>44719</v>
      </c>
      <c r="B793" s="1"/>
      <c r="C793">
        <v>113.84</v>
      </c>
      <c r="D793">
        <v>80.099999999999994</v>
      </c>
      <c r="E793">
        <v>81.443759999999997</v>
      </c>
      <c r="G793" s="3">
        <v>4.3557951632644499E-4</v>
      </c>
      <c r="I793" s="15">
        <f t="shared" si="89"/>
        <v>-9.225413402959114E-3</v>
      </c>
      <c r="J793" s="15">
        <f t="shared" si="90"/>
        <v>1.8565615462868688E-2</v>
      </c>
      <c r="K793" s="15">
        <f t="shared" si="91"/>
        <v>1.1649806592558421E-3</v>
      </c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BJ793">
        <f t="shared" si="85"/>
        <v>1.8972951504317976E-7</v>
      </c>
      <c r="BK793">
        <f t="shared" si="87"/>
        <v>9.7930529661994351E-5</v>
      </c>
      <c r="BO793">
        <f t="shared" si="88"/>
        <v>6.9577497704597955E-5</v>
      </c>
      <c r="BP793">
        <f t="shared" si="86"/>
        <v>3.8662327024641043</v>
      </c>
    </row>
    <row r="794" spans="1:68" x14ac:dyDescent="0.15">
      <c r="A794" s="5">
        <v>44720</v>
      </c>
      <c r="B794" s="1"/>
      <c r="C794">
        <v>112.38</v>
      </c>
      <c r="D794">
        <v>78.8</v>
      </c>
      <c r="E794">
        <v>81.301599999999993</v>
      </c>
      <c r="G794" s="3">
        <v>-5.7903800877051603E-3</v>
      </c>
      <c r="I794" s="15">
        <f t="shared" si="89"/>
        <v>-1.2825017568517286E-2</v>
      </c>
      <c r="J794" s="15">
        <f t="shared" si="90"/>
        <v>-1.6229712858926309E-2</v>
      </c>
      <c r="K794" s="15">
        <f t="shared" si="91"/>
        <v>-1.7454989799096218E-3</v>
      </c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BJ794">
        <f t="shared" si="85"/>
        <v>3.3528501560092417E-5</v>
      </c>
      <c r="BK794">
        <f t="shared" si="87"/>
        <v>9.2066081653177271E-5</v>
      </c>
      <c r="BO794">
        <f t="shared" si="88"/>
        <v>6.0541961981535434E-5</v>
      </c>
      <c r="BP794">
        <f t="shared" si="86"/>
        <v>3.6602453921909683</v>
      </c>
    </row>
    <row r="795" spans="1:68" x14ac:dyDescent="0.15">
      <c r="A795" s="5">
        <v>44721</v>
      </c>
      <c r="B795" s="1"/>
      <c r="C795">
        <v>110.54</v>
      </c>
      <c r="D795">
        <v>78.88</v>
      </c>
      <c r="E795">
        <v>80.87509</v>
      </c>
      <c r="G795" s="3">
        <v>-1.2641609811855602E-2</v>
      </c>
      <c r="I795" s="15">
        <f t="shared" si="89"/>
        <v>-1.6373020110339823E-2</v>
      </c>
      <c r="J795" s="15">
        <f t="shared" si="90"/>
        <v>1.0152284263959175E-3</v>
      </c>
      <c r="K795" s="15">
        <f t="shared" si="91"/>
        <v>-5.2460222185048431E-3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BJ795">
        <f t="shared" si="85"/>
        <v>1.5981029863520381E-4</v>
      </c>
      <c r="BK795">
        <f t="shared" si="87"/>
        <v>8.8553826847592176E-5</v>
      </c>
      <c r="BO795">
        <f t="shared" si="88"/>
        <v>5.8202793350821997E-5</v>
      </c>
      <c r="BP795">
        <f t="shared" si="86"/>
        <v>2.5839752533143363</v>
      </c>
    </row>
    <row r="796" spans="1:68" x14ac:dyDescent="0.15">
      <c r="A796" s="5">
        <v>44722</v>
      </c>
      <c r="B796" s="1"/>
      <c r="C796">
        <v>110.1</v>
      </c>
      <c r="D796">
        <v>77.040000000000006</v>
      </c>
      <c r="E796">
        <v>79.538703999999996</v>
      </c>
      <c r="G796" s="3">
        <v>-2.1003080028514098E-2</v>
      </c>
      <c r="I796" s="15">
        <f t="shared" si="89"/>
        <v>-3.9804595621495556E-3</v>
      </c>
      <c r="J796" s="15">
        <f t="shared" si="90"/>
        <v>-2.3326572008113455E-2</v>
      </c>
      <c r="K796" s="15">
        <f t="shared" si="91"/>
        <v>-1.6524074347243442E-2</v>
      </c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BJ796">
        <f t="shared" si="85"/>
        <v>4.4112937068416773E-4</v>
      </c>
      <c r="BK796">
        <f t="shared" si="87"/>
        <v>9.2829215154848881E-5</v>
      </c>
      <c r="BO796">
        <f t="shared" si="88"/>
        <v>7.4353076405150068E-5</v>
      </c>
      <c r="BP796">
        <f t="shared" si="86"/>
        <v>0.8679541963357762</v>
      </c>
    </row>
    <row r="797" spans="1:68" x14ac:dyDescent="0.15">
      <c r="A797" s="5">
        <v>44725</v>
      </c>
      <c r="B797" s="1"/>
      <c r="C797">
        <v>110.74</v>
      </c>
      <c r="D797">
        <v>75.84</v>
      </c>
      <c r="E797">
        <v>78.458219999999997</v>
      </c>
      <c r="G797" s="3">
        <v>-1.6993507419772898E-2</v>
      </c>
      <c r="I797" s="15">
        <f t="shared" si="89"/>
        <v>5.8128973660308862E-3</v>
      </c>
      <c r="J797" s="15">
        <f t="shared" si="90"/>
        <v>-1.5576323987538977E-2</v>
      </c>
      <c r="K797" s="15">
        <f t="shared" si="91"/>
        <v>-1.3584380253417235E-2</v>
      </c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BJ797">
        <f t="shared" si="85"/>
        <v>2.8877929442587655E-4</v>
      </c>
      <c r="BK797">
        <f t="shared" si="87"/>
        <v>1.1372722448660803E-4</v>
      </c>
      <c r="BO797">
        <f t="shared" si="88"/>
        <v>1.2708653171126036E-4</v>
      </c>
      <c r="BP797">
        <f t="shared" si="86"/>
        <v>2.430230406183151</v>
      </c>
    </row>
    <row r="798" spans="1:68" x14ac:dyDescent="0.15">
      <c r="A798" s="5">
        <v>44726</v>
      </c>
      <c r="B798" s="1"/>
      <c r="C798">
        <v>108.62</v>
      </c>
      <c r="D798">
        <v>76</v>
      </c>
      <c r="E798">
        <v>76.505769999999998</v>
      </c>
      <c r="G798" s="3">
        <v>-1.8096931711336903E-2</v>
      </c>
      <c r="I798" s="15">
        <f t="shared" si="89"/>
        <v>-1.914394076214548E-2</v>
      </c>
      <c r="J798" s="15">
        <f t="shared" si="90"/>
        <v>2.1097046413501657E-3</v>
      </c>
      <c r="K798" s="15">
        <f t="shared" si="91"/>
        <v>-2.4885219165053693E-2</v>
      </c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BJ798">
        <f t="shared" si="85"/>
        <v>3.2749893736479122E-4</v>
      </c>
      <c r="BK798">
        <f t="shared" si="87"/>
        <v>1.2423034868296414E-4</v>
      </c>
      <c r="BO798">
        <f t="shared" si="88"/>
        <v>1.4675181048340641E-4</v>
      </c>
      <c r="BP798">
        <f t="shared" si="86"/>
        <v>2.3786194637196676</v>
      </c>
    </row>
    <row r="799" spans="1:68" x14ac:dyDescent="0.15">
      <c r="A799" s="5">
        <v>44727</v>
      </c>
      <c r="B799" s="1"/>
      <c r="C799">
        <v>107.76</v>
      </c>
      <c r="D799">
        <v>77.38</v>
      </c>
      <c r="E799">
        <v>76.828019999999995</v>
      </c>
      <c r="G799" s="3">
        <v>7.9004830997746398E-3</v>
      </c>
      <c r="I799" s="15">
        <f t="shared" si="89"/>
        <v>-7.9175105873688038E-3</v>
      </c>
      <c r="J799" s="15">
        <f t="shared" si="90"/>
        <v>1.8157894736842047E-2</v>
      </c>
      <c r="K799" s="15">
        <f t="shared" si="91"/>
        <v>4.2121006036537744E-3</v>
      </c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BJ799">
        <f t="shared" si="85"/>
        <v>6.2417633209824698E-5</v>
      </c>
      <c r="BK799">
        <f t="shared" si="87"/>
        <v>1.3642646400387377E-4</v>
      </c>
      <c r="BO799">
        <f t="shared" si="88"/>
        <v>1.6769129748106163E-4</v>
      </c>
      <c r="BP799">
        <f t="shared" si="86"/>
        <v>3.2416456156121369</v>
      </c>
    </row>
    <row r="800" spans="1:68" x14ac:dyDescent="0.15">
      <c r="A800" s="5">
        <v>44728</v>
      </c>
      <c r="B800" s="1"/>
      <c r="C800">
        <v>106.5</v>
      </c>
      <c r="D800">
        <v>73.739999999999995</v>
      </c>
      <c r="E800">
        <v>75.074600000000004</v>
      </c>
      <c r="G800" s="3">
        <v>-2.8582383829061003E-2</v>
      </c>
      <c r="I800" s="15">
        <f t="shared" si="89"/>
        <v>-1.1692650334075771E-2</v>
      </c>
      <c r="J800" s="15">
        <f t="shared" si="90"/>
        <v>-4.7040578960971836E-2</v>
      </c>
      <c r="K800" s="15">
        <f t="shared" si="91"/>
        <v>-2.2822662877424037E-2</v>
      </c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BJ800">
        <f t="shared" si="85"/>
        <v>8.1695266535176795E-4</v>
      </c>
      <c r="BK800">
        <f t="shared" si="87"/>
        <v>1.3198593415623082E-4</v>
      </c>
      <c r="BO800">
        <f t="shared" si="88"/>
        <v>1.4636285817668938E-4</v>
      </c>
      <c r="BP800">
        <f t="shared" si="86"/>
        <v>0.70492538660213677</v>
      </c>
    </row>
    <row r="801" spans="1:68" x14ac:dyDescent="0.15">
      <c r="A801" s="5">
        <v>44729</v>
      </c>
      <c r="B801" s="1"/>
      <c r="C801">
        <v>106.6</v>
      </c>
      <c r="D801">
        <v>73.84</v>
      </c>
      <c r="E801">
        <v>74.856610000000003</v>
      </c>
      <c r="G801" s="3">
        <v>-2.2968949440251799E-3</v>
      </c>
      <c r="I801" s="15">
        <f t="shared" si="89"/>
        <v>9.3896713615018138E-4</v>
      </c>
      <c r="J801" s="15">
        <f t="shared" si="90"/>
        <v>1.3561160835368665E-3</v>
      </c>
      <c r="K801" s="15">
        <f t="shared" si="91"/>
        <v>-2.9036451742666673E-3</v>
      </c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BJ801">
        <f t="shared" si="85"/>
        <v>5.2757263838884341E-6</v>
      </c>
      <c r="BK801">
        <f t="shared" si="87"/>
        <v>1.7308393802796307E-4</v>
      </c>
      <c r="BO801">
        <f t="shared" si="88"/>
        <v>2.3709430388277412E-4</v>
      </c>
      <c r="BP801">
        <f t="shared" si="86"/>
        <v>3.2434619640331555</v>
      </c>
    </row>
    <row r="802" spans="1:68" x14ac:dyDescent="0.15">
      <c r="A802" s="5">
        <v>44733</v>
      </c>
      <c r="B802" s="1"/>
      <c r="C802">
        <v>107.36</v>
      </c>
      <c r="D802">
        <v>74.239999999999995</v>
      </c>
      <c r="E802">
        <v>74.723915000000005</v>
      </c>
      <c r="G802" s="3">
        <v>2.72925493147413E-3</v>
      </c>
      <c r="I802" s="15">
        <f t="shared" si="89"/>
        <v>7.1294559099437634E-3</v>
      </c>
      <c r="J802" s="15">
        <f t="shared" si="90"/>
        <v>5.4171180931743158E-3</v>
      </c>
      <c r="K802" s="15">
        <f t="shared" si="91"/>
        <v>-1.7726557481029159E-3</v>
      </c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BJ802">
        <f t="shared" si="85"/>
        <v>7.448832480975858E-6</v>
      </c>
      <c r="BK802">
        <f t="shared" si="87"/>
        <v>1.6301544532931858E-4</v>
      </c>
      <c r="BO802">
        <f t="shared" si="88"/>
        <v>1.9266294521803426E-4</v>
      </c>
      <c r="BP802">
        <f t="shared" si="86"/>
        <v>3.3390143600739393</v>
      </c>
    </row>
    <row r="803" spans="1:68" x14ac:dyDescent="0.15">
      <c r="A803" s="5">
        <v>44734</v>
      </c>
      <c r="B803" s="1"/>
      <c r="C803">
        <v>109.32</v>
      </c>
      <c r="D803">
        <v>74.02</v>
      </c>
      <c r="E803">
        <v>74.477490000000003</v>
      </c>
      <c r="G803" s="3">
        <v>4.6279042738184197E-3</v>
      </c>
      <c r="I803" s="15">
        <f t="shared" si="89"/>
        <v>1.8256333830104263E-2</v>
      </c>
      <c r="J803" s="15">
        <f t="shared" si="90"/>
        <v>-2.9633620689655023E-3</v>
      </c>
      <c r="K803" s="15">
        <f t="shared" si="91"/>
        <v>-3.2978063314803847E-3</v>
      </c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BJ803">
        <f t="shared" si="85"/>
        <v>2.1417497967626794E-5</v>
      </c>
      <c r="BK803">
        <f t="shared" si="87"/>
        <v>1.5368144855841802E-4</v>
      </c>
      <c r="BO803">
        <f t="shared" si="88"/>
        <v>1.5812142276015536E-4</v>
      </c>
      <c r="BP803">
        <f t="shared" si="86"/>
        <v>3.389410281733483</v>
      </c>
    </row>
    <row r="804" spans="1:68" x14ac:dyDescent="0.15">
      <c r="A804" s="5">
        <v>44735</v>
      </c>
      <c r="B804" s="1"/>
      <c r="C804">
        <v>108.48</v>
      </c>
      <c r="D804">
        <v>72.959999999999994</v>
      </c>
      <c r="E804">
        <v>74.145769999999999</v>
      </c>
      <c r="G804" s="3">
        <v>-7.1263937352706794E-3</v>
      </c>
      <c r="I804" s="15">
        <f t="shared" si="89"/>
        <v>-7.6838638858396386E-3</v>
      </c>
      <c r="J804" s="15">
        <f t="shared" si="90"/>
        <v>-1.4320453931369931E-2</v>
      </c>
      <c r="K804" s="15">
        <f t="shared" si="91"/>
        <v>-4.4539632041843006E-3</v>
      </c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BJ804">
        <f t="shared" si="85"/>
        <v>5.0785487670105188E-5</v>
      </c>
      <c r="BK804">
        <f t="shared" si="87"/>
        <v>1.4574561152297055E-4</v>
      </c>
      <c r="BO804">
        <f t="shared" si="88"/>
        <v>1.3301720414223524E-4</v>
      </c>
      <c r="BP804">
        <f t="shared" si="86"/>
        <v>3.3526793161763258</v>
      </c>
    </row>
    <row r="805" spans="1:68" x14ac:dyDescent="0.15">
      <c r="A805" s="5">
        <v>44736</v>
      </c>
      <c r="B805" s="1"/>
      <c r="C805">
        <v>111.64</v>
      </c>
      <c r="D805">
        <v>75.12</v>
      </c>
      <c r="E805">
        <v>76.392039999999994</v>
      </c>
      <c r="G805" s="3">
        <v>3.5377447906093901E-2</v>
      </c>
      <c r="I805" s="15">
        <f t="shared" si="89"/>
        <v>2.912979351032445E-2</v>
      </c>
      <c r="J805" s="15">
        <f t="shared" si="90"/>
        <v>2.9605263157894888E-2</v>
      </c>
      <c r="K805" s="15">
        <f t="shared" si="91"/>
        <v>3.0295322309013658E-2</v>
      </c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BJ805">
        <f t="shared" si="85"/>
        <v>1.2515638203483878E-3</v>
      </c>
      <c r="BK805">
        <f t="shared" si="87"/>
        <v>1.4004800409179863E-4</v>
      </c>
      <c r="BO805">
        <f t="shared" si="88"/>
        <v>1.1750858142771468E-4</v>
      </c>
      <c r="BP805">
        <f t="shared" si="86"/>
        <v>-1.7198534939618733</v>
      </c>
    </row>
    <row r="806" spans="1:68" x14ac:dyDescent="0.15">
      <c r="A806" s="5">
        <v>44739</v>
      </c>
      <c r="B806" s="1"/>
      <c r="C806">
        <v>112.58</v>
      </c>
      <c r="D806">
        <v>74.58</v>
      </c>
      <c r="E806">
        <v>77.756860000000003</v>
      </c>
      <c r="G806" s="3">
        <v>7.7336780422541098E-3</v>
      </c>
      <c r="I806" s="15">
        <f t="shared" si="89"/>
        <v>8.4199211752059994E-3</v>
      </c>
      <c r="J806" s="15">
        <f t="shared" si="90"/>
        <v>-7.1884984025559935E-3</v>
      </c>
      <c r="K806" s="15">
        <f t="shared" si="91"/>
        <v>1.7865997556813628E-2</v>
      </c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BJ806">
        <f t="shared" si="85"/>
        <v>5.9809776061243361E-5</v>
      </c>
      <c r="BK806">
        <f t="shared" si="87"/>
        <v>2.0673895306719405E-4</v>
      </c>
      <c r="BO806">
        <f t="shared" si="88"/>
        <v>2.7635902311439972E-4</v>
      </c>
      <c r="BP806">
        <f t="shared" si="86"/>
        <v>3.0697560486392428</v>
      </c>
    </row>
    <row r="807" spans="1:68" x14ac:dyDescent="0.15">
      <c r="A807" s="5">
        <v>44740</v>
      </c>
      <c r="B807" s="1"/>
      <c r="C807">
        <v>110.64</v>
      </c>
      <c r="D807">
        <v>75.3</v>
      </c>
      <c r="E807">
        <v>76.903840000000002</v>
      </c>
      <c r="G807" s="3">
        <v>-8.9165589020240299E-3</v>
      </c>
      <c r="I807" s="15">
        <f t="shared" si="89"/>
        <v>-1.7232190442352087E-2</v>
      </c>
      <c r="J807" s="15">
        <f t="shared" si="90"/>
        <v>9.6540627514078697E-3</v>
      </c>
      <c r="K807" s="15">
        <f t="shared" si="91"/>
        <v>-1.0970350397379739E-2</v>
      </c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BJ807">
        <f t="shared" si="85"/>
        <v>7.9505022653263968E-5</v>
      </c>
      <c r="BK807">
        <f t="shared" si="87"/>
        <v>1.9792320244683699E-4</v>
      </c>
      <c r="BO807">
        <f t="shared" si="88"/>
        <v>2.3122810897104141E-4</v>
      </c>
      <c r="BP807">
        <f t="shared" si="86"/>
        <v>3.09519536556637</v>
      </c>
    </row>
    <row r="808" spans="1:68" x14ac:dyDescent="0.15">
      <c r="A808" s="5">
        <v>44741</v>
      </c>
      <c r="B808" s="1"/>
      <c r="C808">
        <v>112.4</v>
      </c>
      <c r="D808">
        <v>74.5</v>
      </c>
      <c r="E808">
        <v>76.951229999999995</v>
      </c>
      <c r="G808" s="3">
        <v>2.0213702102189703E-4</v>
      </c>
      <c r="I808" s="15">
        <f t="shared" si="89"/>
        <v>1.5907447577729619E-2</v>
      </c>
      <c r="J808" s="15">
        <f t="shared" si="90"/>
        <v>-1.062416998671975E-2</v>
      </c>
      <c r="K808" s="15">
        <f t="shared" si="91"/>
        <v>6.1622410532416764E-4</v>
      </c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BJ808">
        <f t="shared" si="85"/>
        <v>4.0859375267606837E-8</v>
      </c>
      <c r="BK808">
        <f t="shared" si="87"/>
        <v>1.908181116592226E-4</v>
      </c>
      <c r="BO808">
        <f t="shared" si="88"/>
        <v>1.9863337657058933E-4</v>
      </c>
      <c r="BP808">
        <f t="shared" si="86"/>
        <v>3.3429834961655156</v>
      </c>
    </row>
    <row r="809" spans="1:68" x14ac:dyDescent="0.15">
      <c r="A809" s="5">
        <v>44742</v>
      </c>
      <c r="B809" s="1"/>
      <c r="C809">
        <v>111.44</v>
      </c>
      <c r="D809">
        <v>73.98</v>
      </c>
      <c r="E809">
        <v>76.628979999999999</v>
      </c>
      <c r="G809" s="3">
        <v>-6.5252678714863201E-3</v>
      </c>
      <c r="I809" s="15">
        <f t="shared" si="89"/>
        <v>-8.5409252669039846E-3</v>
      </c>
      <c r="J809" s="15">
        <f t="shared" si="90"/>
        <v>-6.9798657718120275E-3</v>
      </c>
      <c r="K809" s="15">
        <f t="shared" si="91"/>
        <v>-4.1877173373316692E-3</v>
      </c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BJ809">
        <f t="shared" si="85"/>
        <v>4.2579120794651612E-5</v>
      </c>
      <c r="BK809">
        <f t="shared" si="87"/>
        <v>1.7937147652218529E-4</v>
      </c>
      <c r="BO809">
        <f t="shared" si="88"/>
        <v>1.6174945772533047E-4</v>
      </c>
      <c r="BP809">
        <f t="shared" si="86"/>
        <v>3.3141718570835406</v>
      </c>
    </row>
    <row r="810" spans="1:68" x14ac:dyDescent="0.15">
      <c r="A810" s="5">
        <v>44743</v>
      </c>
      <c r="B810" s="1"/>
      <c r="C810">
        <v>112.76</v>
      </c>
      <c r="D810">
        <v>73.94</v>
      </c>
      <c r="E810">
        <v>76.136129999999994</v>
      </c>
      <c r="G810" s="3">
        <v>2.7176272321516298E-3</v>
      </c>
      <c r="I810" s="15">
        <f t="shared" si="89"/>
        <v>1.1844938980617439E-2</v>
      </c>
      <c r="J810" s="15">
        <f t="shared" si="90"/>
        <v>-5.4068667207361786E-4</v>
      </c>
      <c r="K810" s="15">
        <f t="shared" si="91"/>
        <v>-6.4316398313014767E-3</v>
      </c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BJ810">
        <f t="shared" si="85"/>
        <v>7.3854977729321282E-6</v>
      </c>
      <c r="BK810">
        <f t="shared" si="87"/>
        <v>1.7116393517853325E-4</v>
      </c>
      <c r="BO810">
        <f t="shared" si="88"/>
        <v>1.3887680024222539E-4</v>
      </c>
      <c r="BP810">
        <f t="shared" si="86"/>
        <v>3.4954330339803756</v>
      </c>
    </row>
    <row r="811" spans="1:68" x14ac:dyDescent="0.15">
      <c r="A811" s="5">
        <v>44747</v>
      </c>
      <c r="B811" s="1"/>
      <c r="C811">
        <v>112.84</v>
      </c>
      <c r="D811">
        <v>71.599999999999994</v>
      </c>
      <c r="E811">
        <v>76.685850000000002</v>
      </c>
      <c r="G811" s="3">
        <v>-6.3039572247131003E-3</v>
      </c>
      <c r="I811" s="15">
        <f t="shared" si="89"/>
        <v>7.0947144377437297E-4</v>
      </c>
      <c r="J811" s="15">
        <f t="shared" si="90"/>
        <v>-3.164728157965923E-2</v>
      </c>
      <c r="K811" s="15">
        <f t="shared" si="91"/>
        <v>7.2202251414671039E-3</v>
      </c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BJ811">
        <f t="shared" si="85"/>
        <v>3.9739876691012497E-5</v>
      </c>
      <c r="BK811">
        <f t="shared" si="87"/>
        <v>1.6133722893419718E-4</v>
      </c>
      <c r="BO811">
        <f t="shared" si="88"/>
        <v>1.1592368974134905E-4</v>
      </c>
      <c r="BP811">
        <f t="shared" si="86"/>
        <v>3.4409453515548512</v>
      </c>
    </row>
    <row r="812" spans="1:68" x14ac:dyDescent="0.15">
      <c r="A812" s="5">
        <v>44748</v>
      </c>
      <c r="B812" s="1"/>
      <c r="C812">
        <v>114.96</v>
      </c>
      <c r="D812">
        <v>71.42</v>
      </c>
      <c r="E812">
        <v>76.979669999999999</v>
      </c>
      <c r="G812" s="3">
        <v>1.2903865594772801E-2</v>
      </c>
      <c r="I812" s="15">
        <f t="shared" si="89"/>
        <v>1.8787663948954186E-2</v>
      </c>
      <c r="J812" s="15">
        <f t="shared" si="90"/>
        <v>-2.5139664804468245E-3</v>
      </c>
      <c r="K812" s="15">
        <f t="shared" si="91"/>
        <v>3.8314760806589044E-3</v>
      </c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BJ812">
        <f t="shared" si="85"/>
        <v>1.6650974728796121E-4</v>
      </c>
      <c r="BK812">
        <f t="shared" si="87"/>
        <v>1.5404138779960609E-4</v>
      </c>
      <c r="BO812">
        <f t="shared" si="88"/>
        <v>1.0252767278727868E-4</v>
      </c>
      <c r="BP812">
        <f t="shared" si="86"/>
        <v>2.8617269346028968</v>
      </c>
    </row>
    <row r="813" spans="1:68" x14ac:dyDescent="0.15">
      <c r="A813" s="5">
        <v>44749</v>
      </c>
      <c r="B813" s="1"/>
      <c r="C813">
        <v>114.38</v>
      </c>
      <c r="D813">
        <v>73.64</v>
      </c>
      <c r="E813">
        <v>77.823204000000004</v>
      </c>
      <c r="G813" s="3">
        <v>9.2596514552183394E-3</v>
      </c>
      <c r="I813" s="15">
        <f t="shared" si="89"/>
        <v>-5.0452331245650515E-3</v>
      </c>
      <c r="J813" s="15">
        <f t="shared" si="90"/>
        <v>3.1083730047605698E-2</v>
      </c>
      <c r="K813" s="15">
        <f t="shared" si="91"/>
        <v>1.0957880177974333E-2</v>
      </c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BJ813">
        <f t="shared" si="85"/>
        <v>8.5741145072127113E-5</v>
      </c>
      <c r="BK813">
        <f t="shared" si="87"/>
        <v>1.5478948936890739E-4</v>
      </c>
      <c r="BO813">
        <f t="shared" si="88"/>
        <v>1.1007470973437708E-4</v>
      </c>
      <c r="BP813">
        <f t="shared" si="86"/>
        <v>3.248769129463978</v>
      </c>
    </row>
    <row r="814" spans="1:68" x14ac:dyDescent="0.15">
      <c r="A814" s="5">
        <v>44750</v>
      </c>
      <c r="B814" s="1"/>
      <c r="C814">
        <v>114.64</v>
      </c>
      <c r="D814">
        <v>74</v>
      </c>
      <c r="E814">
        <v>78.439269999999993</v>
      </c>
      <c r="G814" s="3">
        <v>6.7675097253989602E-3</v>
      </c>
      <c r="I814" s="15">
        <f t="shared" si="89"/>
        <v>2.2731246721455246E-3</v>
      </c>
      <c r="J814" s="15">
        <f t="shared" si="90"/>
        <v>4.8886474741987969E-3</v>
      </c>
      <c r="K814" s="15">
        <f t="shared" si="91"/>
        <v>7.9162250888563952E-3</v>
      </c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BJ814">
        <f t="shared" si="85"/>
        <v>4.5799187883369507E-5</v>
      </c>
      <c r="BK814">
        <f t="shared" si="87"/>
        <v>1.5064658871110056E-4</v>
      </c>
      <c r="BO814">
        <f t="shared" si="88"/>
        <v>1.0449136608497426E-4</v>
      </c>
      <c r="BP814">
        <f t="shared" si="86"/>
        <v>3.4451115454433903</v>
      </c>
    </row>
    <row r="815" spans="1:68" x14ac:dyDescent="0.15">
      <c r="A815" s="5">
        <v>44753</v>
      </c>
      <c r="B815" s="1"/>
      <c r="C815">
        <v>115.18</v>
      </c>
      <c r="D815">
        <v>72.72</v>
      </c>
      <c r="E815">
        <v>78.666730000000001</v>
      </c>
      <c r="G815" s="3">
        <v>1.1012922350486199E-3</v>
      </c>
      <c r="I815" s="15">
        <f t="shared" si="89"/>
        <v>4.7103977669225947E-3</v>
      </c>
      <c r="J815" s="15">
        <f t="shared" si="90"/>
        <v>-1.7297297297297311E-2</v>
      </c>
      <c r="K815" s="15">
        <f t="shared" si="91"/>
        <v>2.8998230095717082E-3</v>
      </c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BJ815">
        <f t="shared" si="85"/>
        <v>1.2128445869783847E-6</v>
      </c>
      <c r="BK815">
        <f t="shared" si="87"/>
        <v>1.4435574466143669E-4</v>
      </c>
      <c r="BO815">
        <f t="shared" si="88"/>
        <v>9.4423368502681712E-5</v>
      </c>
      <c r="BP815">
        <f t="shared" si="86"/>
        <v>3.7085000755410005</v>
      </c>
    </row>
    <row r="816" spans="1:68" x14ac:dyDescent="0.15">
      <c r="A816" s="5">
        <v>44754</v>
      </c>
      <c r="B816" s="1"/>
      <c r="C816">
        <v>115.64</v>
      </c>
      <c r="D816">
        <v>73.900000000000006</v>
      </c>
      <c r="E816">
        <v>78.590909999999994</v>
      </c>
      <c r="G816" s="3">
        <v>3.86949230136868E-3</v>
      </c>
      <c r="I816" s="15">
        <f t="shared" si="89"/>
        <v>3.9937489147420886E-3</v>
      </c>
      <c r="J816" s="15">
        <f t="shared" si="90"/>
        <v>1.6226622662266321E-2</v>
      </c>
      <c r="K816" s="15">
        <f t="shared" si="91"/>
        <v>-9.6381278337115731E-4</v>
      </c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BJ816">
        <f t="shared" si="85"/>
        <v>1.4972970670351483E-5</v>
      </c>
      <c r="BK816">
        <f t="shared" si="87"/>
        <v>1.3576717065696918E-4</v>
      </c>
      <c r="BO816">
        <f t="shared" si="88"/>
        <v>8.0176249018285063E-5</v>
      </c>
      <c r="BP816">
        <f t="shared" si="86"/>
        <v>3.7033277334564052</v>
      </c>
    </row>
    <row r="817" spans="1:68" x14ac:dyDescent="0.15">
      <c r="A817" s="5">
        <v>44755</v>
      </c>
      <c r="B817" s="1"/>
      <c r="C817">
        <v>113.82</v>
      </c>
      <c r="D817">
        <v>72.819999999999993</v>
      </c>
      <c r="E817">
        <v>77.207139999999995</v>
      </c>
      <c r="G817" s="3">
        <v>-1.4903140445889401E-2</v>
      </c>
      <c r="I817" s="15">
        <f t="shared" si="89"/>
        <v>-1.5738498789346311E-2</v>
      </c>
      <c r="J817" s="15">
        <f t="shared" si="90"/>
        <v>-1.4614343707713294E-2</v>
      </c>
      <c r="K817" s="15">
        <f t="shared" si="91"/>
        <v>-1.7607252543582946E-2</v>
      </c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BJ817">
        <f t="shared" si="85"/>
        <v>2.2210359514990451E-4</v>
      </c>
      <c r="BK817">
        <f t="shared" si="87"/>
        <v>1.2851951865777212E-4</v>
      </c>
      <c r="BO817">
        <f t="shared" si="88"/>
        <v>7.0960830016973648E-5</v>
      </c>
      <c r="BP817">
        <f t="shared" si="86"/>
        <v>2.2927795234130963</v>
      </c>
    </row>
    <row r="818" spans="1:68" x14ac:dyDescent="0.15">
      <c r="A818" s="5">
        <v>44756</v>
      </c>
      <c r="B818" s="1"/>
      <c r="C818">
        <v>113.06</v>
      </c>
      <c r="D818">
        <v>71.34</v>
      </c>
      <c r="E818">
        <v>76.790109999999999</v>
      </c>
      <c r="G818" s="3">
        <v>-9.6587563726783197E-3</v>
      </c>
      <c r="I818" s="15">
        <f t="shared" si="89"/>
        <v>-6.6772096292390696E-3</v>
      </c>
      <c r="J818" s="15">
        <f t="shared" si="90"/>
        <v>-2.032408678934345E-2</v>
      </c>
      <c r="K818" s="15">
        <f t="shared" si="91"/>
        <v>-5.4014434416298409E-3</v>
      </c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BJ818">
        <f t="shared" si="85"/>
        <v>9.3291574666754055E-5</v>
      </c>
      <c r="BK818">
        <f t="shared" si="87"/>
        <v>1.3413456324730006E-4</v>
      </c>
      <c r="BO818">
        <f t="shared" si="88"/>
        <v>9.3232033189927563E-5</v>
      </c>
      <c r="BP818">
        <f t="shared" si="86"/>
        <v>3.2209517438080137</v>
      </c>
    </row>
    <row r="819" spans="1:68" x14ac:dyDescent="0.15">
      <c r="A819" s="5">
        <v>44757</v>
      </c>
      <c r="B819" s="1"/>
      <c r="C819">
        <v>115.22</v>
      </c>
      <c r="D819">
        <v>71.92</v>
      </c>
      <c r="E819">
        <v>78.306579999999997</v>
      </c>
      <c r="G819" s="3">
        <v>1.6904605484265801E-2</v>
      </c>
      <c r="I819" s="15">
        <f t="shared" si="89"/>
        <v>1.9104900053069137E-2</v>
      </c>
      <c r="J819" s="15">
        <f t="shared" si="90"/>
        <v>8.1300813008129847E-3</v>
      </c>
      <c r="K819" s="15">
        <f t="shared" si="91"/>
        <v>1.9748246225978816E-2</v>
      </c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BJ819">
        <f t="shared" si="85"/>
        <v>2.8576568657866941E-4</v>
      </c>
      <c r="BK819">
        <f t="shared" si="87"/>
        <v>1.316839839324673E-4</v>
      </c>
      <c r="BO819">
        <f t="shared" si="88"/>
        <v>9.2355660955736627E-5</v>
      </c>
      <c r="BP819">
        <f t="shared" si="86"/>
        <v>2.17889973812244</v>
      </c>
    </row>
    <row r="820" spans="1:68" x14ac:dyDescent="0.15">
      <c r="A820" s="5">
        <v>44760</v>
      </c>
      <c r="B820" s="1"/>
      <c r="C820">
        <v>114.94</v>
      </c>
      <c r="D820">
        <v>72.44</v>
      </c>
      <c r="E820">
        <v>77.823204000000004</v>
      </c>
      <c r="G820" s="3">
        <v>2.5582003602153602E-3</v>
      </c>
      <c r="I820" s="15">
        <f t="shared" si="89"/>
        <v>-2.4301336573511641E-3</v>
      </c>
      <c r="J820" s="15">
        <f t="shared" si="90"/>
        <v>7.2302558398219686E-3</v>
      </c>
      <c r="K820" s="15">
        <f t="shared" si="91"/>
        <v>-6.1728656774436164E-3</v>
      </c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BJ820">
        <f t="shared" si="85"/>
        <v>6.5443890830059985E-6</v>
      </c>
      <c r="BK820">
        <f t="shared" si="87"/>
        <v>1.4092888609123943E-4</v>
      </c>
      <c r="BO820">
        <f t="shared" si="88"/>
        <v>1.1908045249679075E-4</v>
      </c>
      <c r="BP820">
        <f t="shared" si="86"/>
        <v>3.5714382222840042</v>
      </c>
    </row>
    <row r="821" spans="1:68" x14ac:dyDescent="0.15">
      <c r="A821" s="5">
        <v>44761</v>
      </c>
      <c r="B821" s="1"/>
      <c r="C821">
        <v>115.28</v>
      </c>
      <c r="D821">
        <v>72.959999999999994</v>
      </c>
      <c r="E821">
        <v>78.960549999999998</v>
      </c>
      <c r="G821" s="3">
        <v>1.0163575274876699E-2</v>
      </c>
      <c r="I821" s="15">
        <f t="shared" si="89"/>
        <v>2.9580650774317331E-3</v>
      </c>
      <c r="J821" s="15">
        <f t="shared" si="90"/>
        <v>7.1783545002760355E-3</v>
      </c>
      <c r="K821" s="15">
        <f t="shared" si="91"/>
        <v>1.4614484389514388E-2</v>
      </c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BJ821">
        <f t="shared" si="85"/>
        <v>1.0329826236808497E-4</v>
      </c>
      <c r="BK821">
        <f t="shared" si="87"/>
        <v>1.3286581627074544E-4</v>
      </c>
      <c r="BO821">
        <f t="shared" si="88"/>
        <v>1.0027606301672508E-4</v>
      </c>
      <c r="BP821">
        <f t="shared" si="86"/>
        <v>3.1697838437419215</v>
      </c>
    </row>
    <row r="822" spans="1:68" x14ac:dyDescent="0.15">
      <c r="A822" s="5">
        <v>44762</v>
      </c>
      <c r="B822" s="1"/>
      <c r="C822">
        <v>113.26</v>
      </c>
      <c r="D822">
        <v>72.22</v>
      </c>
      <c r="E822">
        <v>77.984319999999997</v>
      </c>
      <c r="G822" s="3">
        <v>-5.6275188863024097E-3</v>
      </c>
      <c r="I822" s="15">
        <f t="shared" si="89"/>
        <v>-1.7522553782095732E-2</v>
      </c>
      <c r="J822" s="15">
        <f t="shared" si="90"/>
        <v>-1.0142543859649054E-2</v>
      </c>
      <c r="K822" s="15">
        <f t="shared" si="91"/>
        <v>-1.2363515704994469E-2</v>
      </c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BJ822">
        <f t="shared" si="85"/>
        <v>3.1668968815690313E-5</v>
      </c>
      <c r="BK822">
        <f t="shared" si="87"/>
        <v>1.310917630365858E-4</v>
      </c>
      <c r="BO822">
        <f t="shared" si="88"/>
        <v>9.9306003104446131E-5</v>
      </c>
      <c r="BP822">
        <f t="shared" si="86"/>
        <v>3.5302623019866157</v>
      </c>
    </row>
    <row r="823" spans="1:68" x14ac:dyDescent="0.15">
      <c r="A823" s="5">
        <v>44763</v>
      </c>
      <c r="B823" s="1"/>
      <c r="C823">
        <v>115.02</v>
      </c>
      <c r="D823">
        <v>71.540000000000006</v>
      </c>
      <c r="E823">
        <v>78.638306</v>
      </c>
      <c r="G823" s="3">
        <v>6.8038747888492504E-3</v>
      </c>
      <c r="I823" s="15">
        <f t="shared" si="89"/>
        <v>1.5539466713755879E-2</v>
      </c>
      <c r="J823" s="15">
        <f t="shared" si="90"/>
        <v>-9.4156743284407735E-3</v>
      </c>
      <c r="K823" s="15">
        <f t="shared" si="91"/>
        <v>8.3861217229310118E-3</v>
      </c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BJ823">
        <f t="shared" si="85"/>
        <v>4.6292712142338429E-5</v>
      </c>
      <c r="BK823">
        <f t="shared" si="87"/>
        <v>1.2512639538333207E-4</v>
      </c>
      <c r="BO823">
        <f t="shared" si="88"/>
        <v>8.8343651144117159E-5</v>
      </c>
      <c r="BP823">
        <f t="shared" si="86"/>
        <v>3.4861959615913869</v>
      </c>
    </row>
    <row r="824" spans="1:68" x14ac:dyDescent="0.15">
      <c r="A824" s="5">
        <v>44764</v>
      </c>
      <c r="B824" s="1"/>
      <c r="C824">
        <v>116.24</v>
      </c>
      <c r="D824">
        <v>71.540000000000006</v>
      </c>
      <c r="E824">
        <v>78.619349999999997</v>
      </c>
      <c r="G824" s="3">
        <v>-3.4681942642972303E-3</v>
      </c>
      <c r="I824" s="15">
        <f t="shared" si="89"/>
        <v>1.0606850982437827E-2</v>
      </c>
      <c r="J824" s="15">
        <f t="shared" si="90"/>
        <v>0</v>
      </c>
      <c r="K824" s="15">
        <f t="shared" si="91"/>
        <v>-2.4105300538903852E-4</v>
      </c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BJ824">
        <f t="shared" si="85"/>
        <v>1.2028371454904207E-5</v>
      </c>
      <c r="BK824">
        <f t="shared" si="87"/>
        <v>1.2039637438887245E-4</v>
      </c>
      <c r="BO824">
        <f t="shared" si="88"/>
        <v>8.1827730745054353E-5</v>
      </c>
      <c r="BP824">
        <f t="shared" si="86"/>
        <v>3.7130105128215614</v>
      </c>
    </row>
    <row r="825" spans="1:68" x14ac:dyDescent="0.15">
      <c r="A825" s="5">
        <v>44767</v>
      </c>
      <c r="B825" s="1"/>
      <c r="C825">
        <v>116.88</v>
      </c>
      <c r="D825">
        <v>72.52</v>
      </c>
      <c r="E825">
        <v>78.657259999999994</v>
      </c>
      <c r="G825" s="3">
        <v>2.9945834182421001E-3</v>
      </c>
      <c r="I825" s="15">
        <f t="shared" si="89"/>
        <v>5.5058499655884427E-3</v>
      </c>
      <c r="J825" s="15">
        <f t="shared" si="90"/>
        <v>1.3698630136986157E-2</v>
      </c>
      <c r="K825" s="15">
        <f t="shared" si="91"/>
        <v>4.8219681287108783E-4</v>
      </c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BJ825">
        <f t="shared" si="85"/>
        <v>8.9675298488105402E-6</v>
      </c>
      <c r="BK825">
        <f t="shared" si="87"/>
        <v>1.1389429421283436E-4</v>
      </c>
      <c r="BO825">
        <f t="shared" si="88"/>
        <v>7.1836846927282274E-5</v>
      </c>
      <c r="BP825">
        <f t="shared" si="86"/>
        <v>3.7892020310595584</v>
      </c>
    </row>
    <row r="826" spans="1:68" x14ac:dyDescent="0.15">
      <c r="A826" s="5">
        <v>44768</v>
      </c>
      <c r="B826" s="1"/>
      <c r="C826">
        <v>117.28</v>
      </c>
      <c r="D826">
        <v>72.400000000000006</v>
      </c>
      <c r="E826">
        <v>79.500789999999995</v>
      </c>
      <c r="G826" s="3">
        <v>-2.4296043525465698E-3</v>
      </c>
      <c r="I826" s="15">
        <f t="shared" si="89"/>
        <v>3.4223134839151755E-3</v>
      </c>
      <c r="J826" s="15">
        <f t="shared" si="90"/>
        <v>-1.6547159404300929E-3</v>
      </c>
      <c r="K826" s="15">
        <f t="shared" si="91"/>
        <v>1.0724121333491673E-2</v>
      </c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BJ826">
        <f t="shared" si="85"/>
        <v>5.9029773099132369E-6</v>
      </c>
      <c r="BK826">
        <f t="shared" si="87"/>
        <v>1.0759868835099291E-4</v>
      </c>
      <c r="BO826">
        <f t="shared" si="88"/>
        <v>6.3564283637515645E-5</v>
      </c>
      <c r="BP826">
        <f t="shared" si="86"/>
        <v>3.8663577483408575</v>
      </c>
    </row>
    <row r="827" spans="1:68" x14ac:dyDescent="0.15">
      <c r="A827" s="5">
        <v>44769</v>
      </c>
      <c r="B827" s="1"/>
      <c r="C827">
        <v>117.46</v>
      </c>
      <c r="D827">
        <v>72.66</v>
      </c>
      <c r="E827">
        <v>78.581435999999997</v>
      </c>
      <c r="G827" s="3">
        <v>-4.1042594066187299E-3</v>
      </c>
      <c r="I827" s="15">
        <f t="shared" si="89"/>
        <v>1.5347885402455031E-3</v>
      </c>
      <c r="J827" s="15">
        <f t="shared" si="90"/>
        <v>3.591160220994349E-3</v>
      </c>
      <c r="K827" s="15">
        <f t="shared" si="91"/>
        <v>-1.1564086344299201E-2</v>
      </c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BJ827">
        <f t="shared" si="85"/>
        <v>1.6844945276818328E-5</v>
      </c>
      <c r="BK827">
        <f t="shared" si="87"/>
        <v>1.0149694568852813E-4</v>
      </c>
      <c r="BO827">
        <f t="shared" si="88"/>
        <v>5.6639006062515999E-5</v>
      </c>
      <c r="BP827">
        <f t="shared" si="86"/>
        <v>3.8217633383827474</v>
      </c>
    </row>
    <row r="828" spans="1:68" x14ac:dyDescent="0.15">
      <c r="A828" s="5">
        <v>44770</v>
      </c>
      <c r="B828" s="1"/>
      <c r="C828">
        <v>117</v>
      </c>
      <c r="D828">
        <v>71.66</v>
      </c>
      <c r="E828">
        <v>78.827860000000001</v>
      </c>
      <c r="G828" s="3">
        <v>6.5647644502211302E-3</v>
      </c>
      <c r="I828" s="15">
        <f t="shared" si="89"/>
        <v>-3.9162268006129215E-3</v>
      </c>
      <c r="J828" s="15">
        <f t="shared" si="90"/>
        <v>-1.3762730525736306E-2</v>
      </c>
      <c r="K828" s="15">
        <f t="shared" si="91"/>
        <v>3.1359060427453202E-3</v>
      </c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BJ828">
        <f t="shared" si="85"/>
        <v>4.3096132286887135E-5</v>
      </c>
      <c r="BK828">
        <f t="shared" si="87"/>
        <v>9.641782566382554E-5</v>
      </c>
      <c r="BO828">
        <f t="shared" si="88"/>
        <v>5.2765322160377667E-5</v>
      </c>
      <c r="BP828">
        <f t="shared" si="86"/>
        <v>3.597514121856991</v>
      </c>
    </row>
    <row r="829" spans="1:68" x14ac:dyDescent="0.15">
      <c r="A829" s="5">
        <v>44771</v>
      </c>
      <c r="B829" s="1"/>
      <c r="C829">
        <v>116.44</v>
      </c>
      <c r="D829">
        <v>71.3</v>
      </c>
      <c r="E829">
        <v>77.444084000000004</v>
      </c>
      <c r="G829" s="3">
        <v>1.4896109030837401E-3</v>
      </c>
      <c r="I829" s="15">
        <f t="shared" si="89"/>
        <v>-4.7863247863248054E-3</v>
      </c>
      <c r="J829" s="15">
        <f t="shared" si="90"/>
        <v>-5.0237231370359953E-3</v>
      </c>
      <c r="K829" s="15">
        <f t="shared" si="91"/>
        <v>-1.7554402720053514E-2</v>
      </c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BJ829">
        <f t="shared" si="85"/>
        <v>2.2189406425859557E-6</v>
      </c>
      <c r="BK829">
        <f t="shared" si="87"/>
        <v>9.3218524061209224E-5</v>
      </c>
      <c r="BO829">
        <f t="shared" si="88"/>
        <v>5.3465585566230328E-5</v>
      </c>
      <c r="BP829">
        <f t="shared" si="86"/>
        <v>3.9785465411550636</v>
      </c>
    </row>
    <row r="830" spans="1:68" x14ac:dyDescent="0.15">
      <c r="A830" s="5">
        <v>44775</v>
      </c>
      <c r="B830" s="1"/>
      <c r="C830">
        <v>117</v>
      </c>
      <c r="D830">
        <v>71.319999999999993</v>
      </c>
      <c r="E830">
        <v>77.472520000000003</v>
      </c>
      <c r="G830" s="3">
        <v>-2.4951921782794201E-3</v>
      </c>
      <c r="I830" s="15">
        <f t="shared" si="89"/>
        <v>4.8093438680865876E-3</v>
      </c>
      <c r="J830" s="15">
        <f t="shared" si="90"/>
        <v>2.8050490883584881E-4</v>
      </c>
      <c r="K830" s="15">
        <f t="shared" si="91"/>
        <v>3.6718104897462845E-4</v>
      </c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BJ830">
        <f t="shared" si="85"/>
        <v>6.2259840065467979E-6</v>
      </c>
      <c r="BK830">
        <f t="shared" si="87"/>
        <v>8.7758549056091834E-5</v>
      </c>
      <c r="BO830">
        <f t="shared" si="88"/>
        <v>4.8193119997616055E-5</v>
      </c>
      <c r="BP830">
        <f t="shared" si="86"/>
        <v>3.9866144932528722</v>
      </c>
    </row>
    <row r="831" spans="1:68" x14ac:dyDescent="0.15">
      <c r="A831" s="5">
        <v>44776</v>
      </c>
      <c r="B831" s="1"/>
      <c r="C831">
        <v>116.7</v>
      </c>
      <c r="D831">
        <v>72.52</v>
      </c>
      <c r="E831">
        <v>77.614684999999994</v>
      </c>
      <c r="G831" s="3">
        <v>5.4773343209864002E-3</v>
      </c>
      <c r="I831" s="15">
        <f t="shared" si="89"/>
        <v>-2.5641025641025398E-3</v>
      </c>
      <c r="J831" s="15">
        <f t="shared" si="90"/>
        <v>1.682557487380823E-2</v>
      </c>
      <c r="K831" s="15">
        <f t="shared" si="91"/>
        <v>1.8350377656489222E-3</v>
      </c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BJ831">
        <f t="shared" si="85"/>
        <v>3.0001191263855549E-5</v>
      </c>
      <c r="BK831">
        <f t="shared" si="87"/>
        <v>8.2866595153119132E-5</v>
      </c>
      <c r="BO831">
        <f t="shared" si="88"/>
        <v>4.4628193553847612E-5</v>
      </c>
      <c r="BP831">
        <f t="shared" si="86"/>
        <v>3.7535100980539893</v>
      </c>
    </row>
    <row r="832" spans="1:68" x14ac:dyDescent="0.15">
      <c r="A832" s="5">
        <v>44777</v>
      </c>
      <c r="B832" s="1"/>
      <c r="C832">
        <v>116.88</v>
      </c>
      <c r="D832">
        <v>72.88</v>
      </c>
      <c r="E832">
        <v>77.112359999999995</v>
      </c>
      <c r="G832" s="3">
        <v>2.11657566227274E-3</v>
      </c>
      <c r="I832" s="15">
        <f t="shared" si="89"/>
        <v>1.542416452442096E-3</v>
      </c>
      <c r="J832" s="15">
        <f t="shared" si="90"/>
        <v>4.9641478212906712E-3</v>
      </c>
      <c r="K832" s="15">
        <f t="shared" si="91"/>
        <v>-6.4720355432737898E-3</v>
      </c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BJ832">
        <f t="shared" si="85"/>
        <v>4.4798925341252884E-6</v>
      </c>
      <c r="BK832">
        <f t="shared" si="87"/>
        <v>7.9694670919763308E-5</v>
      </c>
      <c r="BO832">
        <f t="shared" si="88"/>
        <v>4.5218010266398279E-5</v>
      </c>
      <c r="BP832">
        <f t="shared" si="86"/>
        <v>4.0335324183012187</v>
      </c>
    </row>
    <row r="833" spans="1:68" x14ac:dyDescent="0.15">
      <c r="A833" s="5">
        <v>44778</v>
      </c>
      <c r="B833" s="1"/>
      <c r="C833">
        <v>115.5</v>
      </c>
      <c r="D833">
        <v>73.180000000000007</v>
      </c>
      <c r="E833">
        <v>77.766334999999998</v>
      </c>
      <c r="G833" s="3">
        <v>-7.1041662501476399E-3</v>
      </c>
      <c r="I833" s="15">
        <f t="shared" si="89"/>
        <v>-1.1806981519507148E-2</v>
      </c>
      <c r="J833" s="15">
        <f t="shared" si="90"/>
        <v>4.1163556531285863E-3</v>
      </c>
      <c r="K833" s="15">
        <f t="shared" si="91"/>
        <v>8.4808064491866501E-3</v>
      </c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BJ833">
        <f t="shared" si="85"/>
        <v>5.0469178109736779E-5</v>
      </c>
      <c r="BK833">
        <f t="shared" si="87"/>
        <v>7.5181784216625026E-5</v>
      </c>
      <c r="BO833">
        <f t="shared" si="88"/>
        <v>4.2045901819132949E-5</v>
      </c>
      <c r="BP833">
        <f t="shared" si="86"/>
        <v>3.5192681593442963</v>
      </c>
    </row>
    <row r="834" spans="1:68" x14ac:dyDescent="0.15">
      <c r="A834" s="5">
        <v>44781</v>
      </c>
      <c r="B834" s="1"/>
      <c r="C834">
        <v>115.5</v>
      </c>
      <c r="D834">
        <v>73.72</v>
      </c>
      <c r="E834">
        <v>77.984319999999997</v>
      </c>
      <c r="G834" s="3">
        <v>3.8880785888672996E-3</v>
      </c>
      <c r="I834" s="15">
        <f t="shared" si="89"/>
        <v>0</v>
      </c>
      <c r="J834" s="15">
        <f t="shared" si="90"/>
        <v>7.3790653183928943E-3</v>
      </c>
      <c r="K834" s="15">
        <f t="shared" si="91"/>
        <v>2.8030766783595853E-3</v>
      </c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BJ834">
        <f t="shared" ref="BJ834:BJ897" si="92">G834^2</f>
        <v>1.5117155113208332E-5</v>
      </c>
      <c r="BK834">
        <f t="shared" si="87"/>
        <v>7.3699027850211734E-5</v>
      </c>
      <c r="BO834">
        <f t="shared" si="88"/>
        <v>4.6107569876175056E-5</v>
      </c>
      <c r="BP834">
        <f t="shared" ref="BP834:BP897" si="93" xml:space="preserve"> -0.5 * (LN(2 * PI()) + LN(BO834) + (BJ834) / BO834)</f>
        <v>3.9093946259322077</v>
      </c>
    </row>
    <row r="835" spans="1:68" x14ac:dyDescent="0.15">
      <c r="A835" s="5">
        <v>44782</v>
      </c>
      <c r="B835" s="1"/>
      <c r="C835">
        <v>115.56</v>
      </c>
      <c r="D835">
        <v>74.180000000000007</v>
      </c>
      <c r="E835">
        <v>78.913160000000005</v>
      </c>
      <c r="G835" s="3">
        <v>-3.03025155442027E-3</v>
      </c>
      <c r="I835" s="15">
        <f t="shared" si="89"/>
        <v>5.1948051948053921E-4</v>
      </c>
      <c r="J835" s="15">
        <f t="shared" si="90"/>
        <v>6.2398263700489415E-3</v>
      </c>
      <c r="K835" s="15">
        <f t="shared" si="91"/>
        <v>1.1910599464097503E-2</v>
      </c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BJ835">
        <f t="shared" si="92"/>
        <v>9.182424483066462E-6</v>
      </c>
      <c r="BK835">
        <f t="shared" ref="BK835:BK898" si="94">$BM$2 * BK834 + (1 - $BM$2) * BJ834</f>
        <v>7.0184115485991529E-5</v>
      </c>
      <c r="BO835">
        <f t="shared" ref="BO835:BO898" si="95" xml:space="preserve"> $BR$2 + $BS$2 * BJ834 + $BT$2 * BO834</f>
        <v>4.4258614480244196E-5</v>
      </c>
      <c r="BP835">
        <f t="shared" si="93"/>
        <v>3.9900557169859301</v>
      </c>
    </row>
    <row r="836" spans="1:68" x14ac:dyDescent="0.15">
      <c r="A836" s="5">
        <v>44783</v>
      </c>
      <c r="B836" s="1"/>
      <c r="C836">
        <v>114.34</v>
      </c>
      <c r="D836">
        <v>74.900000000000006</v>
      </c>
      <c r="E836">
        <v>78.20232</v>
      </c>
      <c r="G836" s="3">
        <v>2.0314349110426202E-3</v>
      </c>
      <c r="I836" s="15">
        <f t="shared" ref="I836:I899" si="96">(C836-C835)/C835</f>
        <v>-1.0557286258220827E-2</v>
      </c>
      <c r="J836" s="15">
        <f t="shared" ref="J836:J899" si="97">(D836-D835)/D835</f>
        <v>9.7061202480452791E-3</v>
      </c>
      <c r="K836" s="15">
        <f t="shared" ref="K836:K899" si="98">(E836-E835)/E835</f>
        <v>-9.0078765062760694E-3</v>
      </c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BJ836">
        <f t="shared" si="92"/>
        <v>4.1267277978027379E-6</v>
      </c>
      <c r="BK836">
        <f t="shared" si="94"/>
        <v>6.652401402581602E-5</v>
      </c>
      <c r="BO836">
        <f t="shared" si="95"/>
        <v>4.1963107573425826E-5</v>
      </c>
      <c r="BP836">
        <f t="shared" si="93"/>
        <v>4.0712504220332413</v>
      </c>
    </row>
    <row r="837" spans="1:68" x14ac:dyDescent="0.15">
      <c r="A837" s="5">
        <v>44784</v>
      </c>
      <c r="B837" s="1"/>
      <c r="C837">
        <v>115.18</v>
      </c>
      <c r="D837">
        <v>75.400000000000006</v>
      </c>
      <c r="E837">
        <v>76.809070000000006</v>
      </c>
      <c r="G837" s="3">
        <v>-4.64310578399684E-5</v>
      </c>
      <c r="I837" s="15">
        <f t="shared" si="96"/>
        <v>7.3465104075564405E-3</v>
      </c>
      <c r="J837" s="15">
        <f t="shared" si="97"/>
        <v>6.675567423230974E-3</v>
      </c>
      <c r="K837" s="15">
        <f t="shared" si="98"/>
        <v>-1.7815967608122044E-2</v>
      </c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BJ837">
        <f t="shared" si="92"/>
        <v>2.155843132138491E-9</v>
      </c>
      <c r="BK837">
        <f t="shared" si="94"/>
        <v>6.278017685213521E-5</v>
      </c>
      <c r="BO837">
        <f t="shared" si="95"/>
        <v>3.9442527300247865E-5</v>
      </c>
      <c r="BP837">
        <f t="shared" si="93"/>
        <v>4.1513671132090249</v>
      </c>
    </row>
    <row r="838" spans="1:68" x14ac:dyDescent="0.15">
      <c r="A838" s="5">
        <v>44785</v>
      </c>
      <c r="B838" s="1"/>
      <c r="C838">
        <v>114.58</v>
      </c>
      <c r="D838">
        <v>76</v>
      </c>
      <c r="E838">
        <v>75.918139999999994</v>
      </c>
      <c r="G838" s="3">
        <v>-2.3610431565388402E-3</v>
      </c>
      <c r="I838" s="15">
        <f t="shared" si="96"/>
        <v>-5.2092377148811294E-3</v>
      </c>
      <c r="J838" s="15">
        <f t="shared" si="97"/>
        <v>7.9575596816975364E-3</v>
      </c>
      <c r="K838" s="15">
        <f t="shared" si="98"/>
        <v>-1.1599281178642203E-2</v>
      </c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BJ838">
        <f t="shared" si="92"/>
        <v>5.5745247870388906E-6</v>
      </c>
      <c r="BK838">
        <f t="shared" si="94"/>
        <v>5.9013495591595017E-5</v>
      </c>
      <c r="BO838">
        <f t="shared" si="95"/>
        <v>3.6878015205698627E-5</v>
      </c>
      <c r="BP838">
        <f t="shared" si="93"/>
        <v>4.1094283592965768</v>
      </c>
    </row>
    <row r="839" spans="1:68" x14ac:dyDescent="0.15">
      <c r="A839" s="5">
        <v>44788</v>
      </c>
      <c r="B839" s="1"/>
      <c r="C839">
        <v>115.64</v>
      </c>
      <c r="D839">
        <v>76.16</v>
      </c>
      <c r="E839">
        <v>76.249859999999998</v>
      </c>
      <c r="G839" s="3">
        <v>3.8912875299648097E-3</v>
      </c>
      <c r="I839" s="15">
        <f t="shared" si="96"/>
        <v>9.2511782160935793E-3</v>
      </c>
      <c r="J839" s="15">
        <f t="shared" si="97"/>
        <v>2.1052631578946921E-3</v>
      </c>
      <c r="K839" s="15">
        <f t="shared" si="98"/>
        <v>4.3694431923648851E-3</v>
      </c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BJ839">
        <f t="shared" si="92"/>
        <v>1.514211864085963E-5</v>
      </c>
      <c r="BK839">
        <f t="shared" si="94"/>
        <v>5.5807157343321643E-5</v>
      </c>
      <c r="BO839">
        <f t="shared" si="95"/>
        <v>3.5660084074619378E-5</v>
      </c>
      <c r="BP839">
        <f t="shared" si="93"/>
        <v>3.9894888855036057</v>
      </c>
    </row>
    <row r="840" spans="1:68" x14ac:dyDescent="0.15">
      <c r="A840" s="5">
        <v>44789</v>
      </c>
      <c r="B840" s="1"/>
      <c r="C840">
        <v>115.22</v>
      </c>
      <c r="D840">
        <v>75.86</v>
      </c>
      <c r="E840">
        <v>76.752200000000002</v>
      </c>
      <c r="G840" s="3">
        <v>-3.67919911887426E-3</v>
      </c>
      <c r="I840" s="15">
        <f t="shared" si="96"/>
        <v>-3.6319612590799181E-3</v>
      </c>
      <c r="J840" s="15">
        <f t="shared" si="97"/>
        <v>-3.9390756302520634E-3</v>
      </c>
      <c r="K840" s="15">
        <f t="shared" si="98"/>
        <v>6.5880776699131487E-3</v>
      </c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BJ840">
        <f t="shared" si="92"/>
        <v>1.3536506156325131E-5</v>
      </c>
      <c r="BK840">
        <f t="shared" si="94"/>
        <v>5.3367255021173923E-5</v>
      </c>
      <c r="BO840">
        <f t="shared" si="95"/>
        <v>3.6067383215431432E-5</v>
      </c>
      <c r="BP840">
        <f t="shared" si="93"/>
        <v>4.008466489221437</v>
      </c>
    </row>
    <row r="841" spans="1:68" x14ac:dyDescent="0.15">
      <c r="A841" s="5">
        <v>44790</v>
      </c>
      <c r="B841" s="1"/>
      <c r="C841">
        <v>116.86</v>
      </c>
      <c r="D841">
        <v>74.760000000000005</v>
      </c>
      <c r="E841">
        <v>76.989140000000006</v>
      </c>
      <c r="G841" s="3">
        <v>-2.0263878455295498E-4</v>
      </c>
      <c r="I841" s="15">
        <f t="shared" si="96"/>
        <v>1.4233639993056766E-2</v>
      </c>
      <c r="J841" s="15">
        <f t="shared" si="97"/>
        <v>-1.4500395465330797E-2</v>
      </c>
      <c r="K841" s="15">
        <f t="shared" si="98"/>
        <v>3.0870776342567918E-3</v>
      </c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BJ841">
        <f t="shared" si="92"/>
        <v>4.1062477005098911E-8</v>
      </c>
      <c r="BK841">
        <f t="shared" si="94"/>
        <v>5.097741008928299E-5</v>
      </c>
      <c r="BO841">
        <f t="shared" si="95"/>
        <v>3.6158188401304318E-5</v>
      </c>
      <c r="BP841">
        <f t="shared" si="93"/>
        <v>4.1942972112809445</v>
      </c>
    </row>
    <row r="842" spans="1:68" x14ac:dyDescent="0.15">
      <c r="A842" s="5">
        <v>44791</v>
      </c>
      <c r="B842" s="1"/>
      <c r="C842">
        <v>116.42</v>
      </c>
      <c r="D842">
        <v>75.06</v>
      </c>
      <c r="E842">
        <v>76.865930000000006</v>
      </c>
      <c r="G842" s="3">
        <v>3.5405880176353401E-3</v>
      </c>
      <c r="I842" s="15">
        <f t="shared" si="96"/>
        <v>-3.7651891151805387E-3</v>
      </c>
      <c r="J842" s="15">
        <f t="shared" si="97"/>
        <v>4.0128410914927384E-3</v>
      </c>
      <c r="K842" s="15">
        <f t="shared" si="98"/>
        <v>-1.6003555826185388E-3</v>
      </c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BJ842">
        <f t="shared" si="92"/>
        <v>1.2535763510622948E-5</v>
      </c>
      <c r="BK842">
        <f t="shared" si="94"/>
        <v>4.7921229232546313E-5</v>
      </c>
      <c r="BO842">
        <f t="shared" si="95"/>
        <v>3.4307390428905916E-5</v>
      </c>
      <c r="BP842">
        <f t="shared" si="93"/>
        <v>4.0384386355348969</v>
      </c>
    </row>
    <row r="843" spans="1:68" x14ac:dyDescent="0.15">
      <c r="A843" s="5">
        <v>44792</v>
      </c>
      <c r="B843" s="1"/>
      <c r="C843">
        <v>116.92</v>
      </c>
      <c r="D843">
        <v>74.739999999999995</v>
      </c>
      <c r="E843">
        <v>77.728424000000004</v>
      </c>
      <c r="G843" s="3">
        <v>-9.7265583290617698E-4</v>
      </c>
      <c r="I843" s="15">
        <f t="shared" si="96"/>
        <v>4.2947947088129183E-3</v>
      </c>
      <c r="J843" s="15">
        <f t="shared" si="97"/>
        <v>-4.2632560618173108E-3</v>
      </c>
      <c r="K843" s="15">
        <f t="shared" si="98"/>
        <v>1.1220758013335662E-2</v>
      </c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BJ843">
        <f t="shared" si="92"/>
        <v>9.4605936928640887E-7</v>
      </c>
      <c r="BK843">
        <f t="shared" si="94"/>
        <v>4.5798101289230907E-5</v>
      </c>
      <c r="BO843">
        <f t="shared" si="95"/>
        <v>3.4635161381312207E-5</v>
      </c>
      <c r="BP843">
        <f t="shared" si="93"/>
        <v>4.2027245512240627</v>
      </c>
    </row>
    <row r="844" spans="1:68" x14ac:dyDescent="0.15">
      <c r="A844" s="5">
        <v>44795</v>
      </c>
      <c r="B844" s="1"/>
      <c r="C844">
        <v>117.24</v>
      </c>
      <c r="D844">
        <v>74.08</v>
      </c>
      <c r="E844">
        <v>77.586250000000007</v>
      </c>
      <c r="G844" s="3">
        <v>-6.3539548489914797E-3</v>
      </c>
      <c r="I844" s="15">
        <f t="shared" si="96"/>
        <v>2.7369141293191344E-3</v>
      </c>
      <c r="J844" s="15">
        <f t="shared" si="97"/>
        <v>-8.8306127910087861E-3</v>
      </c>
      <c r="K844" s="15">
        <f t="shared" si="98"/>
        <v>-1.8291120890344711E-3</v>
      </c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BJ844">
        <f t="shared" si="92"/>
        <v>4.0372742223022341E-5</v>
      </c>
      <c r="BK844">
        <f t="shared" si="94"/>
        <v>4.3106978774034237E-5</v>
      </c>
      <c r="BO844">
        <f t="shared" si="95"/>
        <v>3.3241650121842735E-5</v>
      </c>
      <c r="BP844">
        <f t="shared" si="93"/>
        <v>3.6296535364562907</v>
      </c>
    </row>
    <row r="845" spans="1:68" x14ac:dyDescent="0.15">
      <c r="A845" s="5">
        <v>44796</v>
      </c>
      <c r="B845" s="1"/>
      <c r="C845">
        <v>115.14</v>
      </c>
      <c r="D845">
        <v>73.760000000000005</v>
      </c>
      <c r="E845">
        <v>76.012919999999994</v>
      </c>
      <c r="G845" s="3">
        <v>-1.3781016116322299E-2</v>
      </c>
      <c r="I845" s="15">
        <f t="shared" si="96"/>
        <v>-1.791197543500507E-2</v>
      </c>
      <c r="J845" s="15">
        <f t="shared" si="97"/>
        <v>-4.3196544276456967E-3</v>
      </c>
      <c r="K845" s="15">
        <f t="shared" si="98"/>
        <v>-2.0278464289742223E-2</v>
      </c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BJ845">
        <f t="shared" si="92"/>
        <v>1.8991640519833494E-4</v>
      </c>
      <c r="BK845">
        <f t="shared" si="94"/>
        <v>4.2942924580973526E-5</v>
      </c>
      <c r="BO845">
        <f t="shared" si="95"/>
        <v>3.7763765021903496E-5</v>
      </c>
      <c r="BP845">
        <f t="shared" si="93"/>
        <v>1.658609537333795</v>
      </c>
    </row>
    <row r="846" spans="1:68" x14ac:dyDescent="0.15">
      <c r="A846" s="5">
        <v>44797</v>
      </c>
      <c r="B846" s="1"/>
      <c r="C846">
        <v>116.28</v>
      </c>
      <c r="D846">
        <v>73.760000000000005</v>
      </c>
      <c r="E846">
        <v>76.591070000000002</v>
      </c>
      <c r="G846" s="3">
        <v>7.2999964074984504E-3</v>
      </c>
      <c r="I846" s="15">
        <f t="shared" si="96"/>
        <v>9.9009900990099063E-3</v>
      </c>
      <c r="J846" s="15">
        <f t="shared" si="97"/>
        <v>0</v>
      </c>
      <c r="K846" s="15">
        <f t="shared" si="98"/>
        <v>7.6059438316539874E-3</v>
      </c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BJ846">
        <f t="shared" si="92"/>
        <v>5.3289947549490278E-5</v>
      </c>
      <c r="BK846">
        <f t="shared" si="94"/>
        <v>5.1761333418015217E-5</v>
      </c>
      <c r="BO846">
        <f t="shared" si="95"/>
        <v>6.2608852882847226E-5</v>
      </c>
      <c r="BP846">
        <f t="shared" si="93"/>
        <v>3.4947850283263193</v>
      </c>
    </row>
    <row r="847" spans="1:68" x14ac:dyDescent="0.15">
      <c r="A847" s="5">
        <v>44798</v>
      </c>
      <c r="B847" s="1"/>
      <c r="C847">
        <v>116.84</v>
      </c>
      <c r="D847">
        <v>74.58</v>
      </c>
      <c r="E847">
        <v>76.012919999999994</v>
      </c>
      <c r="G847" s="3">
        <v>4.6312013288856103E-3</v>
      </c>
      <c r="I847" s="15">
        <f t="shared" si="96"/>
        <v>4.8159614723082408E-3</v>
      </c>
      <c r="J847" s="15">
        <f t="shared" si="97"/>
        <v>1.1117136659435915E-2</v>
      </c>
      <c r="K847" s="15">
        <f t="shared" si="98"/>
        <v>-7.548530135432341E-3</v>
      </c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BJ847">
        <f t="shared" si="92"/>
        <v>2.1448025748671843E-5</v>
      </c>
      <c r="BK847">
        <f t="shared" si="94"/>
        <v>5.1853050265903723E-5</v>
      </c>
      <c r="BO847">
        <f t="shared" si="95"/>
        <v>6.2638447664042384E-5</v>
      </c>
      <c r="BP847">
        <f t="shared" si="93"/>
        <v>3.7489221518590234</v>
      </c>
    </row>
    <row r="848" spans="1:68" x14ac:dyDescent="0.15">
      <c r="A848" s="5">
        <v>44799</v>
      </c>
      <c r="B848" s="1"/>
      <c r="C848">
        <v>115.5</v>
      </c>
      <c r="D848">
        <v>73.98</v>
      </c>
      <c r="E848">
        <v>76.174040000000005</v>
      </c>
      <c r="G848" s="3">
        <v>-1.10011627256274E-2</v>
      </c>
      <c r="I848" s="15">
        <f t="shared" si="96"/>
        <v>-1.1468675111263295E-2</v>
      </c>
      <c r="J848" s="15">
        <f t="shared" si="97"/>
        <v>-8.0450522928398275E-3</v>
      </c>
      <c r="K848" s="15">
        <f t="shared" si="98"/>
        <v>2.1196396612577317E-3</v>
      </c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BJ848">
        <f t="shared" si="92"/>
        <v>1.210255813157337E-4</v>
      </c>
      <c r="BK848">
        <f t="shared" si="94"/>
        <v>5.0028748794869815E-5</v>
      </c>
      <c r="BO848">
        <f t="shared" si="95"/>
        <v>5.8126728668681755E-5</v>
      </c>
      <c r="BP848">
        <f t="shared" si="93"/>
        <v>2.916454635758841</v>
      </c>
    </row>
    <row r="849" spans="1:68" x14ac:dyDescent="0.15">
      <c r="A849" s="5">
        <v>44802</v>
      </c>
      <c r="B849" s="1"/>
      <c r="C849">
        <v>115.46</v>
      </c>
      <c r="D849">
        <v>73.760000000000005</v>
      </c>
      <c r="E849">
        <v>75.794929999999994</v>
      </c>
      <c r="G849" s="3">
        <v>-4.1513031626062499E-3</v>
      </c>
      <c r="I849" s="15">
        <f t="shared" si="96"/>
        <v>-3.4632034632040048E-4</v>
      </c>
      <c r="J849" s="15">
        <f t="shared" si="97"/>
        <v>-2.9737766964044181E-3</v>
      </c>
      <c r="K849" s="15">
        <f t="shared" si="98"/>
        <v>-4.9768923901110061E-3</v>
      </c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BJ849">
        <f t="shared" si="92"/>
        <v>1.7233317947864654E-5</v>
      </c>
      <c r="BK849">
        <f t="shared" si="94"/>
        <v>5.4288558746121656E-5</v>
      </c>
      <c r="BO849">
        <f t="shared" si="95"/>
        <v>6.8769686116093999E-5</v>
      </c>
      <c r="BP849">
        <f t="shared" si="93"/>
        <v>3.748137882886629</v>
      </c>
    </row>
    <row r="850" spans="1:68" x14ac:dyDescent="0.15">
      <c r="A850" s="5">
        <v>44803</v>
      </c>
      <c r="B850" s="1"/>
      <c r="C850">
        <v>115.16</v>
      </c>
      <c r="D850">
        <v>74.2</v>
      </c>
      <c r="E850">
        <v>75.027214000000001</v>
      </c>
      <c r="G850" s="3">
        <v>-1.08150562128284E-3</v>
      </c>
      <c r="I850" s="15">
        <f t="shared" si="96"/>
        <v>-2.5983024424042715E-3</v>
      </c>
      <c r="J850" s="15">
        <f t="shared" si="97"/>
        <v>5.9652928416485586E-3</v>
      </c>
      <c r="K850" s="15">
        <f t="shared" si="98"/>
        <v>-1.0128856903753232E-2</v>
      </c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BJ850">
        <f t="shared" si="92"/>
        <v>1.1696544088663817E-6</v>
      </c>
      <c r="BK850">
        <f t="shared" si="94"/>
        <v>5.2065244298226231E-5</v>
      </c>
      <c r="BO850">
        <f t="shared" si="95"/>
        <v>6.2335682764294177E-5</v>
      </c>
      <c r="BP850">
        <f t="shared" si="93"/>
        <v>3.9131678353369455</v>
      </c>
    </row>
    <row r="851" spans="1:68" x14ac:dyDescent="0.15">
      <c r="A851" s="5">
        <v>44804</v>
      </c>
      <c r="B851" s="1"/>
      <c r="C851">
        <v>114.58</v>
      </c>
      <c r="D851">
        <v>76.180000000000007</v>
      </c>
      <c r="E851">
        <v>74.998779999999996</v>
      </c>
      <c r="G851" s="3">
        <v>-2.74843666904256E-3</v>
      </c>
      <c r="I851" s="15">
        <f t="shared" si="96"/>
        <v>-5.0364709968738998E-3</v>
      </c>
      <c r="J851" s="15">
        <f t="shared" si="97"/>
        <v>2.6684636118598434E-2</v>
      </c>
      <c r="K851" s="15">
        <f t="shared" si="98"/>
        <v>-3.78982484942121E-4</v>
      </c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BJ851">
        <f t="shared" si="92"/>
        <v>7.5539041237377628E-6</v>
      </c>
      <c r="BK851">
        <f t="shared" si="94"/>
        <v>4.9011508904864635E-5</v>
      </c>
      <c r="BO851">
        <f t="shared" si="95"/>
        <v>5.5001196819230006E-5</v>
      </c>
      <c r="BP851">
        <f t="shared" si="93"/>
        <v>3.9164689117255174</v>
      </c>
    </row>
    <row r="852" spans="1:68" x14ac:dyDescent="0.15">
      <c r="A852" s="5">
        <v>44805</v>
      </c>
      <c r="B852" s="1"/>
      <c r="C852">
        <v>112.96</v>
      </c>
      <c r="D852">
        <v>76.180000000000007</v>
      </c>
      <c r="E852">
        <v>74.458534</v>
      </c>
      <c r="G852" s="3">
        <v>-1.76502237242506E-2</v>
      </c>
      <c r="I852" s="15">
        <f t="shared" si="96"/>
        <v>-1.4138593122709065E-2</v>
      </c>
      <c r="J852" s="15">
        <f t="shared" si="97"/>
        <v>0</v>
      </c>
      <c r="K852" s="15">
        <f t="shared" si="98"/>
        <v>-7.2033971752606674E-3</v>
      </c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BJ852">
        <f t="shared" si="92"/>
        <v>3.1153039751609873E-4</v>
      </c>
      <c r="BK852">
        <f t="shared" si="94"/>
        <v>4.652405261799702E-5</v>
      </c>
      <c r="BO852">
        <f t="shared" si="95"/>
        <v>5.015742744504373E-5</v>
      </c>
      <c r="BP852">
        <f t="shared" si="93"/>
        <v>0.92570736731050474</v>
      </c>
    </row>
    <row r="853" spans="1:68" x14ac:dyDescent="0.15">
      <c r="A853" s="5">
        <v>44806</v>
      </c>
      <c r="B853" s="1"/>
      <c r="C853">
        <v>113.42</v>
      </c>
      <c r="D853">
        <v>79</v>
      </c>
      <c r="E853">
        <v>75.302070000000001</v>
      </c>
      <c r="G853" s="3">
        <v>2.1406979244576498E-2</v>
      </c>
      <c r="I853" s="15">
        <f t="shared" si="96"/>
        <v>4.0722379603400144E-3</v>
      </c>
      <c r="J853" s="15">
        <f t="shared" si="97"/>
        <v>3.7017589918613716E-2</v>
      </c>
      <c r="K853" s="15">
        <f t="shared" si="98"/>
        <v>1.1328936452066063E-2</v>
      </c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BJ853">
        <f t="shared" si="92"/>
        <v>4.5825876037772895E-4</v>
      </c>
      <c r="BK853">
        <f t="shared" si="94"/>
        <v>6.242443331188313E-5</v>
      </c>
      <c r="BO853">
        <f t="shared" si="95"/>
        <v>8.9650466925695791E-5</v>
      </c>
      <c r="BP853">
        <f t="shared" si="93"/>
        <v>1.1850495458781878</v>
      </c>
    </row>
    <row r="854" spans="1:68" x14ac:dyDescent="0.15">
      <c r="A854" s="5">
        <v>44810</v>
      </c>
      <c r="B854" s="1"/>
      <c r="C854">
        <v>112.42</v>
      </c>
      <c r="D854">
        <v>79.2</v>
      </c>
      <c r="E854">
        <v>75.036689999999993</v>
      </c>
      <c r="G854" s="3">
        <v>-5.2822604957600801E-3</v>
      </c>
      <c r="I854" s="15">
        <f t="shared" si="96"/>
        <v>-8.81678716275789E-3</v>
      </c>
      <c r="J854" s="15">
        <f t="shared" si="97"/>
        <v>2.5316455696202892E-3</v>
      </c>
      <c r="K854" s="15">
        <f t="shared" si="98"/>
        <v>-3.5242059082838959E-3</v>
      </c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BJ854">
        <f t="shared" si="92"/>
        <v>2.7902275945067528E-5</v>
      </c>
      <c r="BK854">
        <f t="shared" si="94"/>
        <v>8.6174492935833894E-5</v>
      </c>
      <c r="BO854">
        <f t="shared" si="95"/>
        <v>1.4152505173673687E-4</v>
      </c>
      <c r="BP854">
        <f t="shared" si="93"/>
        <v>3.4140012108887978</v>
      </c>
    </row>
    <row r="855" spans="1:68" x14ac:dyDescent="0.15">
      <c r="A855" s="5">
        <v>44811</v>
      </c>
      <c r="B855" s="1"/>
      <c r="C855">
        <v>111.2</v>
      </c>
      <c r="D855">
        <v>79.260000000000005</v>
      </c>
      <c r="E855">
        <v>74.913480000000007</v>
      </c>
      <c r="G855" s="3">
        <v>-2.6784177944726402E-3</v>
      </c>
      <c r="I855" s="15">
        <f t="shared" si="96"/>
        <v>-1.0852161537093034E-2</v>
      </c>
      <c r="J855" s="15">
        <f t="shared" si="97"/>
        <v>7.5757575757578631E-4</v>
      </c>
      <c r="K855" s="15">
        <f t="shared" si="98"/>
        <v>-1.6419967351969558E-3</v>
      </c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BJ855">
        <f t="shared" si="92"/>
        <v>7.173921881747682E-6</v>
      </c>
      <c r="BK855">
        <f t="shared" si="94"/>
        <v>8.2678159916387909E-5</v>
      </c>
      <c r="BO855">
        <f t="shared" si="95"/>
        <v>1.2092292554218771E-4</v>
      </c>
      <c r="BP855">
        <f t="shared" si="93"/>
        <v>3.5615768638210965</v>
      </c>
    </row>
    <row r="856" spans="1:68" x14ac:dyDescent="0.15">
      <c r="A856" s="5">
        <v>44812</v>
      </c>
      <c r="B856" s="1"/>
      <c r="C856">
        <v>110.1</v>
      </c>
      <c r="D856">
        <v>81.06</v>
      </c>
      <c r="E856">
        <v>74.667050000000003</v>
      </c>
      <c r="G856" s="3">
        <v>-1.3731735892534799E-3</v>
      </c>
      <c r="I856" s="15">
        <f t="shared" si="96"/>
        <v>-9.8920863309353291E-3</v>
      </c>
      <c r="J856" s="15">
        <f t="shared" si="97"/>
        <v>2.2710068130204354E-2</v>
      </c>
      <c r="K856" s="15">
        <f t="shared" si="98"/>
        <v>-3.289528132987597E-3</v>
      </c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BJ856">
        <f t="shared" si="92"/>
        <v>1.8856057062232846E-6</v>
      </c>
      <c r="BK856">
        <f t="shared" si="94"/>
        <v>7.8147905634309484E-5</v>
      </c>
      <c r="BO856">
        <f t="shared" si="95"/>
        <v>1.0181091802827473E-4</v>
      </c>
      <c r="BP856">
        <f t="shared" si="93"/>
        <v>3.6679977401832065</v>
      </c>
    </row>
    <row r="857" spans="1:68" x14ac:dyDescent="0.15">
      <c r="A857" s="5">
        <v>44813</v>
      </c>
      <c r="B857" s="1"/>
      <c r="C857">
        <v>111.62</v>
      </c>
      <c r="D857">
        <v>81.38</v>
      </c>
      <c r="E857">
        <v>75.216774000000001</v>
      </c>
      <c r="G857" s="3">
        <v>1.01864131174216E-2</v>
      </c>
      <c r="I857" s="15">
        <f t="shared" si="96"/>
        <v>1.3805631244323435E-2</v>
      </c>
      <c r="J857" s="15">
        <f t="shared" si="97"/>
        <v>3.947693066863967E-3</v>
      </c>
      <c r="K857" s="15">
        <f t="shared" si="98"/>
        <v>7.3623372022866528E-3</v>
      </c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BJ857">
        <f t="shared" si="92"/>
        <v>1.0376301219877884E-4</v>
      </c>
      <c r="BK857">
        <f t="shared" si="94"/>
        <v>7.3572167638624316E-5</v>
      </c>
      <c r="BO857">
        <f t="shared" si="95"/>
        <v>8.6066701156516987E-5</v>
      </c>
      <c r="BP857">
        <f t="shared" si="93"/>
        <v>3.1584496568661753</v>
      </c>
    </row>
    <row r="858" spans="1:68" x14ac:dyDescent="0.15">
      <c r="A858" s="5">
        <v>44816</v>
      </c>
      <c r="B858" s="1"/>
      <c r="C858">
        <v>111.86</v>
      </c>
      <c r="D858">
        <v>83.48</v>
      </c>
      <c r="E858">
        <v>75.956050000000005</v>
      </c>
      <c r="G858" s="3">
        <v>8.303569927271541E-3</v>
      </c>
      <c r="I858" s="15">
        <f t="shared" si="96"/>
        <v>2.1501523024547112E-3</v>
      </c>
      <c r="J858" s="15">
        <f t="shared" si="97"/>
        <v>2.5804866060457222E-2</v>
      </c>
      <c r="K858" s="15">
        <f t="shared" si="98"/>
        <v>9.8286055182319285E-3</v>
      </c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BJ858">
        <f t="shared" si="92"/>
        <v>6.8949273537088305E-5</v>
      </c>
      <c r="BK858">
        <f t="shared" si="94"/>
        <v>7.53836183122336E-5</v>
      </c>
      <c r="BO858">
        <f t="shared" si="95"/>
        <v>8.8226670387625056E-5</v>
      </c>
      <c r="BP858">
        <f t="shared" si="93"/>
        <v>3.35811135414784</v>
      </c>
    </row>
    <row r="859" spans="1:68" x14ac:dyDescent="0.15">
      <c r="A859" s="5">
        <v>44817</v>
      </c>
      <c r="B859" s="1"/>
      <c r="C859">
        <v>112.08</v>
      </c>
      <c r="D859">
        <v>83.16</v>
      </c>
      <c r="E859">
        <v>75.273635999999996</v>
      </c>
      <c r="G859" s="3">
        <v>-9.0264368747104903E-3</v>
      </c>
      <c r="I859" s="15">
        <f t="shared" si="96"/>
        <v>1.9667441444662869E-3</v>
      </c>
      <c r="J859" s="15">
        <f t="shared" si="97"/>
        <v>-3.8332534738860489E-3</v>
      </c>
      <c r="K859" s="15">
        <f t="shared" si="98"/>
        <v>-8.9843271207495443E-3</v>
      </c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BJ859">
        <f t="shared" si="92"/>
        <v>8.147656265313329E-5</v>
      </c>
      <c r="BK859">
        <f t="shared" si="94"/>
        <v>7.4997557625724879E-5</v>
      </c>
      <c r="BO859">
        <f t="shared" si="95"/>
        <v>8.4962725269006897E-5</v>
      </c>
      <c r="BP859">
        <f t="shared" si="93"/>
        <v>3.2882262643954867</v>
      </c>
    </row>
    <row r="860" spans="1:68" x14ac:dyDescent="0.15">
      <c r="A860" s="5">
        <v>44818</v>
      </c>
      <c r="B860" s="1"/>
      <c r="C860">
        <v>109.1</v>
      </c>
      <c r="D860">
        <v>82.2</v>
      </c>
      <c r="E860">
        <v>74.013080000000002</v>
      </c>
      <c r="G860" s="3">
        <v>-1.2591616888051301E-2</v>
      </c>
      <c r="I860" s="15">
        <f t="shared" si="96"/>
        <v>-2.6588151320485403E-2</v>
      </c>
      <c r="J860" s="15">
        <f t="shared" si="97"/>
        <v>-1.1544011544011469E-2</v>
      </c>
      <c r="K860" s="15">
        <f t="shared" si="98"/>
        <v>-1.6746314738934547E-2</v>
      </c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BJ860">
        <f t="shared" si="92"/>
        <v>1.5854881585545871E-4</v>
      </c>
      <c r="BK860">
        <f t="shared" si="94"/>
        <v>7.5386297927369379E-5</v>
      </c>
      <c r="BO860">
        <f t="shared" si="95"/>
        <v>8.4186694732560376E-5</v>
      </c>
      <c r="BP860">
        <f t="shared" si="93"/>
        <v>2.8306482201355729</v>
      </c>
    </row>
    <row r="861" spans="1:68" x14ac:dyDescent="0.15">
      <c r="A861" s="5">
        <v>44819</v>
      </c>
      <c r="B861" s="1"/>
      <c r="C861">
        <v>108.74</v>
      </c>
      <c r="D861">
        <v>82.66</v>
      </c>
      <c r="E861">
        <v>73.709779999999995</v>
      </c>
      <c r="G861" s="3">
        <v>-7.1568006035171994E-4</v>
      </c>
      <c r="I861" s="15">
        <f t="shared" si="96"/>
        <v>-3.299725022914752E-3</v>
      </c>
      <c r="J861" s="15">
        <f t="shared" si="97"/>
        <v>5.596107055960994E-3</v>
      </c>
      <c r="K861" s="15">
        <f t="shared" si="98"/>
        <v>-4.0979243128377741E-3</v>
      </c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BJ861">
        <f t="shared" si="92"/>
        <v>5.1219794878504148E-7</v>
      </c>
      <c r="BK861">
        <f t="shared" si="94"/>
        <v>8.0376049003054751E-5</v>
      </c>
      <c r="BO861">
        <f t="shared" si="95"/>
        <v>9.4554637669770085E-5</v>
      </c>
      <c r="BP861">
        <f t="shared" si="93"/>
        <v>3.7115193477874473</v>
      </c>
    </row>
    <row r="862" spans="1:68" x14ac:dyDescent="0.15">
      <c r="A862" s="5">
        <v>44820</v>
      </c>
      <c r="B862" s="1"/>
      <c r="C862">
        <v>106.82</v>
      </c>
      <c r="D862">
        <v>82.34</v>
      </c>
      <c r="E862">
        <v>73.482315</v>
      </c>
      <c r="G862" s="3">
        <v>-1.2659966709259601E-2</v>
      </c>
      <c r="I862" s="15">
        <f t="shared" si="96"/>
        <v>-1.7656796027220912E-2</v>
      </c>
      <c r="J862" s="15">
        <f t="shared" si="97"/>
        <v>-3.8712799419307184E-3</v>
      </c>
      <c r="K862" s="15">
        <f t="shared" si="98"/>
        <v>-3.0859541298318238E-3</v>
      </c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BJ862">
        <f t="shared" si="92"/>
        <v>1.6027475707956136E-4</v>
      </c>
      <c r="BK862">
        <f t="shared" si="94"/>
        <v>7.5584217939798559E-5</v>
      </c>
      <c r="BO862">
        <f t="shared" si="95"/>
        <v>8.0179427546045137E-5</v>
      </c>
      <c r="BP862">
        <f t="shared" si="93"/>
        <v>2.7972076983373992</v>
      </c>
    </row>
    <row r="863" spans="1:68" x14ac:dyDescent="0.15">
      <c r="A863" s="5">
        <v>44823</v>
      </c>
      <c r="B863" s="1"/>
      <c r="C863">
        <v>107.84</v>
      </c>
      <c r="D863">
        <v>81.44</v>
      </c>
      <c r="E863">
        <v>73.624480000000005</v>
      </c>
      <c r="G863" s="3">
        <v>5.9922419816960104E-4</v>
      </c>
      <c r="I863" s="15">
        <f t="shared" si="96"/>
        <v>9.5487736378956217E-3</v>
      </c>
      <c r="J863" s="15">
        <f t="shared" si="97"/>
        <v>-1.0930289045421492E-2</v>
      </c>
      <c r="K863" s="15">
        <f t="shared" si="98"/>
        <v>1.9346831955417525E-3</v>
      </c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BJ863">
        <f t="shared" si="92"/>
        <v>3.5906963967200128E-7</v>
      </c>
      <c r="BK863">
        <f t="shared" si="94"/>
        <v>8.0665650288184331E-5</v>
      </c>
      <c r="BO863">
        <f t="shared" si="95"/>
        <v>9.16572310413756E-5</v>
      </c>
      <c r="BP863">
        <f t="shared" si="93"/>
        <v>3.7278300476798516</v>
      </c>
    </row>
    <row r="864" spans="1:68" x14ac:dyDescent="0.15">
      <c r="A864" s="5">
        <v>44824</v>
      </c>
      <c r="B864" s="1"/>
      <c r="C864">
        <v>106.32</v>
      </c>
      <c r="D864">
        <v>80.16</v>
      </c>
      <c r="E864">
        <v>72.837813999999995</v>
      </c>
      <c r="G864" s="3">
        <v>-1.3230836335006499E-2</v>
      </c>
      <c r="I864" s="15">
        <f t="shared" si="96"/>
        <v>-1.4094955489614338E-2</v>
      </c>
      <c r="J864" s="15">
        <f t="shared" si="97"/>
        <v>-1.5717092337917498E-2</v>
      </c>
      <c r="K864" s="15">
        <f t="shared" si="98"/>
        <v>-1.0684842867481182E-2</v>
      </c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BJ864">
        <f t="shared" si="92"/>
        <v>1.7505503012372822E-4</v>
      </c>
      <c r="BK864">
        <f t="shared" si="94"/>
        <v>7.5847255449273585E-5</v>
      </c>
      <c r="BO864">
        <f t="shared" si="95"/>
        <v>7.7884954593842736E-5</v>
      </c>
      <c r="BP864">
        <f t="shared" si="93"/>
        <v>2.687395171938082</v>
      </c>
    </row>
    <row r="865" spans="1:68" x14ac:dyDescent="0.15">
      <c r="A865" s="5">
        <v>44825</v>
      </c>
      <c r="B865" s="1"/>
      <c r="C865">
        <v>106.34</v>
      </c>
      <c r="D865">
        <v>79.2</v>
      </c>
      <c r="E865">
        <v>71.833150000000003</v>
      </c>
      <c r="G865" s="3">
        <v>-4.4989427082441306E-3</v>
      </c>
      <c r="I865" s="15">
        <f t="shared" si="96"/>
        <v>1.8811136192635659E-4</v>
      </c>
      <c r="J865" s="15">
        <f t="shared" si="97"/>
        <v>-1.1976047904191539E-2</v>
      </c>
      <c r="K865" s="15">
        <f t="shared" si="98"/>
        <v>-1.3793165182030191E-2</v>
      </c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BJ865">
        <f t="shared" si="92"/>
        <v>2.0240485492063031E-5</v>
      </c>
      <c r="BK865">
        <f t="shared" si="94"/>
        <v>8.1799721929740862E-5</v>
      </c>
      <c r="BO865">
        <f t="shared" si="95"/>
        <v>9.196250433435516E-5</v>
      </c>
      <c r="BP865">
        <f t="shared" si="93"/>
        <v>3.6180787899094624</v>
      </c>
    </row>
    <row r="866" spans="1:68" x14ac:dyDescent="0.15">
      <c r="A866" s="5">
        <v>44826</v>
      </c>
      <c r="B866" s="1"/>
      <c r="C866">
        <v>107.38</v>
      </c>
      <c r="D866">
        <v>78.3</v>
      </c>
      <c r="E866">
        <v>71.131789999999995</v>
      </c>
      <c r="G866" s="3">
        <v>-1.26333029281229E-2</v>
      </c>
      <c r="I866" s="15">
        <f t="shared" si="96"/>
        <v>9.7799511002444241E-3</v>
      </c>
      <c r="J866" s="15">
        <f t="shared" si="97"/>
        <v>-1.1363636363636435E-2</v>
      </c>
      <c r="K866" s="15">
        <f t="shared" si="98"/>
        <v>-9.7637372160347714E-3</v>
      </c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BJ866">
        <f t="shared" si="92"/>
        <v>1.5960034287371865E-4</v>
      </c>
      <c r="BK866">
        <f t="shared" si="94"/>
        <v>7.8106167743480185E-5</v>
      </c>
      <c r="BO866">
        <f t="shared" si="95"/>
        <v>8.0955919498349057E-5</v>
      </c>
      <c r="BP866">
        <f t="shared" si="93"/>
        <v>2.8061406081517926</v>
      </c>
    </row>
    <row r="867" spans="1:68" x14ac:dyDescent="0.15">
      <c r="A867" s="5">
        <v>44827</v>
      </c>
      <c r="B867" s="1"/>
      <c r="C867">
        <v>107.08</v>
      </c>
      <c r="D867">
        <v>76.12</v>
      </c>
      <c r="E867">
        <v>70.477810000000005</v>
      </c>
      <c r="G867" s="3">
        <v>-1.5524389787561701E-2</v>
      </c>
      <c r="I867" s="15">
        <f t="shared" si="96"/>
        <v>-2.7938163531383607E-3</v>
      </c>
      <c r="J867" s="15">
        <f t="shared" si="97"/>
        <v>-2.784163473818637E-2</v>
      </c>
      <c r="K867" s="15">
        <f t="shared" si="98"/>
        <v>-9.1939201867405566E-3</v>
      </c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BJ867">
        <f t="shared" si="92"/>
        <v>2.4100667827615005E-4</v>
      </c>
      <c r="BK867">
        <f t="shared" si="94"/>
        <v>8.2995818251294494E-5</v>
      </c>
      <c r="BO867">
        <f t="shared" si="95"/>
        <v>9.2170244683399688E-5</v>
      </c>
      <c r="BP867">
        <f t="shared" si="93"/>
        <v>2.419598489965102</v>
      </c>
    </row>
    <row r="868" spans="1:68" x14ac:dyDescent="0.15">
      <c r="A868" s="5">
        <v>44830</v>
      </c>
      <c r="B868" s="1"/>
      <c r="C868">
        <v>106.52</v>
      </c>
      <c r="D868">
        <v>74.099999999999994</v>
      </c>
      <c r="E868">
        <v>70.117649999999998</v>
      </c>
      <c r="G868" s="3">
        <v>-6.4275676063383306E-3</v>
      </c>
      <c r="I868" s="15">
        <f t="shared" si="96"/>
        <v>-5.2297347777362935E-3</v>
      </c>
      <c r="J868" s="15">
        <f t="shared" si="97"/>
        <v>-2.6537046768260773E-2</v>
      </c>
      <c r="K868" s="15">
        <f t="shared" si="98"/>
        <v>-5.1102609459630988E-3</v>
      </c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BJ868">
        <f t="shared" si="92"/>
        <v>4.1313625334049857E-5</v>
      </c>
      <c r="BK868">
        <f t="shared" si="94"/>
        <v>9.2476469852785842E-5</v>
      </c>
      <c r="BO868">
        <f t="shared" si="95"/>
        <v>1.1256042948675395E-4</v>
      </c>
      <c r="BP868">
        <f t="shared" si="93"/>
        <v>3.4435540955964887</v>
      </c>
    </row>
    <row r="869" spans="1:68" x14ac:dyDescent="0.15">
      <c r="A869" s="5">
        <v>44831</v>
      </c>
      <c r="B869" s="1"/>
      <c r="C869">
        <v>106.32</v>
      </c>
      <c r="D869">
        <v>72.56</v>
      </c>
      <c r="E869">
        <v>70.506249999999994</v>
      </c>
      <c r="G869" s="3">
        <v>5.3419723324579201E-3</v>
      </c>
      <c r="I869" s="15">
        <f t="shared" si="96"/>
        <v>-1.8775816748028806E-3</v>
      </c>
      <c r="J869" s="15">
        <f t="shared" si="97"/>
        <v>-2.0782726045883836E-2</v>
      </c>
      <c r="K869" s="15">
        <f t="shared" si="98"/>
        <v>5.5421138614884661E-3</v>
      </c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BJ869">
        <f t="shared" si="92"/>
        <v>2.853666840074591E-5</v>
      </c>
      <c r="BK869">
        <f t="shared" si="94"/>
        <v>8.9406699181661682E-5</v>
      </c>
      <c r="BO869">
        <f t="shared" si="95"/>
        <v>1.0011373625947743E-4</v>
      </c>
      <c r="BP869">
        <f t="shared" si="93"/>
        <v>3.5431420509672287</v>
      </c>
    </row>
    <row r="870" spans="1:68" x14ac:dyDescent="0.15">
      <c r="A870" s="5">
        <v>44832</v>
      </c>
      <c r="B870" s="1"/>
      <c r="C870">
        <v>105.76</v>
      </c>
      <c r="D870">
        <v>71.22</v>
      </c>
      <c r="E870">
        <v>70.913794999999993</v>
      </c>
      <c r="G870" s="3">
        <v>9.3153913100136806E-3</v>
      </c>
      <c r="I870" s="15">
        <f t="shared" si="96"/>
        <v>-5.2671181339351775E-3</v>
      </c>
      <c r="J870" s="15">
        <f t="shared" si="97"/>
        <v>-1.8467475192943818E-2</v>
      </c>
      <c r="K870" s="15">
        <f t="shared" si="98"/>
        <v>5.7802677067635699E-3</v>
      </c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BJ870">
        <f t="shared" si="92"/>
        <v>8.67765152586784E-5</v>
      </c>
      <c r="BK870">
        <f t="shared" si="94"/>
        <v>8.5754497334806739E-5</v>
      </c>
      <c r="BO870">
        <f t="shared" si="95"/>
        <v>8.8531117105873403E-5</v>
      </c>
      <c r="BP870">
        <f t="shared" si="93"/>
        <v>3.2570492183542292</v>
      </c>
    </row>
    <row r="871" spans="1:68" x14ac:dyDescent="0.15">
      <c r="A871" s="5">
        <v>44833</v>
      </c>
      <c r="B871" s="1"/>
      <c r="C871">
        <v>106.56</v>
      </c>
      <c r="D871">
        <v>72.28</v>
      </c>
      <c r="E871">
        <v>71.008574999999993</v>
      </c>
      <c r="G871" s="3">
        <v>-9.1746153973963889E-3</v>
      </c>
      <c r="I871" s="15">
        <f t="shared" si="96"/>
        <v>7.564296520423573E-3</v>
      </c>
      <c r="J871" s="15">
        <f t="shared" si="97"/>
        <v>1.4883459702330838E-2</v>
      </c>
      <c r="K871" s="15">
        <f t="shared" si="98"/>
        <v>1.33655235910023E-3</v>
      </c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BJ871">
        <f t="shared" si="92"/>
        <v>8.4173567690142896E-5</v>
      </c>
      <c r="BK871">
        <f t="shared" si="94"/>
        <v>8.5815818410239037E-5</v>
      </c>
      <c r="BO871">
        <f t="shared" si="95"/>
        <v>8.7740485958248343E-5</v>
      </c>
      <c r="BP871">
        <f t="shared" si="93"/>
        <v>3.2719515530686678</v>
      </c>
    </row>
    <row r="872" spans="1:68" x14ac:dyDescent="0.15">
      <c r="A872" s="5">
        <v>44834</v>
      </c>
      <c r="B872" s="1"/>
      <c r="C872">
        <v>107.08</v>
      </c>
      <c r="D872">
        <v>73.16</v>
      </c>
      <c r="E872">
        <v>71.586730000000003</v>
      </c>
      <c r="G872" s="3">
        <v>1.3880033800654099E-2</v>
      </c>
      <c r="I872" s="15">
        <f t="shared" si="96"/>
        <v>4.8798798798798428E-3</v>
      </c>
      <c r="J872" s="15">
        <f t="shared" si="97"/>
        <v>1.2174875484227939E-2</v>
      </c>
      <c r="K872" s="15">
        <f t="shared" si="98"/>
        <v>8.1420448164184339E-3</v>
      </c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BJ872">
        <f t="shared" si="92"/>
        <v>1.9265533830730027E-4</v>
      </c>
      <c r="BK872">
        <f t="shared" si="94"/>
        <v>8.5717283367033268E-5</v>
      </c>
      <c r="BO872">
        <f t="shared" si="95"/>
        <v>8.6749619348196514E-5</v>
      </c>
      <c r="BP872">
        <f t="shared" si="93"/>
        <v>2.6468934498278793</v>
      </c>
    </row>
    <row r="873" spans="1:68" x14ac:dyDescent="0.15">
      <c r="A873" s="5">
        <v>44837</v>
      </c>
      <c r="B873" s="1"/>
      <c r="C873">
        <v>106.46</v>
      </c>
      <c r="D873">
        <v>73.180000000000007</v>
      </c>
      <c r="E873">
        <v>72.013239999999996</v>
      </c>
      <c r="G873" s="3">
        <v>2.2554221487360803E-3</v>
      </c>
      <c r="I873" s="15">
        <f t="shared" si="96"/>
        <v>-5.7900635039223438E-3</v>
      </c>
      <c r="J873" s="15">
        <f t="shared" si="97"/>
        <v>2.7337342810292826E-4</v>
      </c>
      <c r="K873" s="15">
        <f t="shared" si="98"/>
        <v>5.9579477928380477E-3</v>
      </c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BJ873">
        <f t="shared" si="92"/>
        <v>5.0869290690092774E-6</v>
      </c>
      <c r="BK873">
        <f t="shared" si="94"/>
        <v>9.2133566663449298E-5</v>
      </c>
      <c r="BO873">
        <f t="shared" si="95"/>
        <v>1.0142239882029202E-4</v>
      </c>
      <c r="BP873">
        <f t="shared" si="93"/>
        <v>3.6540918274999425</v>
      </c>
    </row>
    <row r="874" spans="1:68" x14ac:dyDescent="0.15">
      <c r="A874" s="5">
        <v>44838</v>
      </c>
      <c r="B874" s="1"/>
      <c r="C874">
        <v>107.48</v>
      </c>
      <c r="D874">
        <v>75.5</v>
      </c>
      <c r="E874">
        <v>72.951549999999997</v>
      </c>
      <c r="G874" s="3">
        <v>2.9172916552215801E-2</v>
      </c>
      <c r="I874" s="15">
        <f t="shared" si="96"/>
        <v>9.581063310163538E-3</v>
      </c>
      <c r="J874" s="15">
        <f t="shared" si="97"/>
        <v>3.1702650997540216E-2</v>
      </c>
      <c r="K874" s="15">
        <f t="shared" si="98"/>
        <v>1.3029687318609763E-2</v>
      </c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BJ874">
        <f t="shared" si="92"/>
        <v>8.5105906016254664E-4</v>
      </c>
      <c r="BK874">
        <f t="shared" si="94"/>
        <v>8.6910768407782898E-5</v>
      </c>
      <c r="BO874">
        <f t="shared" si="95"/>
        <v>8.6217887996742441E-5</v>
      </c>
      <c r="BP874">
        <f t="shared" si="93"/>
        <v>-1.175135358214074</v>
      </c>
    </row>
    <row r="875" spans="1:68" x14ac:dyDescent="0.15">
      <c r="A875" s="5">
        <v>44839</v>
      </c>
      <c r="B875" s="1"/>
      <c r="C875">
        <v>107.06</v>
      </c>
      <c r="D875">
        <v>74.34</v>
      </c>
      <c r="E875">
        <v>72.363913999999994</v>
      </c>
      <c r="G875" s="3">
        <v>-1.0691354454764499E-2</v>
      </c>
      <c r="I875" s="15">
        <f t="shared" si="96"/>
        <v>-3.9077037588388696E-3</v>
      </c>
      <c r="J875" s="15">
        <f t="shared" si="97"/>
        <v>-1.5364238410595981E-2</v>
      </c>
      <c r="K875" s="15">
        <f t="shared" si="98"/>
        <v>-8.0551544141283273E-3</v>
      </c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BJ875">
        <f t="shared" si="92"/>
        <v>1.1430506007741269E-4</v>
      </c>
      <c r="BK875">
        <f t="shared" si="94"/>
        <v>1.3275966591306875E-4</v>
      </c>
      <c r="BO875">
        <f t="shared" si="95"/>
        <v>1.9477530238935076E-4</v>
      </c>
      <c r="BP875">
        <f t="shared" si="93"/>
        <v>3.0594654330206503</v>
      </c>
    </row>
    <row r="876" spans="1:68" x14ac:dyDescent="0.15">
      <c r="A876" s="5">
        <v>44840</v>
      </c>
      <c r="B876" s="1"/>
      <c r="C876">
        <v>106.34</v>
      </c>
      <c r="D876">
        <v>72.5</v>
      </c>
      <c r="E876">
        <v>71.596209999999999</v>
      </c>
      <c r="G876" s="3">
        <v>-8.2613577668720888E-3</v>
      </c>
      <c r="I876" s="15">
        <f t="shared" si="96"/>
        <v>-6.7252008219689787E-3</v>
      </c>
      <c r="J876" s="15">
        <f t="shared" si="97"/>
        <v>-2.4751143395211235E-2</v>
      </c>
      <c r="K876" s="15">
        <f t="shared" si="98"/>
        <v>-1.0608934171249982E-2</v>
      </c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BJ876">
        <f t="shared" si="92"/>
        <v>6.825003215225779E-5</v>
      </c>
      <c r="BK876">
        <f t="shared" si="94"/>
        <v>1.3165238956292937E-4</v>
      </c>
      <c r="BO876">
        <f t="shared" si="95"/>
        <v>1.7499679509322205E-4</v>
      </c>
      <c r="BP876">
        <f t="shared" si="93"/>
        <v>3.2114292526635477</v>
      </c>
    </row>
    <row r="877" spans="1:68" x14ac:dyDescent="0.15">
      <c r="A877" s="5">
        <v>44841</v>
      </c>
      <c r="B877" s="1"/>
      <c r="C877">
        <v>106.02</v>
      </c>
      <c r="D877">
        <v>71.34</v>
      </c>
      <c r="E877">
        <v>71.596209999999999</v>
      </c>
      <c r="G877" s="3">
        <v>-7.944648523626861E-3</v>
      </c>
      <c r="I877" s="15">
        <f t="shared" si="96"/>
        <v>-3.009215723152223E-3</v>
      </c>
      <c r="J877" s="15">
        <f t="shared" si="97"/>
        <v>-1.5999999999999952E-2</v>
      </c>
      <c r="K877" s="15">
        <f t="shared" si="98"/>
        <v>0</v>
      </c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BJ877">
        <f t="shared" si="92"/>
        <v>6.3117440163966459E-5</v>
      </c>
      <c r="BK877">
        <f t="shared" si="94"/>
        <v>1.2784824811828908E-4</v>
      </c>
      <c r="BO877">
        <f t="shared" si="95"/>
        <v>1.5292378712492149E-4</v>
      </c>
      <c r="BP877">
        <f t="shared" si="93"/>
        <v>3.2674779672982557</v>
      </c>
    </row>
    <row r="878" spans="1:68" x14ac:dyDescent="0.15">
      <c r="A878" s="5">
        <v>44844</v>
      </c>
      <c r="B878" s="1"/>
      <c r="C878">
        <v>105.98</v>
      </c>
      <c r="D878">
        <v>70.400000000000006</v>
      </c>
      <c r="E878">
        <v>71.624639999999999</v>
      </c>
      <c r="G878" s="3">
        <v>-4.4670956661631003E-3</v>
      </c>
      <c r="I878" s="15">
        <f t="shared" si="96"/>
        <v>-3.7728730428213586E-4</v>
      </c>
      <c r="J878" s="15">
        <f t="shared" si="97"/>
        <v>-1.3176338659938291E-2</v>
      </c>
      <c r="K878" s="15">
        <f t="shared" si="98"/>
        <v>3.9708805815280134E-4</v>
      </c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BJ878">
        <f t="shared" si="92"/>
        <v>1.9954943690653154E-5</v>
      </c>
      <c r="BK878">
        <f t="shared" si="94"/>
        <v>1.2396439964102972E-4</v>
      </c>
      <c r="BO878">
        <f t="shared" si="95"/>
        <v>1.3487920248167308E-4</v>
      </c>
      <c r="BP878">
        <f t="shared" si="93"/>
        <v>3.4626535650792323</v>
      </c>
    </row>
    <row r="879" spans="1:68" x14ac:dyDescent="0.15">
      <c r="A879" s="5">
        <v>44845</v>
      </c>
      <c r="B879" s="1"/>
      <c r="C879">
        <v>105.74</v>
      </c>
      <c r="D879">
        <v>69.58</v>
      </c>
      <c r="E879">
        <v>71.795240000000007</v>
      </c>
      <c r="G879" s="3">
        <v>-5.32965439736343E-3</v>
      </c>
      <c r="I879" s="15">
        <f t="shared" si="96"/>
        <v>-2.264578222306181E-3</v>
      </c>
      <c r="J879" s="15">
        <f t="shared" si="97"/>
        <v>-1.1647727272727377E-2</v>
      </c>
      <c r="K879" s="15">
        <f t="shared" si="98"/>
        <v>2.3818618844018958E-3</v>
      </c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BJ879">
        <f t="shared" si="92"/>
        <v>2.8405215995335346E-5</v>
      </c>
      <c r="BK879">
        <f t="shared" si="94"/>
        <v>1.1772383228400712E-4</v>
      </c>
      <c r="BO879">
        <f t="shared" si="95"/>
        <v>1.1457820159167875E-4</v>
      </c>
      <c r="BP879">
        <f t="shared" si="93"/>
        <v>3.4942323742545591</v>
      </c>
    </row>
    <row r="880" spans="1:68" x14ac:dyDescent="0.15">
      <c r="A880" s="5">
        <v>44846</v>
      </c>
      <c r="B880" s="1"/>
      <c r="C880">
        <v>106.14</v>
      </c>
      <c r="D880">
        <v>69.900000000000006</v>
      </c>
      <c r="E880">
        <v>71.804726000000002</v>
      </c>
      <c r="G880" s="3">
        <v>-8.3351338106296593E-4</v>
      </c>
      <c r="I880" s="15">
        <f t="shared" si="96"/>
        <v>3.782863627766273E-3</v>
      </c>
      <c r="J880" s="15">
        <f t="shared" si="97"/>
        <v>4.5990227076747256E-3</v>
      </c>
      <c r="K880" s="15">
        <f t="shared" si="98"/>
        <v>1.3212575095501375E-4</v>
      </c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BJ880">
        <f t="shared" si="92"/>
        <v>6.9474455641101707E-7</v>
      </c>
      <c r="BK880">
        <f t="shared" si="94"/>
        <v>1.123647153066868E-4</v>
      </c>
      <c r="BO880">
        <f t="shared" si="95"/>
        <v>9.9858015865031841E-5</v>
      </c>
      <c r="BP880">
        <f t="shared" si="93"/>
        <v>3.6834634159930828</v>
      </c>
    </row>
    <row r="881" spans="1:68" x14ac:dyDescent="0.15">
      <c r="A881" s="5">
        <v>44847</v>
      </c>
      <c r="B881" s="1"/>
      <c r="C881">
        <v>104.98</v>
      </c>
      <c r="D881">
        <v>70.459999999999994</v>
      </c>
      <c r="E881">
        <v>71.605689999999996</v>
      </c>
      <c r="G881" s="3">
        <v>2.8017059285754199E-3</v>
      </c>
      <c r="I881" s="15">
        <f t="shared" si="96"/>
        <v>-1.0928961748633847E-2</v>
      </c>
      <c r="J881" s="15">
        <f t="shared" si="97"/>
        <v>8.0114449213159952E-3</v>
      </c>
      <c r="K881" s="15">
        <f t="shared" si="98"/>
        <v>-2.7719066848052123E-3</v>
      </c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BJ881">
        <f t="shared" si="92"/>
        <v>7.8495561102146564E-6</v>
      </c>
      <c r="BK881">
        <f t="shared" si="94"/>
        <v>1.0566451706167025E-4</v>
      </c>
      <c r="BO881">
        <f t="shared" si="95"/>
        <v>8.4365283394179105E-5</v>
      </c>
      <c r="BP881">
        <f t="shared" si="93"/>
        <v>3.72471750894658</v>
      </c>
    </row>
    <row r="882" spans="1:68" x14ac:dyDescent="0.15">
      <c r="A882" s="5">
        <v>44848</v>
      </c>
      <c r="B882" s="1"/>
      <c r="C882">
        <v>105.66</v>
      </c>
      <c r="D882">
        <v>72.52</v>
      </c>
      <c r="E882">
        <v>72.022710000000004</v>
      </c>
      <c r="G882" s="3">
        <v>9.9189401077057707E-3</v>
      </c>
      <c r="I882" s="15">
        <f t="shared" si="96"/>
        <v>6.4774242712896989E-3</v>
      </c>
      <c r="J882" s="15">
        <f t="shared" si="97"/>
        <v>2.9236446210615986E-2</v>
      </c>
      <c r="K882" s="15">
        <f t="shared" si="98"/>
        <v>5.8238388597331853E-3</v>
      </c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BJ882">
        <f t="shared" si="92"/>
        <v>9.8385372860254161E-5</v>
      </c>
      <c r="BK882">
        <f t="shared" si="94"/>
        <v>9.9795619404582911E-5</v>
      </c>
      <c r="BO882">
        <f t="shared" si="95"/>
        <v>7.3232101807111738E-5</v>
      </c>
      <c r="BP882">
        <f t="shared" si="93"/>
        <v>3.1702631629588129</v>
      </c>
    </row>
    <row r="883" spans="1:68" x14ac:dyDescent="0.15">
      <c r="A883" s="5">
        <v>44851</v>
      </c>
      <c r="B883" s="1"/>
      <c r="C883">
        <v>107.56</v>
      </c>
      <c r="D883">
        <v>73.28</v>
      </c>
      <c r="E883">
        <v>72.970505000000003</v>
      </c>
      <c r="G883" s="3">
        <v>1.6396707282694201E-2</v>
      </c>
      <c r="I883" s="15">
        <f t="shared" si="96"/>
        <v>1.7982207079311051E-2</v>
      </c>
      <c r="J883" s="15">
        <f t="shared" si="97"/>
        <v>1.0479867622724837E-2</v>
      </c>
      <c r="K883" s="15">
        <f t="shared" si="98"/>
        <v>1.3159668665619486E-2</v>
      </c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BJ883">
        <f t="shared" si="92"/>
        <v>2.6885200971435707E-4</v>
      </c>
      <c r="BK883">
        <f t="shared" si="94"/>
        <v>9.9711004611923183E-5</v>
      </c>
      <c r="BO883">
        <f t="shared" si="95"/>
        <v>7.7393598096940324E-5</v>
      </c>
      <c r="BP883">
        <f t="shared" si="93"/>
        <v>2.077450961077469</v>
      </c>
    </row>
    <row r="884" spans="1:68" x14ac:dyDescent="0.15">
      <c r="A884" s="5">
        <v>44852</v>
      </c>
      <c r="B884" s="1"/>
      <c r="C884">
        <v>107.78</v>
      </c>
      <c r="D884">
        <v>73.48</v>
      </c>
      <c r="E884">
        <v>73.254845000000003</v>
      </c>
      <c r="G884" s="3">
        <v>7.6247919082117399E-3</v>
      </c>
      <c r="I884" s="15">
        <f t="shared" si="96"/>
        <v>2.0453700260319716E-3</v>
      </c>
      <c r="J884" s="15">
        <f t="shared" si="97"/>
        <v>2.7292576419214363E-3</v>
      </c>
      <c r="K884" s="15">
        <f t="shared" si="98"/>
        <v>3.8966428970170926E-3</v>
      </c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BJ884">
        <f t="shared" si="92"/>
        <v>5.8137451643531225E-5</v>
      </c>
      <c r="BK884">
        <f t="shared" si="94"/>
        <v>1.0985946491806923E-4</v>
      </c>
      <c r="BO884">
        <f t="shared" si="95"/>
        <v>1.0493567824850419E-4</v>
      </c>
      <c r="BP884">
        <f t="shared" si="93"/>
        <v>3.3851282548678214</v>
      </c>
    </row>
    <row r="885" spans="1:68" x14ac:dyDescent="0.15">
      <c r="A885" s="5">
        <v>44853</v>
      </c>
      <c r="B885" s="1"/>
      <c r="C885">
        <v>106.4</v>
      </c>
      <c r="D885">
        <v>74.400000000000006</v>
      </c>
      <c r="E885">
        <v>72.771469999999994</v>
      </c>
      <c r="G885" s="3">
        <v>-8.9445644749569491E-3</v>
      </c>
      <c r="I885" s="15">
        <f t="shared" si="96"/>
        <v>-1.2803859714232655E-2</v>
      </c>
      <c r="J885" s="15">
        <f t="shared" si="97"/>
        <v>1.2520413718018531E-2</v>
      </c>
      <c r="K885" s="15">
        <f t="shared" si="98"/>
        <v>-6.5985396597318504E-3</v>
      </c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BJ885">
        <f t="shared" si="92"/>
        <v>8.0005233646661877E-5</v>
      </c>
      <c r="BK885">
        <f t="shared" si="94"/>
        <v>1.0675614412159696E-4</v>
      </c>
      <c r="BO885">
        <f t="shared" si="95"/>
        <v>9.6529095407089913E-5</v>
      </c>
      <c r="BP885">
        <f t="shared" si="93"/>
        <v>3.2894845689807677</v>
      </c>
    </row>
    <row r="886" spans="1:68" x14ac:dyDescent="0.15">
      <c r="A886" s="5">
        <v>44854</v>
      </c>
      <c r="B886" s="1"/>
      <c r="C886">
        <v>105.86</v>
      </c>
      <c r="D886">
        <v>74.72</v>
      </c>
      <c r="E886">
        <v>72.22175</v>
      </c>
      <c r="G886" s="3">
        <v>-1.02000587563066E-3</v>
      </c>
      <c r="I886" s="15">
        <f t="shared" si="96"/>
        <v>-5.0751879699248706E-3</v>
      </c>
      <c r="J886" s="15">
        <f t="shared" si="97"/>
        <v>4.3010752688171124E-3</v>
      </c>
      <c r="K886" s="15">
        <f t="shared" si="98"/>
        <v>-7.5540593037352905E-3</v>
      </c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BJ886">
        <f t="shared" si="92"/>
        <v>1.0404119863210694E-6</v>
      </c>
      <c r="BK886">
        <f t="shared" si="94"/>
        <v>1.0515108949310085E-4</v>
      </c>
      <c r="BO886">
        <f t="shared" si="95"/>
        <v>9.3049563527340266E-5</v>
      </c>
      <c r="BP886">
        <f t="shared" si="93"/>
        <v>3.7166599662539963</v>
      </c>
    </row>
    <row r="887" spans="1:68" x14ac:dyDescent="0.15">
      <c r="A887" s="5">
        <v>44855</v>
      </c>
      <c r="B887" s="1"/>
      <c r="C887">
        <v>105.34</v>
      </c>
      <c r="D887">
        <v>75.08</v>
      </c>
      <c r="E887">
        <v>72.562950000000001</v>
      </c>
      <c r="G887" s="3">
        <v>-5.2362732056844196E-3</v>
      </c>
      <c r="I887" s="15">
        <f t="shared" si="96"/>
        <v>-4.9121481201586624E-3</v>
      </c>
      <c r="J887" s="15">
        <f t="shared" si="97"/>
        <v>4.8179871520342534E-3</v>
      </c>
      <c r="K887" s="15">
        <f t="shared" si="98"/>
        <v>4.7243385822138152E-3</v>
      </c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BJ887">
        <f t="shared" si="92"/>
        <v>2.7418557084568587E-5</v>
      </c>
      <c r="BK887">
        <f t="shared" si="94"/>
        <v>9.8904448842694051E-5</v>
      </c>
      <c r="BO887">
        <f t="shared" si="95"/>
        <v>7.9074107610570461E-5</v>
      </c>
      <c r="BP887">
        <f t="shared" si="93"/>
        <v>3.6302514682208749</v>
      </c>
    </row>
    <row r="888" spans="1:68" x14ac:dyDescent="0.15">
      <c r="A888" s="5">
        <v>44858</v>
      </c>
      <c r="B888" s="1"/>
      <c r="C888">
        <v>107.12</v>
      </c>
      <c r="D888">
        <v>76.099999999999994</v>
      </c>
      <c r="E888">
        <v>73.908820000000006</v>
      </c>
      <c r="G888" s="3">
        <v>1.6981564576388799E-2</v>
      </c>
      <c r="I888" s="15">
        <f t="shared" si="96"/>
        <v>1.689766470476553E-2</v>
      </c>
      <c r="J888" s="15">
        <f t="shared" si="97"/>
        <v>1.3585508790623282E-2</v>
      </c>
      <c r="K888" s="15">
        <f t="shared" si="98"/>
        <v>1.8547619687457648E-2</v>
      </c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BJ888">
        <f t="shared" si="92"/>
        <v>2.883735354620629E-4</v>
      </c>
      <c r="BK888">
        <f t="shared" si="94"/>
        <v>9.4615295337206515E-5</v>
      </c>
      <c r="BO888">
        <f t="shared" si="95"/>
        <v>7.1868836408097239E-5</v>
      </c>
      <c r="BP888">
        <f t="shared" si="93"/>
        <v>1.845146562279615</v>
      </c>
    </row>
    <row r="889" spans="1:68" x14ac:dyDescent="0.15">
      <c r="A889" s="5">
        <v>44859</v>
      </c>
      <c r="B889" s="1"/>
      <c r="C889">
        <v>108.16</v>
      </c>
      <c r="D889">
        <v>76.38</v>
      </c>
      <c r="E889">
        <v>73.776120000000006</v>
      </c>
      <c r="G889" s="3">
        <v>1.6781481628177199E-2</v>
      </c>
      <c r="I889" s="15">
        <f t="shared" si="96"/>
        <v>9.7087378640775945E-3</v>
      </c>
      <c r="J889" s="15">
        <f t="shared" si="97"/>
        <v>3.6793692509855605E-3</v>
      </c>
      <c r="K889" s="15">
        <f t="shared" si="98"/>
        <v>-1.7954555356180738E-3</v>
      </c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BJ889">
        <f t="shared" si="92"/>
        <v>2.8161812563684882E-4</v>
      </c>
      <c r="BK889">
        <f t="shared" si="94"/>
        <v>1.062407897446979E-4</v>
      </c>
      <c r="BO889">
        <f t="shared" si="95"/>
        <v>1.0338243158225074E-4</v>
      </c>
      <c r="BP889">
        <f t="shared" si="93"/>
        <v>2.3075780324335318</v>
      </c>
    </row>
    <row r="890" spans="1:68" x14ac:dyDescent="0.15">
      <c r="A890" s="5">
        <v>44860</v>
      </c>
      <c r="B890" s="1"/>
      <c r="C890">
        <v>108.36</v>
      </c>
      <c r="D890">
        <v>76.56</v>
      </c>
      <c r="E890">
        <v>74.534360000000007</v>
      </c>
      <c r="G890" s="3">
        <v>4.0724491703063494E-3</v>
      </c>
      <c r="I890" s="15">
        <f t="shared" si="96"/>
        <v>1.8491124260355293E-3</v>
      </c>
      <c r="J890" s="15">
        <f t="shared" si="97"/>
        <v>2.3566378633150934E-3</v>
      </c>
      <c r="K890" s="15">
        <f t="shared" si="98"/>
        <v>1.0277580333582203E-2</v>
      </c>
      <c r="L890" s="15"/>
      <c r="M890" s="15"/>
      <c r="N890" s="15"/>
      <c r="O890" s="15"/>
      <c r="P890" s="15"/>
      <c r="Q890" s="15"/>
      <c r="R890" s="15"/>
      <c r="S890" s="21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BJ890">
        <f t="shared" si="92"/>
        <v>1.6584842244728875E-5</v>
      </c>
      <c r="BK890">
        <f t="shared" si="94"/>
        <v>1.1676342989822697E-4</v>
      </c>
      <c r="BO890">
        <f t="shared" si="95"/>
        <v>1.2713892140639606E-4</v>
      </c>
      <c r="BP890">
        <f t="shared" si="93"/>
        <v>3.5009532580678622</v>
      </c>
    </row>
    <row r="891" spans="1:68" x14ac:dyDescent="0.15">
      <c r="A891" s="5">
        <v>44861</v>
      </c>
      <c r="B891" s="1"/>
      <c r="C891">
        <v>107.3</v>
      </c>
      <c r="D891">
        <v>77.239999999999995</v>
      </c>
      <c r="E891">
        <v>74.524879999999996</v>
      </c>
      <c r="G891" s="3">
        <v>-1.0224000450326801E-2</v>
      </c>
      <c r="I891" s="15">
        <f t="shared" si="96"/>
        <v>-9.7822074566260818E-3</v>
      </c>
      <c r="J891" s="15">
        <f t="shared" si="97"/>
        <v>8.8819226750260268E-3</v>
      </c>
      <c r="K891" s="15">
        <f t="shared" si="98"/>
        <v>-1.2718966125167762E-4</v>
      </c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BJ891">
        <f t="shared" si="92"/>
        <v>1.0453018520828262E-4</v>
      </c>
      <c r="BK891">
        <f t="shared" si="94"/>
        <v>1.1075271463901708E-4</v>
      </c>
      <c r="BO891">
        <f t="shared" si="95"/>
        <v>1.0802691857845638E-4</v>
      </c>
      <c r="BP891">
        <f t="shared" si="93"/>
        <v>3.1638110711777014</v>
      </c>
    </row>
    <row r="892" spans="1:68" x14ac:dyDescent="0.15">
      <c r="A892" s="5">
        <v>44862</v>
      </c>
      <c r="B892" s="1"/>
      <c r="C892">
        <v>107.76</v>
      </c>
      <c r="D892">
        <v>75.42</v>
      </c>
      <c r="E892">
        <v>75.899185000000003</v>
      </c>
      <c r="G892" s="3">
        <v>6.1417928264482198E-3</v>
      </c>
      <c r="I892" s="15">
        <f t="shared" si="96"/>
        <v>4.2870456663560855E-3</v>
      </c>
      <c r="J892" s="15">
        <f t="shared" si="97"/>
        <v>-2.3562920766442171E-2</v>
      </c>
      <c r="K892" s="15">
        <f t="shared" si="98"/>
        <v>1.8440888465704432E-2</v>
      </c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BJ892">
        <f t="shared" si="92"/>
        <v>3.7721619123010814E-5</v>
      </c>
      <c r="BK892">
        <f t="shared" si="94"/>
        <v>1.1037936287317302E-4</v>
      </c>
      <c r="BO892">
        <f t="shared" si="95"/>
        <v>1.0556106072013264E-4</v>
      </c>
      <c r="BP892">
        <f t="shared" si="93"/>
        <v>3.480499930487734</v>
      </c>
    </row>
    <row r="893" spans="1:68" x14ac:dyDescent="0.15">
      <c r="A893" s="5">
        <v>44865</v>
      </c>
      <c r="B893" s="1"/>
      <c r="C893">
        <v>109.04</v>
      </c>
      <c r="D893">
        <v>74.400000000000006</v>
      </c>
      <c r="E893">
        <v>76.676379999999995</v>
      </c>
      <c r="G893" s="3">
        <v>5.1575234794680701E-3</v>
      </c>
      <c r="I893" s="15">
        <f t="shared" si="96"/>
        <v>1.1878247958426142E-2</v>
      </c>
      <c r="J893" s="15">
        <f t="shared" si="97"/>
        <v>-1.352426412092278E-2</v>
      </c>
      <c r="K893" s="15">
        <f t="shared" si="98"/>
        <v>1.0239833273571934E-2</v>
      </c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BJ893">
        <f t="shared" si="92"/>
        <v>2.6600048441264427E-5</v>
      </c>
      <c r="BK893">
        <f t="shared" si="94"/>
        <v>1.0601989824816328E-4</v>
      </c>
      <c r="BO893">
        <f t="shared" si="95"/>
        <v>9.4112005449397819E-5</v>
      </c>
      <c r="BP893">
        <f t="shared" si="93"/>
        <v>3.5752527072045646</v>
      </c>
    </row>
    <row r="894" spans="1:68" x14ac:dyDescent="0.15">
      <c r="A894" s="5">
        <v>44866</v>
      </c>
      <c r="B894" s="1"/>
      <c r="C894">
        <v>108.44</v>
      </c>
      <c r="D894">
        <v>74.72</v>
      </c>
      <c r="E894">
        <v>76.496290000000002</v>
      </c>
      <c r="G894" s="3">
        <v>-4.0895287069447799E-3</v>
      </c>
      <c r="I894" s="15">
        <f t="shared" si="96"/>
        <v>-5.5025678650037465E-3</v>
      </c>
      <c r="J894" s="15">
        <f t="shared" si="97"/>
        <v>4.3010752688171124E-3</v>
      </c>
      <c r="K894" s="15">
        <f t="shared" si="98"/>
        <v>-2.3487024296138235E-3</v>
      </c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BJ894">
        <f t="shared" si="92"/>
        <v>1.6724245044925443E-5</v>
      </c>
      <c r="BK894">
        <f t="shared" si="94"/>
        <v>1.0125470725974936E-4</v>
      </c>
      <c r="BO894">
        <f t="shared" si="95"/>
        <v>8.3547672800489073E-5</v>
      </c>
      <c r="BP894">
        <f t="shared" si="93"/>
        <v>3.6760200089649491</v>
      </c>
    </row>
    <row r="895" spans="1:68" x14ac:dyDescent="0.15">
      <c r="A895" s="5">
        <v>44867</v>
      </c>
      <c r="B895" s="1"/>
      <c r="C895">
        <v>108.98</v>
      </c>
      <c r="D895">
        <v>74.319999999999993</v>
      </c>
      <c r="E895">
        <v>76.913319999999999</v>
      </c>
      <c r="G895" s="3">
        <v>2.0932980802203997E-3</v>
      </c>
      <c r="I895" s="15">
        <f t="shared" si="96"/>
        <v>4.9797122832903563E-3</v>
      </c>
      <c r="J895" s="15">
        <f t="shared" si="97"/>
        <v>-5.3533190578159218E-3</v>
      </c>
      <c r="K895" s="15">
        <f t="shared" si="98"/>
        <v>5.4516369355951362E-3</v>
      </c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BJ895">
        <f t="shared" si="92"/>
        <v>4.3818968526544112E-6</v>
      </c>
      <c r="BK895">
        <f t="shared" si="94"/>
        <v>9.618287952685992E-5</v>
      </c>
      <c r="BO895">
        <f t="shared" si="95"/>
        <v>7.3854720248879528E-5</v>
      </c>
      <c r="BP895">
        <f t="shared" si="93"/>
        <v>3.8081011319985318</v>
      </c>
    </row>
    <row r="896" spans="1:68" x14ac:dyDescent="0.15">
      <c r="A896" s="5">
        <v>44868</v>
      </c>
      <c r="B896" s="1"/>
      <c r="C896">
        <v>108.16</v>
      </c>
      <c r="D896">
        <v>74.180000000000007</v>
      </c>
      <c r="E896">
        <v>76.970184000000003</v>
      </c>
      <c r="G896" s="3">
        <v>-8.8498761030009199E-3</v>
      </c>
      <c r="I896" s="15">
        <f t="shared" si="96"/>
        <v>-7.5243163883282008E-3</v>
      </c>
      <c r="J896" s="15">
        <f t="shared" si="97"/>
        <v>-1.8837459634013236E-3</v>
      </c>
      <c r="K896" s="15">
        <f t="shared" si="98"/>
        <v>7.3932577608149625E-4</v>
      </c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BJ896">
        <f t="shared" si="92"/>
        <v>7.832030703846675E-5</v>
      </c>
      <c r="BK896">
        <f t="shared" si="94"/>
        <v>9.067482056640758E-5</v>
      </c>
      <c r="BO896">
        <f t="shared" si="95"/>
        <v>6.449397401339867E-5</v>
      </c>
      <c r="BP896">
        <f t="shared" si="93"/>
        <v>3.2983399585378574</v>
      </c>
    </row>
    <row r="897" spans="1:68" x14ac:dyDescent="0.15">
      <c r="A897" s="5">
        <v>44869</v>
      </c>
      <c r="B897" s="1"/>
      <c r="C897">
        <v>108.66</v>
      </c>
      <c r="D897">
        <v>75.319999999999993</v>
      </c>
      <c r="E897">
        <v>76.932274000000007</v>
      </c>
      <c r="G897" s="3">
        <v>7.2054927882798606E-3</v>
      </c>
      <c r="I897" s="15">
        <f t="shared" si="96"/>
        <v>4.6227810650887576E-3</v>
      </c>
      <c r="J897" s="15">
        <f t="shared" si="97"/>
        <v>1.5368023726071533E-2</v>
      </c>
      <c r="K897" s="15">
        <f t="shared" si="98"/>
        <v>-4.9252837956053936E-4</v>
      </c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BJ897">
        <f t="shared" si="92"/>
        <v>5.1919126321953083E-5</v>
      </c>
      <c r="BK897">
        <f t="shared" si="94"/>
        <v>8.9933549754731126E-5</v>
      </c>
      <c r="BO897">
        <f t="shared" si="95"/>
        <v>6.7681925274557024E-5</v>
      </c>
      <c r="BP897">
        <f t="shared" si="93"/>
        <v>3.4978547903014241</v>
      </c>
    </row>
    <row r="898" spans="1:68" x14ac:dyDescent="0.15">
      <c r="A898" s="5">
        <v>44872</v>
      </c>
      <c r="B898" s="1"/>
      <c r="C898">
        <v>107.58</v>
      </c>
      <c r="D898">
        <v>74.48</v>
      </c>
      <c r="E898">
        <v>76.392039999999994</v>
      </c>
      <c r="G898" s="3">
        <v>-3.46444475472196E-3</v>
      </c>
      <c r="I898" s="15">
        <f t="shared" si="96"/>
        <v>-9.9392600773053411E-3</v>
      </c>
      <c r="J898" s="15">
        <f t="shared" si="97"/>
        <v>-1.1152416356877181E-2</v>
      </c>
      <c r="K898" s="15">
        <f t="shared" si="98"/>
        <v>-7.0222024114354438E-3</v>
      </c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BJ898">
        <f t="shared" ref="BJ898:BJ961" si="99">G898^2</f>
        <v>1.2002377458520501E-5</v>
      </c>
      <c r="BK898">
        <f t="shared" si="94"/>
        <v>8.7652684348764445E-5</v>
      </c>
      <c r="BO898">
        <f t="shared" si="95"/>
        <v>6.6422425577592056E-5</v>
      </c>
      <c r="BP898">
        <f t="shared" ref="BP898:BP961" si="100" xml:space="preserve"> -0.5 * (LN(2 * PI()) + LN(BO898) + (BJ898) / BO898)</f>
        <v>3.8004505443402943</v>
      </c>
    </row>
    <row r="899" spans="1:68" x14ac:dyDescent="0.15">
      <c r="A899" s="5">
        <v>44873</v>
      </c>
      <c r="B899" s="1"/>
      <c r="C899">
        <v>107.92</v>
      </c>
      <c r="D899">
        <v>74.86</v>
      </c>
      <c r="E899">
        <v>76.628979999999999</v>
      </c>
      <c r="G899" s="3">
        <v>7.1297207947771304E-3</v>
      </c>
      <c r="I899" s="15">
        <f t="shared" si="96"/>
        <v>3.1604387432608611E-3</v>
      </c>
      <c r="J899" s="15">
        <f t="shared" si="97"/>
        <v>5.1020408163264695E-3</v>
      </c>
      <c r="K899" s="15">
        <f t="shared" si="98"/>
        <v>3.1016320548581263E-3</v>
      </c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BJ899">
        <f t="shared" si="99"/>
        <v>5.0832918611477437E-5</v>
      </c>
      <c r="BK899">
        <f t="shared" ref="BK899:BK962" si="101">$BM$2 * BK898 + (1 - $BM$2) * BJ898</f>
        <v>8.3113665935349808E-5</v>
      </c>
      <c r="BO899">
        <f t="shared" ref="BO899:BO962" si="102" xml:space="preserve"> $BR$2 + $BS$2 * BJ898 + $BT$2 * BO898</f>
        <v>5.9749549782949777E-5</v>
      </c>
      <c r="BP899">
        <f t="shared" si="100"/>
        <v>3.5183526405612806</v>
      </c>
    </row>
    <row r="900" spans="1:68" x14ac:dyDescent="0.15">
      <c r="A900" s="5">
        <v>44874</v>
      </c>
      <c r="B900" s="1"/>
      <c r="C900">
        <v>109.12</v>
      </c>
      <c r="D900">
        <v>76.400000000000006</v>
      </c>
      <c r="E900">
        <v>77.538864000000004</v>
      </c>
      <c r="G900" s="3">
        <v>7.1389532407539705E-3</v>
      </c>
      <c r="I900" s="15">
        <f t="shared" ref="I900:I963" si="103">(C900-C899)/C899</f>
        <v>1.1119347664937017E-2</v>
      </c>
      <c r="J900" s="15">
        <f t="shared" ref="J900:J963" si="104">(D900-D899)/D899</f>
        <v>2.0571733903286218E-2</v>
      </c>
      <c r="K900" s="15">
        <f t="shared" ref="K900:K963" si="105">(E900-E899)/E899</f>
        <v>1.1873888964723337E-2</v>
      </c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BJ900">
        <f t="shared" si="99"/>
        <v>5.0964653373671615E-5</v>
      </c>
      <c r="BK900">
        <f t="shared" si="101"/>
        <v>8.1176821095917465E-5</v>
      </c>
      <c r="BO900">
        <f t="shared" si="102"/>
        <v>6.0045740349961416E-5</v>
      </c>
      <c r="BP900">
        <f t="shared" si="100"/>
        <v>3.5168815184796141</v>
      </c>
    </row>
    <row r="901" spans="1:68" x14ac:dyDescent="0.15">
      <c r="A901" s="5">
        <v>44875</v>
      </c>
      <c r="B901" s="1"/>
      <c r="C901">
        <v>110.08</v>
      </c>
      <c r="D901">
        <v>78.38</v>
      </c>
      <c r="E901">
        <v>78.003280000000004</v>
      </c>
      <c r="G901" s="3">
        <v>1.9823023434097201E-2</v>
      </c>
      <c r="I901" s="15">
        <f t="shared" si="103"/>
        <v>8.7976539589442234E-3</v>
      </c>
      <c r="J901" s="15">
        <f t="shared" si="104"/>
        <v>2.5916230366492012E-2</v>
      </c>
      <c r="K901" s="15">
        <f t="shared" si="105"/>
        <v>5.989460975337476E-3</v>
      </c>
      <c r="L901" s="15"/>
      <c r="M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BJ901">
        <f t="shared" si="99"/>
        <v>3.9295225806876678E-4</v>
      </c>
      <c r="BK901">
        <f t="shared" si="101"/>
        <v>7.9364091032582711E-5</v>
      </c>
      <c r="BO901">
        <f t="shared" si="102"/>
        <v>6.0296827646833975E-5</v>
      </c>
      <c r="BP901">
        <f t="shared" si="100"/>
        <v>0.68069497464319229</v>
      </c>
    </row>
    <row r="902" spans="1:68" x14ac:dyDescent="0.15">
      <c r="A902" s="5">
        <v>44876</v>
      </c>
      <c r="B902" s="1"/>
      <c r="C902">
        <v>108.06</v>
      </c>
      <c r="D902">
        <v>80.16</v>
      </c>
      <c r="E902">
        <v>74.885050000000007</v>
      </c>
      <c r="G902" s="3">
        <v>5.9857989482714393E-4</v>
      </c>
      <c r="I902" s="15">
        <f t="shared" si="103"/>
        <v>-1.8350290697674382E-2</v>
      </c>
      <c r="J902" s="15">
        <f t="shared" si="104"/>
        <v>2.2709874968104123E-2</v>
      </c>
      <c r="K902" s="15">
        <f t="shared" si="105"/>
        <v>-3.9975626665955548E-2</v>
      </c>
      <c r="L902" s="15"/>
      <c r="M902" s="15"/>
      <c r="N902" s="39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43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BJ902">
        <f t="shared" si="99"/>
        <v>3.5829789049127471E-7</v>
      </c>
      <c r="BK902">
        <f t="shared" si="101"/>
        <v>9.8179381054753774E-5</v>
      </c>
      <c r="BO902">
        <f t="shared" si="102"/>
        <v>1.0919971443493388E-4</v>
      </c>
      <c r="BP902">
        <f t="shared" si="100"/>
        <v>3.6405869592593043</v>
      </c>
    </row>
    <row r="903" spans="1:68" x14ac:dyDescent="0.15">
      <c r="A903" s="5">
        <v>44879</v>
      </c>
      <c r="B903" s="1"/>
      <c r="C903">
        <v>108.08</v>
      </c>
      <c r="D903">
        <v>80.66</v>
      </c>
      <c r="E903">
        <v>74.686009999999996</v>
      </c>
      <c r="G903" s="3">
        <v>-1.14639349161387E-2</v>
      </c>
      <c r="I903" s="15">
        <f t="shared" si="103"/>
        <v>1.8508236165089783E-4</v>
      </c>
      <c r="J903" s="15">
        <f t="shared" si="104"/>
        <v>6.2375249500998004E-3</v>
      </c>
      <c r="K903" s="15">
        <f t="shared" si="105"/>
        <v>-2.6579404033249725E-3</v>
      </c>
      <c r="L903" s="15"/>
      <c r="M903" s="15"/>
      <c r="N903" s="38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BJ903">
        <f t="shared" si="99"/>
        <v>1.3142180376146402E-4</v>
      </c>
      <c r="BK903">
        <f t="shared" si="101"/>
        <v>9.231011606489801E-5</v>
      </c>
      <c r="BO903">
        <f t="shared" si="102"/>
        <v>9.1644797088736871E-5</v>
      </c>
      <c r="BP903">
        <f t="shared" si="100"/>
        <v>3.0128393778002711</v>
      </c>
    </row>
    <row r="904" spans="1:68" x14ac:dyDescent="0.15">
      <c r="A904" s="5">
        <v>44880</v>
      </c>
      <c r="B904" s="1"/>
      <c r="C904">
        <v>107.76</v>
      </c>
      <c r="D904">
        <v>79.819999999999993</v>
      </c>
      <c r="E904">
        <v>75.501114000000001</v>
      </c>
      <c r="G904" s="3">
        <v>2.42134200886989E-3</v>
      </c>
      <c r="I904" s="15">
        <f t="shared" si="103"/>
        <v>-2.9607698001479755E-3</v>
      </c>
      <c r="J904" s="15">
        <f t="shared" si="104"/>
        <v>-1.0414083808579264E-2</v>
      </c>
      <c r="K904" s="15">
        <f t="shared" si="105"/>
        <v>1.0913744086744026E-2</v>
      </c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BJ904">
        <f t="shared" si="99"/>
        <v>5.8628971239180745E-6</v>
      </c>
      <c r="BK904">
        <f t="shared" si="101"/>
        <v>9.4656817326691973E-5</v>
      </c>
      <c r="BO904">
        <f t="shared" si="102"/>
        <v>9.654118100408475E-5</v>
      </c>
      <c r="BP904">
        <f t="shared" si="100"/>
        <v>3.6734671667758656</v>
      </c>
    </row>
    <row r="905" spans="1:68" x14ac:dyDescent="0.15">
      <c r="A905" s="5">
        <v>44881</v>
      </c>
      <c r="B905" s="1"/>
      <c r="C905">
        <v>108.46</v>
      </c>
      <c r="D905">
        <v>78.86</v>
      </c>
      <c r="E905">
        <v>74.913480000000007</v>
      </c>
      <c r="G905" s="3">
        <v>-8.1257187089511795E-3</v>
      </c>
      <c r="I905" s="15">
        <f t="shared" si="103"/>
        <v>6.4959168522641855E-3</v>
      </c>
      <c r="J905" s="15">
        <f t="shared" si="104"/>
        <v>-1.2027060886995664E-2</v>
      </c>
      <c r="K905" s="15">
        <f t="shared" si="105"/>
        <v>-7.783116948446538E-3</v>
      </c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41">
        <v>1.4</v>
      </c>
      <c r="Z905" s="15"/>
      <c r="AA905" s="15"/>
      <c r="AB905" s="41">
        <v>1.4</v>
      </c>
      <c r="AC905" s="15"/>
      <c r="AD905" s="15"/>
      <c r="AE905" s="15"/>
      <c r="AF905" s="15"/>
      <c r="AG905" s="15"/>
      <c r="AH905" s="41">
        <v>1.5</v>
      </c>
      <c r="AI905" s="41">
        <v>1.5</v>
      </c>
      <c r="AJ905" s="15"/>
      <c r="AK905" s="15"/>
      <c r="AL905" s="15"/>
      <c r="AM905" s="15"/>
      <c r="AN905" s="15"/>
      <c r="BJ905">
        <f t="shared" si="99"/>
        <v>6.6027304536999225E-5</v>
      </c>
      <c r="BK905">
        <f t="shared" si="101"/>
        <v>8.9329182114525538E-5</v>
      </c>
      <c r="BO905">
        <f t="shared" si="102"/>
        <v>8.2499677647397205E-5</v>
      </c>
      <c r="BP905">
        <f t="shared" si="100"/>
        <v>3.3822525071462732</v>
      </c>
    </row>
    <row r="906" spans="1:68" ht="14" x14ac:dyDescent="0.15">
      <c r="A906" s="5">
        <v>44882</v>
      </c>
      <c r="B906" s="1"/>
      <c r="C906">
        <v>109.88</v>
      </c>
      <c r="D906">
        <v>79.28</v>
      </c>
      <c r="E906">
        <v>74.951390000000004</v>
      </c>
      <c r="G906" s="3">
        <v>-1.7138826629714498E-3</v>
      </c>
      <c r="I906" s="15">
        <f t="shared" si="103"/>
        <v>1.3092384289138869E-2</v>
      </c>
      <c r="J906" s="15">
        <f t="shared" si="104"/>
        <v>5.3258939893482335E-3</v>
      </c>
      <c r="K906" s="15">
        <f t="shared" si="105"/>
        <v>5.0605044646165884E-4</v>
      </c>
      <c r="L906" s="15">
        <v>1.4E-2</v>
      </c>
      <c r="M906" s="15"/>
      <c r="N906" s="15"/>
      <c r="O906" s="15"/>
      <c r="P906" s="15"/>
      <c r="Q906" s="15"/>
      <c r="R906" s="15"/>
      <c r="S906" s="21" t="s">
        <v>70</v>
      </c>
      <c r="T906" s="15"/>
      <c r="U906" s="15"/>
      <c r="V906" s="21" t="s">
        <v>71</v>
      </c>
      <c r="W906" s="15"/>
      <c r="X906" s="15"/>
      <c r="Y906" s="21" t="s">
        <v>72</v>
      </c>
      <c r="Z906" s="15"/>
      <c r="AA906" s="15"/>
      <c r="AB906" s="21" t="s">
        <v>73</v>
      </c>
      <c r="AC906" s="15"/>
      <c r="AD906" s="15"/>
      <c r="AE906" s="15" t="s">
        <v>74</v>
      </c>
      <c r="AF906" s="15"/>
      <c r="AG906" s="15"/>
      <c r="AH906" s="21" t="s">
        <v>75</v>
      </c>
      <c r="AI906" s="48" t="s">
        <v>76</v>
      </c>
      <c r="AJ906" s="21" t="s">
        <v>77</v>
      </c>
      <c r="AK906" s="21" t="s">
        <v>78</v>
      </c>
      <c r="AL906" s="15" t="s">
        <v>78</v>
      </c>
      <c r="AM906" s="15"/>
      <c r="AN906" s="15"/>
      <c r="BJ906">
        <f t="shared" si="99"/>
        <v>2.9373937824341079E-6</v>
      </c>
      <c r="BK906">
        <f t="shared" si="101"/>
        <v>8.7931069459873965E-5</v>
      </c>
      <c r="BO906">
        <f t="shared" si="102"/>
        <v>8.0054446089997572E-5</v>
      </c>
      <c r="BP906">
        <f t="shared" si="100"/>
        <v>3.7791170309840907</v>
      </c>
    </row>
    <row r="907" spans="1:68" ht="15" x14ac:dyDescent="0.15">
      <c r="A907" s="5">
        <v>44883</v>
      </c>
      <c r="B907" s="1"/>
      <c r="C907">
        <v>110.88</v>
      </c>
      <c r="D907">
        <v>80.52</v>
      </c>
      <c r="E907">
        <v>77.254524000000004</v>
      </c>
      <c r="G907" s="3">
        <v>1.1688557139026098E-2</v>
      </c>
      <c r="I907" s="15">
        <f t="shared" si="103"/>
        <v>9.1008372770294867E-3</v>
      </c>
      <c r="J907" s="15">
        <f t="shared" si="104"/>
        <v>1.5640766902119008E-2</v>
      </c>
      <c r="K907" s="15">
        <f t="shared" si="105"/>
        <v>3.0728369413829417E-2</v>
      </c>
      <c r="L907" s="21" t="s">
        <v>79</v>
      </c>
      <c r="M907" s="21"/>
      <c r="N907" s="2" t="s">
        <v>8</v>
      </c>
      <c r="O907" s="2" t="s">
        <v>80</v>
      </c>
      <c r="P907" s="2" t="s">
        <v>81</v>
      </c>
      <c r="Q907" s="2" t="s">
        <v>82</v>
      </c>
      <c r="R907" s="21" t="s">
        <v>83</v>
      </c>
      <c r="S907" s="2" t="s">
        <v>84</v>
      </c>
      <c r="T907" s="2" t="s">
        <v>85</v>
      </c>
      <c r="U907" s="2" t="s">
        <v>86</v>
      </c>
      <c r="V907" s="2" t="s">
        <v>87</v>
      </c>
      <c r="W907" s="2" t="s">
        <v>88</v>
      </c>
      <c r="X907" s="2" t="s">
        <v>89</v>
      </c>
      <c r="Y907" s="37" t="s">
        <v>90</v>
      </c>
      <c r="Z907" s="2" t="s">
        <v>2</v>
      </c>
      <c r="AA907" s="2" t="s">
        <v>3</v>
      </c>
      <c r="AB907" s="37" t="s">
        <v>91</v>
      </c>
      <c r="AC907" s="2" t="s">
        <v>92</v>
      </c>
      <c r="AD907" s="2" t="s">
        <v>93</v>
      </c>
      <c r="AE907" s="2" t="s">
        <v>94</v>
      </c>
      <c r="AF907" s="2" t="s">
        <v>95</v>
      </c>
      <c r="AG907" s="2" t="s">
        <v>96</v>
      </c>
      <c r="AH907" s="2"/>
      <c r="AI907" s="2"/>
      <c r="AJ907" s="2"/>
      <c r="AK907" s="2" t="s">
        <v>9</v>
      </c>
      <c r="AL907" s="2" t="s">
        <v>10</v>
      </c>
      <c r="AM907" s="12"/>
      <c r="AN907" s="2">
        <v>1.3</v>
      </c>
      <c r="AO907" s="12" t="s">
        <v>97</v>
      </c>
      <c r="AP907" s="12" t="s">
        <v>12</v>
      </c>
      <c r="AQ907" s="12" t="s">
        <v>13</v>
      </c>
      <c r="AR907" s="12" t="s">
        <v>14</v>
      </c>
      <c r="AU907" s="12"/>
      <c r="AV907" s="12"/>
      <c r="AW907" s="12"/>
      <c r="BJ907">
        <f t="shared" si="99"/>
        <v>1.3662236799227796E-4</v>
      </c>
      <c r="BK907">
        <f t="shared" si="101"/>
        <v>8.2831448919227563E-5</v>
      </c>
      <c r="BO907">
        <f t="shared" si="102"/>
        <v>6.9151181247134504E-5</v>
      </c>
      <c r="BP907">
        <f t="shared" si="100"/>
        <v>2.8828164337655946</v>
      </c>
    </row>
    <row r="908" spans="1:68" x14ac:dyDescent="0.15">
      <c r="A908" s="16">
        <v>44886</v>
      </c>
      <c r="B908" s="17"/>
      <c r="C908" s="18">
        <v>112.14</v>
      </c>
      <c r="D908" s="18">
        <v>80.12</v>
      </c>
      <c r="E908" s="18">
        <v>78.600390000000004</v>
      </c>
      <c r="F908" s="18"/>
      <c r="G908" s="19">
        <v>3.5805560355346398E-3</v>
      </c>
      <c r="H908" s="18"/>
      <c r="I908" s="20">
        <f t="shared" si="103"/>
        <v>1.1363636363636411E-2</v>
      </c>
      <c r="J908" s="20">
        <f t="shared" si="104"/>
        <v>-4.9677098857425668E-3</v>
      </c>
      <c r="K908" s="20">
        <f t="shared" si="105"/>
        <v>1.7421193353026172E-2</v>
      </c>
      <c r="L908" s="32">
        <f>2.33*R908*AP908</f>
        <v>271339.52671886928</v>
      </c>
      <c r="M908" s="20"/>
      <c r="N908" s="32">
        <f>C908*$AV$5</f>
        <v>-3364200</v>
      </c>
      <c r="O908" s="34">
        <f t="shared" ref="O908:O971" si="106">N908/AP908</f>
        <v>-0.39429311291986557</v>
      </c>
      <c r="P908" s="34">
        <f t="shared" ref="P908:P971" si="107">AK908/AP908</f>
        <v>0.6573192718922104</v>
      </c>
      <c r="Q908" s="34">
        <f t="shared" ref="Q908:Q971" si="108">AL908/AP908</f>
        <v>0.73697384102765529</v>
      </c>
      <c r="R908" s="35" cm="1">
        <f t="array" ref="R908">SQRT(MMULT(O908:Q908, MMULT($AU$32:$AW$34,TRANSPOSE(O908:Q908))))</f>
        <v>1.364880179259193E-2</v>
      </c>
      <c r="S908" s="36" cm="1">
        <f t="array" ref="S908:U908">TRANSPOSE(MMULT($AU$32:$AW$34, TRANSPOSE(O908:Q908))/MMULT(O908:Q908, MMULT($AU$32:$AW$34,TRANSPOSE(O908:Q908))))</f>
        <v>0.12893054853394087</v>
      </c>
      <c r="T908" s="36">
        <v>0.99509050392507292</v>
      </c>
      <c r="U908" s="36">
        <v>0.53834239390614091</v>
      </c>
      <c r="V908" s="35">
        <f>(L908/AP908)*S908</f>
        <v>4.1002116795432969E-3</v>
      </c>
      <c r="W908" s="35">
        <f>(L908/AP908)*T908</f>
        <v>3.164557781526952E-2</v>
      </c>
      <c r="X908" s="35">
        <f>(L908/AP908)*U908</f>
        <v>1.7120207710170275E-2</v>
      </c>
      <c r="Y908" s="32">
        <f>(V908*N908)</f>
        <v>-13793.93213231956</v>
      </c>
      <c r="Z908" s="32">
        <f>W908*AK908</f>
        <v>177481.05861915759</v>
      </c>
      <c r="AA908" s="32">
        <f>X908*AL908</f>
        <v>107652.40023203126</v>
      </c>
      <c r="AB908" s="40">
        <f>Y908/L908</f>
        <v>-5.0836427331913354E-2</v>
      </c>
      <c r="AC908" s="40">
        <f>Z908/L908</f>
        <v>0.65409216550688165</v>
      </c>
      <c r="AD908" s="40">
        <f>AA908/L908</f>
        <v>0.3967442618250317</v>
      </c>
      <c r="AE908" s="32">
        <v>2000000</v>
      </c>
      <c r="AF908" s="32">
        <v>1000000</v>
      </c>
      <c r="AG908" s="32">
        <v>-1000000</v>
      </c>
      <c r="AH908" s="32">
        <f>SUMPRODUCT(V908:X908, AE908:AG908)</f>
        <v>22725.793464185837</v>
      </c>
      <c r="AI908" s="32">
        <f>AH908+L1470</f>
        <v>476656.51459743187</v>
      </c>
      <c r="AJ908" s="32">
        <f>2.33*AJ909*(AE909+AF909+AG909)</f>
        <v>489223.27623543667</v>
      </c>
      <c r="AK908" s="33">
        <f t="shared" ref="AK908:AK971" si="109">D908*$AV$6</f>
        <v>5608400</v>
      </c>
      <c r="AL908" s="33">
        <f t="shared" ref="AL908:AL971" si="110">E908*$AV$7</f>
        <v>6288031.2000000002</v>
      </c>
      <c r="AM908" s="34"/>
      <c r="AN908" s="33"/>
      <c r="AO908" s="31">
        <v>0</v>
      </c>
      <c r="AP908" s="22">
        <f>AX8</f>
        <v>8532231.1999999993</v>
      </c>
      <c r="AQ908">
        <v>0</v>
      </c>
      <c r="AT908" s="12"/>
      <c r="AW908" s="28"/>
      <c r="AX908" s="23"/>
      <c r="BJ908">
        <f t="shared" si="99"/>
        <v>1.2820381523603536E-5</v>
      </c>
      <c r="BK908">
        <f t="shared" si="101"/>
        <v>8.605890406361059E-5</v>
      </c>
      <c r="BO908">
        <f t="shared" si="102"/>
        <v>7.9638330513598355E-5</v>
      </c>
      <c r="BP908">
        <f t="shared" si="100"/>
        <v>3.7195777127472649</v>
      </c>
    </row>
    <row r="909" spans="1:68" x14ac:dyDescent="0.15">
      <c r="A909" s="5">
        <v>44887</v>
      </c>
      <c r="B909" s="1"/>
      <c r="C909">
        <v>112.28</v>
      </c>
      <c r="D909">
        <v>80.180000000000007</v>
      </c>
      <c r="E909">
        <v>79.159583999999995</v>
      </c>
      <c r="G909" s="3">
        <v>-9.6931540111055894E-4</v>
      </c>
      <c r="I909" s="15">
        <f t="shared" si="103"/>
        <v>1.2484394506866467E-3</v>
      </c>
      <c r="J909" s="15">
        <f t="shared" si="104"/>
        <v>7.4887668497256954E-4</v>
      </c>
      <c r="K909" s="15">
        <f t="shared" si="105"/>
        <v>7.1143921804966981E-3</v>
      </c>
      <c r="L909" s="32">
        <f>2.33*R909*AP909</f>
        <v>272222.16285461531</v>
      </c>
      <c r="M909" s="15"/>
      <c r="N909" s="32">
        <f t="shared" ref="N909:N971" si="111">C909*$AV$5</f>
        <v>-3368400</v>
      </c>
      <c r="O909" s="34">
        <f t="shared" si="106"/>
        <v>-0.39272625276083623</v>
      </c>
      <c r="P909" s="34">
        <f t="shared" si="107"/>
        <v>0.65438052673241587</v>
      </c>
      <c r="Q909" s="34">
        <f t="shared" si="108"/>
        <v>0.73834572602842052</v>
      </c>
      <c r="R909" s="35" cm="1">
        <f t="array" ref="R909">SQRT(MMULT(O909:Q909, MMULT($AU$32:$AW$34,TRANSPOSE(O909:Q909))))</f>
        <v>1.3621779132837127E-2</v>
      </c>
      <c r="S909" s="36" cm="1">
        <f t="array" ref="S909:U909">TRANSPOSE(MMULT($AU$32:$AW$34, TRANSPOSE(O909:Q909))/MMULT(O909:Q909, MMULT($AU$32:$AW$34,TRANSPOSE(O909:Q909))))</f>
        <v>0.13030759884123178</v>
      </c>
      <c r="T909" s="36">
        <v>0.99580232907825872</v>
      </c>
      <c r="U909" s="36">
        <v>0.54113073089042651</v>
      </c>
      <c r="V909" s="35">
        <f t="shared" ref="V909:V972" si="112">(L909/AP909)*S909</f>
        <v>4.1357997006372538E-3</v>
      </c>
      <c r="W909" s="35">
        <f t="shared" ref="W909:W972" si="113">(L909/AP909)*T909</f>
        <v>3.160551657093838E-2</v>
      </c>
      <c r="X909" s="35">
        <f t="shared" ref="X909:X972" si="114">(L909/AP909)*U909</f>
        <v>1.7174810484759669E-2</v>
      </c>
      <c r="Y909" s="32">
        <f t="shared" ref="Y909:Y972" si="115">(V909*N909)</f>
        <v>-13931.027711626526</v>
      </c>
      <c r="Z909" s="32">
        <f t="shared" ref="Z909:Z971" si="116">W909*AK909</f>
        <v>177389.12230604878</v>
      </c>
      <c r="AA909" s="32">
        <f t="shared" ref="AA909:AA971" si="117">X909*AL909</f>
        <v>108764.06826019309</v>
      </c>
      <c r="AB909" s="40">
        <f t="shared" ref="AB909:AB972" si="118">Y909/L909</f>
        <v>-5.117521499917925E-2</v>
      </c>
      <c r="AC909" s="40">
        <f>Z909/L909</f>
        <v>0.65163365262359751</v>
      </c>
      <c r="AD909" s="40">
        <f t="shared" ref="AD909:AD972" si="119">AA909/L909</f>
        <v>0.39954156237558186</v>
      </c>
      <c r="AE909" s="49">
        <f>AE908+N1470</f>
        <v>-677200</v>
      </c>
      <c r="AF909" s="49">
        <f>AF908+AK1470</f>
        <v>11265500</v>
      </c>
      <c r="AG909" s="49">
        <f>AG908+AL1470</f>
        <v>6754400.0000000009</v>
      </c>
      <c r="AH909" s="40"/>
      <c r="AI909" s="40"/>
      <c r="AJ909" s="40" cm="1">
        <f t="array" ref="AJ909">SQRT(MMULT(AE910:AG910, MMULT($AU$32:$AW$34,TRANSPOSE(AE910:AG910))))</f>
        <v>1.210694247987228E-2</v>
      </c>
      <c r="AK909" s="33">
        <f t="shared" si="109"/>
        <v>5612600.0000000009</v>
      </c>
      <c r="AL909" s="33">
        <f t="shared" si="110"/>
        <v>6332766.7199999997</v>
      </c>
      <c r="AM909" s="34"/>
      <c r="AN909" s="33"/>
      <c r="AO909" s="15" cm="1">
        <f t="array" ref="AO909">SUMPRODUCT(I909:K909, TRANSPOSE($AY$5:$AY$7))</f>
        <v>5.2431209318377836E-3</v>
      </c>
      <c r="AP909" s="22">
        <f>AP908 * (1 + AO909)</f>
        <v>8576966.7199999988</v>
      </c>
      <c r="AQ909" s="22">
        <f>AP909 - AP908</f>
        <v>44735.519999999553</v>
      </c>
      <c r="AR909">
        <f>IF(-AQ909 &gt; L908, 1, 0)</f>
        <v>0</v>
      </c>
      <c r="AS909">
        <f>IF(-AQ909 &gt; L908, 1, 0)</f>
        <v>0</v>
      </c>
      <c r="AT909" s="12"/>
      <c r="AU909" s="12"/>
      <c r="AW909" s="28"/>
      <c r="AX909" s="23"/>
      <c r="BJ909">
        <f t="shared" si="99"/>
        <v>9.3957234683012376E-7</v>
      </c>
      <c r="BK909">
        <f t="shared" si="101"/>
        <v>8.1664592711210159E-5</v>
      </c>
      <c r="BO909">
        <f t="shared" si="102"/>
        <v>7.0232325982812766E-5</v>
      </c>
      <c r="BP909">
        <f t="shared" si="100"/>
        <v>3.8562233706735891</v>
      </c>
    </row>
    <row r="910" spans="1:68" x14ac:dyDescent="0.15">
      <c r="A910" s="5">
        <v>44888</v>
      </c>
      <c r="B910" s="1"/>
      <c r="C910">
        <v>112.92</v>
      </c>
      <c r="D910">
        <v>81.62</v>
      </c>
      <c r="E910">
        <v>77.766334999999998</v>
      </c>
      <c r="G910" s="3">
        <v>1.8201749358361899E-3</v>
      </c>
      <c r="I910" s="15">
        <f t="shared" si="103"/>
        <v>5.7000356252226627E-3</v>
      </c>
      <c r="J910" s="15">
        <f t="shared" si="104"/>
        <v>1.7959590920429005E-2</v>
      </c>
      <c r="K910" s="15">
        <f t="shared" si="105"/>
        <v>-1.7600509371044664E-2</v>
      </c>
      <c r="L910" s="32">
        <f t="shared" ref="L910:L971" si="120">2.33*R910*AP910</f>
        <v>273442.5904508424</v>
      </c>
      <c r="M910" s="15"/>
      <c r="N910" s="32">
        <f t="shared" si="111"/>
        <v>-3387600</v>
      </c>
      <c r="O910" s="34">
        <f t="shared" si="106"/>
        <v>-0.39631760266720661</v>
      </c>
      <c r="P910" s="34">
        <f t="shared" si="107"/>
        <v>0.66841450911524913</v>
      </c>
      <c r="Q910" s="34">
        <f t="shared" si="108"/>
        <v>0.72783486729046831</v>
      </c>
      <c r="R910" s="35" cm="1">
        <f t="array" ref="R910">SQRT(MMULT(O910:Q910, MMULT($AU$32:$AW$34,TRANSPOSE(O910:Q910))))</f>
        <v>1.3729713557015648E-2</v>
      </c>
      <c r="S910" s="36" cm="1">
        <f t="array" ref="S910:U910">TRANSPOSE(MMULT($AU$32:$AW$34, TRANSPOSE(O910:Q910))/MMULT(O910:Q910, MMULT($AU$32:$AW$34,TRANSPOSE(O910:Q910))))</f>
        <v>0.12553235302516949</v>
      </c>
      <c r="T910" s="36">
        <v>0.9952669503145517</v>
      </c>
      <c r="U910" s="36">
        <v>0.52827891113043957</v>
      </c>
      <c r="V910" s="35">
        <f t="shared" si="112"/>
        <v>4.0158091705748229E-3</v>
      </c>
      <c r="W910" s="35">
        <f t="shared" si="113"/>
        <v>3.1838821227559135E-2</v>
      </c>
      <c r="X910" s="35">
        <f t="shared" si="114"/>
        <v>1.689976523831703E-2</v>
      </c>
      <c r="Y910" s="32">
        <f t="shared" si="115"/>
        <v>-13603.95514623927</v>
      </c>
      <c r="Z910" s="32">
        <f t="shared" si="116"/>
        <v>181907.92120153637</v>
      </c>
      <c r="AA910" s="32">
        <f t="shared" si="117"/>
        <v>105138.62439554535</v>
      </c>
      <c r="AB910" s="40">
        <f t="shared" si="118"/>
        <v>-4.9750681208108632E-2</v>
      </c>
      <c r="AC910" s="40">
        <f t="shared" ref="AC910:AC972" si="121">Z910/L910</f>
        <v>0.66525087003313232</v>
      </c>
      <c r="AD910" s="40">
        <f t="shared" si="119"/>
        <v>0.38449981117497656</v>
      </c>
      <c r="AE910" s="40">
        <f>AE909/(AE909+AF909+AG909)</f>
        <v>-3.9048129760648573E-2</v>
      </c>
      <c r="AF910" s="40">
        <f>AF909/(AE909+AF909+AG909)</f>
        <v>0.64958166836767051</v>
      </c>
      <c r="AG910" s="40">
        <f>AG909/(AE909+AF909+AG909)</f>
        <v>0.38946646139297808</v>
      </c>
      <c r="AH910" s="40"/>
      <c r="AI910" s="40"/>
      <c r="AJ910" s="40"/>
      <c r="AK910" s="33">
        <f t="shared" si="109"/>
        <v>5713400</v>
      </c>
      <c r="AL910" s="33">
        <f t="shared" si="110"/>
        <v>6221306.7999999998</v>
      </c>
      <c r="AM910" s="34"/>
      <c r="AN910" s="33"/>
      <c r="AO910" s="15" cm="1">
        <f t="array" ref="AO910">SUMPRODUCT(I910:K910, TRANSPOSE($AY$5:$AY$7))</f>
        <v>-3.4134145583468566E-3</v>
      </c>
      <c r="AP910" s="22">
        <f>AP909 * (1 + AO910)</f>
        <v>8547689.9769314937</v>
      </c>
      <c r="AQ910" s="22">
        <f t="shared" ref="AQ910:AQ940" si="122">AP910 - AP909</f>
        <v>-29276.743068505079</v>
      </c>
      <c r="AR910">
        <f t="shared" ref="AR910:AR973" si="123">IF(-AQ910 &gt; L910, 1, 0)</f>
        <v>0</v>
      </c>
      <c r="AS910">
        <f t="shared" ref="AS910:AS973" si="124">IF(-AQ910 &gt; L909, 1, 0)</f>
        <v>0</v>
      </c>
      <c r="BJ910">
        <f t="shared" si="99"/>
        <v>3.3130367970462783E-6</v>
      </c>
      <c r="BK910">
        <f t="shared" si="101"/>
        <v>7.682109148934735E-5</v>
      </c>
      <c r="BO910">
        <f t="shared" si="102"/>
        <v>6.116238817076587E-5</v>
      </c>
      <c r="BP910">
        <f t="shared" si="100"/>
        <v>3.9049665925341208</v>
      </c>
    </row>
    <row r="911" spans="1:68" x14ac:dyDescent="0.15">
      <c r="A911" s="5">
        <v>44890</v>
      </c>
      <c r="B911" s="1"/>
      <c r="C911">
        <v>113</v>
      </c>
      <c r="D911">
        <v>82.58</v>
      </c>
      <c r="E911">
        <v>78.695170000000005</v>
      </c>
      <c r="G911" s="3">
        <v>6.6316308587941394E-3</v>
      </c>
      <c r="I911" s="15">
        <f t="shared" si="103"/>
        <v>7.0846617074033207E-4</v>
      </c>
      <c r="J911" s="15">
        <f t="shared" si="104"/>
        <v>1.1761823082577722E-2</v>
      </c>
      <c r="K911" s="15">
        <f t="shared" si="105"/>
        <v>1.1943921492507092E-2</v>
      </c>
      <c r="L911" s="32">
        <f t="shared" si="120"/>
        <v>276830.05599535583</v>
      </c>
      <c r="M911" s="15"/>
      <c r="N911" s="32">
        <f t="shared" si="111"/>
        <v>-3390000</v>
      </c>
      <c r="O911" s="34">
        <f t="shared" si="106"/>
        <v>-0.39025506235736912</v>
      </c>
      <c r="P911" s="34">
        <f t="shared" si="107"/>
        <v>0.66545970898613804</v>
      </c>
      <c r="Q911" s="34">
        <f t="shared" si="108"/>
        <v>0.72474781063300919</v>
      </c>
      <c r="R911" s="35" cm="1">
        <f t="array" ref="R911">SQRT(MMULT(O911:Q911, MMULT($AU$32:$AW$34,TRANSPOSE(O911:Q911))))</f>
        <v>1.3677482467350522E-2</v>
      </c>
      <c r="S911" s="36" cm="1">
        <f t="array" ref="S911:U911">TRANSPOSE(MMULT($AU$32:$AW$34, TRANSPOSE(O911:Q911))/MMULT(O911:Q911, MMULT($AU$32:$AW$34,TRANSPOSE(O911:Q911))))</f>
        <v>0.12893625765795752</v>
      </c>
      <c r="T911" s="36">
        <v>0.9994792366944738</v>
      </c>
      <c r="U911" s="36">
        <v>0.53150193713257943</v>
      </c>
      <c r="V911" s="35">
        <f t="shared" si="112"/>
        <v>4.1090095302074329E-3</v>
      </c>
      <c r="W911" s="35">
        <f t="shared" si="113"/>
        <v>3.1851938185741044E-2</v>
      </c>
      <c r="X911" s="35">
        <f t="shared" si="114"/>
        <v>1.6938187633730308E-2</v>
      </c>
      <c r="Y911" s="32">
        <f t="shared" si="115"/>
        <v>-13929.542307403197</v>
      </c>
      <c r="Z911" s="32">
        <f t="shared" si="116"/>
        <v>184123.31387649468</v>
      </c>
      <c r="AA911" s="32">
        <f t="shared" si="117"/>
        <v>106636.28442626436</v>
      </c>
      <c r="AB911" s="40">
        <f t="shared" si="118"/>
        <v>-5.0318027272432016E-2</v>
      </c>
      <c r="AC911" s="40">
        <f t="shared" si="121"/>
        <v>0.66511316198839188</v>
      </c>
      <c r="AD911" s="40">
        <f t="shared" si="119"/>
        <v>0.38520486528404024</v>
      </c>
      <c r="AE911" s="40"/>
      <c r="AF911" s="40"/>
      <c r="AG911" s="40"/>
      <c r="AH911" s="40"/>
      <c r="AI911" s="40"/>
      <c r="AJ911" s="40"/>
      <c r="AK911" s="33">
        <f t="shared" si="109"/>
        <v>5780600</v>
      </c>
      <c r="AL911" s="33">
        <f t="shared" si="110"/>
        <v>6295613.6000000006</v>
      </c>
      <c r="AM911" s="34"/>
      <c r="AN911" s="33"/>
      <c r="AO911" s="15" cm="1">
        <f t="array" ref="AO911">SUMPRODUCT(I911:K911, TRANSPOSE($AY$5:$AY$7))</f>
        <v>1.6254287352171076E-2</v>
      </c>
      <c r="AP911" s="22">
        <f t="shared" ref="AP911:AP973" si="125">AP910 * (1 + AO911)</f>
        <v>8686626.5860138107</v>
      </c>
      <c r="AQ911" s="22">
        <f>AP911 - AP910</f>
        <v>138936.60908231698</v>
      </c>
      <c r="AR911">
        <f t="shared" si="123"/>
        <v>0</v>
      </c>
      <c r="AS911">
        <f t="shared" si="124"/>
        <v>0</v>
      </c>
      <c r="AT911" t="s">
        <v>98</v>
      </c>
      <c r="BJ911">
        <f t="shared" si="99"/>
        <v>4.3978527847310692E-5</v>
      </c>
      <c r="BK911">
        <f t="shared" si="101"/>
        <v>7.2410608207809277E-5</v>
      </c>
      <c r="BO911">
        <f t="shared" si="102"/>
        <v>5.4386150315965354E-5</v>
      </c>
      <c r="BP911">
        <f t="shared" si="100"/>
        <v>3.5864446345179268</v>
      </c>
    </row>
    <row r="912" spans="1:68" x14ac:dyDescent="0.15">
      <c r="A912" s="5">
        <v>44893</v>
      </c>
      <c r="B912" s="1"/>
      <c r="C912">
        <v>113.5</v>
      </c>
      <c r="D912">
        <v>83.78</v>
      </c>
      <c r="E912">
        <v>78.932109999999994</v>
      </c>
      <c r="G912" s="3">
        <v>-5.2568915089978808E-4</v>
      </c>
      <c r="I912" s="15">
        <f t="shared" si="103"/>
        <v>4.4247787610619468E-3</v>
      </c>
      <c r="J912" s="15">
        <f t="shared" si="104"/>
        <v>1.4531363526277584E-2</v>
      </c>
      <c r="K912" s="15">
        <f t="shared" si="105"/>
        <v>3.0108582267500015E-3</v>
      </c>
      <c r="L912" s="32">
        <f t="shared" si="120"/>
        <v>279767.72832077579</v>
      </c>
      <c r="M912" s="15"/>
      <c r="N912" s="32">
        <f t="shared" si="111"/>
        <v>-3405000</v>
      </c>
      <c r="O912" s="34">
        <f t="shared" si="106"/>
        <v>-0.3880908521935218</v>
      </c>
      <c r="P912" s="34">
        <f t="shared" si="107"/>
        <v>0.66842807981619023</v>
      </c>
      <c r="Q912" s="34">
        <f t="shared" si="108"/>
        <v>0.71971406367889112</v>
      </c>
      <c r="R912" s="35" cm="1">
        <f t="array" ref="R912">SQRT(MMULT(O912:Q912, MMULT($AU$32:$AW$34,TRANSPOSE(O912:Q912))))</f>
        <v>1.3685415426727363E-2</v>
      </c>
      <c r="S912" s="36" cm="1">
        <f t="array" ref="S912:U912">TRANSPOSE(MMULT($AU$32:$AW$34, TRANSPOSE(O912:Q912))/MMULT(O912:Q912, MMULT($AU$32:$AW$34,TRANSPOSE(O912:Q912))))</f>
        <v>0.12926691429273995</v>
      </c>
      <c r="T912" s="36">
        <v>1.0014417133880196</v>
      </c>
      <c r="U912" s="36">
        <v>0.52906503376373415</v>
      </c>
      <c r="V912" s="35">
        <f t="shared" si="112"/>
        <v>4.1219364156536266E-3</v>
      </c>
      <c r="W912" s="35">
        <f t="shared" si="113"/>
        <v>3.193298988494904E-2</v>
      </c>
      <c r="X912" s="35">
        <f t="shared" si="114"/>
        <v>1.6870306225312524E-2</v>
      </c>
      <c r="Y912" s="32">
        <f t="shared" si="115"/>
        <v>-14035.193495300598</v>
      </c>
      <c r="Z912" s="32">
        <f t="shared" si="116"/>
        <v>187274.21247927213</v>
      </c>
      <c r="AA912" s="32">
        <f t="shared" si="117"/>
        <v>106528.70933680423</v>
      </c>
      <c r="AB912" s="40">
        <f t="shared" si="118"/>
        <v>-5.0167306928296393E-2</v>
      </c>
      <c r="AC912" s="40">
        <f t="shared" si="121"/>
        <v>0.66939176152778945</v>
      </c>
      <c r="AD912" s="40">
        <f t="shared" si="119"/>
        <v>0.38077554540050684</v>
      </c>
      <c r="AE912" s="40"/>
      <c r="AF912" s="40"/>
      <c r="AG912" s="40"/>
      <c r="AH912" s="40"/>
      <c r="AI912" s="40"/>
      <c r="AJ912" s="40"/>
      <c r="AK912" s="33">
        <f t="shared" si="109"/>
        <v>5864600</v>
      </c>
      <c r="AL912" s="33">
        <f t="shared" si="110"/>
        <v>6314568.7999999998</v>
      </c>
      <c r="AM912" s="34"/>
      <c r="AN912" s="33"/>
      <c r="AO912" s="15" cm="1">
        <f t="array" ref="AO912">SUMPRODUCT(I912:K912, TRANSPOSE($AY$5:$AY$7))</f>
        <v>1.0026009253170648E-2</v>
      </c>
      <c r="AP912" s="22">
        <f t="shared" si="125"/>
        <v>8773718.7845440228</v>
      </c>
      <c r="AQ912" s="22">
        <f>AP912 - AP911</f>
        <v>87092.198530212045</v>
      </c>
      <c r="AR912">
        <f t="shared" si="123"/>
        <v>0</v>
      </c>
      <c r="AS912">
        <f>IF(-AQ912 &gt; L911, 1, 0)</f>
        <v>0</v>
      </c>
      <c r="AT912" s="12" t="s">
        <v>99</v>
      </c>
      <c r="AU912" s="12" t="s">
        <v>100</v>
      </c>
      <c r="AV912" s="12" t="s">
        <v>101</v>
      </c>
      <c r="AW912" s="12" t="s">
        <v>102</v>
      </c>
      <c r="BJ912">
        <f t="shared" si="99"/>
        <v>2.7634908337374018E-7</v>
      </c>
      <c r="BK912">
        <f t="shared" si="101"/>
        <v>7.0704683386179357E-5</v>
      </c>
      <c r="BO912">
        <f t="shared" si="102"/>
        <v>5.4862599783122722E-5</v>
      </c>
      <c r="BP912">
        <f t="shared" si="100"/>
        <v>3.9838822526627524</v>
      </c>
    </row>
    <row r="913" spans="1:68" x14ac:dyDescent="0.15">
      <c r="A913" s="5">
        <v>44894</v>
      </c>
      <c r="B913" s="1"/>
      <c r="C913">
        <v>111.26</v>
      </c>
      <c r="D913">
        <v>84.52</v>
      </c>
      <c r="E913">
        <v>78.951070000000001</v>
      </c>
      <c r="G913" s="3">
        <v>-7.5570144796535095E-3</v>
      </c>
      <c r="I913" s="15">
        <f t="shared" si="103"/>
        <v>-1.9735682819383215E-2</v>
      </c>
      <c r="J913" s="15">
        <f t="shared" si="104"/>
        <v>8.8326569587013001E-3</v>
      </c>
      <c r="K913" s="15">
        <f t="shared" si="105"/>
        <v>2.4020642549663215E-4</v>
      </c>
      <c r="L913" s="32">
        <f t="shared" si="120"/>
        <v>281732.82417365065</v>
      </c>
      <c r="M913" s="15"/>
      <c r="N913" s="32">
        <f t="shared" si="111"/>
        <v>-3337800</v>
      </c>
      <c r="O913" s="34">
        <f t="shared" si="106"/>
        <v>-0.37526624499789291</v>
      </c>
      <c r="P913" s="34">
        <f t="shared" si="107"/>
        <v>0.66517622742690807</v>
      </c>
      <c r="Q913" s="34">
        <f t="shared" si="108"/>
        <v>0.7101125670193732</v>
      </c>
      <c r="R913" s="35" cm="1">
        <f t="array" ref="R913">SQRT(MMULT(O913:Q913, MMULT($AU$32:$AW$34,TRANSPOSE(O913:Q913))))</f>
        <v>1.3594421117800532E-2</v>
      </c>
      <c r="S913" s="36" cm="1">
        <f t="array" ref="S913:U913">TRANSPOSE(MMULT($AU$32:$AW$34, TRANSPOSE(O913:Q913))/MMULT(O913:Q913, MMULT($AU$32:$AW$34,TRANSPOSE(O913:Q913))))</f>
        <v>0.13589188529841903</v>
      </c>
      <c r="T913" s="36">
        <v>1.0108403176424223</v>
      </c>
      <c r="U913" s="36">
        <v>0.53316714290861</v>
      </c>
      <c r="V913" s="35">
        <f t="shared" si="112"/>
        <v>4.3043756305058342E-3</v>
      </c>
      <c r="W913" s="35">
        <f t="shared" si="113"/>
        <v>3.2018368278855867E-2</v>
      </c>
      <c r="X913" s="35">
        <f t="shared" si="114"/>
        <v>1.6888069893816846E-2</v>
      </c>
      <c r="Y913" s="32">
        <f t="shared" si="115"/>
        <v>-14367.144979502373</v>
      </c>
      <c r="Z913" s="32">
        <f t="shared" si="116"/>
        <v>189433.47408502284</v>
      </c>
      <c r="AA913" s="32">
        <f t="shared" si="117"/>
        <v>106666.49506813011</v>
      </c>
      <c r="AB913" s="40">
        <f t="shared" si="118"/>
        <v>-5.0995637521622068E-2</v>
      </c>
      <c r="AC913" s="40">
        <f t="shared" si="121"/>
        <v>0.67238694902040386</v>
      </c>
      <c r="AD913" s="40">
        <f t="shared" si="119"/>
        <v>0.37860868850121798</v>
      </c>
      <c r="AE913" s="40"/>
      <c r="AF913" s="40"/>
      <c r="AG913" s="40"/>
      <c r="AH913" s="40"/>
      <c r="AI913" s="40"/>
      <c r="AJ913" s="40"/>
      <c r="AK913" s="33">
        <f t="shared" si="109"/>
        <v>5916400</v>
      </c>
      <c r="AL913" s="33">
        <f t="shared" si="110"/>
        <v>6316085.6000000006</v>
      </c>
      <c r="AM913" s="34"/>
      <c r="AN913" s="33"/>
      <c r="AO913" s="15" cm="1">
        <f t="array" ref="AO913">SUMPRODUCT(I913:K913, TRANSPOSE($AY$5:$AY$7))</f>
        <v>1.3764545307458697E-2</v>
      </c>
      <c r="AP913" s="22">
        <f t="shared" si="125"/>
        <v>8894485.0342687797</v>
      </c>
      <c r="AQ913" s="22">
        <f t="shared" si="122"/>
        <v>120766.24972475693</v>
      </c>
      <c r="AR913">
        <f t="shared" si="123"/>
        <v>0</v>
      </c>
      <c r="AS913">
        <f t="shared" si="124"/>
        <v>0</v>
      </c>
      <c r="AT913" s="12" t="s">
        <v>99</v>
      </c>
      <c r="AU913">
        <f>SUM(AS909:AS1470)</f>
        <v>11</v>
      </c>
      <c r="AV913">
        <f>COUNTA(AR909:AR1469)</f>
        <v>561</v>
      </c>
      <c r="AW913" s="28">
        <f>AU913/AV913</f>
        <v>1.9607843137254902E-2</v>
      </c>
      <c r="BJ913">
        <f t="shared" si="99"/>
        <v>5.7108467845692806E-5</v>
      </c>
      <c r="BK913">
        <f t="shared" si="101"/>
        <v>6.6478983328011014E-5</v>
      </c>
      <c r="BO913">
        <f t="shared" si="102"/>
        <v>4.901224410262731E-5</v>
      </c>
      <c r="BP913">
        <f t="shared" si="100"/>
        <v>3.4601877830481329</v>
      </c>
    </row>
    <row r="914" spans="1:68" x14ac:dyDescent="0.15">
      <c r="A914" s="5">
        <v>44895</v>
      </c>
      <c r="B914" s="1"/>
      <c r="C914">
        <v>112.34</v>
      </c>
      <c r="D914">
        <v>84.22</v>
      </c>
      <c r="E914">
        <v>79.282799999999995</v>
      </c>
      <c r="G914" s="3">
        <v>4.50986148419896E-3</v>
      </c>
      <c r="I914" s="15">
        <f t="shared" si="103"/>
        <v>9.7069926298759511E-3</v>
      </c>
      <c r="J914" s="15">
        <f t="shared" si="104"/>
        <v>-3.5494557501182817E-3</v>
      </c>
      <c r="K914" s="15">
        <f t="shared" si="105"/>
        <v>4.2017163288603082E-3</v>
      </c>
      <c r="L914" s="32">
        <f t="shared" si="120"/>
        <v>281371.12054258311</v>
      </c>
      <c r="M914" s="15"/>
      <c r="N914" s="32">
        <f t="shared" si="111"/>
        <v>-3370200</v>
      </c>
      <c r="O914" s="34">
        <f t="shared" si="106"/>
        <v>-0.38007348580638184</v>
      </c>
      <c r="P914" s="34">
        <f t="shared" si="107"/>
        <v>0.6648523020066891</v>
      </c>
      <c r="Q914" s="34">
        <f t="shared" si="108"/>
        <v>0.71528787990007026</v>
      </c>
      <c r="R914" s="35" cm="1">
        <f t="array" ref="R914">SQRT(MMULT(O914:Q914, MMULT($AU$32:$AW$34,TRANSPOSE(O914:Q914))))</f>
        <v>1.3618695161539199E-2</v>
      </c>
      <c r="S914" s="36" cm="1">
        <f t="array" ref="S914:U914">TRANSPOSE(MMULT($AU$32:$AW$34, TRANSPOSE(O914:Q914))/MMULT(O914:Q914, MMULT($AU$32:$AW$34,TRANSPOSE(O914:Q914))))</f>
        <v>0.13375655224612751</v>
      </c>
      <c r="T914" s="36">
        <v>1.0070938350167125</v>
      </c>
      <c r="U914" s="36">
        <v>0.53302827466793989</v>
      </c>
      <c r="V914" s="35">
        <f t="shared" si="112"/>
        <v>4.2443040263935089E-3</v>
      </c>
      <c r="W914" s="35">
        <f t="shared" si="113"/>
        <v>3.1956658175908273E-2</v>
      </c>
      <c r="X914" s="35">
        <f t="shared" si="114"/>
        <v>1.6913818533478394E-2</v>
      </c>
      <c r="Y914" s="32">
        <f t="shared" si="115"/>
        <v>-14304.153429751404</v>
      </c>
      <c r="Z914" s="32">
        <f t="shared" si="116"/>
        <v>188397.28261024962</v>
      </c>
      <c r="AA914" s="32">
        <f t="shared" si="117"/>
        <v>107277.99136208487</v>
      </c>
      <c r="AB914" s="40">
        <f t="shared" si="118"/>
        <v>-5.0837319061629117E-2</v>
      </c>
      <c r="AC914" s="40">
        <f t="shared" si="121"/>
        <v>0.66956865454760595</v>
      </c>
      <c r="AD914" s="40">
        <f t="shared" si="119"/>
        <v>0.38126866451402308</v>
      </c>
      <c r="AE914" s="40"/>
      <c r="AF914" s="40"/>
      <c r="AG914" s="40"/>
      <c r="AH914" s="40"/>
      <c r="AI914" s="40"/>
      <c r="AJ914" s="40"/>
      <c r="AK914" s="33">
        <f t="shared" si="109"/>
        <v>5895400</v>
      </c>
      <c r="AL914" s="33">
        <f t="shared" si="110"/>
        <v>6342624</v>
      </c>
      <c r="AM914" s="34"/>
      <c r="AN914" s="33"/>
      <c r="AO914" s="15" cm="1">
        <f t="array" ref="AO914">SUMPRODUCT(I914:K914, TRANSPOSE($AY$5:$AY$7))</f>
        <v>-3.0639709886165494E-3</v>
      </c>
      <c r="AP914" s="22">
        <f t="shared" si="125"/>
        <v>8867232.5901650954</v>
      </c>
      <c r="AQ914" s="22">
        <f t="shared" si="122"/>
        <v>-27252.444103684276</v>
      </c>
      <c r="AR914">
        <f>IF(-AQ914 &gt; L914, 1, 0)</f>
        <v>0</v>
      </c>
      <c r="AS914">
        <f>IF(-AQ914 &gt; L913, 1, 0)</f>
        <v>0</v>
      </c>
      <c r="AT914" s="12" t="s">
        <v>103</v>
      </c>
      <c r="AU914">
        <f>SUM(AS1181:AS1423)</f>
        <v>6</v>
      </c>
      <c r="AV914">
        <f>COUNTA(AR1181:AR1423)</f>
        <v>243</v>
      </c>
      <c r="AW914" s="28">
        <f>AU914/AV914</f>
        <v>2.4691358024691357E-2</v>
      </c>
      <c r="BJ914">
        <f t="shared" si="99"/>
        <v>2.0338850606661246E-5</v>
      </c>
      <c r="BK914">
        <f t="shared" si="101"/>
        <v>6.5916752399071917E-5</v>
      </c>
      <c r="BO914">
        <f t="shared" si="102"/>
        <v>5.2517390107392406E-5</v>
      </c>
      <c r="BP914">
        <f t="shared" si="100"/>
        <v>3.8146053702963871</v>
      </c>
    </row>
    <row r="915" spans="1:68" x14ac:dyDescent="0.15">
      <c r="A915" s="5">
        <v>44896</v>
      </c>
      <c r="B915" s="1"/>
      <c r="C915">
        <v>113.72</v>
      </c>
      <c r="D915">
        <v>84.98</v>
      </c>
      <c r="E915">
        <v>79.709305000000001</v>
      </c>
      <c r="G915" s="3">
        <v>9.9241895086656894E-3</v>
      </c>
      <c r="I915" s="15">
        <f t="shared" si="103"/>
        <v>1.2284137439914505E-2</v>
      </c>
      <c r="J915" s="15">
        <f t="shared" si="104"/>
        <v>9.0239848017098691E-3</v>
      </c>
      <c r="K915" s="15">
        <f t="shared" si="105"/>
        <v>5.3795400767884831E-3</v>
      </c>
      <c r="L915" s="32">
        <f t="shared" si="120"/>
        <v>283473.36028511846</v>
      </c>
      <c r="M915" s="15"/>
      <c r="N915" s="32">
        <f t="shared" si="111"/>
        <v>-3411600</v>
      </c>
      <c r="O915" s="34">
        <f t="shared" si="106"/>
        <v>-0.3828081579676072</v>
      </c>
      <c r="P915" s="34">
        <f t="shared" si="107"/>
        <v>0.66747936700847355</v>
      </c>
      <c r="Q915" s="34">
        <f t="shared" si="108"/>
        <v>0.71552051166439645</v>
      </c>
      <c r="R915" s="35" cm="1">
        <f t="array" ref="R915">SQRT(MMULT(O915:Q915, MMULT($AU$32:$AW$34,TRANSPOSE(O915:Q915))))</f>
        <v>1.3651469699645549E-2</v>
      </c>
      <c r="S915" s="36" cm="1">
        <f t="array" ref="S915:U915">TRANSPOSE(MMULT($AU$32:$AW$34, TRANSPOSE(O915:Q915))/MMULT(O915:Q915, MMULT($AU$32:$AW$34,TRANSPOSE(O915:Q915))))</f>
        <v>0.13191766132329494</v>
      </c>
      <c r="T915" s="36">
        <v>1.0052348964816793</v>
      </c>
      <c r="U915" s="36">
        <v>0.53041890253197366</v>
      </c>
      <c r="V915" s="35">
        <f t="shared" si="112"/>
        <v>4.1960269984191402E-3</v>
      </c>
      <c r="W915" s="35">
        <f t="shared" si="113"/>
        <v>3.1974435591706124E-2</v>
      </c>
      <c r="X915" s="35">
        <f t="shared" si="114"/>
        <v>1.6871524352160348E-2</v>
      </c>
      <c r="Y915" s="32">
        <f t="shared" si="115"/>
        <v>-14315.165707806738</v>
      </c>
      <c r="Z915" s="32">
        <f t="shared" si="116"/>
        <v>190203.12756082305</v>
      </c>
      <c r="AA915" s="32">
        <f t="shared" si="117"/>
        <v>107585.39843210214</v>
      </c>
      <c r="AB915" s="40">
        <f t="shared" si="118"/>
        <v>-5.0499156934565199E-2</v>
      </c>
      <c r="AC915" s="40">
        <f t="shared" si="121"/>
        <v>0.67097355239841971</v>
      </c>
      <c r="AD915" s="40">
        <f t="shared" si="119"/>
        <v>0.37952560453614542</v>
      </c>
      <c r="AE915" s="40"/>
      <c r="AF915" s="40"/>
      <c r="AG915" s="40"/>
      <c r="AH915" s="40"/>
      <c r="AI915" s="40"/>
      <c r="AJ915" s="40"/>
      <c r="AK915" s="33">
        <f t="shared" si="109"/>
        <v>5948600</v>
      </c>
      <c r="AL915" s="33">
        <f t="shared" si="110"/>
        <v>6376744.4000000004</v>
      </c>
      <c r="AM915" s="34"/>
      <c r="AN915" s="33"/>
      <c r="AO915" s="15" cm="1">
        <f t="array" ref="AO915">SUMPRODUCT(I915:K915, TRANSPOSE($AY$5:$AY$7))</f>
        <v>5.0526686420599614E-3</v>
      </c>
      <c r="AP915" s="22">
        <f t="shared" si="125"/>
        <v>8912035.7782152742</v>
      </c>
      <c r="AQ915" s="22">
        <f t="shared" si="122"/>
        <v>44803.188050178811</v>
      </c>
      <c r="AR915">
        <f t="shared" si="123"/>
        <v>0</v>
      </c>
      <c r="AS915">
        <f>IF(-AQ915 &gt; L914, 1, 0)</f>
        <v>0</v>
      </c>
      <c r="BJ915">
        <f t="shared" si="99"/>
        <v>9.8489537403910135E-5</v>
      </c>
      <c r="BK915">
        <f t="shared" si="101"/>
        <v>6.3182078291527266E-5</v>
      </c>
      <c r="BO915">
        <f t="shared" si="102"/>
        <v>5.0030016561647033E-5</v>
      </c>
      <c r="BP915">
        <f t="shared" si="100"/>
        <v>3.0482007021844311</v>
      </c>
    </row>
    <row r="916" spans="1:68" x14ac:dyDescent="0.15">
      <c r="A916" s="5">
        <v>44897</v>
      </c>
      <c r="B916" s="1"/>
      <c r="C916">
        <v>113</v>
      </c>
      <c r="D916">
        <v>84.66</v>
      </c>
      <c r="E916">
        <v>79.747214999999997</v>
      </c>
      <c r="G916" s="3">
        <v>-3.5655804774693501E-3</v>
      </c>
      <c r="I916" s="15">
        <f t="shared" si="103"/>
        <v>-6.3313401336616152E-3</v>
      </c>
      <c r="J916" s="15">
        <f t="shared" si="104"/>
        <v>-3.7655919039774931E-3</v>
      </c>
      <c r="K916" s="15">
        <f t="shared" si="105"/>
        <v>4.7560319337869723E-4</v>
      </c>
      <c r="L916" s="32">
        <f t="shared" si="120"/>
        <v>282899.75939634821</v>
      </c>
      <c r="M916" s="15"/>
      <c r="N916" s="32">
        <f t="shared" si="111"/>
        <v>-3390000</v>
      </c>
      <c r="O916" s="34">
        <f t="shared" si="106"/>
        <v>-0.38024312731786353</v>
      </c>
      <c r="P916" s="34">
        <f t="shared" si="107"/>
        <v>0.66471882628646695</v>
      </c>
      <c r="Q916" s="34">
        <f t="shared" si="108"/>
        <v>0.71559481832424865</v>
      </c>
      <c r="R916" s="35" cm="1">
        <f t="array" ref="R916">SQRT(MMULT(O916:Q916, MMULT($AU$32:$AW$34,TRANSPOSE(O916:Q916))))</f>
        <v>1.3618784006271737E-2</v>
      </c>
      <c r="S916" s="36" cm="1">
        <f t="array" ref="S916:U916">TRANSPOSE(MMULT($AU$32:$AW$34, TRANSPOSE(O916:Q916))/MMULT(O916:Q916, MMULT($AU$32:$AW$34,TRANSPOSE(O916:Q916))))</f>
        <v>0.13371022076271705</v>
      </c>
      <c r="T916" s="36">
        <v>1.0069441300515443</v>
      </c>
      <c r="U916" s="36">
        <v>0.53313364275983277</v>
      </c>
      <c r="V916" s="35">
        <f t="shared" si="112"/>
        <v>4.2428615352761651E-3</v>
      </c>
      <c r="W916" s="35">
        <f t="shared" si="113"/>
        <v>3.1952116249583572E-2</v>
      </c>
      <c r="X916" s="35">
        <f t="shared" si="114"/>
        <v>1.6917272390429592E-2</v>
      </c>
      <c r="Y916" s="32">
        <f t="shared" si="115"/>
        <v>-14383.3006045862</v>
      </c>
      <c r="Z916" s="32">
        <f t="shared" si="116"/>
        <v>189354.63131828216</v>
      </c>
      <c r="AA916" s="32">
        <f t="shared" si="117"/>
        <v>107928.42868265221</v>
      </c>
      <c r="AB916" s="40">
        <f t="shared" si="118"/>
        <v>-5.0842392497177452E-2</v>
      </c>
      <c r="AC916" s="40">
        <f t="shared" si="121"/>
        <v>0.66933472026390994</v>
      </c>
      <c r="AD916" s="40">
        <f t="shared" si="119"/>
        <v>0.38150767223326737</v>
      </c>
      <c r="AE916" s="40"/>
      <c r="AF916" s="40"/>
      <c r="AG916" s="40"/>
      <c r="AH916" s="40"/>
      <c r="AI916" s="40"/>
      <c r="AJ916" s="40"/>
      <c r="AK916" s="33">
        <f t="shared" si="109"/>
        <v>5926200</v>
      </c>
      <c r="AL916" s="33">
        <f t="shared" si="110"/>
        <v>6379777.2000000002</v>
      </c>
      <c r="AM916" s="34"/>
      <c r="AN916" s="33"/>
      <c r="AO916" s="15" cm="1">
        <f t="array" ref="AO916">SUMPRODUCT(I916:K916, TRANSPOSE($AY$5:$AY$7))</f>
        <v>3.7171479391954543E-4</v>
      </c>
      <c r="AP916" s="22">
        <f t="shared" si="125"/>
        <v>8915348.5137579776</v>
      </c>
      <c r="AQ916" s="22">
        <f t="shared" si="122"/>
        <v>3312.7355427034199</v>
      </c>
      <c r="AR916">
        <f t="shared" si="123"/>
        <v>0</v>
      </c>
      <c r="AS916">
        <f t="shared" si="124"/>
        <v>0</v>
      </c>
      <c r="BJ916">
        <f t="shared" si="99"/>
        <v>1.2713364141310558E-5</v>
      </c>
      <c r="BK916">
        <f t="shared" si="101"/>
        <v>6.530052583827024E-5</v>
      </c>
      <c r="BO916">
        <f t="shared" si="102"/>
        <v>5.9209209006428208E-5</v>
      </c>
      <c r="BP916">
        <f t="shared" si="100"/>
        <v>3.8409185163909645</v>
      </c>
    </row>
    <row r="917" spans="1:68" x14ac:dyDescent="0.15">
      <c r="A917" s="5">
        <v>44900</v>
      </c>
      <c r="B917" s="1"/>
      <c r="C917">
        <v>111.3</v>
      </c>
      <c r="D917">
        <v>85.46</v>
      </c>
      <c r="E917">
        <v>81.32056</v>
      </c>
      <c r="G917" s="3">
        <v>-3.0845605525375798E-4</v>
      </c>
      <c r="I917" s="15">
        <f t="shared" si="103"/>
        <v>-1.5044247787610645E-2</v>
      </c>
      <c r="J917" s="15">
        <f t="shared" si="104"/>
        <v>9.4495629577131725E-3</v>
      </c>
      <c r="K917" s="15">
        <f t="shared" si="105"/>
        <v>1.9729152924023784E-2</v>
      </c>
      <c r="L917" s="32">
        <f t="shared" si="120"/>
        <v>287050.9841346193</v>
      </c>
      <c r="M917" s="15"/>
      <c r="N917" s="32">
        <f t="shared" si="111"/>
        <v>-3339000</v>
      </c>
      <c r="O917" s="34">
        <f t="shared" si="106"/>
        <v>-0.36478895789494242</v>
      </c>
      <c r="P917" s="34">
        <f t="shared" si="107"/>
        <v>0.65356109731030976</v>
      </c>
      <c r="Q917" s="34">
        <f t="shared" si="108"/>
        <v>0.71074794460217161</v>
      </c>
      <c r="R917" s="35" cm="1">
        <f t="array" ref="R917">SQRT(MMULT(O917:Q917, MMULT($AU$32:$AW$34,TRANSPOSE(O917:Q917))))</f>
        <v>1.3459483174549883E-2</v>
      </c>
      <c r="S917" s="36" cm="1">
        <f t="array" ref="S917:U917">TRANSPOSE(MMULT($AU$32:$AW$34, TRANSPOSE(O917:Q917))/MMULT(O917:Q917, MMULT($AU$32:$AW$34,TRANSPOSE(O917:Q917))))</f>
        <v>0.14350962428262773</v>
      </c>
      <c r="T917" s="36">
        <v>1.0177774509636586</v>
      </c>
      <c r="U917" s="36">
        <v>0.5447373876503685</v>
      </c>
      <c r="V917" s="35">
        <f t="shared" si="112"/>
        <v>4.5005473200639481E-3</v>
      </c>
      <c r="W917" s="35">
        <f t="shared" si="113"/>
        <v>3.1918107250668203E-2</v>
      </c>
      <c r="X917" s="35">
        <f t="shared" si="114"/>
        <v>1.7083289029454156E-2</v>
      </c>
      <c r="Y917" s="32">
        <f t="shared" si="115"/>
        <v>-15027.327501693522</v>
      </c>
      <c r="Z917" s="32">
        <f t="shared" si="116"/>
        <v>190940.50119494731</v>
      </c>
      <c r="AA917" s="32">
        <f t="shared" si="117"/>
        <v>111137.81044136548</v>
      </c>
      <c r="AB917" s="40">
        <f t="shared" si="118"/>
        <v>-5.2350726289954484E-2</v>
      </c>
      <c r="AC917" s="40">
        <f t="shared" si="121"/>
        <v>0.66517974766949861</v>
      </c>
      <c r="AD917" s="40">
        <f t="shared" si="119"/>
        <v>0.3871709786204558</v>
      </c>
      <c r="AE917" s="40"/>
      <c r="AF917" s="40"/>
      <c r="AG917" s="40"/>
      <c r="AH917" s="40"/>
      <c r="AI917" s="40"/>
      <c r="AJ917" s="40"/>
      <c r="AK917" s="33">
        <f t="shared" si="109"/>
        <v>5982200</v>
      </c>
      <c r="AL917" s="33">
        <f t="shared" si="110"/>
        <v>6505644.7999999998</v>
      </c>
      <c r="AM917" s="34"/>
      <c r="AN917" s="33"/>
      <c r="AO917" s="15" cm="1">
        <f t="array" ref="AO917">SUMPRODUCT(I917:K917, TRANSPOSE($AY$5:$AY$7))</f>
        <v>2.6683092745418233E-2</v>
      </c>
      <c r="AP917" s="22">
        <f t="shared" si="125"/>
        <v>9153237.5850083083</v>
      </c>
      <c r="AQ917" s="22">
        <f t="shared" si="122"/>
        <v>237889.07125033066</v>
      </c>
      <c r="AR917">
        <f t="shared" si="123"/>
        <v>0</v>
      </c>
      <c r="AS917">
        <f t="shared" si="124"/>
        <v>0</v>
      </c>
      <c r="BJ917">
        <f t="shared" si="99"/>
        <v>9.5145138022709397E-8</v>
      </c>
      <c r="BK917">
        <f t="shared" si="101"/>
        <v>6.2145296136452663E-5</v>
      </c>
      <c r="BO917">
        <f t="shared" si="102"/>
        <v>5.4192914344864232E-5</v>
      </c>
      <c r="BP917">
        <f t="shared" si="100"/>
        <v>3.9916638242133948</v>
      </c>
    </row>
    <row r="918" spans="1:68" x14ac:dyDescent="0.15">
      <c r="A918" s="5">
        <v>44901</v>
      </c>
      <c r="B918" s="1"/>
      <c r="C918">
        <v>111.58</v>
      </c>
      <c r="D918">
        <v>85</v>
      </c>
      <c r="E918">
        <v>80.827699999999993</v>
      </c>
      <c r="G918" s="3">
        <v>-7.62384651954672E-3</v>
      </c>
      <c r="I918" s="15">
        <f t="shared" si="103"/>
        <v>2.5157232704402619E-3</v>
      </c>
      <c r="J918" s="15">
        <f t="shared" si="104"/>
        <v>-5.3826351509477389E-3</v>
      </c>
      <c r="K918" s="15">
        <f t="shared" si="105"/>
        <v>-6.0607059272588309E-3</v>
      </c>
      <c r="L918" s="32">
        <f t="shared" si="120"/>
        <v>285312.78864078777</v>
      </c>
      <c r="M918" s="15"/>
      <c r="N918" s="32">
        <f t="shared" si="111"/>
        <v>-3347400</v>
      </c>
      <c r="O918" s="34">
        <f t="shared" si="106"/>
        <v>-0.3690266600361532</v>
      </c>
      <c r="P918" s="34">
        <f t="shared" si="107"/>
        <v>0.65594450236455504</v>
      </c>
      <c r="Q918" s="34">
        <f t="shared" si="108"/>
        <v>0.71285358593306269</v>
      </c>
      <c r="R918" s="35" cm="1">
        <f t="array" ref="R918">SQRT(MMULT(O918:Q918, MMULT($AU$32:$AW$34,TRANSPOSE(O918:Q918))))</f>
        <v>1.3499430530762432E-2</v>
      </c>
      <c r="S918" s="36" cm="1">
        <f t="array" ref="S918:U918">TRANSPOSE(MMULT($AU$32:$AW$34, TRANSPOSE(O918:Q918))/MMULT(O918:Q918, MMULT($AU$32:$AW$34,TRANSPOSE(O918:Q918))))</f>
        <v>0.14096564105827722</v>
      </c>
      <c r="T918" s="36">
        <v>1.0146289368517682</v>
      </c>
      <c r="U918" s="36">
        <v>0.54215874656197782</v>
      </c>
      <c r="V918" s="35">
        <f t="shared" si="112"/>
        <v>4.4338871973491119E-3</v>
      </c>
      <c r="W918" s="35">
        <f t="shared" si="113"/>
        <v>3.1913806934749073E-2</v>
      </c>
      <c r="X918" s="35">
        <f t="shared" si="114"/>
        <v>1.7052884002550669E-2</v>
      </c>
      <c r="Y918" s="32">
        <f t="shared" si="115"/>
        <v>-14841.994004406417</v>
      </c>
      <c r="Z918" s="32">
        <f t="shared" si="116"/>
        <v>189887.15126175698</v>
      </c>
      <c r="AA918" s="32">
        <f t="shared" si="117"/>
        <v>110267.63138343715</v>
      </c>
      <c r="AB918" s="40">
        <f t="shared" si="118"/>
        <v>-5.2020079699591264E-2</v>
      </c>
      <c r="AC918" s="40">
        <f t="shared" si="121"/>
        <v>0.66554027306791075</v>
      </c>
      <c r="AD918" s="40">
        <f t="shared" si="119"/>
        <v>0.38647980663168041</v>
      </c>
      <c r="AE918" s="40"/>
      <c r="AF918" s="40"/>
      <c r="AG918" s="40"/>
      <c r="AH918" s="40"/>
      <c r="AI918" s="40"/>
      <c r="AJ918" s="40"/>
      <c r="AK918" s="33">
        <f t="shared" si="109"/>
        <v>5950000</v>
      </c>
      <c r="AL918" s="33">
        <f t="shared" si="110"/>
        <v>6466215.9999999991</v>
      </c>
      <c r="AM918" s="34"/>
      <c r="AN918" s="33"/>
      <c r="AO918" s="15" cm="1">
        <f t="array" ref="AO918">SUMPRODUCT(I918:K918, TRANSPOSE($AY$5:$AY$7))</f>
        <v>-8.9966239043802396E-3</v>
      </c>
      <c r="AP918" s="22">
        <f t="shared" si="125"/>
        <v>9070889.3489485513</v>
      </c>
      <c r="AQ918" s="22">
        <f t="shared" si="122"/>
        <v>-82348.23605975695</v>
      </c>
      <c r="AR918">
        <f t="shared" si="123"/>
        <v>0</v>
      </c>
      <c r="AS918">
        <f t="shared" si="124"/>
        <v>0</v>
      </c>
      <c r="BJ918">
        <f t="shared" si="99"/>
        <v>5.8123035753604639E-5</v>
      </c>
      <c r="BK918">
        <f t="shared" si="101"/>
        <v>5.8422287076546865E-5</v>
      </c>
      <c r="BO918">
        <f t="shared" si="102"/>
        <v>4.8461149929317099E-5</v>
      </c>
      <c r="BP918">
        <f t="shared" si="100"/>
        <v>3.448748600690259</v>
      </c>
    </row>
    <row r="919" spans="1:68" x14ac:dyDescent="0.15">
      <c r="A919" s="5">
        <v>44902</v>
      </c>
      <c r="B919" s="1"/>
      <c r="C919">
        <v>109.26</v>
      </c>
      <c r="D919">
        <v>84.92</v>
      </c>
      <c r="E919">
        <v>81.301599999999993</v>
      </c>
      <c r="G919" s="3">
        <v>-8.9457313236667099E-3</v>
      </c>
      <c r="I919" s="15">
        <f t="shared" si="103"/>
        <v>-2.0792256676823741E-2</v>
      </c>
      <c r="J919" s="15">
        <f t="shared" si="104"/>
        <v>-9.4117647058821526E-4</v>
      </c>
      <c r="K919" s="15">
        <f t="shared" si="105"/>
        <v>5.8630890152757097E-3</v>
      </c>
      <c r="L919" s="32">
        <f t="shared" si="120"/>
        <v>286098.42176162585</v>
      </c>
      <c r="M919" s="15"/>
      <c r="N919" s="32">
        <f t="shared" si="111"/>
        <v>-3277800</v>
      </c>
      <c r="O919" s="34">
        <f t="shared" si="106"/>
        <v>-0.35710403450686728</v>
      </c>
      <c r="P919" s="34">
        <f t="shared" si="107"/>
        <v>0.64762011798237296</v>
      </c>
      <c r="Q919" s="34">
        <f t="shared" si="108"/>
        <v>0.70860038737844944</v>
      </c>
      <c r="R919" s="35" cm="1">
        <f t="array" ref="R919">SQRT(MMULT(O919:Q919, MMULT($AU$32:$AW$34,TRANSPOSE(O919:Q919))))</f>
        <v>1.337740412051786E-2</v>
      </c>
      <c r="S919" s="36" cm="1">
        <f t="array" ref="S919:U919">TRANSPOSE(MMULT($AU$32:$AW$34, TRANSPOSE(O919:Q919))/MMULT(O919:Q919, MMULT($AU$32:$AW$34,TRANSPOSE(O919:Q919))))</f>
        <v>0.14860380961060249</v>
      </c>
      <c r="T919" s="36">
        <v>1.0232121703082242</v>
      </c>
      <c r="U919" s="36">
        <v>0.55096531197704812</v>
      </c>
      <c r="V919" s="35">
        <f t="shared" si="112"/>
        <v>4.6318843909721932E-3</v>
      </c>
      <c r="W919" s="35">
        <f t="shared" si="113"/>
        <v>3.1892859898561457E-2</v>
      </c>
      <c r="X919" s="35">
        <f t="shared" si="114"/>
        <v>1.717323152886072E-2</v>
      </c>
      <c r="Y919" s="32">
        <f t="shared" si="115"/>
        <v>-15182.390656728654</v>
      </c>
      <c r="Z919" s="32">
        <f t="shared" si="116"/>
        <v>189583.91638100872</v>
      </c>
      <c r="AA919" s="32">
        <f t="shared" si="117"/>
        <v>111696.8960373458</v>
      </c>
      <c r="AB919" s="40">
        <f t="shared" si="118"/>
        <v>-5.3067019955036522E-2</v>
      </c>
      <c r="AC919" s="40">
        <f t="shared" si="121"/>
        <v>0.662652786456012</v>
      </c>
      <c r="AD919" s="40">
        <f t="shared" si="119"/>
        <v>0.39041423349902454</v>
      </c>
      <c r="AE919" s="40"/>
      <c r="AF919" s="40"/>
      <c r="AG919" s="40"/>
      <c r="AH919" s="40"/>
      <c r="AI919" s="40"/>
      <c r="AJ919" s="40"/>
      <c r="AK919" s="33">
        <f t="shared" si="109"/>
        <v>5944400</v>
      </c>
      <c r="AL919" s="33">
        <f t="shared" si="110"/>
        <v>6504127.9999999991</v>
      </c>
      <c r="AM919" s="34"/>
      <c r="AN919" s="33"/>
      <c r="AO919" s="15" cm="1">
        <f t="array" ref="AO919">SUMPRODUCT(I919:K919, TRANSPOSE($AY$5:$AY$7))</f>
        <v>1.1900533409239359E-2</v>
      </c>
      <c r="AP919" s="22">
        <f t="shared" si="125"/>
        <v>9178837.7706972286</v>
      </c>
      <c r="AQ919" s="22">
        <f t="shared" si="122"/>
        <v>107948.42174867727</v>
      </c>
      <c r="AR919">
        <f t="shared" si="123"/>
        <v>0</v>
      </c>
      <c r="AS919">
        <f t="shared" si="124"/>
        <v>0</v>
      </c>
      <c r="BJ919">
        <f t="shared" si="99"/>
        <v>8.0026108915231742E-5</v>
      </c>
      <c r="BK919">
        <f t="shared" si="101"/>
        <v>5.8404331997170334E-5</v>
      </c>
      <c r="BO919">
        <f t="shared" si="102"/>
        <v>5.2229618463545822E-5</v>
      </c>
      <c r="BP919">
        <f t="shared" si="100"/>
        <v>3.2448929539548796</v>
      </c>
    </row>
    <row r="920" spans="1:68" x14ac:dyDescent="0.15">
      <c r="A920" s="5">
        <v>44903</v>
      </c>
      <c r="B920" s="1"/>
      <c r="C920">
        <v>109.42</v>
      </c>
      <c r="D920">
        <v>86.44</v>
      </c>
      <c r="E920">
        <v>80.84666</v>
      </c>
      <c r="G920" s="3">
        <v>-4.9245697903155207E-4</v>
      </c>
      <c r="I920" s="15">
        <f t="shared" si="103"/>
        <v>1.4643968515467378E-3</v>
      </c>
      <c r="J920" s="15">
        <f t="shared" si="104"/>
        <v>1.7899199246349459E-2</v>
      </c>
      <c r="K920" s="15">
        <f t="shared" si="105"/>
        <v>-5.5957078335480909E-3</v>
      </c>
      <c r="L920" s="32">
        <f t="shared" si="120"/>
        <v>288855.92661324667</v>
      </c>
      <c r="M920" s="15"/>
      <c r="N920" s="32">
        <f t="shared" si="111"/>
        <v>-3282600</v>
      </c>
      <c r="O920" s="34">
        <f t="shared" si="106"/>
        <v>-0.35511835064018521</v>
      </c>
      <c r="P920" s="34">
        <f t="shared" si="107"/>
        <v>0.65458786207690023</v>
      </c>
      <c r="Q920" s="34">
        <f t="shared" si="108"/>
        <v>0.6996925011629278</v>
      </c>
      <c r="R920" s="35" cm="1">
        <f t="array" ref="R920">SQRT(MMULT(O920:Q920, MMULT($AU$32:$AW$34,TRANSPOSE(O920:Q920))))</f>
        <v>1.3411597505214585E-2</v>
      </c>
      <c r="S920" s="36" cm="1">
        <f t="array" ref="S920:U920">TRANSPOSE(MMULT($AU$32:$AW$34, TRANSPOSE(O920:Q920))/MMULT(O920:Q920, MMULT($AU$32:$AW$34,TRANSPOSE(O920:Q920))))</f>
        <v>0.14782663152763958</v>
      </c>
      <c r="T920" s="36">
        <v>1.0257043748215244</v>
      </c>
      <c r="U920" s="36">
        <v>0.5446425609793798</v>
      </c>
      <c r="V920" s="35">
        <f t="shared" si="112"/>
        <v>4.6194376884588556E-3</v>
      </c>
      <c r="W920" s="35">
        <f t="shared" si="113"/>
        <v>3.2052258766254622E-2</v>
      </c>
      <c r="X920" s="35">
        <f t="shared" si="114"/>
        <v>1.7019547472110829E-2</v>
      </c>
      <c r="Y920" s="32">
        <f t="shared" si="115"/>
        <v>-15163.76615613504</v>
      </c>
      <c r="Z920" s="32">
        <f t="shared" si="116"/>
        <v>193941.80734285346</v>
      </c>
      <c r="AA920" s="32">
        <f t="shared" si="117"/>
        <v>110077.88542652829</v>
      </c>
      <c r="AB920" s="40">
        <f t="shared" si="118"/>
        <v>-5.2495949568789779E-2</v>
      </c>
      <c r="AC920" s="40">
        <f t="shared" si="121"/>
        <v>0.6714136338373452</v>
      </c>
      <c r="AD920" s="40">
        <f t="shared" si="119"/>
        <v>0.38108231573144469</v>
      </c>
      <c r="AE920" s="40"/>
      <c r="AF920" s="40"/>
      <c r="AG920" s="40"/>
      <c r="AH920" s="40"/>
      <c r="AI920" s="40"/>
      <c r="AJ920" s="40"/>
      <c r="AK920" s="33">
        <f t="shared" si="109"/>
        <v>6050800</v>
      </c>
      <c r="AL920" s="33">
        <f t="shared" si="110"/>
        <v>6467732.7999999998</v>
      </c>
      <c r="AM920" s="34"/>
      <c r="AN920" s="33"/>
      <c r="AO920" s="15" cm="1">
        <f t="array" ref="AO920">SUMPRODUCT(I920:K920, TRANSPOSE($AY$5:$AY$7))</f>
        <v>7.0641967275591371E-3</v>
      </c>
      <c r="AP920" s="22">
        <f t="shared" si="125"/>
        <v>9243678.8864397835</v>
      </c>
      <c r="AQ920" s="22">
        <f t="shared" si="122"/>
        <v>64841.115742554888</v>
      </c>
      <c r="AR920">
        <f t="shared" si="123"/>
        <v>0</v>
      </c>
      <c r="AS920">
        <f t="shared" si="124"/>
        <v>0</v>
      </c>
      <c r="BJ920">
        <f t="shared" si="99"/>
        <v>2.4251387619688254E-7</v>
      </c>
      <c r="BK920">
        <f t="shared" si="101"/>
        <v>5.9701638612254017E-5</v>
      </c>
      <c r="BO920">
        <f t="shared" si="102"/>
        <v>5.8304965177232018E-5</v>
      </c>
      <c r="BP920">
        <f t="shared" si="100"/>
        <v>3.953893416167567</v>
      </c>
    </row>
    <row r="921" spans="1:68" x14ac:dyDescent="0.15">
      <c r="A921" s="5">
        <v>44904</v>
      </c>
      <c r="B921" s="1"/>
      <c r="C921">
        <v>109.24</v>
      </c>
      <c r="D921">
        <v>87.04</v>
      </c>
      <c r="E921">
        <v>81.017264999999995</v>
      </c>
      <c r="G921" s="3">
        <v>5.7952071872311396E-3</v>
      </c>
      <c r="I921" s="15">
        <f t="shared" si="103"/>
        <v>-1.645037470297997E-3</v>
      </c>
      <c r="J921" s="15">
        <f t="shared" si="104"/>
        <v>6.9412309116150921E-3</v>
      </c>
      <c r="K921" s="15">
        <f t="shared" si="105"/>
        <v>2.1102294145484155E-3</v>
      </c>
      <c r="L921" s="32">
        <f t="shared" si="120"/>
        <v>290460.13463863707</v>
      </c>
      <c r="M921" s="15"/>
      <c r="N921" s="32">
        <f t="shared" si="111"/>
        <v>-3277200</v>
      </c>
      <c r="O921" s="34">
        <f t="shared" si="106"/>
        <v>-0.35215136513140904</v>
      </c>
      <c r="P921" s="34">
        <f t="shared" si="107"/>
        <v>0.65470152492147227</v>
      </c>
      <c r="Q921" s="34">
        <f t="shared" si="108"/>
        <v>0.69645649869310688</v>
      </c>
      <c r="R921" s="35" cm="1">
        <f t="array" ref="R921">SQRT(MMULT(O921:Q921, MMULT($AU$32:$AW$34,TRANSPOSE(O921:Q921))))</f>
        <v>1.3395441849664519E-2</v>
      </c>
      <c r="S921" s="36" cm="1">
        <f t="array" ref="S921:U921">TRANSPOSE(MMULT($AU$32:$AW$34, TRANSPOSE(O921:Q921))/MMULT(O921:Q921, MMULT($AU$32:$AW$34,TRANSPOSE(O921:Q921))))</f>
        <v>0.14920147375999987</v>
      </c>
      <c r="T921" s="36">
        <v>1.0281407159551563</v>
      </c>
      <c r="U921" s="36">
        <v>0.54478091425161146</v>
      </c>
      <c r="V921" s="35">
        <f t="shared" si="112"/>
        <v>4.6567838209326372E-3</v>
      </c>
      <c r="W921" s="35">
        <f t="shared" si="113"/>
        <v>3.2089690075069899E-2</v>
      </c>
      <c r="X921" s="35">
        <f t="shared" si="114"/>
        <v>1.7003363864358367E-2</v>
      </c>
      <c r="Y921" s="32">
        <f t="shared" si="115"/>
        <v>-15261.211937960439</v>
      </c>
      <c r="Z921" s="32">
        <f t="shared" si="116"/>
        <v>195516.06368938589</v>
      </c>
      <c r="AA921" s="32">
        <f t="shared" si="117"/>
        <v>110205.28288721165</v>
      </c>
      <c r="AB921" s="40">
        <f t="shared" si="118"/>
        <v>-5.2541502664202058E-2</v>
      </c>
      <c r="AC921" s="40">
        <f t="shared" si="121"/>
        <v>0.67312529456969517</v>
      </c>
      <c r="AD921" s="40">
        <f t="shared" si="119"/>
        <v>0.37941620809450705</v>
      </c>
      <c r="AE921" s="40"/>
      <c r="AF921" s="40"/>
      <c r="AG921" s="40"/>
      <c r="AH921" s="40"/>
      <c r="AI921" s="40"/>
      <c r="AJ921" s="40"/>
      <c r="AK921" s="33">
        <f t="shared" si="109"/>
        <v>6092800</v>
      </c>
      <c r="AL921" s="33">
        <f t="shared" si="110"/>
        <v>6481381.1999999993</v>
      </c>
      <c r="AM921" s="34"/>
      <c r="AN921" s="33"/>
      <c r="AO921" s="15" cm="1">
        <f t="array" ref="AO921">SUMPRODUCT(I921:K921, TRANSPOSE($AY$5:$AY$7))</f>
        <v>6.7664156709814401E-3</v>
      </c>
      <c r="AP921" s="22">
        <f t="shared" si="125"/>
        <v>9306225.4601145107</v>
      </c>
      <c r="AQ921" s="22">
        <f t="shared" si="122"/>
        <v>62546.573674727231</v>
      </c>
      <c r="AR921">
        <f t="shared" si="123"/>
        <v>0</v>
      </c>
      <c r="AS921">
        <f t="shared" si="124"/>
        <v>0</v>
      </c>
      <c r="BJ921">
        <f t="shared" si="99"/>
        <v>3.3584426342935459E-5</v>
      </c>
      <c r="BK921">
        <f t="shared" si="101"/>
        <v>5.6134091128090583E-5</v>
      </c>
      <c r="BO921">
        <f t="shared" si="102"/>
        <v>5.1707543788625367E-5</v>
      </c>
      <c r="BP921">
        <f t="shared" si="100"/>
        <v>3.6912612608657622</v>
      </c>
    </row>
    <row r="922" spans="1:68" x14ac:dyDescent="0.15">
      <c r="A922" s="5">
        <v>44907</v>
      </c>
      <c r="B922" s="1"/>
      <c r="C922">
        <v>109.5</v>
      </c>
      <c r="D922">
        <v>86.08</v>
      </c>
      <c r="E922">
        <v>80.49597</v>
      </c>
      <c r="G922" s="3">
        <v>-3.1317383089425298E-3</v>
      </c>
      <c r="I922" s="15">
        <f t="shared" si="103"/>
        <v>2.3800805565727307E-3</v>
      </c>
      <c r="J922" s="15">
        <f t="shared" si="104"/>
        <v>-1.1029411764705973E-2</v>
      </c>
      <c r="K922" s="15">
        <f t="shared" si="105"/>
        <v>-6.4343692668469487E-3</v>
      </c>
      <c r="L922" s="32">
        <f t="shared" si="120"/>
        <v>287559.95695264661</v>
      </c>
      <c r="M922" s="15"/>
      <c r="N922" s="32">
        <f t="shared" si="111"/>
        <v>-3285000</v>
      </c>
      <c r="O922" s="34">
        <f t="shared" si="106"/>
        <v>-0.35761354852124755</v>
      </c>
      <c r="P922" s="34">
        <f t="shared" si="107"/>
        <v>0.65596231292834983</v>
      </c>
      <c r="Q922" s="34">
        <f t="shared" si="108"/>
        <v>0.70103986540906871</v>
      </c>
      <c r="R922" s="35" cm="1">
        <f t="array" ref="R922">SQRT(MMULT(O922:Q922, MMULT($AU$32:$AW$34,TRANSPOSE(O922:Q922))))</f>
        <v>1.3435414795886247E-2</v>
      </c>
      <c r="S922" s="36" cm="1">
        <f t="array" ref="S922:U922">TRANSPOSE(MMULT($AU$32:$AW$34, TRANSPOSE(O922:Q922))/MMULT(O922:Q922, MMULT($AU$32:$AW$34,TRANSPOSE(O922:Q922))))</f>
        <v>0.14632538343248144</v>
      </c>
      <c r="T922" s="36">
        <v>1.0237646426634124</v>
      </c>
      <c r="U922" s="36">
        <v>0.5431601475189638</v>
      </c>
      <c r="V922" s="35">
        <f t="shared" si="112"/>
        <v>4.5806453762872006E-3</v>
      </c>
      <c r="W922" s="35">
        <f t="shared" si="113"/>
        <v>3.2048457122180331E-2</v>
      </c>
      <c r="X922" s="35">
        <f t="shared" si="114"/>
        <v>1.7003365786253059E-2</v>
      </c>
      <c r="Y922" s="32">
        <f t="shared" si="115"/>
        <v>-15047.420061103454</v>
      </c>
      <c r="Z922" s="32">
        <f t="shared" si="116"/>
        <v>193111.18323540982</v>
      </c>
      <c r="AA922" s="32">
        <f t="shared" si="117"/>
        <v>109496.19377834021</v>
      </c>
      <c r="AB922" s="40">
        <f t="shared" si="118"/>
        <v>-5.2327939608021845E-2</v>
      </c>
      <c r="AC922" s="40">
        <f t="shared" si="121"/>
        <v>0.67155102289575752</v>
      </c>
      <c r="AD922" s="40">
        <f t="shared" si="119"/>
        <v>0.38077691671226427</v>
      </c>
      <c r="AE922" s="40"/>
      <c r="AF922" s="40"/>
      <c r="AG922" s="40"/>
      <c r="AH922" s="40"/>
      <c r="AI922" s="40"/>
      <c r="AJ922" s="40"/>
      <c r="AK922" s="33">
        <f t="shared" si="109"/>
        <v>6025600</v>
      </c>
      <c r="AL922" s="33">
        <f t="shared" si="110"/>
        <v>6439677.5999999996</v>
      </c>
      <c r="AM922" s="34"/>
      <c r="AN922" s="33"/>
      <c r="AO922" s="15" cm="1">
        <f t="array" ref="AO922">SUMPRODUCT(I922:K922, TRANSPOSE($AY$5:$AY$7))</f>
        <v>-1.2930256115405513E-2</v>
      </c>
      <c r="AP922" s="22">
        <f t="shared" si="125"/>
        <v>9185893.5814475231</v>
      </c>
      <c r="AQ922" s="22">
        <f t="shared" si="122"/>
        <v>-120331.87866698764</v>
      </c>
      <c r="AR922">
        <f t="shared" si="123"/>
        <v>0</v>
      </c>
      <c r="AS922">
        <f t="shared" si="124"/>
        <v>0</v>
      </c>
      <c r="BJ922">
        <f t="shared" si="99"/>
        <v>9.8077848356982157E-6</v>
      </c>
      <c r="BK922">
        <f t="shared" si="101"/>
        <v>5.4781111240981273E-5</v>
      </c>
      <c r="BO922">
        <f t="shared" si="102"/>
        <v>5.1281227659747173E-5</v>
      </c>
      <c r="BP922">
        <f t="shared" si="100"/>
        <v>3.9245269314677702</v>
      </c>
    </row>
    <row r="923" spans="1:68" x14ac:dyDescent="0.15">
      <c r="A923" s="5">
        <v>44908</v>
      </c>
      <c r="B923" s="1"/>
      <c r="C923">
        <v>109.56</v>
      </c>
      <c r="D923">
        <v>86.46</v>
      </c>
      <c r="E923">
        <v>80.372765000000001</v>
      </c>
      <c r="G923" s="3">
        <v>9.3340138391559899E-3</v>
      </c>
      <c r="I923" s="15">
        <f t="shared" si="103"/>
        <v>5.4794520547947283E-4</v>
      </c>
      <c r="J923" s="15">
        <f t="shared" si="104"/>
        <v>4.4144981412638879E-3</v>
      </c>
      <c r="K923" s="15">
        <f t="shared" si="105"/>
        <v>-1.5305735181525071E-3</v>
      </c>
      <c r="L923" s="32">
        <f t="shared" si="120"/>
        <v>288237.33863339695</v>
      </c>
      <c r="M923" s="15"/>
      <c r="N923" s="32">
        <f t="shared" si="111"/>
        <v>-3286800</v>
      </c>
      <c r="O923" s="34">
        <f t="shared" si="106"/>
        <v>-0.35725301133631737</v>
      </c>
      <c r="P923" s="34">
        <f t="shared" si="107"/>
        <v>0.65783335621566874</v>
      </c>
      <c r="Q923" s="34">
        <f t="shared" si="108"/>
        <v>0.69887823599065779</v>
      </c>
      <c r="R923" s="35" cm="1">
        <f t="array" ref="R923">SQRT(MMULT(O923:Q923, MMULT($AU$32:$AW$34,TRANSPOSE(O923:Q923))))</f>
        <v>1.3446118614965379E-2</v>
      </c>
      <c r="S923" s="36" cm="1">
        <f t="array" ref="S923:U923">TRANSPOSE(MMULT($AU$32:$AW$34, TRANSPOSE(O923:Q923))/MMULT(O923:Q923, MMULT($AU$32:$AW$34,TRANSPOSE(O923:Q923))))</f>
        <v>0.14604444507117231</v>
      </c>
      <c r="T923" s="36">
        <v>1.0242164469810282</v>
      </c>
      <c r="U923" s="36">
        <v>0.54145494235545</v>
      </c>
      <c r="V923" s="35">
        <f t="shared" si="112"/>
        <v>4.5754930703572044E-3</v>
      </c>
      <c r="W923" s="35">
        <f t="shared" si="113"/>
        <v>3.2088144492067358E-2</v>
      </c>
      <c r="X923" s="35">
        <f t="shared" si="114"/>
        <v>1.6963488994399548E-2</v>
      </c>
      <c r="Y923" s="32">
        <f t="shared" si="115"/>
        <v>-15038.730623650059</v>
      </c>
      <c r="Z923" s="32">
        <f t="shared" si="116"/>
        <v>194203.86809489006</v>
      </c>
      <c r="AA923" s="32">
        <f t="shared" si="117"/>
        <v>109072.2011621569</v>
      </c>
      <c r="AB923" s="40">
        <f t="shared" si="118"/>
        <v>-5.2174817790617702E-2</v>
      </c>
      <c r="AC923" s="40">
        <f t="shared" si="121"/>
        <v>0.67376374280881735</v>
      </c>
      <c r="AD923" s="40">
        <f t="shared" si="119"/>
        <v>0.37841107498180016</v>
      </c>
      <c r="AE923" s="40"/>
      <c r="AF923" s="40"/>
      <c r="AG923" s="40"/>
      <c r="AH923" s="40"/>
      <c r="AI923" s="40"/>
      <c r="AJ923" s="40"/>
      <c r="AK923" s="33">
        <f t="shared" si="109"/>
        <v>6052200</v>
      </c>
      <c r="AL923" s="33">
        <f t="shared" si="110"/>
        <v>6429821.2000000002</v>
      </c>
      <c r="AM923" s="34"/>
      <c r="AN923" s="33"/>
      <c r="AO923" s="15" cm="1">
        <f t="array" ref="AO923">SUMPRODUCT(I923:K923, TRANSPOSE($AY$5:$AY$7))</f>
        <v>1.5576910385590136E-3</v>
      </c>
      <c r="AP923" s="22">
        <f t="shared" si="125"/>
        <v>9200202.3655605018</v>
      </c>
      <c r="AQ923" s="22">
        <f t="shared" si="122"/>
        <v>14308.784112978727</v>
      </c>
      <c r="AR923">
        <f t="shared" si="123"/>
        <v>0</v>
      </c>
      <c r="AS923">
        <f t="shared" si="124"/>
        <v>0</v>
      </c>
      <c r="BJ923">
        <f t="shared" si="99"/>
        <v>8.7123814349555535E-5</v>
      </c>
      <c r="BK923">
        <f t="shared" si="101"/>
        <v>5.208271165666429E-5</v>
      </c>
      <c r="BO923">
        <f t="shared" si="102"/>
        <v>4.7560560545350146E-5</v>
      </c>
      <c r="BP923">
        <f t="shared" si="100"/>
        <v>3.1418898009449707</v>
      </c>
    </row>
    <row r="924" spans="1:68" x14ac:dyDescent="0.15">
      <c r="A924" s="5">
        <v>44909</v>
      </c>
      <c r="B924" s="1"/>
      <c r="C924">
        <v>111.04</v>
      </c>
      <c r="D924">
        <v>86.42</v>
      </c>
      <c r="E924">
        <v>81.633319999999998</v>
      </c>
      <c r="G924" s="3">
        <v>2.1614081249641203E-3</v>
      </c>
      <c r="I924" s="15">
        <f t="shared" si="103"/>
        <v>1.3508579773640051E-2</v>
      </c>
      <c r="J924" s="15">
        <f t="shared" si="104"/>
        <v>-4.6264168401563782E-4</v>
      </c>
      <c r="K924" s="15">
        <f t="shared" si="105"/>
        <v>1.5683857585339966E-2</v>
      </c>
      <c r="L924" s="32">
        <f t="shared" si="120"/>
        <v>289660.36915145942</v>
      </c>
      <c r="M924" s="15"/>
      <c r="N924" s="32">
        <f t="shared" si="111"/>
        <v>-3331200</v>
      </c>
      <c r="O924" s="34">
        <f t="shared" si="106"/>
        <v>-0.359945183280374</v>
      </c>
      <c r="P924" s="34">
        <f t="shared" si="107"/>
        <v>0.65365405611680305</v>
      </c>
      <c r="Q924" s="34">
        <f t="shared" si="108"/>
        <v>0.7056561078094481</v>
      </c>
      <c r="R924" s="35" cm="1">
        <f t="array" ref="R924">SQRT(MMULT(O924:Q924, MMULT($AU$32:$AW$34,TRANSPOSE(O924:Q924))))</f>
        <v>1.3432870169520017E-2</v>
      </c>
      <c r="S924" s="36" cm="1">
        <f t="array" ref="S924:U924">TRANSPOSE(MMULT($AU$32:$AW$34, TRANSPOSE(O924:Q924))/MMULT(O924:Q924, MMULT($AU$32:$AW$34,TRANSPOSE(O924:Q924))))</f>
        <v>0.14577596884956154</v>
      </c>
      <c r="T924" s="36">
        <v>1.0216751596570182</v>
      </c>
      <c r="U924" s="36">
        <v>0.54509447509197506</v>
      </c>
      <c r="V924" s="35">
        <f t="shared" si="112"/>
        <v>4.5625819157037199E-3</v>
      </c>
      <c r="W924" s="35">
        <f t="shared" si="113"/>
        <v>3.197698937597452E-2</v>
      </c>
      <c r="X924" s="35">
        <f t="shared" si="114"/>
        <v>1.7060687121697272E-2</v>
      </c>
      <c r="Y924" s="32">
        <f t="shared" si="115"/>
        <v>-15198.872877592232</v>
      </c>
      <c r="Z924" s="32">
        <f t="shared" si="116"/>
        <v>193441.59953102027</v>
      </c>
      <c r="AA924" s="32">
        <f t="shared" si="117"/>
        <v>111417.64249803137</v>
      </c>
      <c r="AB924" s="40">
        <f t="shared" si="118"/>
        <v>-5.2471357825429513E-2</v>
      </c>
      <c r="AC924" s="40">
        <f t="shared" si="121"/>
        <v>0.66782211214359222</v>
      </c>
      <c r="AD924" s="40">
        <f t="shared" si="119"/>
        <v>0.38464924568183723</v>
      </c>
      <c r="AE924" s="40"/>
      <c r="AF924" s="40"/>
      <c r="AG924" s="40"/>
      <c r="AH924" s="40"/>
      <c r="AI924" s="40"/>
      <c r="AJ924" s="40"/>
      <c r="AK924" s="33">
        <f t="shared" si="109"/>
        <v>6049400</v>
      </c>
      <c r="AL924" s="33">
        <f t="shared" si="110"/>
        <v>6530665.5999999996</v>
      </c>
      <c r="AM924" s="34"/>
      <c r="AN924" s="33"/>
      <c r="AO924" s="15" cm="1">
        <f t="array" ref="AO924">SUMPRODUCT(I924:K924, TRANSPOSE($AY$5:$AY$7))</f>
        <v>5.9281495018397076E-3</v>
      </c>
      <c r="AP924" s="22">
        <f t="shared" si="125"/>
        <v>9254742.5406307243</v>
      </c>
      <c r="AQ924" s="22">
        <f t="shared" si="122"/>
        <v>54540.175070222467</v>
      </c>
      <c r="AR924">
        <f t="shared" si="123"/>
        <v>0</v>
      </c>
      <c r="AS924">
        <f t="shared" si="124"/>
        <v>0</v>
      </c>
      <c r="BJ924">
        <f t="shared" si="99"/>
        <v>4.671685082660914E-6</v>
      </c>
      <c r="BK924">
        <f t="shared" si="101"/>
        <v>5.4185177818237765E-5</v>
      </c>
      <c r="BO924">
        <f t="shared" si="102"/>
        <v>5.5653511589311662E-5</v>
      </c>
      <c r="BP924">
        <f t="shared" si="100"/>
        <v>3.9372729954142822</v>
      </c>
    </row>
    <row r="925" spans="1:68" x14ac:dyDescent="0.15">
      <c r="A925" s="5">
        <v>44910</v>
      </c>
      <c r="B925" s="1"/>
      <c r="C925">
        <v>107.66</v>
      </c>
      <c r="D925">
        <v>84.68</v>
      </c>
      <c r="E925">
        <v>80.202160000000006</v>
      </c>
      <c r="G925" s="3">
        <v>-2.5137447315674199E-2</v>
      </c>
      <c r="I925" s="15">
        <f t="shared" si="103"/>
        <v>-3.0439481268011614E-2</v>
      </c>
      <c r="J925" s="15">
        <f t="shared" si="104"/>
        <v>-2.0134228187919403E-2</v>
      </c>
      <c r="K925" s="15">
        <f t="shared" si="105"/>
        <v>-1.7531566767099407E-2</v>
      </c>
      <c r="L925" s="32">
        <f t="shared" si="120"/>
        <v>284277.02926707972</v>
      </c>
      <c r="M925" s="15"/>
      <c r="N925" s="32">
        <f t="shared" si="111"/>
        <v>-3229800</v>
      </c>
      <c r="O925" s="34">
        <f t="shared" si="106"/>
        <v>-0.35399872755622186</v>
      </c>
      <c r="P925" s="34">
        <f t="shared" si="107"/>
        <v>0.64968817185654248</v>
      </c>
      <c r="Q925" s="34">
        <f t="shared" si="108"/>
        <v>0.70323766393610798</v>
      </c>
      <c r="R925" s="35" cm="1">
        <f t="array" ref="R925">SQRT(MMULT(O925:Q925, MMULT($AU$32:$AW$34,TRANSPOSE(O925:Q925))))</f>
        <v>1.3372478801090947E-2</v>
      </c>
      <c r="S925" s="36" cm="1">
        <f t="array" ref="S925:U925">TRANSPOSE(MMULT($AU$32:$AW$34, TRANSPOSE(O925:Q925))/MMULT(O925:Q925, MMULT($AU$32:$AW$34,TRANSPOSE(O925:Q925))))</f>
        <v>0.14955906399054339</v>
      </c>
      <c r="T925" s="36">
        <v>1.0261040477971046</v>
      </c>
      <c r="U925" s="36">
        <v>0.54931081654117608</v>
      </c>
      <c r="V925" s="35">
        <f t="shared" si="112"/>
        <v>4.6599427116481929E-3</v>
      </c>
      <c r="W925" s="35">
        <f t="shared" si="113"/>
        <v>3.1971222280631324E-2</v>
      </c>
      <c r="X925" s="35">
        <f t="shared" si="114"/>
        <v>1.711535809111793E-2</v>
      </c>
      <c r="Y925" s="32">
        <f t="shared" si="115"/>
        <v>-15050.682970081334</v>
      </c>
      <c r="Z925" s="32">
        <f t="shared" si="116"/>
        <v>189512.61719067028</v>
      </c>
      <c r="AA925" s="32">
        <f t="shared" si="117"/>
        <v>109815.09504649079</v>
      </c>
      <c r="AB925" s="40">
        <f t="shared" si="118"/>
        <v>-5.2943718347151926E-2</v>
      </c>
      <c r="AC925" s="40">
        <f t="shared" si="121"/>
        <v>0.66664766294789934</v>
      </c>
      <c r="AD925" s="40">
        <f t="shared" si="119"/>
        <v>0.38629605539925266</v>
      </c>
      <c r="AE925" s="40"/>
      <c r="AF925" s="40"/>
      <c r="AG925" s="40"/>
      <c r="AH925" s="40"/>
      <c r="AI925" s="40"/>
      <c r="AJ925" s="40"/>
      <c r="AK925" s="33">
        <f t="shared" si="109"/>
        <v>5927600.0000000009</v>
      </c>
      <c r="AL925" s="33">
        <f t="shared" si="110"/>
        <v>6416172.8000000007</v>
      </c>
      <c r="AM925" s="34"/>
      <c r="AN925" s="33"/>
      <c r="AO925" s="15" cm="1">
        <f t="array" ref="AO925">SUMPRODUCT(I925:K925, TRANSPOSE($AY$5:$AY$7))</f>
        <v>-1.4152844487346607E-2</v>
      </c>
      <c r="AP925" s="22">
        <f t="shared" si="125"/>
        <v>9123761.6086827461</v>
      </c>
      <c r="AQ925" s="22">
        <f t="shared" si="122"/>
        <v>-130980.93194797821</v>
      </c>
      <c r="AR925">
        <f t="shared" si="123"/>
        <v>0</v>
      </c>
      <c r="AS925">
        <f t="shared" si="124"/>
        <v>0</v>
      </c>
      <c r="BJ925">
        <f t="shared" si="99"/>
        <v>6.3189125754829593E-4</v>
      </c>
      <c r="BK925">
        <f t="shared" si="101"/>
        <v>5.121436825410315E-5</v>
      </c>
      <c r="BO925">
        <f t="shared" si="102"/>
        <v>5.0258603154037104E-5</v>
      </c>
      <c r="BP925">
        <f t="shared" si="100"/>
        <v>-2.2561730475866373</v>
      </c>
    </row>
    <row r="926" spans="1:68" x14ac:dyDescent="0.15">
      <c r="A926" s="5">
        <v>44911</v>
      </c>
      <c r="B926" s="1"/>
      <c r="C926">
        <v>107.16</v>
      </c>
      <c r="D926">
        <v>84.16</v>
      </c>
      <c r="E926">
        <v>79.841994999999997</v>
      </c>
      <c r="G926" s="3">
        <v>-1.00885768534851E-2</v>
      </c>
      <c r="I926" s="15">
        <f t="shared" si="103"/>
        <v>-4.6442504179825374E-3</v>
      </c>
      <c r="J926" s="15">
        <f t="shared" si="104"/>
        <v>-6.1407652338215657E-3</v>
      </c>
      <c r="K926" s="15">
        <f t="shared" si="105"/>
        <v>-4.4907144645482009E-3</v>
      </c>
      <c r="L926" s="32">
        <f t="shared" si="120"/>
        <v>282690.08431282884</v>
      </c>
      <c r="M926" s="15"/>
      <c r="N926" s="32">
        <f t="shared" si="111"/>
        <v>-3214800</v>
      </c>
      <c r="O926" s="34">
        <f t="shared" si="106"/>
        <v>-0.35430860511801332</v>
      </c>
      <c r="P926" s="34">
        <f t="shared" si="107"/>
        <v>0.64927922560384477</v>
      </c>
      <c r="Q926" s="34">
        <f t="shared" si="108"/>
        <v>0.70396182352343895</v>
      </c>
      <c r="R926" s="35" cm="1">
        <f t="array" ref="R926">SQRT(MMULT(O926:Q926, MMULT($AU$32:$AW$34,TRANSPOSE(O926:Q926))))</f>
        <v>1.3371569774873287E-2</v>
      </c>
      <c r="S926" s="36" cm="1">
        <f t="array" ref="S926:U926">TRANSPOSE(MMULT($AU$32:$AW$34, TRANSPOSE(O926:Q926))/MMULT(O926:Q926, MMULT($AU$32:$AW$34,TRANSPOSE(O926:Q926))))</f>
        <v>0.14951247237805593</v>
      </c>
      <c r="T926" s="36">
        <v>1.0257990367451586</v>
      </c>
      <c r="U926" s="36">
        <v>0.54966553356009407</v>
      </c>
      <c r="V926" s="35">
        <f t="shared" si="112"/>
        <v>4.6581743439175864E-3</v>
      </c>
      <c r="W926" s="35">
        <f t="shared" si="113"/>
        <v>3.1959546109967173E-2</v>
      </c>
      <c r="X926" s="35">
        <f t="shared" si="114"/>
        <v>1.7125246111181283E-2</v>
      </c>
      <c r="Y926" s="32">
        <f t="shared" si="115"/>
        <v>-14975.098880826257</v>
      </c>
      <c r="Z926" s="32">
        <f t="shared" si="116"/>
        <v>188280.07804303861</v>
      </c>
      <c r="AA926" s="32">
        <f t="shared" si="117"/>
        <v>109385.10515061644</v>
      </c>
      <c r="AB926" s="40">
        <f t="shared" si="118"/>
        <v>-5.2973555536014488E-2</v>
      </c>
      <c r="AC926" s="40">
        <f t="shared" si="121"/>
        <v>0.66603000420306646</v>
      </c>
      <c r="AD926" s="40">
        <f t="shared" si="119"/>
        <v>0.38694355133294783</v>
      </c>
      <c r="AE926" s="40"/>
      <c r="AF926" s="40"/>
      <c r="AG926" s="40"/>
      <c r="AH926" s="40"/>
      <c r="AI926" s="40"/>
      <c r="AJ926" s="40"/>
      <c r="AK926" s="33">
        <f t="shared" si="109"/>
        <v>5891200</v>
      </c>
      <c r="AL926" s="33">
        <f t="shared" si="110"/>
        <v>6387359.5999999996</v>
      </c>
      <c r="AM926" s="34"/>
      <c r="AN926" s="33"/>
      <c r="AO926" s="15" cm="1">
        <f t="array" ref="AO926">SUMPRODUCT(I926:K926, TRANSPOSE($AY$5:$AY$7))</f>
        <v>-5.514786465767408E-3</v>
      </c>
      <c r="AP926" s="22">
        <f t="shared" si="125"/>
        <v>9073446.011646295</v>
      </c>
      <c r="AQ926" s="22">
        <f t="shared" si="122"/>
        <v>-50315.597036451101</v>
      </c>
      <c r="AR926">
        <f t="shared" si="123"/>
        <v>0</v>
      </c>
      <c r="AS926">
        <f t="shared" si="124"/>
        <v>0</v>
      </c>
      <c r="BJ926">
        <f t="shared" si="99"/>
        <v>1.0177938292867533E-4</v>
      </c>
      <c r="BK926">
        <f t="shared" si="101"/>
        <v>8.6054981611754757E-5</v>
      </c>
      <c r="BO926">
        <f t="shared" si="102"/>
        <v>1.3535568118133804E-4</v>
      </c>
      <c r="BP926">
        <f t="shared" si="100"/>
        <v>3.1588936329008135</v>
      </c>
    </row>
    <row r="927" spans="1:68" x14ac:dyDescent="0.15">
      <c r="A927" s="5">
        <v>44914</v>
      </c>
      <c r="B927" s="1"/>
      <c r="C927">
        <v>107.92</v>
      </c>
      <c r="D927">
        <v>84.52</v>
      </c>
      <c r="E927">
        <v>79.747214999999997</v>
      </c>
      <c r="G927" s="3">
        <v>2.6484924983694003E-4</v>
      </c>
      <c r="I927" s="15">
        <f t="shared" si="103"/>
        <v>7.0921985815603321E-3</v>
      </c>
      <c r="J927" s="15">
        <f t="shared" si="104"/>
        <v>4.2775665399239476E-3</v>
      </c>
      <c r="K927" s="15">
        <f t="shared" si="105"/>
        <v>-1.1870945860007643E-3</v>
      </c>
      <c r="L927" s="32">
        <f t="shared" si="120"/>
        <v>283260.62048526225</v>
      </c>
      <c r="M927" s="15"/>
      <c r="N927" s="32">
        <f t="shared" si="111"/>
        <v>-3237600</v>
      </c>
      <c r="O927" s="34">
        <f t="shared" si="106"/>
        <v>-0.35712839674307195</v>
      </c>
      <c r="P927" s="34">
        <f t="shared" si="107"/>
        <v>0.65261750879994773</v>
      </c>
      <c r="Q927" s="34">
        <f t="shared" si="108"/>
        <v>0.70373103626575384</v>
      </c>
      <c r="R927" s="35" cm="1">
        <f t="array" ref="R927">SQRT(MMULT(O927:Q927, MMULT($AU$32:$AW$34,TRANSPOSE(O927:Q927))))</f>
        <v>1.341008324588837E-2</v>
      </c>
      <c r="S927" s="36" cm="1">
        <f t="array" ref="S927:U927">TRANSPOSE(MMULT($AU$32:$AW$34, TRANSPOSE(O927:Q927))/MMULT(O927:Q927, MMULT($AU$32:$AW$34,TRANSPOSE(O927:Q927))))</f>
        <v>0.14736209762646413</v>
      </c>
      <c r="T927" s="36">
        <v>1.0238369523244113</v>
      </c>
      <c r="U927" s="36">
        <v>0.54630710969178253</v>
      </c>
      <c r="V927" s="35">
        <f t="shared" si="112"/>
        <v>4.6044015317508978E-3</v>
      </c>
      <c r="W927" s="35">
        <f t="shared" si="113"/>
        <v>3.1990291312866702E-2</v>
      </c>
      <c r="X927" s="35">
        <f t="shared" si="114"/>
        <v>1.7069635497774811E-2</v>
      </c>
      <c r="Y927" s="32">
        <f t="shared" si="115"/>
        <v>-14907.210399196707</v>
      </c>
      <c r="Z927" s="32">
        <f t="shared" si="116"/>
        <v>189267.35952344455</v>
      </c>
      <c r="AA927" s="32">
        <f t="shared" si="117"/>
        <v>108900.4713610144</v>
      </c>
      <c r="AB927" s="40">
        <f t="shared" si="118"/>
        <v>-5.2627189666035183E-2</v>
      </c>
      <c r="AC927" s="40">
        <f t="shared" si="121"/>
        <v>0.66817392124328812</v>
      </c>
      <c r="AD927" s="40">
        <f t="shared" si="119"/>
        <v>0.38445326842274702</v>
      </c>
      <c r="AE927" s="40"/>
      <c r="AF927" s="40"/>
      <c r="AG927" s="40"/>
      <c r="AH927" s="40"/>
      <c r="AI927" s="40"/>
      <c r="AJ927" s="40"/>
      <c r="AK927" s="33">
        <f t="shared" si="109"/>
        <v>5916400</v>
      </c>
      <c r="AL927" s="33">
        <f t="shared" si="110"/>
        <v>6379777.2000000002</v>
      </c>
      <c r="AM927" s="34"/>
      <c r="AN927" s="33"/>
      <c r="AO927" s="15" cm="1">
        <f t="array" ref="AO927">SUMPRODUCT(I927:K927, TRANSPOSE($AY$5:$AY$7))</f>
        <v>-8.5953578938410499E-4</v>
      </c>
      <c r="AP927" s="22">
        <f t="shared" si="125"/>
        <v>9065647.0600662399</v>
      </c>
      <c r="AQ927" s="22">
        <f t="shared" si="122"/>
        <v>-7798.951580055058</v>
      </c>
      <c r="AR927">
        <f t="shared" si="123"/>
        <v>0</v>
      </c>
      <c r="AS927">
        <f t="shared" si="124"/>
        <v>0</v>
      </c>
      <c r="BJ927">
        <f t="shared" si="99"/>
        <v>7.0145125139189881E-8</v>
      </c>
      <c r="BK927">
        <f t="shared" si="101"/>
        <v>8.6998445690769999E-5</v>
      </c>
      <c r="BO927">
        <f t="shared" si="102"/>
        <v>1.2660539347682205E-4</v>
      </c>
      <c r="BP927">
        <f t="shared" si="100"/>
        <v>3.5680021674672675</v>
      </c>
    </row>
    <row r="928" spans="1:68" x14ac:dyDescent="0.15">
      <c r="A928" s="5">
        <v>44915</v>
      </c>
      <c r="B928" s="1"/>
      <c r="C928">
        <v>106.94</v>
      </c>
      <c r="D928">
        <v>84.54</v>
      </c>
      <c r="E928">
        <v>79.216449999999995</v>
      </c>
      <c r="G928" s="3">
        <v>-1.05855106294243E-2</v>
      </c>
      <c r="I928" s="15">
        <f t="shared" si="103"/>
        <v>-9.0808005930319118E-3</v>
      </c>
      <c r="J928" s="15">
        <f t="shared" si="104"/>
        <v>2.3663038334134208E-4</v>
      </c>
      <c r="K928" s="15">
        <f t="shared" si="105"/>
        <v>-6.6555929257216366E-3</v>
      </c>
      <c r="L928" s="32">
        <f t="shared" si="120"/>
        <v>282717.15232077282</v>
      </c>
      <c r="M928" s="15"/>
      <c r="N928" s="32">
        <f t="shared" si="111"/>
        <v>-3208200</v>
      </c>
      <c r="O928" s="34">
        <f t="shared" si="106"/>
        <v>-0.35429954664330049</v>
      </c>
      <c r="P928" s="34">
        <f t="shared" si="107"/>
        <v>0.65353589462182027</v>
      </c>
      <c r="Q928" s="34">
        <f t="shared" si="108"/>
        <v>0.69986540294723976</v>
      </c>
      <c r="R928" s="35" cm="1">
        <f t="array" ref="R928">SQRT(MMULT(O928:Q928, MMULT($AU$32:$AW$34,TRANSPOSE(O928:Q928))))</f>
        <v>1.3400018527568001E-2</v>
      </c>
      <c r="S928" s="36" cm="1">
        <f t="array" ref="S928:U928">TRANSPOSE(MMULT($AU$32:$AW$34, TRANSPOSE(O928:Q928))/MMULT(O928:Q928, MMULT($AU$32:$AW$34,TRANSPOSE(O928:Q928))))</f>
        <v>0.14847535933143571</v>
      </c>
      <c r="T928" s="36">
        <v>1.0262515682270812</v>
      </c>
      <c r="U928" s="36">
        <v>0.54569423512321891</v>
      </c>
      <c r="V928" s="35">
        <f t="shared" si="112"/>
        <v>4.6357040786135333E-3</v>
      </c>
      <c r="W928" s="35">
        <f t="shared" si="113"/>
        <v>3.2041670765679452E-2</v>
      </c>
      <c r="X928" s="35">
        <f t="shared" si="114"/>
        <v>1.7037688966218965E-2</v>
      </c>
      <c r="Y928" s="32">
        <f t="shared" si="115"/>
        <v>-14872.265825007937</v>
      </c>
      <c r="Z928" s="32">
        <f t="shared" si="116"/>
        <v>189616.19925713787</v>
      </c>
      <c r="AA928" s="32">
        <f t="shared" si="117"/>
        <v>107973.21888864291</v>
      </c>
      <c r="AB928" s="40">
        <f t="shared" si="118"/>
        <v>-5.2604752498828802E-2</v>
      </c>
      <c r="AC928" s="40">
        <f t="shared" si="121"/>
        <v>0.67069223674833156</v>
      </c>
      <c r="AD928" s="40">
        <f t="shared" si="119"/>
        <v>0.38191251575049734</v>
      </c>
      <c r="AE928" s="40"/>
      <c r="AF928" s="40"/>
      <c r="AG928" s="40"/>
      <c r="AH928" s="40"/>
      <c r="AI928" s="40"/>
      <c r="AJ928" s="40"/>
      <c r="AK928" s="33">
        <f t="shared" si="109"/>
        <v>5917800</v>
      </c>
      <c r="AL928" s="33">
        <f t="shared" si="110"/>
        <v>6337316</v>
      </c>
      <c r="AM928" s="34"/>
      <c r="AN928" s="33"/>
      <c r="AO928" s="15" cm="1">
        <f t="array" ref="AO928">SUMPRODUCT(I928:K928, TRANSPOSE($AY$5:$AY$7))</f>
        <v>-1.1689590378689452E-3</v>
      </c>
      <c r="AP928" s="22">
        <f t="shared" si="125"/>
        <v>9055049.6900012456</v>
      </c>
      <c r="AQ928" s="22">
        <f t="shared" si="122"/>
        <v>-10597.37006499432</v>
      </c>
      <c r="AR928">
        <f t="shared" si="123"/>
        <v>0</v>
      </c>
      <c r="AS928">
        <f t="shared" si="124"/>
        <v>0</v>
      </c>
      <c r="BJ928">
        <f t="shared" si="99"/>
        <v>1.1205303528565484E-4</v>
      </c>
      <c r="BK928">
        <f t="shared" si="101"/>
        <v>8.1782747656832154E-5</v>
      </c>
      <c r="BO928">
        <f t="shared" si="102"/>
        <v>1.0525640428924319E-4</v>
      </c>
      <c r="BP928">
        <f t="shared" si="100"/>
        <v>3.1283310175619068</v>
      </c>
    </row>
    <row r="929" spans="1:68" x14ac:dyDescent="0.15">
      <c r="A929" s="5">
        <v>44916</v>
      </c>
      <c r="B929" s="1"/>
      <c r="C929">
        <v>108.46</v>
      </c>
      <c r="D929">
        <v>87</v>
      </c>
      <c r="E929">
        <v>80.287459999999996</v>
      </c>
      <c r="G929" s="3">
        <v>1.7487297798563797E-2</v>
      </c>
      <c r="I929" s="15">
        <f t="shared" si="103"/>
        <v>1.4213577707125453E-2</v>
      </c>
      <c r="J929" s="15">
        <f t="shared" si="104"/>
        <v>2.9098651525904819E-2</v>
      </c>
      <c r="K929" s="15">
        <f t="shared" si="105"/>
        <v>1.3520045394611867E-2</v>
      </c>
      <c r="L929" s="32">
        <f t="shared" si="120"/>
        <v>289488.0363236338</v>
      </c>
      <c r="M929" s="15"/>
      <c r="N929" s="32">
        <f t="shared" si="111"/>
        <v>-3253800</v>
      </c>
      <c r="O929" s="34">
        <f t="shared" si="106"/>
        <v>-0.35108947466059931</v>
      </c>
      <c r="P929" s="34">
        <f t="shared" si="107"/>
        <v>0.65711933760005214</v>
      </c>
      <c r="Q929" s="34">
        <f t="shared" si="108"/>
        <v>0.69305014821399913</v>
      </c>
      <c r="R929" s="35" cm="1">
        <f t="array" ref="R929">SQRT(MMULT(O929:Q929, MMULT($AU$32:$AW$34,TRANSPOSE(O929:Q929))))</f>
        <v>1.3406075299134308E-2</v>
      </c>
      <c r="S929" s="36" cm="1">
        <f t="array" ref="S929:U929">TRANSPOSE(MMULT($AU$32:$AW$34, TRANSPOSE(O929:Q929))/MMULT(O929:Q929, MMULT($AU$32:$AW$34,TRANSPOSE(O929:Q929))))</f>
        <v>0.14911401841434863</v>
      </c>
      <c r="T929" s="36">
        <v>1.0291863204361296</v>
      </c>
      <c r="U929" s="36">
        <v>0.54260738592538682</v>
      </c>
      <c r="V929" s="35">
        <f t="shared" si="112"/>
        <v>4.65774865851487E-3</v>
      </c>
      <c r="W929" s="35">
        <f t="shared" si="113"/>
        <v>3.2147823889051338E-2</v>
      </c>
      <c r="X929" s="35">
        <f t="shared" si="114"/>
        <v>1.6948968653446445E-2</v>
      </c>
      <c r="Y929" s="32">
        <f t="shared" si="115"/>
        <v>-15155.382585075684</v>
      </c>
      <c r="Z929" s="32">
        <f t="shared" si="116"/>
        <v>195780.24748432264</v>
      </c>
      <c r="AA929" s="32">
        <f t="shared" si="117"/>
        <v>108863.17142438682</v>
      </c>
      <c r="AB929" s="40">
        <f t="shared" si="118"/>
        <v>-5.2352362389624589E-2</v>
      </c>
      <c r="AC929" s="40">
        <f t="shared" si="121"/>
        <v>0.67629823315202453</v>
      </c>
      <c r="AD929" s="40">
        <f t="shared" si="119"/>
        <v>0.37605412923759995</v>
      </c>
      <c r="AE929" s="40"/>
      <c r="AF929" s="40"/>
      <c r="AG929" s="40"/>
      <c r="AH929" s="40"/>
      <c r="AI929" s="40"/>
      <c r="AJ929" s="40"/>
      <c r="AK929" s="33">
        <f t="shared" si="109"/>
        <v>6090000</v>
      </c>
      <c r="AL929" s="33">
        <f t="shared" si="110"/>
        <v>6422996.7999999998</v>
      </c>
      <c r="AM929" s="34"/>
      <c r="AN929" s="33"/>
      <c r="AO929" s="15" cm="1">
        <f t="array" ref="AO929">SUMPRODUCT(I929:K929, TRANSPOSE($AY$5:$AY$7))</f>
        <v>2.3486708419517381E-2</v>
      </c>
      <c r="AP929" s="22">
        <f t="shared" si="125"/>
        <v>9267723.0017945468</v>
      </c>
      <c r="AQ929" s="22">
        <f t="shared" si="122"/>
        <v>212673.31179330125</v>
      </c>
      <c r="AR929">
        <f t="shared" si="123"/>
        <v>0</v>
      </c>
      <c r="AS929">
        <f t="shared" si="124"/>
        <v>0</v>
      </c>
      <c r="BJ929">
        <f t="shared" si="99"/>
        <v>3.0580558429565421E-4</v>
      </c>
      <c r="BK929">
        <f t="shared" si="101"/>
        <v>8.3598964914561509E-5</v>
      </c>
      <c r="BO929">
        <f t="shared" si="102"/>
        <v>1.0445933372217459E-4</v>
      </c>
      <c r="BP929">
        <f t="shared" si="100"/>
        <v>2.2006635881807139</v>
      </c>
    </row>
    <row r="930" spans="1:68" x14ac:dyDescent="0.15">
      <c r="A930" s="5">
        <v>44917</v>
      </c>
      <c r="B930" s="1"/>
      <c r="C930">
        <v>107.98</v>
      </c>
      <c r="D930">
        <v>86.88</v>
      </c>
      <c r="E930">
        <v>80.126334999999997</v>
      </c>
      <c r="G930" s="3">
        <v>-6.5419943690684301E-3</v>
      </c>
      <c r="I930" s="15">
        <f t="shared" si="103"/>
        <v>-4.4255946892862788E-3</v>
      </c>
      <c r="J930" s="15">
        <f t="shared" si="104"/>
        <v>-1.3793103448276386E-3</v>
      </c>
      <c r="K930" s="15">
        <f t="shared" si="105"/>
        <v>-2.0068513812742167E-3</v>
      </c>
      <c r="L930" s="32">
        <f t="shared" si="120"/>
        <v>289066.68348104157</v>
      </c>
      <c r="M930" s="15"/>
      <c r="N930" s="32">
        <f t="shared" si="111"/>
        <v>-3239400</v>
      </c>
      <c r="O930" s="34">
        <f t="shared" si="106"/>
        <v>-0.34975977299913502</v>
      </c>
      <c r="P930" s="34">
        <f t="shared" si="107"/>
        <v>0.65663364680852609</v>
      </c>
      <c r="Q930" s="34">
        <f t="shared" si="108"/>
        <v>0.69210270397857987</v>
      </c>
      <c r="R930" s="35" cm="1">
        <f t="array" ref="R930">SQRT(MMULT(O930:Q930, MMULT($AU$32:$AW$34,TRANSPOSE(O930:Q930))))</f>
        <v>1.339514438719271E-2</v>
      </c>
      <c r="S930" s="36" cm="1">
        <f t="array" ref="S930:U930">TRANSPOSE(MMULT($AU$32:$AW$34, TRANSPOSE(O930:Q930))/MMULT(O930:Q930, MMULT($AU$32:$AW$34,TRANSPOSE(O930:Q930))))</f>
        <v>0.14986065005011401</v>
      </c>
      <c r="T930" s="36">
        <v>1.0302395392507293</v>
      </c>
      <c r="U930" s="36">
        <v>0.54316401169576001</v>
      </c>
      <c r="V930" s="35">
        <f t="shared" si="112"/>
        <v>4.6772537557350172E-3</v>
      </c>
      <c r="W930" s="35">
        <f t="shared" si="113"/>
        <v>3.2154483199264096E-2</v>
      </c>
      <c r="X930" s="35">
        <f t="shared" si="114"/>
        <v>1.6952521644838278E-2</v>
      </c>
      <c r="Y930" s="32">
        <f t="shared" si="115"/>
        <v>-15151.495816328015</v>
      </c>
      <c r="Z930" s="32">
        <f t="shared" si="116"/>
        <v>195550.70502464453</v>
      </c>
      <c r="AA930" s="32">
        <f t="shared" si="117"/>
        <v>108667.47427272503</v>
      </c>
      <c r="AB930" s="40">
        <f t="shared" si="118"/>
        <v>-5.2415226943030691E-2</v>
      </c>
      <c r="AC930" s="40">
        <f t="shared" si="121"/>
        <v>0.67648994574454202</v>
      </c>
      <c r="AD930" s="40">
        <f t="shared" si="119"/>
        <v>0.3759252811984885</v>
      </c>
      <c r="AE930" s="40"/>
      <c r="AF930" s="40"/>
      <c r="AG930" s="40"/>
      <c r="AH930" s="40"/>
      <c r="AI930" s="40"/>
      <c r="AJ930" s="40"/>
      <c r="AK930" s="33">
        <f t="shared" si="109"/>
        <v>6081600</v>
      </c>
      <c r="AL930" s="33">
        <f t="shared" si="110"/>
        <v>6410106.7999999998</v>
      </c>
      <c r="AM930" s="34"/>
      <c r="AN930" s="33"/>
      <c r="AO930" s="15" cm="1">
        <f t="array" ref="AO930">SUMPRODUCT(I930:K930, TRANSPOSE($AY$5:$AY$7))</f>
        <v>-6.4066273584449977E-4</v>
      </c>
      <c r="AP930" s="22">
        <f t="shared" si="125"/>
        <v>9261785.517021168</v>
      </c>
      <c r="AQ930" s="22">
        <f t="shared" si="122"/>
        <v>-5937.4847733788192</v>
      </c>
      <c r="AR930">
        <f t="shared" si="123"/>
        <v>0</v>
      </c>
      <c r="AS930">
        <f t="shared" si="124"/>
        <v>0</v>
      </c>
      <c r="BJ930">
        <f t="shared" si="99"/>
        <v>4.2797690324923049E-5</v>
      </c>
      <c r="BK930">
        <f t="shared" si="101"/>
        <v>9.6931362077427079E-5</v>
      </c>
      <c r="BO930">
        <f t="shared" si="102"/>
        <v>1.3142840306412375E-4</v>
      </c>
      <c r="BP930">
        <f t="shared" si="100"/>
        <v>3.3867681170770063</v>
      </c>
    </row>
    <row r="931" spans="1:68" x14ac:dyDescent="0.15">
      <c r="A931" s="5">
        <v>44918</v>
      </c>
      <c r="B931" s="1"/>
      <c r="C931">
        <v>107.82</v>
      </c>
      <c r="D931">
        <v>87.46</v>
      </c>
      <c r="E931">
        <v>80.296936000000002</v>
      </c>
      <c r="G931" s="3">
        <v>2.7882569466210999E-3</v>
      </c>
      <c r="I931" s="15">
        <f t="shared" si="103"/>
        <v>-1.4817558807187516E-3</v>
      </c>
      <c r="J931" s="15">
        <f t="shared" si="104"/>
        <v>6.6758747697974021E-3</v>
      </c>
      <c r="K931" s="15">
        <f t="shared" si="105"/>
        <v>2.129150172661771E-3</v>
      </c>
      <c r="L931" s="32">
        <f t="shared" si="120"/>
        <v>290626.66192775685</v>
      </c>
      <c r="M931" s="15"/>
      <c r="N931" s="32">
        <f t="shared" si="111"/>
        <v>-3234600</v>
      </c>
      <c r="O931" s="34">
        <f t="shared" si="106"/>
        <v>-0.34697177932960949</v>
      </c>
      <c r="P931" s="34">
        <f t="shared" si="107"/>
        <v>0.65672127230932276</v>
      </c>
      <c r="Q931" s="34">
        <f t="shared" si="108"/>
        <v>0.68906871350116305</v>
      </c>
      <c r="R931" s="35" cm="1">
        <f t="array" ref="R931">SQRT(MMULT(O931:Q931, MMULT($AU$32:$AW$34,TRANSPOSE(O931:Q931))))</f>
        <v>1.3379907275345344E-2</v>
      </c>
      <c r="S931" s="36" cm="1">
        <f t="array" ref="S931:U931">TRANSPOSE(MMULT($AU$32:$AW$34, TRANSPOSE(O931:Q931))/MMULT(O931:Q931, MMULT($AU$32:$AW$34,TRANSPOSE(O931:Q931))))</f>
        <v>0.1511587850857613</v>
      </c>
      <c r="T931" s="36">
        <v>1.0325253826032932</v>
      </c>
      <c r="U931" s="36">
        <v>0.54329334989749423</v>
      </c>
      <c r="V931" s="35">
        <f t="shared" si="112"/>
        <v>4.7124029309421238E-3</v>
      </c>
      <c r="W931" s="35">
        <f t="shared" si="113"/>
        <v>3.2189168737307011E-2</v>
      </c>
      <c r="X931" s="35">
        <f t="shared" si="114"/>
        <v>1.6937270122710728E-2</v>
      </c>
      <c r="Y931" s="32">
        <f t="shared" si="115"/>
        <v>-15242.738520425393</v>
      </c>
      <c r="Z931" s="32">
        <f t="shared" si="116"/>
        <v>197068.52884354099</v>
      </c>
      <c r="AA931" s="32">
        <f t="shared" si="117"/>
        <v>108800.87160464123</v>
      </c>
      <c r="AB931" s="40">
        <f t="shared" si="118"/>
        <v>-5.2447832622508635E-2</v>
      </c>
      <c r="AC931" s="40">
        <f t="shared" si="121"/>
        <v>0.67808138295490494</v>
      </c>
      <c r="AD931" s="40">
        <f t="shared" si="119"/>
        <v>0.37436644966760357</v>
      </c>
      <c r="AE931" s="40"/>
      <c r="AF931" s="40"/>
      <c r="AG931" s="40"/>
      <c r="AH931" s="40"/>
      <c r="AI931" s="40"/>
      <c r="AJ931" s="40"/>
      <c r="AK931" s="33">
        <f t="shared" si="109"/>
        <v>6122200</v>
      </c>
      <c r="AL931" s="33">
        <f t="shared" si="110"/>
        <v>6423754.8799999999</v>
      </c>
      <c r="AM931" s="34"/>
      <c r="AN931" s="33"/>
      <c r="AO931" s="15" cm="1">
        <f t="array" ref="AO931">SUMPRODUCT(I931:K931, TRANSPOSE($AY$5:$AY$7))</f>
        <v>6.5415552625939606E-3</v>
      </c>
      <c r="AP931" s="22">
        <f t="shared" si="125"/>
        <v>9322371.998811055</v>
      </c>
      <c r="AQ931" s="22">
        <f t="shared" si="122"/>
        <v>60586.481789886951</v>
      </c>
      <c r="AR931">
        <f t="shared" si="123"/>
        <v>0</v>
      </c>
      <c r="AS931">
        <f t="shared" si="124"/>
        <v>0</v>
      </c>
      <c r="BJ931">
        <f t="shared" si="99"/>
        <v>7.7743768003808194E-6</v>
      </c>
      <c r="BK931">
        <f t="shared" si="101"/>
        <v>9.3683341772276838E-5</v>
      </c>
      <c r="BO931">
        <f t="shared" si="102"/>
        <v>1.151247359082883E-4</v>
      </c>
      <c r="BP931">
        <f t="shared" si="100"/>
        <v>3.5820436307699142</v>
      </c>
    </row>
    <row r="932" spans="1:68" x14ac:dyDescent="0.15">
      <c r="A932" s="5">
        <v>44922</v>
      </c>
      <c r="B932" s="1"/>
      <c r="C932">
        <v>108.1</v>
      </c>
      <c r="D932">
        <v>87.7</v>
      </c>
      <c r="E932">
        <v>80.353806000000006</v>
      </c>
      <c r="G932" s="3">
        <v>3.1966886248835304E-3</v>
      </c>
      <c r="I932" s="15">
        <f t="shared" si="103"/>
        <v>2.5969207939157963E-3</v>
      </c>
      <c r="J932" s="15">
        <f t="shared" si="104"/>
        <v>2.7441115938715882E-3</v>
      </c>
      <c r="K932" s="15">
        <f t="shared" si="105"/>
        <v>7.0824620256996519E-4</v>
      </c>
      <c r="L932" s="32">
        <f t="shared" si="120"/>
        <v>291205.02261630975</v>
      </c>
      <c r="M932" s="15"/>
      <c r="N932" s="32">
        <f t="shared" si="111"/>
        <v>-3243000</v>
      </c>
      <c r="O932" s="34">
        <f t="shared" si="106"/>
        <v>-0.34742057643890317</v>
      </c>
      <c r="P932" s="34">
        <f t="shared" si="107"/>
        <v>0.65766725832822281</v>
      </c>
      <c r="Q932" s="34">
        <f t="shared" si="108"/>
        <v>0.68866026764304167</v>
      </c>
      <c r="R932" s="35" cm="1">
        <f t="array" ref="R932">SQRT(MMULT(O932:Q932, MMULT($AU$32:$AW$34,TRANSPOSE(O932:Q932))))</f>
        <v>1.3389104405694161E-2</v>
      </c>
      <c r="S932" s="36" cm="1">
        <f t="array" ref="S932:U932">TRANSPOSE(MMULT($AU$32:$AW$34, TRANSPOSE(O932:Q932))/MMULT(O932:Q932, MMULT($AU$32:$AW$34,TRANSPOSE(O932:Q932))))</f>
        <v>0.15071440964875255</v>
      </c>
      <c r="T932" s="36">
        <v>1.0322096832131831</v>
      </c>
      <c r="U932" s="36">
        <v>0.54237305714980732</v>
      </c>
      <c r="V932" s="35">
        <f t="shared" si="112"/>
        <v>4.7017791513152187E-3</v>
      </c>
      <c r="W932" s="35">
        <f t="shared" si="113"/>
        <v>3.2201446295865847E-2</v>
      </c>
      <c r="X932" s="35">
        <f t="shared" si="114"/>
        <v>1.6920202509403313E-2</v>
      </c>
      <c r="Y932" s="32">
        <f t="shared" si="115"/>
        <v>-15247.869787715254</v>
      </c>
      <c r="Z932" s="32">
        <f t="shared" si="116"/>
        <v>197684.67881032045</v>
      </c>
      <c r="AA932" s="32">
        <f t="shared" si="117"/>
        <v>108768.21359370457</v>
      </c>
      <c r="AB932" s="40">
        <f t="shared" si="118"/>
        <v>-5.2361287077818598E-2</v>
      </c>
      <c r="AC932" s="40">
        <f t="shared" si="121"/>
        <v>0.67885051237865757</v>
      </c>
      <c r="AD932" s="40">
        <f t="shared" si="119"/>
        <v>0.37351077469916105</v>
      </c>
      <c r="AE932" s="40"/>
      <c r="AF932" s="40"/>
      <c r="AG932" s="40"/>
      <c r="AH932" s="40"/>
      <c r="AI932" s="40"/>
      <c r="AJ932" s="40"/>
      <c r="AK932" s="33">
        <f t="shared" si="109"/>
        <v>6139000</v>
      </c>
      <c r="AL932" s="33">
        <f t="shared" si="110"/>
        <v>6428304.4800000004</v>
      </c>
      <c r="AM932" s="34"/>
      <c r="AN932" s="33"/>
      <c r="AO932" s="15" cm="1">
        <f t="array" ref="AO932">SUMPRODUCT(I932:K932, TRANSPOSE($AY$5:$AY$7))</f>
        <v>1.3017683753364954E-3</v>
      </c>
      <c r="AP932" s="22">
        <f t="shared" si="125"/>
        <v>9334507.5678622294</v>
      </c>
      <c r="AQ932" s="22">
        <f t="shared" si="122"/>
        <v>12135.569051174447</v>
      </c>
      <c r="AR932">
        <f t="shared" si="123"/>
        <v>0</v>
      </c>
      <c r="AS932">
        <f t="shared" si="124"/>
        <v>0</v>
      </c>
      <c r="BJ932">
        <f t="shared" si="99"/>
        <v>1.0218818164459756E-5</v>
      </c>
      <c r="BK932">
        <f t="shared" si="101"/>
        <v>8.8528803873963072E-5</v>
      </c>
      <c r="BO932">
        <f t="shared" si="102"/>
        <v>9.7348457793453323E-5</v>
      </c>
      <c r="BP932">
        <f t="shared" si="100"/>
        <v>3.6471825276161596</v>
      </c>
    </row>
    <row r="933" spans="1:68" x14ac:dyDescent="0.15">
      <c r="A933" s="5">
        <v>44923</v>
      </c>
      <c r="B933" s="1"/>
      <c r="C933">
        <v>108.1</v>
      </c>
      <c r="D933">
        <v>87.32</v>
      </c>
      <c r="E933">
        <v>80.069469999999995</v>
      </c>
      <c r="G933" s="3">
        <v>-2.4491821275389701E-3</v>
      </c>
      <c r="I933" s="15">
        <f t="shared" si="103"/>
        <v>0</v>
      </c>
      <c r="J933" s="15">
        <f t="shared" si="104"/>
        <v>-4.3329532497150477E-3</v>
      </c>
      <c r="K933" s="15">
        <f t="shared" si="105"/>
        <v>-3.5385504950445077E-3</v>
      </c>
      <c r="L933" s="32">
        <f t="shared" si="120"/>
        <v>289963.76500750205</v>
      </c>
      <c r="M933" s="15"/>
      <c r="N933" s="32">
        <f t="shared" si="111"/>
        <v>-3243000</v>
      </c>
      <c r="O933" s="34">
        <f t="shared" si="106"/>
        <v>-0.34932648526310872</v>
      </c>
      <c r="P933" s="34">
        <f t="shared" si="107"/>
        <v>0.65840987003460549</v>
      </c>
      <c r="Q933" s="34">
        <f t="shared" si="108"/>
        <v>0.68998795021843784</v>
      </c>
      <c r="R933" s="35" cm="1">
        <f t="array" ref="R933">SQRT(MMULT(O933:Q933, MMULT($AU$32:$AW$34,TRANSPOSE(O933:Q933))))</f>
        <v>1.3405171506239082E-2</v>
      </c>
      <c r="S933" s="36" cm="1">
        <f t="array" ref="S933:U933">TRANSPOSE(MMULT($AU$32:$AW$34, TRANSPOSE(O933:Q933))/MMULT(O933:Q933, MMULT($AU$32:$AW$34,TRANSPOSE(O933:Q933))))</f>
        <v>0.14963377247231552</v>
      </c>
      <c r="T933" s="36">
        <v>1.0306908131692158</v>
      </c>
      <c r="U933" s="36">
        <v>0.54153704474334108</v>
      </c>
      <c r="V933" s="35">
        <f t="shared" si="112"/>
        <v>4.6736686726624836E-3</v>
      </c>
      <c r="W933" s="35">
        <f t="shared" si="113"/>
        <v>3.2192647990621381E-2</v>
      </c>
      <c r="X933" s="35">
        <f t="shared" si="114"/>
        <v>1.6914394920915607E-2</v>
      </c>
      <c r="Y933" s="32">
        <f t="shared" si="115"/>
        <v>-15156.707505444434</v>
      </c>
      <c r="Z933" s="32">
        <f t="shared" si="116"/>
        <v>196774.34157787409</v>
      </c>
      <c r="AA933" s="32">
        <f t="shared" si="117"/>
        <v>108346.13093507236</v>
      </c>
      <c r="AB933" s="40">
        <f t="shared" si="118"/>
        <v>-5.2271039814413688E-2</v>
      </c>
      <c r="AC933" s="40">
        <f t="shared" si="121"/>
        <v>0.67861700434460515</v>
      </c>
      <c r="AD933" s="40">
        <f t="shared" si="119"/>
        <v>0.37365403546980841</v>
      </c>
      <c r="AE933" s="40"/>
      <c r="AF933" s="40"/>
      <c r="AG933" s="40"/>
      <c r="AH933" s="40"/>
      <c r="AI933" s="40"/>
      <c r="AJ933" s="40"/>
      <c r="AK933" s="33">
        <f t="shared" si="109"/>
        <v>6112399.9999999991</v>
      </c>
      <c r="AL933" s="33">
        <f t="shared" si="110"/>
        <v>6405557.5999999996</v>
      </c>
      <c r="AM933" s="34"/>
      <c r="AN933" s="33"/>
      <c r="AO933" s="15" cm="1">
        <f t="array" ref="AO933">SUMPRODUCT(I933:K933, TRANSPOSE($AY$5:$AY$7))</f>
        <v>-5.4559528252489439E-3</v>
      </c>
      <c r="AP933" s="22">
        <f t="shared" si="125"/>
        <v>9283578.934925044</v>
      </c>
      <c r="AQ933" s="22">
        <f t="shared" si="122"/>
        <v>-50928.632937185466</v>
      </c>
      <c r="AR933">
        <f t="shared" si="123"/>
        <v>0</v>
      </c>
      <c r="AS933">
        <f t="shared" si="124"/>
        <v>0</v>
      </c>
      <c r="BJ933">
        <f t="shared" si="99"/>
        <v>5.9984930938563161E-6</v>
      </c>
      <c r="BK933">
        <f t="shared" si="101"/>
        <v>8.3830204731392865E-5</v>
      </c>
      <c r="BO933">
        <f t="shared" si="102"/>
        <v>8.375325955912091E-5</v>
      </c>
      <c r="BP933">
        <f t="shared" si="100"/>
        <v>3.7390686954300749</v>
      </c>
    </row>
    <row r="934" spans="1:68" x14ac:dyDescent="0.15">
      <c r="A934" s="5">
        <v>44924</v>
      </c>
      <c r="B934" s="1"/>
      <c r="C934">
        <v>108.26</v>
      </c>
      <c r="D934">
        <v>88.1</v>
      </c>
      <c r="E934">
        <v>80.334854000000007</v>
      </c>
      <c r="G934" s="3">
        <v>4.13164455776837E-3</v>
      </c>
      <c r="I934" s="15">
        <f t="shared" si="103"/>
        <v>1.4801110083257243E-3</v>
      </c>
      <c r="J934" s="15">
        <f t="shared" si="104"/>
        <v>8.9326614750343709E-3</v>
      </c>
      <c r="K934" s="15">
        <f t="shared" si="105"/>
        <v>3.3144218389357595E-3</v>
      </c>
      <c r="L934" s="32">
        <f t="shared" si="120"/>
        <v>292058.91532731452</v>
      </c>
      <c r="M934" s="15"/>
      <c r="N934" s="32">
        <f t="shared" si="111"/>
        <v>-3247800</v>
      </c>
      <c r="O934" s="34">
        <f t="shared" si="106"/>
        <v>-0.34715975489127232</v>
      </c>
      <c r="P934" s="34">
        <f t="shared" si="107"/>
        <v>0.65919521165542105</v>
      </c>
      <c r="Q934" s="34">
        <f t="shared" si="108"/>
        <v>0.6869641781850151</v>
      </c>
      <c r="R934" s="35" cm="1">
        <f t="array" ref="R934">SQRT(MMULT(O934:Q934, MMULT($AU$32:$AW$34,TRANSPOSE(O934:Q934))))</f>
        <v>1.3398452548908162E-2</v>
      </c>
      <c r="S934" s="36" cm="1">
        <f t="array" ref="S934:U934">TRANSPOSE(MMULT($AU$32:$AW$34, TRANSPOSE(O934:Q934))/MMULT(O934:Q934, MMULT($AU$32:$AW$34,TRANSPOSE(O934:Q934))))</f>
        <v>0.15046480077108085</v>
      </c>
      <c r="T934" s="36">
        <v>1.0324928425998823</v>
      </c>
      <c r="U934" s="36">
        <v>0.54096122803222746</v>
      </c>
      <c r="V934" s="35">
        <f t="shared" si="112"/>
        <v>4.6972694996505358E-3</v>
      </c>
      <c r="W934" s="35">
        <f t="shared" si="113"/>
        <v>3.2232768815682059E-2</v>
      </c>
      <c r="X934" s="35">
        <f t="shared" si="114"/>
        <v>1.6887940992892109E-2</v>
      </c>
      <c r="Y934" s="32">
        <f t="shared" si="115"/>
        <v>-15255.791880965011</v>
      </c>
      <c r="Z934" s="32">
        <f t="shared" si="116"/>
        <v>198779.48528631125</v>
      </c>
      <c r="AA934" s="32">
        <f t="shared" si="117"/>
        <v>108535.22192196822</v>
      </c>
      <c r="AB934" s="40">
        <f t="shared" si="118"/>
        <v>-5.223532335545255E-2</v>
      </c>
      <c r="AC934" s="40">
        <f t="shared" si="121"/>
        <v>0.68061433791033665</v>
      </c>
      <c r="AD934" s="40">
        <f t="shared" si="119"/>
        <v>0.37162098544511568</v>
      </c>
      <c r="AE934" s="40"/>
      <c r="AF934" s="40"/>
      <c r="AG934" s="40"/>
      <c r="AH934" s="40"/>
      <c r="AI934" s="40"/>
      <c r="AJ934" s="40"/>
      <c r="AK934" s="33">
        <f t="shared" si="109"/>
        <v>6167000</v>
      </c>
      <c r="AL934" s="33">
        <f t="shared" si="110"/>
        <v>6426788.3200000003</v>
      </c>
      <c r="AM934" s="34"/>
      <c r="AN934" s="33"/>
      <c r="AO934" s="15" cm="1">
        <f t="array" ref="AO934">SUMPRODUCT(I934:K934, TRANSPOSE($AY$5:$AY$7))</f>
        <v>7.7306551533159107E-3</v>
      </c>
      <c r="AP934" s="22">
        <f t="shared" si="125"/>
        <v>9355347.0822595358</v>
      </c>
      <c r="AQ934" s="22">
        <f t="shared" si="122"/>
        <v>71768.147334491834</v>
      </c>
      <c r="AR934">
        <f t="shared" si="123"/>
        <v>0</v>
      </c>
      <c r="AS934">
        <f t="shared" si="124"/>
        <v>0</v>
      </c>
      <c r="BJ934">
        <f t="shared" si="99"/>
        <v>1.7070486751736991E-5</v>
      </c>
      <c r="BK934">
        <f t="shared" si="101"/>
        <v>7.916030203314068E-5</v>
      </c>
      <c r="BO934">
        <f t="shared" si="102"/>
        <v>7.2488414529848924E-5</v>
      </c>
      <c r="BP934">
        <f t="shared" si="100"/>
        <v>3.7293570603744222</v>
      </c>
    </row>
    <row r="935" spans="1:68" x14ac:dyDescent="0.15">
      <c r="A935" s="5">
        <v>44925</v>
      </c>
      <c r="B935" s="1"/>
      <c r="C935">
        <v>107.14</v>
      </c>
      <c r="D935">
        <v>86.48</v>
      </c>
      <c r="E935">
        <v>79.225930000000005</v>
      </c>
      <c r="G935" s="3">
        <v>-1.1784797808688201E-2</v>
      </c>
      <c r="I935" s="15">
        <f t="shared" si="103"/>
        <v>-1.0345464622205843E-2</v>
      </c>
      <c r="J935" s="15">
        <f t="shared" si="104"/>
        <v>-1.8388195232690016E-2</v>
      </c>
      <c r="K935" s="15">
        <f t="shared" si="105"/>
        <v>-1.3803771897064774E-2</v>
      </c>
      <c r="L935" s="32">
        <f t="shared" si="120"/>
        <v>287064.04440702999</v>
      </c>
      <c r="M935" s="15"/>
      <c r="N935" s="32">
        <f t="shared" si="111"/>
        <v>-3214200</v>
      </c>
      <c r="O935" s="34">
        <f t="shared" si="106"/>
        <v>-0.3499302334747777</v>
      </c>
      <c r="P935" s="34">
        <f t="shared" si="107"/>
        <v>0.65905595836068509</v>
      </c>
      <c r="Q935" s="34">
        <f t="shared" si="108"/>
        <v>0.69002671102374202</v>
      </c>
      <c r="R935" s="35" cm="1">
        <f t="array" ref="R935">SQRT(MMULT(O935:Q935, MMULT($AU$32:$AW$34,TRANSPOSE(O935:Q935))))</f>
        <v>1.3413170590051435E-2</v>
      </c>
      <c r="S935" s="36" cm="1">
        <f t="array" ref="S935:U935">TRANSPOSE(MMULT($AU$32:$AW$34, TRANSPOSE(O935:Q935))/MMULT(O935:Q935, MMULT($AU$32:$AW$34,TRANSPOSE(O935:Q935))))</f>
        <v>0.14919297693155742</v>
      </c>
      <c r="T935" s="36">
        <v>1.0302300220824778</v>
      </c>
      <c r="U935" s="36">
        <v>0.5408890594412048</v>
      </c>
      <c r="V935" s="35">
        <f t="shared" si="112"/>
        <v>4.6626814814799706E-3</v>
      </c>
      <c r="W935" s="35">
        <f t="shared" si="113"/>
        <v>3.2197456907320426E-2</v>
      </c>
      <c r="X935" s="35">
        <f t="shared" si="114"/>
        <v>1.6904236733265226E-2</v>
      </c>
      <c r="Y935" s="32">
        <f t="shared" si="115"/>
        <v>-14986.790817772922</v>
      </c>
      <c r="Z935" s="32">
        <f t="shared" si="116"/>
        <v>194910.52513415494</v>
      </c>
      <c r="AA935" s="32">
        <f t="shared" si="117"/>
        <v>107140.31009064797</v>
      </c>
      <c r="AB935" s="40">
        <f t="shared" si="118"/>
        <v>-5.2207133250457005E-2</v>
      </c>
      <c r="AC935" s="40">
        <f t="shared" si="121"/>
        <v>0.67897923453551723</v>
      </c>
      <c r="AD935" s="40">
        <f t="shared" si="119"/>
        <v>0.37322789871493978</v>
      </c>
      <c r="AE935" s="40"/>
      <c r="AF935" s="40"/>
      <c r="AG935" s="40"/>
      <c r="AH935" s="40"/>
      <c r="AI935" s="40"/>
      <c r="AJ935" s="40"/>
      <c r="AK935" s="33">
        <f t="shared" si="109"/>
        <v>6053600</v>
      </c>
      <c r="AL935" s="33">
        <f t="shared" si="110"/>
        <v>6338074.4000000004</v>
      </c>
      <c r="AM935" s="34"/>
      <c r="AN935" s="33"/>
      <c r="AO935" s="15" cm="1">
        <f t="array" ref="AO935">SUMPRODUCT(I935:K935, TRANSPOSE($AY$5:$AY$7))</f>
        <v>-1.8180788446921163E-2</v>
      </c>
      <c r="AP935" s="22">
        <f t="shared" si="125"/>
        <v>9185259.496109454</v>
      </c>
      <c r="AQ935" s="22">
        <f t="shared" si="122"/>
        <v>-170087.58615008183</v>
      </c>
      <c r="AR935">
        <f t="shared" si="123"/>
        <v>0</v>
      </c>
      <c r="AS935">
        <f t="shared" si="124"/>
        <v>0</v>
      </c>
      <c r="BJ935">
        <f t="shared" si="99"/>
        <v>1.3888145939166223E-4</v>
      </c>
      <c r="BK935">
        <f t="shared" si="101"/>
        <v>7.5434913116256458E-5</v>
      </c>
      <c r="BO935">
        <f t="shared" si="102"/>
        <v>6.52293841161709E-5</v>
      </c>
      <c r="BP935">
        <f t="shared" si="100"/>
        <v>2.8352996305134877</v>
      </c>
    </row>
    <row r="936" spans="1:68" x14ac:dyDescent="0.15">
      <c r="A936" s="5">
        <v>44929</v>
      </c>
      <c r="B936" s="1"/>
      <c r="C936">
        <v>108.92</v>
      </c>
      <c r="D936">
        <v>89.58</v>
      </c>
      <c r="E936">
        <v>81.348990000000001</v>
      </c>
      <c r="G936" s="3">
        <v>2.32296245593119E-2</v>
      </c>
      <c r="I936" s="15">
        <f t="shared" si="103"/>
        <v>1.6613776367369808E-2</v>
      </c>
      <c r="J936" s="15">
        <f t="shared" si="104"/>
        <v>3.5846438482886149E-2</v>
      </c>
      <c r="K936" s="15">
        <f t="shared" si="105"/>
        <v>2.6797539643901878E-2</v>
      </c>
      <c r="L936" s="32">
        <f t="shared" si="120"/>
        <v>296676.38453136163</v>
      </c>
      <c r="M936" s="15"/>
      <c r="N936" s="32">
        <f t="shared" si="111"/>
        <v>-3267600</v>
      </c>
      <c r="O936" s="34">
        <f t="shared" si="106"/>
        <v>-0.34313010972516989</v>
      </c>
      <c r="P936" s="34">
        <f t="shared" si="107"/>
        <v>0.65847461930549944</v>
      </c>
      <c r="Q936" s="34">
        <f t="shared" si="108"/>
        <v>0.68339546737010026</v>
      </c>
      <c r="R936" s="35" cm="1">
        <f t="array" ref="R936">SQRT(MMULT(O936:Q936, MMULT($AU$32:$AW$34,TRANSPOSE(O936:Q936))))</f>
        <v>1.3370787865083059E-2</v>
      </c>
      <c r="S936" s="36" cm="1">
        <f t="array" ref="S936:U936">TRANSPOSE(MMULT($AU$32:$AW$34, TRANSPOSE(O936:Q936))/MMULT(O936:Q936, MMULT($AU$32:$AW$34,TRANSPOSE(O936:Q936))))</f>
        <v>0.15255486710949509</v>
      </c>
      <c r="T936" s="36">
        <v>1.0357205810623451</v>
      </c>
      <c r="U936" s="36">
        <v>0.54192699637547348</v>
      </c>
      <c r="V936" s="35">
        <f t="shared" si="112"/>
        <v>4.7526845245633009E-3</v>
      </c>
      <c r="W936" s="35">
        <f t="shared" si="113"/>
        <v>3.2266772412142472E-2</v>
      </c>
      <c r="X936" s="35">
        <f t="shared" si="114"/>
        <v>1.6883158813072556E-2</v>
      </c>
      <c r="Y936" s="32">
        <f t="shared" si="115"/>
        <v>-15529.871952463041</v>
      </c>
      <c r="Z936" s="32">
        <f t="shared" si="116"/>
        <v>202332.02308758057</v>
      </c>
      <c r="AA936" s="32">
        <f t="shared" si="117"/>
        <v>109874.2333962441</v>
      </c>
      <c r="AB936" s="40">
        <f t="shared" si="118"/>
        <v>-5.2346168290389759E-2</v>
      </c>
      <c r="AC936" s="40">
        <f t="shared" si="121"/>
        <v>0.6819957153218984</v>
      </c>
      <c r="AD936" s="40">
        <f t="shared" si="119"/>
        <v>0.37035045296849134</v>
      </c>
      <c r="AE936" s="40"/>
      <c r="AF936" s="40"/>
      <c r="AG936" s="40"/>
      <c r="AH936" s="40"/>
      <c r="AI936" s="40"/>
      <c r="AJ936" s="40"/>
      <c r="AK936" s="33">
        <f t="shared" si="109"/>
        <v>6270600</v>
      </c>
      <c r="AL936" s="33">
        <f t="shared" si="110"/>
        <v>6507919.2000000002</v>
      </c>
      <c r="AM936" s="34"/>
      <c r="AN936" s="33"/>
      <c r="AO936" s="15" cm="1">
        <f t="array" ref="AO936">SUMPRODUCT(I936:K936, TRANSPOSE($AY$5:$AY$7))</f>
        <v>3.6760942963712129E-2</v>
      </c>
      <c r="AP936" s="22">
        <f t="shared" si="125"/>
        <v>9522918.2965528294</v>
      </c>
      <c r="AQ936" s="22">
        <f t="shared" si="122"/>
        <v>337658.80044337548</v>
      </c>
      <c r="AR936">
        <f t="shared" si="123"/>
        <v>0</v>
      </c>
      <c r="AS936">
        <f t="shared" si="124"/>
        <v>0</v>
      </c>
      <c r="BJ936">
        <f t="shared" si="99"/>
        <v>5.3961545716658661E-4</v>
      </c>
      <c r="BK936">
        <f t="shared" si="101"/>
        <v>7.9241705892780801E-5</v>
      </c>
      <c r="BO936">
        <f t="shared" si="102"/>
        <v>7.6883896135068822E-5</v>
      </c>
      <c r="BP936">
        <f t="shared" si="100"/>
        <v>0.30838059677496599</v>
      </c>
    </row>
    <row r="937" spans="1:68" x14ac:dyDescent="0.15">
      <c r="A937" s="5">
        <v>44930</v>
      </c>
      <c r="B937" s="1"/>
      <c r="C937">
        <v>110.8</v>
      </c>
      <c r="D937">
        <v>93.68</v>
      </c>
      <c r="E937">
        <v>81.273160000000004</v>
      </c>
      <c r="G937" s="3">
        <v>1.47228439587809E-2</v>
      </c>
      <c r="I937" s="15">
        <f t="shared" si="103"/>
        <v>1.7260374586852693E-2</v>
      </c>
      <c r="J937" s="15">
        <f t="shared" si="104"/>
        <v>4.5769144898414924E-2</v>
      </c>
      <c r="K937" s="15">
        <f t="shared" si="105"/>
        <v>-9.3215662542333092E-4</v>
      </c>
      <c r="L937" s="32">
        <f t="shared" si="120"/>
        <v>305611.03464983276</v>
      </c>
      <c r="M937" s="15"/>
      <c r="N937" s="32">
        <f t="shared" si="111"/>
        <v>-3324000</v>
      </c>
      <c r="O937" s="34">
        <f t="shared" si="106"/>
        <v>-0.34134097960925963</v>
      </c>
      <c r="P937" s="34">
        <f t="shared" si="107"/>
        <v>0.67339879900291255</v>
      </c>
      <c r="Q937" s="34">
        <f t="shared" si="108"/>
        <v>0.66767412876871479</v>
      </c>
      <c r="R937" s="35" cm="1">
        <f t="array" ref="R937">SQRT(MMULT(O937:Q937, MMULT($AU$32:$AW$34,TRANSPOSE(O937:Q937))))</f>
        <v>1.346916042344831E-2</v>
      </c>
      <c r="S937" s="36" cm="1">
        <f t="array" ref="S937:U937">TRANSPOSE(MMULT($AU$32:$AW$34, TRANSPOSE(O937:Q937))/MMULT(O937:Q937, MMULT($AU$32:$AW$34,TRANSPOSE(O937:Q937))))</f>
        <v>0.14970977815559217</v>
      </c>
      <c r="T937" s="36">
        <v>1.0373552643589772</v>
      </c>
      <c r="U937" s="36">
        <v>0.52802449276292829</v>
      </c>
      <c r="V937" s="35">
        <f t="shared" si="112"/>
        <v>4.6983634941221118E-3</v>
      </c>
      <c r="W937" s="35">
        <f t="shared" si="113"/>
        <v>3.2555469419200095E-2</v>
      </c>
      <c r="X937" s="35">
        <f t="shared" si="114"/>
        <v>1.6571068579243762E-2</v>
      </c>
      <c r="Y937" s="32">
        <f t="shared" si="115"/>
        <v>-15617.360254461899</v>
      </c>
      <c r="Z937" s="32">
        <f t="shared" si="116"/>
        <v>213485.74626334658</v>
      </c>
      <c r="AA937" s="32">
        <f t="shared" si="117"/>
        <v>107742.64864094809</v>
      </c>
      <c r="AB937" s="40">
        <f t="shared" si="118"/>
        <v>-5.1102082332714766E-2</v>
      </c>
      <c r="AC937" s="40">
        <f t="shared" si="121"/>
        <v>0.69855378915868416</v>
      </c>
      <c r="AD937" s="40">
        <f t="shared" si="119"/>
        <v>0.35254829317403069</v>
      </c>
      <c r="AE937" s="40"/>
      <c r="AF937" s="40"/>
      <c r="AG937" s="40"/>
      <c r="AH937" s="40"/>
      <c r="AI937" s="40"/>
      <c r="AJ937" s="40"/>
      <c r="AK937" s="33">
        <f t="shared" si="109"/>
        <v>6557600.0000000009</v>
      </c>
      <c r="AL937" s="33">
        <f t="shared" si="110"/>
        <v>6501852.8000000007</v>
      </c>
      <c r="AM937" s="34"/>
      <c r="AN937" s="33"/>
      <c r="AO937" s="15" cm="1">
        <f t="array" ref="AO937">SUMPRODUCT(I937:K937, TRANSPOSE($AY$5:$AY$7))</f>
        <v>2.2592319125064476E-2</v>
      </c>
      <c r="AP937" s="22">
        <f t="shared" si="125"/>
        <v>9738063.1057104673</v>
      </c>
      <c r="AQ937" s="22">
        <f t="shared" si="122"/>
        <v>215144.80915763788</v>
      </c>
      <c r="AR937">
        <f t="shared" si="123"/>
        <v>0</v>
      </c>
      <c r="AS937">
        <f t="shared" si="124"/>
        <v>0</v>
      </c>
      <c r="BJ937">
        <f t="shared" si="99"/>
        <v>2.1676213423461123E-4</v>
      </c>
      <c r="BK937">
        <f t="shared" si="101"/>
        <v>1.0686413096920916E-4</v>
      </c>
      <c r="BO937">
        <f t="shared" si="102"/>
        <v>1.4309806013405415E-4</v>
      </c>
      <c r="BP937">
        <f t="shared" si="100"/>
        <v>2.7496614894061295</v>
      </c>
    </row>
    <row r="938" spans="1:68" x14ac:dyDescent="0.15">
      <c r="A938" s="5">
        <v>44931</v>
      </c>
      <c r="B938" s="1"/>
      <c r="C938">
        <v>110.48</v>
      </c>
      <c r="D938">
        <v>93.44</v>
      </c>
      <c r="E938">
        <v>80.467545000000001</v>
      </c>
      <c r="G938" s="3">
        <v>-7.4395079229303499E-3</v>
      </c>
      <c r="I938" s="15">
        <f t="shared" si="103"/>
        <v>-2.8880866425992167E-3</v>
      </c>
      <c r="J938" s="15">
        <f t="shared" si="104"/>
        <v>-2.5619128949616681E-3</v>
      </c>
      <c r="K938" s="15">
        <f t="shared" si="105"/>
        <v>-9.9124360366940698E-3</v>
      </c>
      <c r="L938" s="32">
        <f t="shared" si="120"/>
        <v>304042.68019451993</v>
      </c>
      <c r="M938" s="15"/>
      <c r="N938" s="32">
        <f t="shared" si="111"/>
        <v>-3314400</v>
      </c>
      <c r="O938" s="34">
        <f t="shared" si="106"/>
        <v>-0.343048239689004</v>
      </c>
      <c r="P938" s="34">
        <f t="shared" si="107"/>
        <v>0.67698827122792582</v>
      </c>
      <c r="Q938" s="34">
        <f t="shared" si="108"/>
        <v>0.66628649926009464</v>
      </c>
      <c r="R938" s="35" cm="1">
        <f t="array" ref="R938">SQRT(MMULT(O938:Q938, MMULT($AU$32:$AW$34,TRANSPOSE(O938:Q938))))</f>
        <v>1.3506067195281669E-2</v>
      </c>
      <c r="S938" s="36" cm="1">
        <f t="array" ref="S938:U938">TRANSPOSE(MMULT($AU$32:$AW$34, TRANSPOSE(O938:Q938))/MMULT(O938:Q938, MMULT($AU$32:$AW$34,TRANSPOSE(O938:Q938))))</f>
        <v>0.1480625262962359</v>
      </c>
      <c r="T938" s="36">
        <v>1.0358481233340615</v>
      </c>
      <c r="U938" s="36">
        <v>0.52460249326283681</v>
      </c>
      <c r="V938" s="35">
        <f t="shared" si="112"/>
        <v>4.659399860176083E-3</v>
      </c>
      <c r="W938" s="35">
        <f t="shared" si="113"/>
        <v>3.2597246053805061E-2</v>
      </c>
      <c r="X938" s="35">
        <f t="shared" si="114"/>
        <v>1.6508787502831006E-2</v>
      </c>
      <c r="Y938" s="32">
        <f t="shared" si="115"/>
        <v>-15443.114896567609</v>
      </c>
      <c r="Z938" s="32">
        <f t="shared" si="116"/>
        <v>213212.06698872815</v>
      </c>
      <c r="AA938" s="32">
        <f t="shared" si="117"/>
        <v>106273.72810235934</v>
      </c>
      <c r="AB938" s="40">
        <f t="shared" si="118"/>
        <v>-5.0792589009830587E-2</v>
      </c>
      <c r="AC938" s="40">
        <f t="shared" si="121"/>
        <v>0.70125703027061759</v>
      </c>
      <c r="AD938" s="40">
        <f t="shared" si="119"/>
        <v>0.34953555873921288</v>
      </c>
      <c r="AE938" s="40"/>
      <c r="AF938" s="40"/>
      <c r="AG938" s="40"/>
      <c r="AH938" s="40"/>
      <c r="AI938" s="40"/>
      <c r="AJ938" s="40"/>
      <c r="AK938" s="33">
        <f t="shared" si="109"/>
        <v>6540800</v>
      </c>
      <c r="AL938" s="33">
        <f t="shared" si="110"/>
        <v>6437403.6000000006</v>
      </c>
      <c r="AM938" s="34"/>
      <c r="AN938" s="33"/>
      <c r="AO938" s="15" cm="1">
        <f t="array" ref="AO938">SUMPRODUCT(I938:K938, TRANSPOSE($AY$5:$AY$7))</f>
        <v>-7.8504481059781181E-3</v>
      </c>
      <c r="AP938" s="22">
        <f t="shared" si="125"/>
        <v>9661614.9466463476</v>
      </c>
      <c r="AQ938" s="22">
        <f t="shared" si="122"/>
        <v>-76448.159064119682</v>
      </c>
      <c r="AR938">
        <f t="shared" si="123"/>
        <v>0</v>
      </c>
      <c r="AS938">
        <f t="shared" si="124"/>
        <v>0</v>
      </c>
      <c r="BJ938">
        <f t="shared" si="99"/>
        <v>5.5346278135343446E-5</v>
      </c>
      <c r="BK938">
        <f t="shared" si="101"/>
        <v>1.134580111651333E-4</v>
      </c>
      <c r="BO938">
        <f t="shared" si="102"/>
        <v>1.4905421668710573E-4</v>
      </c>
      <c r="BP938">
        <f t="shared" si="100"/>
        <v>3.3010034806746869</v>
      </c>
    </row>
    <row r="939" spans="1:68" x14ac:dyDescent="0.15">
      <c r="A939" s="5">
        <v>44932</v>
      </c>
      <c r="B939" s="1"/>
      <c r="C939">
        <v>111.1</v>
      </c>
      <c r="D939">
        <v>94.9</v>
      </c>
      <c r="E939">
        <v>81.292113999999998</v>
      </c>
      <c r="G939" s="3">
        <v>7.8812647923121003E-3</v>
      </c>
      <c r="I939" s="15">
        <f t="shared" si="103"/>
        <v>5.6118754525705137E-3</v>
      </c>
      <c r="J939" s="15">
        <f t="shared" si="104"/>
        <v>1.5625000000000087E-2</v>
      </c>
      <c r="K939" s="15">
        <f t="shared" si="105"/>
        <v>1.0247224517661087E-2</v>
      </c>
      <c r="L939" s="32">
        <f t="shared" si="120"/>
        <v>308377.4717922447</v>
      </c>
      <c r="M939" s="15"/>
      <c r="N939" s="32">
        <f t="shared" si="111"/>
        <v>-3333000</v>
      </c>
      <c r="O939" s="34">
        <f t="shared" si="106"/>
        <v>-0.33967117566890392</v>
      </c>
      <c r="P939" s="34">
        <f t="shared" si="107"/>
        <v>0.67699838582914151</v>
      </c>
      <c r="Q939" s="34">
        <f t="shared" si="108"/>
        <v>0.6627683872785014</v>
      </c>
      <c r="R939" s="35" cm="1">
        <f t="array" ref="R939">SQRT(MMULT(O939:Q939, MMULT($AU$32:$AW$34,TRANSPOSE(O939:Q939))))</f>
        <v>1.3488079073161737E-2</v>
      </c>
      <c r="S939" s="36" cm="1">
        <f t="array" ref="S939:U939">TRANSPOSE(MMULT($AU$32:$AW$34, TRANSPOSE(O939:Q939))/MMULT(O939:Q939, MMULT($AU$32:$AW$34,TRANSPOSE(O939:Q939))))</f>
        <v>0.14962932215682834</v>
      </c>
      <c r="T939" s="36">
        <v>1.0384500018197769</v>
      </c>
      <c r="U939" s="36">
        <v>0.52476219362759979</v>
      </c>
      <c r="V939" s="35">
        <f t="shared" si="112"/>
        <v>4.7024342603716992E-3</v>
      </c>
      <c r="W939" s="35">
        <f t="shared" si="113"/>
        <v>3.2635601069703341E-2</v>
      </c>
      <c r="X939" s="35">
        <f t="shared" si="114"/>
        <v>1.6491819132053862E-2</v>
      </c>
      <c r="Y939" s="32">
        <f t="shared" si="115"/>
        <v>-15673.213389818873</v>
      </c>
      <c r="Z939" s="32">
        <f t="shared" si="116"/>
        <v>216798.29790603928</v>
      </c>
      <c r="AA939" s="32">
        <f t="shared" si="117"/>
        <v>107252.3872760243</v>
      </c>
      <c r="AB939" s="40">
        <f t="shared" si="118"/>
        <v>-5.0824767771551052E-2</v>
      </c>
      <c r="AC939" s="40">
        <f t="shared" si="121"/>
        <v>0.70302897499625805</v>
      </c>
      <c r="AD939" s="40">
        <f t="shared" si="119"/>
        <v>0.34779579277529299</v>
      </c>
      <c r="AE939" s="40"/>
      <c r="AF939" s="40"/>
      <c r="AG939" s="40"/>
      <c r="AH939" s="40"/>
      <c r="AI939" s="40"/>
      <c r="AJ939" s="40"/>
      <c r="AK939" s="33">
        <f t="shared" si="109"/>
        <v>6643000</v>
      </c>
      <c r="AL939" s="33">
        <f t="shared" si="110"/>
        <v>6503369.1200000001</v>
      </c>
      <c r="AM939" s="34"/>
      <c r="AN939" s="33"/>
      <c r="AO939" s="15" cm="1">
        <f t="array" ref="AO939">SUMPRODUCT(I939:K939, TRANSPOSE($AY$5:$AY$7))</f>
        <v>1.5609826194456691E-2</v>
      </c>
      <c r="AP939" s="22">
        <f t="shared" si="125"/>
        <v>9812431.0767212622</v>
      </c>
      <c r="AQ939" s="22">
        <f t="shared" si="122"/>
        <v>150816.13007491454</v>
      </c>
      <c r="AR939">
        <f t="shared" si="123"/>
        <v>0</v>
      </c>
      <c r="AS939">
        <f t="shared" si="124"/>
        <v>0</v>
      </c>
      <c r="BJ939">
        <f t="shared" si="99"/>
        <v>6.2114334726538298E-5</v>
      </c>
      <c r="BK939">
        <f t="shared" si="101"/>
        <v>1.0997130718334591E-4</v>
      </c>
      <c r="BO939">
        <f t="shared" si="102"/>
        <v>1.3073722302802841E-4</v>
      </c>
      <c r="BP939">
        <f t="shared" si="100"/>
        <v>3.3146679263310368</v>
      </c>
    </row>
    <row r="940" spans="1:68" x14ac:dyDescent="0.15">
      <c r="A940" s="5">
        <v>44935</v>
      </c>
      <c r="B940" s="1"/>
      <c r="C940">
        <v>111.62</v>
      </c>
      <c r="D940">
        <v>94.04</v>
      </c>
      <c r="E940">
        <v>80.856129999999993</v>
      </c>
      <c r="G940" s="3">
        <v>6.1042909614572507E-3</v>
      </c>
      <c r="I940" s="15">
        <f t="shared" si="103"/>
        <v>4.6804680468047729E-3</v>
      </c>
      <c r="J940" s="15">
        <f t="shared" si="104"/>
        <v>-9.0621707060063155E-3</v>
      </c>
      <c r="K940" s="15">
        <f t="shared" si="105"/>
        <v>-5.3631770481452215E-3</v>
      </c>
      <c r="L940" s="32">
        <f t="shared" si="120"/>
        <v>305765.98636926949</v>
      </c>
      <c r="M940" s="15"/>
      <c r="N940" s="32">
        <f t="shared" si="111"/>
        <v>-3348600</v>
      </c>
      <c r="O940" s="34">
        <f t="shared" si="106"/>
        <v>-0.34532014320185578</v>
      </c>
      <c r="P940" s="34">
        <f t="shared" si="107"/>
        <v>0.67884293097687876</v>
      </c>
      <c r="Q940" s="34">
        <f t="shared" si="108"/>
        <v>0.66705489793580275</v>
      </c>
      <c r="R940" s="35" cm="1">
        <f t="array" ref="R940">SQRT(MMULT(O940:Q940, MMULT($AU$32:$AW$34,TRANSPOSE(O940:Q940))))</f>
        <v>1.3532931730523065E-2</v>
      </c>
      <c r="S940" s="36" cm="1">
        <f t="array" ref="S940:U940">TRANSPOSE(MMULT($AU$32:$AW$34, TRANSPOSE(O940:Q940))/MMULT(O940:Q940, MMULT($AU$32:$AW$34,TRANSPOSE(O940:Q940))))</f>
        <v>0.14658291473500301</v>
      </c>
      <c r="T940" s="36">
        <v>1.033960368924556</v>
      </c>
      <c r="U940" s="36">
        <v>0.52277758072337399</v>
      </c>
      <c r="V940" s="35">
        <f t="shared" si="112"/>
        <v>4.6220130266698186E-3</v>
      </c>
      <c r="W940" s="35">
        <f t="shared" si="113"/>
        <v>3.2602560147403328E-2</v>
      </c>
      <c r="X940" s="35">
        <f t="shared" si="114"/>
        <v>1.6484082012713414E-2</v>
      </c>
      <c r="Y940" s="32">
        <f t="shared" si="115"/>
        <v>-15477.272821106555</v>
      </c>
      <c r="Z940" s="32">
        <f t="shared" si="116"/>
        <v>214616.13293832663</v>
      </c>
      <c r="AA940" s="32">
        <f t="shared" si="117"/>
        <v>106627.12625204939</v>
      </c>
      <c r="AB940" s="40">
        <f t="shared" si="118"/>
        <v>-5.0618033107236657E-2</v>
      </c>
      <c r="AC940" s="40">
        <f t="shared" si="121"/>
        <v>0.70189668735468047</v>
      </c>
      <c r="AD940" s="40">
        <f t="shared" si="119"/>
        <v>0.34872134575255614</v>
      </c>
      <c r="AE940" s="40"/>
      <c r="AF940" s="40"/>
      <c r="AG940" s="40"/>
      <c r="AH940" s="40"/>
      <c r="AI940" s="40"/>
      <c r="AJ940" s="40"/>
      <c r="AK940" s="33">
        <f t="shared" si="109"/>
        <v>6582800</v>
      </c>
      <c r="AL940" s="33">
        <f t="shared" si="110"/>
        <v>6468490.3999999994</v>
      </c>
      <c r="AM940" s="34"/>
      <c r="AN940" s="33"/>
      <c r="AO940" s="15" cm="1">
        <f t="array" ref="AO940">SUMPRODUCT(I940:K940, TRANSPOSE($AY$5:$AY$7))</f>
        <v>-1.1754736955614553E-2</v>
      </c>
      <c r="AP940" s="22">
        <f t="shared" si="125"/>
        <v>9697088.5305193067</v>
      </c>
      <c r="AQ940" s="22">
        <f t="shared" si="122"/>
        <v>-115342.54620195553</v>
      </c>
      <c r="AR940">
        <f t="shared" si="123"/>
        <v>0</v>
      </c>
      <c r="AS940">
        <f t="shared" si="124"/>
        <v>0</v>
      </c>
      <c r="BJ940">
        <f t="shared" si="99"/>
        <v>3.7262368142128683E-5</v>
      </c>
      <c r="BK940">
        <f t="shared" si="101"/>
        <v>1.0709988883593745E-4</v>
      </c>
      <c r="BO940">
        <f t="shared" si="102"/>
        <v>1.1733366907063701E-4</v>
      </c>
      <c r="BP940">
        <f t="shared" si="100"/>
        <v>3.4475178253658334</v>
      </c>
    </row>
    <row r="941" spans="1:68" x14ac:dyDescent="0.15">
      <c r="A941" s="5">
        <v>44936</v>
      </c>
      <c r="B941" s="1"/>
      <c r="C941">
        <v>111.38</v>
      </c>
      <c r="D941">
        <v>92.86</v>
      </c>
      <c r="E941">
        <v>79.159583999999995</v>
      </c>
      <c r="G941" s="3">
        <v>-4.4967798794930403E-3</v>
      </c>
      <c r="I941" s="15">
        <f t="shared" si="103"/>
        <v>-2.1501523024548387E-3</v>
      </c>
      <c r="J941" s="15">
        <f t="shared" si="104"/>
        <v>-1.2547851977881825E-2</v>
      </c>
      <c r="K941" s="15">
        <f t="shared" si="105"/>
        <v>-2.0982280502418283E-2</v>
      </c>
      <c r="L941" s="32">
        <f t="shared" si="120"/>
        <v>300874.04692780034</v>
      </c>
      <c r="M941" s="15"/>
      <c r="N941" s="32">
        <f t="shared" si="111"/>
        <v>-3341400</v>
      </c>
      <c r="O941" s="34">
        <f t="shared" si="106"/>
        <v>-0.35264025927962439</v>
      </c>
      <c r="P941" s="34">
        <f t="shared" si="107"/>
        <v>0.68600952097007672</v>
      </c>
      <c r="Q941" s="34">
        <f t="shared" si="108"/>
        <v>0.66833916864134091</v>
      </c>
      <c r="R941" s="35" cm="1">
        <f t="array" ref="R941">SQRT(MMULT(O941:Q941, MMULT($AU$32:$AW$34,TRANSPOSE(O941:Q941))))</f>
        <v>1.3628003311701912E-2</v>
      </c>
      <c r="S941" s="36" cm="1">
        <f t="array" ref="S941:U941">TRANSPOSE(MMULT($AU$32:$AW$34, TRANSPOSE(O941:Q941))/MMULT(O941:Q941, MMULT($AU$32:$AW$34,TRANSPOSE(O941:Q941))))</f>
        <v>0.14158354466723491</v>
      </c>
      <c r="T941" s="36">
        <v>1.0279265041288665</v>
      </c>
      <c r="U941" s="36">
        <v>0.51584690137516975</v>
      </c>
      <c r="V941" s="35">
        <f t="shared" si="112"/>
        <v>4.4957373663656449E-3</v>
      </c>
      <c r="W941" s="35">
        <f t="shared" si="113"/>
        <v>3.2640004919718663E-2</v>
      </c>
      <c r="X941" s="35">
        <f t="shared" si="114"/>
        <v>1.637981444303372E-2</v>
      </c>
      <c r="Y941" s="32">
        <f t="shared" si="115"/>
        <v>-15022.056835974166</v>
      </c>
      <c r="Z941" s="32">
        <f t="shared" si="116"/>
        <v>212166.55997915525</v>
      </c>
      <c r="AA941" s="32">
        <f t="shared" si="117"/>
        <v>103729.54378461928</v>
      </c>
      <c r="AB941" s="40">
        <f t="shared" si="118"/>
        <v>-4.9928057901182002E-2</v>
      </c>
      <c r="AC941" s="40">
        <f t="shared" si="121"/>
        <v>0.70516736868988938</v>
      </c>
      <c r="AD941" s="40">
        <f t="shared" si="119"/>
        <v>0.34476068921129271</v>
      </c>
      <c r="AE941" s="40"/>
      <c r="AF941" s="40"/>
      <c r="AG941" s="40"/>
      <c r="AH941" s="40"/>
      <c r="AI941" s="40"/>
      <c r="AJ941" s="40"/>
      <c r="AK941" s="33">
        <f t="shared" si="109"/>
        <v>6500200</v>
      </c>
      <c r="AL941" s="33">
        <f t="shared" si="110"/>
        <v>6332766.7199999997</v>
      </c>
      <c r="AM941" s="34"/>
      <c r="AN941" s="33"/>
      <c r="AO941" s="15" cm="1">
        <f t="array" ref="AO941">SUMPRODUCT(I941:K941, TRANSPOSE($AY$5:$AY$7))</f>
        <v>-2.2863546536712662E-2</v>
      </c>
      <c r="AP941" s="22">
        <f t="shared" si="125"/>
        <v>9475378.6956311557</v>
      </c>
      <c r="AQ941" s="22">
        <f t="shared" ref="AQ941:AQ972" si="126">AP941 - AP940</f>
        <v>-221709.83488815092</v>
      </c>
      <c r="AR941">
        <f t="shared" si="123"/>
        <v>0</v>
      </c>
      <c r="AS941">
        <f t="shared" si="124"/>
        <v>0</v>
      </c>
      <c r="BJ941">
        <f t="shared" si="99"/>
        <v>2.0221029284613442E-5</v>
      </c>
      <c r="BK941">
        <f t="shared" si="101"/>
        <v>1.0290963759430892E-4</v>
      </c>
      <c r="BO941">
        <f t="shared" si="102"/>
        <v>1.0328078347317402E-4</v>
      </c>
      <c r="BP941">
        <f t="shared" si="100"/>
        <v>3.5721976060433458</v>
      </c>
    </row>
    <row r="942" spans="1:68" x14ac:dyDescent="0.15">
      <c r="A942" s="5">
        <v>44937</v>
      </c>
      <c r="B942" s="1"/>
      <c r="C942">
        <v>112.98</v>
      </c>
      <c r="D942">
        <v>91.5</v>
      </c>
      <c r="E942">
        <v>79.519750000000002</v>
      </c>
      <c r="G942" s="3">
        <v>7.5125681621988002E-3</v>
      </c>
      <c r="I942" s="15">
        <f t="shared" si="103"/>
        <v>1.436523612856894E-2</v>
      </c>
      <c r="J942" s="15">
        <f t="shared" si="104"/>
        <v>-1.464570320913202E-2</v>
      </c>
      <c r="K942" s="15">
        <f t="shared" si="105"/>
        <v>4.5498723186823044E-3</v>
      </c>
      <c r="L942" s="32">
        <f t="shared" si="120"/>
        <v>298033.09728459251</v>
      </c>
      <c r="M942" s="15"/>
      <c r="N942" s="32">
        <f t="shared" si="111"/>
        <v>-3389400</v>
      </c>
      <c r="O942" s="34">
        <f t="shared" si="106"/>
        <v>-0.36202786499537132</v>
      </c>
      <c r="P942" s="34">
        <f t="shared" si="107"/>
        <v>0.68412948465668055</v>
      </c>
      <c r="Q942" s="34">
        <f t="shared" si="108"/>
        <v>0.67949171694024135</v>
      </c>
      <c r="R942" s="35" cm="1">
        <f t="array" ref="R942">SQRT(MMULT(O942:Q942, MMULT($AU$32:$AW$34,TRANSPOSE(O942:Q942))))</f>
        <v>1.3662423686962815E-2</v>
      </c>
      <c r="S942" s="36" cm="1">
        <f t="array" ref="S942:U942">TRANSPOSE(MMULT($AU$32:$AW$34, TRANSPOSE(O942:Q942))/MMULT(O942:Q942, MMULT($AU$32:$AW$34,TRANSPOSE(O942:Q942))))</f>
        <v>0.13773042025829313</v>
      </c>
      <c r="T942" s="36">
        <v>1.0210744893812187</v>
      </c>
      <c r="U942" s="36">
        <v>0.51702629629768637</v>
      </c>
      <c r="V942" s="35">
        <f t="shared" si="112"/>
        <v>4.3844340598347357E-3</v>
      </c>
      <c r="W942" s="35">
        <f t="shared" si="113"/>
        <v>3.2504320835409738E-2</v>
      </c>
      <c r="X942" s="35">
        <f t="shared" si="114"/>
        <v>1.6458729299355983E-2</v>
      </c>
      <c r="Y942" s="32">
        <f t="shared" si="115"/>
        <v>-14860.600802403853</v>
      </c>
      <c r="Z942" s="32">
        <f t="shared" si="116"/>
        <v>208190.17495079938</v>
      </c>
      <c r="AA942" s="32">
        <f t="shared" si="117"/>
        <v>104703.52313619704</v>
      </c>
      <c r="AB942" s="40">
        <f t="shared" si="118"/>
        <v>-4.9862249991025093E-2</v>
      </c>
      <c r="AC942" s="40">
        <f t="shared" si="121"/>
        <v>0.69854716421645646</v>
      </c>
      <c r="AD942" s="40">
        <f t="shared" si="119"/>
        <v>0.35131508577456882</v>
      </c>
      <c r="AE942" s="40"/>
      <c r="AF942" s="40"/>
      <c r="AG942" s="40"/>
      <c r="AH942" s="40"/>
      <c r="AI942" s="40"/>
      <c r="AJ942" s="40"/>
      <c r="AK942" s="33">
        <f t="shared" si="109"/>
        <v>6405000</v>
      </c>
      <c r="AL942" s="33">
        <f t="shared" si="110"/>
        <v>6361580</v>
      </c>
      <c r="AM942" s="34"/>
      <c r="AN942" s="33"/>
      <c r="AO942" s="15" cm="1">
        <f t="array" ref="AO942">SUMPRODUCT(I942:K942, TRANSPOSE($AY$5:$AY$7))</f>
        <v>-1.1937879761853731E-2</v>
      </c>
      <c r="AP942" s="22">
        <f t="shared" si="125"/>
        <v>9362262.7640646808</v>
      </c>
      <c r="AQ942" s="22">
        <f t="shared" si="126"/>
        <v>-113115.93156647496</v>
      </c>
      <c r="AR942">
        <f t="shared" si="123"/>
        <v>0</v>
      </c>
      <c r="AS942">
        <f t="shared" si="124"/>
        <v>0</v>
      </c>
      <c r="BJ942">
        <f t="shared" si="99"/>
        <v>5.6438680391683062E-5</v>
      </c>
      <c r="BK942">
        <f t="shared" si="101"/>
        <v>9.7948321095727187E-5</v>
      </c>
      <c r="BO942">
        <f t="shared" si="102"/>
        <v>8.9830966966269573E-5</v>
      </c>
      <c r="BP942">
        <f t="shared" si="100"/>
        <v>3.4257136445132468</v>
      </c>
    </row>
    <row r="943" spans="1:68" x14ac:dyDescent="0.15">
      <c r="A943" s="5">
        <v>44938</v>
      </c>
      <c r="B943" s="1"/>
      <c r="C943">
        <v>113.58</v>
      </c>
      <c r="D943">
        <v>93.24</v>
      </c>
      <c r="E943">
        <v>79.728263999999996</v>
      </c>
      <c r="G943" s="3">
        <v>3.7183091553307703E-3</v>
      </c>
      <c r="I943" s="15">
        <f t="shared" si="103"/>
        <v>5.3106744556558174E-3</v>
      </c>
      <c r="J943" s="15">
        <f t="shared" si="104"/>
        <v>1.9016393442622896E-2</v>
      </c>
      <c r="K943" s="15">
        <f t="shared" si="105"/>
        <v>2.6221661914177783E-3</v>
      </c>
      <c r="L943" s="32">
        <f t="shared" si="120"/>
        <v>302193.16138667706</v>
      </c>
      <c r="M943" s="15"/>
      <c r="N943" s="32">
        <f t="shared" si="111"/>
        <v>-3407400</v>
      </c>
      <c r="O943" s="34">
        <f t="shared" si="106"/>
        <v>-0.35951466034870433</v>
      </c>
      <c r="P943" s="34">
        <f t="shared" si="107"/>
        <v>0.68864245030343474</v>
      </c>
      <c r="Q943" s="34">
        <f t="shared" si="108"/>
        <v>0.67297011802903872</v>
      </c>
      <c r="R943" s="35" cm="1">
        <f t="array" ref="R943">SQRT(MMULT(O943:Q943, MMULT($AU$32:$AW$34,TRANSPOSE(O943:Q943))))</f>
        <v>1.3684287716085793E-2</v>
      </c>
      <c r="S943" s="36" cm="1">
        <f t="array" ref="S943:U943">TRANSPOSE(MMULT($AU$32:$AW$34, TRANSPOSE(O943:Q943))/MMULT(O943:Q943, MMULT($AU$32:$AW$34,TRANSPOSE(O943:Q943))))</f>
        <v>0.13786720556657145</v>
      </c>
      <c r="T943" s="36">
        <v>1.0226863054818267</v>
      </c>
      <c r="U943" s="36">
        <v>0.51309867857879998</v>
      </c>
      <c r="V943" s="35">
        <f t="shared" si="112"/>
        <v>4.3958118026747013E-3</v>
      </c>
      <c r="W943" s="35">
        <f t="shared" si="113"/>
        <v>3.2607729398707909E-2</v>
      </c>
      <c r="X943" s="35">
        <f t="shared" si="114"/>
        <v>1.6359838570488641E-2</v>
      </c>
      <c r="Y943" s="32">
        <f t="shared" si="115"/>
        <v>-14978.289136433777</v>
      </c>
      <c r="Z943" s="32">
        <f t="shared" si="116"/>
        <v>212824.12823948677</v>
      </c>
      <c r="AA943" s="32">
        <f t="shared" si="117"/>
        <v>104347.32228362407</v>
      </c>
      <c r="AB943" s="40">
        <f t="shared" si="118"/>
        <v>-4.956528158249094E-2</v>
      </c>
      <c r="AC943" s="40">
        <f t="shared" si="121"/>
        <v>0.70426520329877207</v>
      </c>
      <c r="AD943" s="40">
        <f t="shared" si="119"/>
        <v>0.34530007828371884</v>
      </c>
      <c r="AE943" s="40"/>
      <c r="AF943" s="40"/>
      <c r="AG943" s="40"/>
      <c r="AH943" s="40"/>
      <c r="AI943" s="40"/>
      <c r="AJ943" s="40"/>
      <c r="AK943" s="33">
        <f t="shared" si="109"/>
        <v>6526800</v>
      </c>
      <c r="AL943" s="33">
        <f t="shared" si="110"/>
        <v>6378261.1200000001</v>
      </c>
      <c r="AM943" s="34"/>
      <c r="AN943" s="33"/>
      <c r="AO943" s="15" cm="1">
        <f t="array" ref="AO943">SUMPRODUCT(I943:K943, TRANSPOSE($AY$5:$AY$7))</f>
        <v>1.2338347418798161E-2</v>
      </c>
      <c r="AP943" s="22">
        <f t="shared" si="125"/>
        <v>9477777.6146737877</v>
      </c>
      <c r="AQ943" s="22">
        <f t="shared" si="126"/>
        <v>115514.85060910694</v>
      </c>
      <c r="AR943">
        <f t="shared" si="123"/>
        <v>0</v>
      </c>
      <c r="AS943">
        <f t="shared" si="124"/>
        <v>0</v>
      </c>
      <c r="BJ943">
        <f t="shared" si="99"/>
        <v>1.3825822974616627E-5</v>
      </c>
      <c r="BK943">
        <f t="shared" si="101"/>
        <v>9.545774265348453E-5</v>
      </c>
      <c r="BO943">
        <f t="shared" si="102"/>
        <v>8.4439340486910824E-5</v>
      </c>
      <c r="BP943">
        <f t="shared" si="100"/>
        <v>3.6889316657566131</v>
      </c>
    </row>
    <row r="944" spans="1:68" x14ac:dyDescent="0.15">
      <c r="A944" s="5">
        <v>44939</v>
      </c>
      <c r="B944" s="1"/>
      <c r="C944">
        <v>113.96</v>
      </c>
      <c r="D944">
        <v>92.64</v>
      </c>
      <c r="E944">
        <v>80.088425000000001</v>
      </c>
      <c r="G944" s="3">
        <v>2.6251230507035001E-4</v>
      </c>
      <c r="I944" s="15">
        <f t="shared" si="103"/>
        <v>3.3456594470857148E-3</v>
      </c>
      <c r="J944" s="15">
        <f t="shared" si="104"/>
        <v>-6.4350064350063747E-3</v>
      </c>
      <c r="K944" s="15">
        <f t="shared" si="105"/>
        <v>4.5173566051808813E-3</v>
      </c>
      <c r="L944" s="32">
        <f t="shared" si="120"/>
        <v>301247.37900153559</v>
      </c>
      <c r="M944" s="15"/>
      <c r="N944" s="32">
        <f t="shared" si="111"/>
        <v>-3418800</v>
      </c>
      <c r="O944" s="34">
        <f t="shared" si="106"/>
        <v>-0.36151999433541437</v>
      </c>
      <c r="P944" s="34">
        <f t="shared" si="107"/>
        <v>0.68573325706864841</v>
      </c>
      <c r="Q944" s="34">
        <f t="shared" si="108"/>
        <v>0.67751414419871903</v>
      </c>
      <c r="R944" s="35" cm="1">
        <f t="array" ref="R944">SQRT(MMULT(O944:Q944, MMULT($AU$32:$AW$34,TRANSPOSE(O944:Q944))))</f>
        <v>1.367180899130754E-2</v>
      </c>
      <c r="S944" s="36" cm="1">
        <f t="array" ref="S944:U944">TRANSPOSE(MMULT($AU$32:$AW$34, TRANSPOSE(O944:Q944))/MMULT(O944:Q944, MMULT($AU$32:$AW$34,TRANSPOSE(O944:Q944))))</f>
        <v>0.13759622887204478</v>
      </c>
      <c r="T944" s="36">
        <v>1.0214106731800767</v>
      </c>
      <c r="U944" s="36">
        <v>0.5156032876200457</v>
      </c>
      <c r="V944" s="35">
        <f t="shared" si="112"/>
        <v>4.3831712066163984E-3</v>
      </c>
      <c r="W944" s="35">
        <f t="shared" si="113"/>
        <v>3.2537358687184006E-2</v>
      </c>
      <c r="X944" s="35">
        <f t="shared" si="114"/>
        <v>1.6424705116261321E-2</v>
      </c>
      <c r="Y944" s="32">
        <f t="shared" si="115"/>
        <v>-14985.185721180143</v>
      </c>
      <c r="Z944" s="32">
        <f t="shared" si="116"/>
        <v>210998.26361465084</v>
      </c>
      <c r="AA944" s="32">
        <f t="shared" si="117"/>
        <v>105234.30110806489</v>
      </c>
      <c r="AB944" s="40">
        <f t="shared" si="118"/>
        <v>-4.9743787882396008E-2</v>
      </c>
      <c r="AC944" s="40">
        <f t="shared" si="121"/>
        <v>0.70041526772445473</v>
      </c>
      <c r="AD944" s="40">
        <f t="shared" si="119"/>
        <v>0.34932852015794125</v>
      </c>
      <c r="AE944" s="40"/>
      <c r="AF944" s="40"/>
      <c r="AG944" s="40"/>
      <c r="AH944" s="40"/>
      <c r="AI944" s="40"/>
      <c r="AJ944" s="40"/>
      <c r="AK944" s="33">
        <f t="shared" si="109"/>
        <v>6484800</v>
      </c>
      <c r="AL944" s="33">
        <f t="shared" si="110"/>
        <v>6407074</v>
      </c>
      <c r="AM944" s="34"/>
      <c r="AN944" s="33"/>
      <c r="AO944" s="15" cm="1">
        <f t="array" ref="AO944">SUMPRODUCT(I944:K944, TRANSPOSE($AY$5:$AY$7))</f>
        <v>-2.2198505740294574E-3</v>
      </c>
      <c r="AP944" s="22">
        <f t="shared" si="125"/>
        <v>9456738.3645953313</v>
      </c>
      <c r="AQ944" s="22">
        <f t="shared" si="126"/>
        <v>-21039.250078456476</v>
      </c>
      <c r="AR944">
        <f t="shared" si="123"/>
        <v>0</v>
      </c>
      <c r="AS944">
        <f t="shared" si="124"/>
        <v>0</v>
      </c>
      <c r="BJ944">
        <f t="shared" si="99"/>
        <v>6.891271031334852E-8</v>
      </c>
      <c r="BK944">
        <f t="shared" si="101"/>
        <v>9.0559827472752453E-5</v>
      </c>
      <c r="BO944">
        <f t="shared" si="102"/>
        <v>7.4141331677247008E-5</v>
      </c>
      <c r="BP944">
        <f t="shared" si="100"/>
        <v>3.8353654273461908</v>
      </c>
    </row>
    <row r="945" spans="1:68" x14ac:dyDescent="0.15">
      <c r="A945" s="5">
        <v>44943</v>
      </c>
      <c r="B945" s="1"/>
      <c r="C945">
        <v>114.6</v>
      </c>
      <c r="D945">
        <v>92.08</v>
      </c>
      <c r="E945">
        <v>81.140469999999993</v>
      </c>
      <c r="G945" s="3">
        <v>9.8487423966167002E-3</v>
      </c>
      <c r="I945" s="15">
        <f t="shared" si="103"/>
        <v>5.6160056160056209E-3</v>
      </c>
      <c r="J945" s="15">
        <f t="shared" si="104"/>
        <v>-6.0449050086356032E-3</v>
      </c>
      <c r="K945" s="15">
        <f t="shared" si="105"/>
        <v>1.3136043067396975E-2</v>
      </c>
      <c r="L945" s="32">
        <f t="shared" si="120"/>
        <v>301277.72406788426</v>
      </c>
      <c r="M945" s="15"/>
      <c r="N945" s="32">
        <f t="shared" si="111"/>
        <v>-3438000</v>
      </c>
      <c r="O945" s="34">
        <f t="shared" si="106"/>
        <v>-0.36228478291907368</v>
      </c>
      <c r="P945" s="34">
        <f t="shared" si="107"/>
        <v>0.67921547317719055</v>
      </c>
      <c r="Q945" s="34">
        <f t="shared" si="108"/>
        <v>0.68402460872371396</v>
      </c>
      <c r="R945" s="35" cm="1">
        <f t="array" ref="R945">SQRT(MMULT(O945:Q945, MMULT($AU$32:$AW$34,TRANSPOSE(O945:Q945))))</f>
        <v>1.3625590142772651E-2</v>
      </c>
      <c r="S945" s="36" cm="1">
        <f t="array" ref="S945:U945">TRANSPOSE(MMULT($AU$32:$AW$34, TRANSPOSE(O945:Q945))/MMULT(O945:Q945, MMULT($AU$32:$AW$34,TRANSPOSE(O945:Q945))))</f>
        <v>0.13868917338616524</v>
      </c>
      <c r="T945" s="36">
        <v>1.0211284613036409</v>
      </c>
      <c r="U945" s="36">
        <v>0.52144136556708387</v>
      </c>
      <c r="V945" s="35">
        <f t="shared" si="112"/>
        <v>4.4030518727535811E-3</v>
      </c>
      <c r="W945" s="35">
        <f t="shared" si="113"/>
        <v>3.2418403499645344E-2</v>
      </c>
      <c r="X945" s="35">
        <f t="shared" si="114"/>
        <v>1.6554524950542111E-2</v>
      </c>
      <c r="Y945" s="32">
        <f t="shared" si="115"/>
        <v>-15137.692338526811</v>
      </c>
      <c r="Z945" s="32">
        <f t="shared" si="116"/>
        <v>208956.06159731402</v>
      </c>
      <c r="AA945" s="32">
        <f t="shared" si="117"/>
        <v>107459.35480909709</v>
      </c>
      <c r="AB945" s="40">
        <f t="shared" si="118"/>
        <v>-5.0244977073432645E-2</v>
      </c>
      <c r="AC945" s="40">
        <f t="shared" si="121"/>
        <v>0.69356625101904912</v>
      </c>
      <c r="AD945" s="40">
        <f t="shared" si="119"/>
        <v>0.35667872605438367</v>
      </c>
      <c r="AE945" s="40"/>
      <c r="AF945" s="40"/>
      <c r="AG945" s="40"/>
      <c r="AH945" s="40"/>
      <c r="AI945" s="40"/>
      <c r="AJ945" s="40"/>
      <c r="AK945" s="33">
        <f t="shared" si="109"/>
        <v>6445600</v>
      </c>
      <c r="AL945" s="33">
        <f t="shared" si="110"/>
        <v>6491237.5999999996</v>
      </c>
      <c r="AM945" s="34"/>
      <c r="AN945" s="33"/>
      <c r="AO945" s="15" cm="1">
        <f t="array" ref="AO945">SUMPRODUCT(I945:K945, TRANSPOSE($AY$5:$AY$7))</f>
        <v>3.4931352198400174E-3</v>
      </c>
      <c r="AP945" s="22">
        <f t="shared" si="125"/>
        <v>9489772.0304415114</v>
      </c>
      <c r="AQ945" s="22">
        <f t="shared" si="126"/>
        <v>33033.665846180171</v>
      </c>
      <c r="AR945">
        <f t="shared" si="123"/>
        <v>0</v>
      </c>
      <c r="AS945">
        <f t="shared" si="124"/>
        <v>0</v>
      </c>
      <c r="BJ945">
        <f t="shared" si="99"/>
        <v>9.699772679491526E-5</v>
      </c>
      <c r="BK945">
        <f t="shared" si="101"/>
        <v>8.5130372587006095E-5</v>
      </c>
      <c r="BO945">
        <f t="shared" si="102"/>
        <v>6.4104529931231189E-5</v>
      </c>
      <c r="BP945">
        <f t="shared" si="100"/>
        <v>3.1520001625271643</v>
      </c>
    </row>
    <row r="946" spans="1:68" x14ac:dyDescent="0.15">
      <c r="A946" s="5">
        <v>44944</v>
      </c>
      <c r="B946" s="1"/>
      <c r="C946">
        <v>112.44</v>
      </c>
      <c r="D946">
        <v>93.4</v>
      </c>
      <c r="E946">
        <v>80.315894999999998</v>
      </c>
      <c r="G946" s="3">
        <v>-3.1019320559912901E-3</v>
      </c>
      <c r="I946" s="15">
        <f t="shared" si="103"/>
        <v>-1.8848167539266988E-2</v>
      </c>
      <c r="J946" s="15">
        <f t="shared" si="104"/>
        <v>1.4335360556038308E-2</v>
      </c>
      <c r="K946" s="15">
        <f t="shared" si="105"/>
        <v>-1.0162314810352908E-2</v>
      </c>
      <c r="L946" s="32">
        <f t="shared" si="120"/>
        <v>303481.73533457407</v>
      </c>
      <c r="M946" s="15"/>
      <c r="N946" s="32">
        <f t="shared" si="111"/>
        <v>-3373200</v>
      </c>
      <c r="O946" s="34">
        <f t="shared" si="106"/>
        <v>-0.35215832742274206</v>
      </c>
      <c r="P946" s="34">
        <f t="shared" si="107"/>
        <v>0.6825599266838277</v>
      </c>
      <c r="Q946" s="34">
        <f t="shared" si="108"/>
        <v>0.67079120713057194</v>
      </c>
      <c r="R946" s="35" cm="1">
        <f t="array" ref="R946">SQRT(MMULT(O946:Q946, MMULT($AU$32:$AW$34,TRANSPOSE(O946:Q946))))</f>
        <v>1.3597920839138352E-2</v>
      </c>
      <c r="S946" s="36" cm="1">
        <f t="array" ref="S946:U946">TRANSPOSE(MMULT($AU$32:$AW$34, TRANSPOSE(O946:Q946))/MMULT(O946:Q946, MMULT($AU$32:$AW$34,TRANSPOSE(O946:Q946))))</f>
        <v>0.142572891752067</v>
      </c>
      <c r="T946" s="36">
        <v>1.0285762690588185</v>
      </c>
      <c r="U946" s="36">
        <v>0.51900395323749682</v>
      </c>
      <c r="V946" s="35">
        <f t="shared" si="112"/>
        <v>4.5171591073343408E-3</v>
      </c>
      <c r="W946" s="35">
        <f t="shared" si="113"/>
        <v>3.2588541932969936E-2</v>
      </c>
      <c r="X946" s="35">
        <f t="shared" si="114"/>
        <v>1.6443682984183396E-2</v>
      </c>
      <c r="Y946" s="32">
        <f t="shared" si="115"/>
        <v>-15237.281100860198</v>
      </c>
      <c r="Z946" s="32">
        <f t="shared" si="116"/>
        <v>213063.88715775745</v>
      </c>
      <c r="AA946" s="32">
        <f t="shared" si="117"/>
        <v>105655.12927767681</v>
      </c>
      <c r="AB946" s="40">
        <f t="shared" si="118"/>
        <v>-5.0208231095231565E-2</v>
      </c>
      <c r="AC946" s="40">
        <f t="shared" si="121"/>
        <v>0.70206494279751208</v>
      </c>
      <c r="AD946" s="40">
        <f t="shared" si="119"/>
        <v>0.34814328829771946</v>
      </c>
      <c r="AE946" s="40"/>
      <c r="AF946" s="40"/>
      <c r="AG946" s="40"/>
      <c r="AH946" s="40"/>
      <c r="AI946" s="40"/>
      <c r="AJ946" s="40"/>
      <c r="AK946" s="33">
        <f t="shared" si="109"/>
        <v>6538000</v>
      </c>
      <c r="AL946" s="33">
        <f t="shared" si="110"/>
        <v>6425271.5999999996</v>
      </c>
      <c r="AM946" s="34"/>
      <c r="AN946" s="33"/>
      <c r="AO946" s="15" cm="1">
        <f t="array" ref="AO946">SUMPRODUCT(I946:K946, TRANSPOSE($AY$5:$AY$7))</f>
        <v>9.3652512353821424E-3</v>
      </c>
      <c r="AP946" s="22">
        <f t="shared" si="125"/>
        <v>9578646.1296730991</v>
      </c>
      <c r="AQ946" s="22">
        <f t="shared" si="126"/>
        <v>88874.099231587723</v>
      </c>
      <c r="AR946">
        <f t="shared" si="123"/>
        <v>0</v>
      </c>
      <c r="AS946">
        <f t="shared" si="124"/>
        <v>0</v>
      </c>
      <c r="BJ946">
        <f t="shared" si="99"/>
        <v>9.6219824799863521E-6</v>
      </c>
      <c r="BK946">
        <f t="shared" si="101"/>
        <v>8.5842413839480651E-5</v>
      </c>
      <c r="BO946">
        <f t="shared" si="102"/>
        <v>7.0036495233459132E-5</v>
      </c>
      <c r="BP946">
        <f t="shared" si="100"/>
        <v>3.7956158797825506</v>
      </c>
    </row>
    <row r="947" spans="1:68" x14ac:dyDescent="0.15">
      <c r="A947" s="5">
        <v>44945</v>
      </c>
      <c r="B947" s="1"/>
      <c r="C947">
        <v>112.32</v>
      </c>
      <c r="D947">
        <v>92.98</v>
      </c>
      <c r="E947">
        <v>80.097899999999996</v>
      </c>
      <c r="G947" s="3">
        <v>-9.4701236572252104E-3</v>
      </c>
      <c r="I947" s="15">
        <f t="shared" si="103"/>
        <v>-1.067235859124907E-3</v>
      </c>
      <c r="J947" s="15">
        <f t="shared" si="104"/>
        <v>-4.4967880085653288E-3</v>
      </c>
      <c r="K947" s="15">
        <f t="shared" si="105"/>
        <v>-2.7142198938329945E-3</v>
      </c>
      <c r="L947" s="32">
        <f t="shared" si="120"/>
        <v>302253.24373091885</v>
      </c>
      <c r="M947" s="15"/>
      <c r="N947" s="32">
        <f t="shared" si="111"/>
        <v>-3369600</v>
      </c>
      <c r="O947" s="34">
        <f t="shared" si="106"/>
        <v>-0.35338521023149966</v>
      </c>
      <c r="P947" s="34">
        <f t="shared" si="107"/>
        <v>0.68258635425947844</v>
      </c>
      <c r="Q947" s="34">
        <f t="shared" si="108"/>
        <v>0.67201835780155827</v>
      </c>
      <c r="R947" s="35" cm="1">
        <f t="array" ref="R947">SQRT(MMULT(O947:Q947, MMULT($AU$32:$AW$34,TRANSPOSE(O947:Q947))))</f>
        <v>1.3604577825745603E-2</v>
      </c>
      <c r="S947" s="36" cm="1">
        <f t="array" ref="S947:U947">TRANSPOSE(MMULT($AU$32:$AW$34, TRANSPOSE(O947:Q947))/MMULT(O947:Q947, MMULT($AU$32:$AW$34,TRANSPOSE(O947:Q947))))</f>
        <v>0.14200473743823663</v>
      </c>
      <c r="T947" s="36">
        <v>1.0276549896991205</v>
      </c>
      <c r="U947" s="36">
        <v>0.51891305808816879</v>
      </c>
      <c r="V947" s="35">
        <f t="shared" si="112"/>
        <v>4.5013607899001308E-3</v>
      </c>
      <c r="W947" s="35">
        <f t="shared" si="113"/>
        <v>3.257529262492953E-2</v>
      </c>
      <c r="X947" s="35">
        <f t="shared" si="114"/>
        <v>1.6448851884685808E-2</v>
      </c>
      <c r="Y947" s="32">
        <f t="shared" si="115"/>
        <v>-15167.78531764748</v>
      </c>
      <c r="Z947" s="32">
        <f t="shared" si="116"/>
        <v>212019.54957861634</v>
      </c>
      <c r="AA947" s="32">
        <f t="shared" si="117"/>
        <v>105401.47946995003</v>
      </c>
      <c r="AB947" s="40">
        <f t="shared" si="118"/>
        <v>-5.0182373993480155E-2</v>
      </c>
      <c r="AC947" s="40">
        <f t="shared" si="121"/>
        <v>0.70146327285528454</v>
      </c>
      <c r="AD947" s="40">
        <f t="shared" si="119"/>
        <v>0.34871910113819576</v>
      </c>
      <c r="AE947" s="40"/>
      <c r="AF947" s="40"/>
      <c r="AG947" s="40"/>
      <c r="AH947" s="40"/>
      <c r="AI947" s="40"/>
      <c r="AJ947" s="40"/>
      <c r="AK947" s="33">
        <f t="shared" si="109"/>
        <v>6508600</v>
      </c>
      <c r="AL947" s="33">
        <f t="shared" si="110"/>
        <v>6407832</v>
      </c>
      <c r="AM947" s="34"/>
      <c r="AN947" s="33"/>
      <c r="AO947" s="15" cm="1">
        <f t="array" ref="AO947">SUMPRODUCT(I947:K947, TRANSPOSE($AY$5:$AY$7))</f>
        <v>-4.5353307310814946E-3</v>
      </c>
      <c r="AP947" s="22">
        <f t="shared" si="125"/>
        <v>9535203.8015190382</v>
      </c>
      <c r="AQ947" s="22">
        <f t="shared" si="126"/>
        <v>-43442.32815406099</v>
      </c>
      <c r="AR947">
        <f t="shared" si="123"/>
        <v>0</v>
      </c>
      <c r="AS947">
        <f t="shared" si="124"/>
        <v>0</v>
      </c>
      <c r="BJ947">
        <f t="shared" si="99"/>
        <v>8.9683242083136592E-5</v>
      </c>
      <c r="BK947">
        <f t="shared" si="101"/>
        <v>8.1269187957910992E-5</v>
      </c>
      <c r="BO947">
        <f t="shared" si="102"/>
        <v>6.2245333169326218E-5</v>
      </c>
      <c r="BP947">
        <f t="shared" si="100"/>
        <v>3.2028736302367475</v>
      </c>
    </row>
    <row r="948" spans="1:68" x14ac:dyDescent="0.15">
      <c r="A948" s="5">
        <v>44946</v>
      </c>
      <c r="B948" s="1"/>
      <c r="C948">
        <v>112.04</v>
      </c>
      <c r="D948">
        <v>94.4</v>
      </c>
      <c r="E948">
        <v>80.069469999999995</v>
      </c>
      <c r="G948" s="3">
        <v>3.2014449869219802E-3</v>
      </c>
      <c r="I948" s="15">
        <f t="shared" si="103"/>
        <v>-2.4928774928773766E-3</v>
      </c>
      <c r="J948" s="15">
        <f t="shared" si="104"/>
        <v>1.5272101527210171E-2</v>
      </c>
      <c r="K948" s="15">
        <f t="shared" si="105"/>
        <v>-3.5494064139010112E-4</v>
      </c>
      <c r="L948" s="32">
        <f t="shared" si="120"/>
        <v>305497.01957017637</v>
      </c>
      <c r="M948" s="15"/>
      <c r="N948" s="32">
        <f t="shared" si="111"/>
        <v>-3361200</v>
      </c>
      <c r="O948" s="34">
        <f t="shared" si="106"/>
        <v>-0.34875169970193165</v>
      </c>
      <c r="P948" s="34">
        <f t="shared" si="107"/>
        <v>0.6856334736494003</v>
      </c>
      <c r="Q948" s="34">
        <f t="shared" si="108"/>
        <v>0.66462843643300784</v>
      </c>
      <c r="R948" s="35" cm="1">
        <f t="array" ref="R948">SQRT(MMULT(O948:Q948, MMULT($AU$32:$AW$34,TRANSPOSE(O948:Q948))))</f>
        <v>1.3604200833262248E-2</v>
      </c>
      <c r="S948" s="36" cm="1">
        <f t="array" ref="S948:U948">TRANSPOSE(MMULT($AU$32:$AW$34, TRANSPOSE(O948:Q948))/MMULT(O948:Q948, MMULT($AU$32:$AW$34,TRANSPOSE(O948:Q948))))</f>
        <v>0.14343058170440565</v>
      </c>
      <c r="T948" s="36">
        <v>1.0309090837268133</v>
      </c>
      <c r="U948" s="36">
        <v>0.51637255382602887</v>
      </c>
      <c r="V948" s="35">
        <f t="shared" si="112"/>
        <v>4.546432163192388E-3</v>
      </c>
      <c r="W948" s="35">
        <f t="shared" si="113"/>
        <v>3.2677537522939663E-2</v>
      </c>
      <c r="X948" s="35">
        <f t="shared" si="114"/>
        <v>1.6367867709988791E-2</v>
      </c>
      <c r="Y948" s="32">
        <f t="shared" si="115"/>
        <v>-15281.467786922254</v>
      </c>
      <c r="Z948" s="32">
        <f t="shared" si="116"/>
        <v>215933.16795158529</v>
      </c>
      <c r="AA948" s="32">
        <f t="shared" si="117"/>
        <v>104845.31940551329</v>
      </c>
      <c r="AB948" s="40">
        <f t="shared" si="118"/>
        <v>-5.0021659158648243E-2</v>
      </c>
      <c r="AC948" s="40">
        <f t="shared" si="121"/>
        <v>0.70682577609233543</v>
      </c>
      <c r="AD948" s="40">
        <f t="shared" si="119"/>
        <v>0.34319588306631271</v>
      </c>
      <c r="AE948" s="40"/>
      <c r="AF948" s="40"/>
      <c r="AG948" s="40"/>
      <c r="AH948" s="40"/>
      <c r="AI948" s="40"/>
      <c r="AJ948" s="40"/>
      <c r="AK948" s="33">
        <f t="shared" si="109"/>
        <v>6608000</v>
      </c>
      <c r="AL948" s="33">
        <f t="shared" si="110"/>
        <v>6405557.5999999996</v>
      </c>
      <c r="AM948" s="34"/>
      <c r="AN948" s="33"/>
      <c r="AO948" s="15" cm="1">
        <f t="array" ref="AO948">SUMPRODUCT(I948:K948, TRANSPOSE($AY$5:$AY$7))</f>
        <v>1.0759989115102113E-2</v>
      </c>
      <c r="AP948" s="22">
        <f t="shared" si="125"/>
        <v>9637802.4906336628</v>
      </c>
      <c r="AQ948" s="22">
        <f t="shared" si="126"/>
        <v>102598.68911462463</v>
      </c>
      <c r="AR948">
        <f t="shared" si="123"/>
        <v>0</v>
      </c>
      <c r="AS948">
        <f t="shared" si="124"/>
        <v>0</v>
      </c>
      <c r="BJ948">
        <f t="shared" si="99"/>
        <v>1.0249250004287877E-5</v>
      </c>
      <c r="BK948">
        <f t="shared" si="101"/>
        <v>8.1774031205424536E-5</v>
      </c>
      <c r="BO948">
        <f t="shared" si="102"/>
        <v>6.7536450379277016E-5</v>
      </c>
      <c r="BP948">
        <f t="shared" si="100"/>
        <v>3.8066036218016293</v>
      </c>
    </row>
    <row r="949" spans="1:68" x14ac:dyDescent="0.15">
      <c r="A949" s="5">
        <v>44949</v>
      </c>
      <c r="B949" s="1"/>
      <c r="C949">
        <v>113.18</v>
      </c>
      <c r="D949">
        <v>94.18</v>
      </c>
      <c r="E949">
        <v>80.96987</v>
      </c>
      <c r="G949" s="3">
        <v>9.8497834645463397E-3</v>
      </c>
      <c r="I949" s="15">
        <f t="shared" si="103"/>
        <v>1.0174937522313464E-2</v>
      </c>
      <c r="J949" s="15">
        <f t="shared" si="104"/>
        <v>-2.3305084745762592E-3</v>
      </c>
      <c r="K949" s="15">
        <f t="shared" si="105"/>
        <v>1.1245234919127163E-2</v>
      </c>
      <c r="L949" s="32">
        <f t="shared" si="120"/>
        <v>306021.12302499759</v>
      </c>
      <c r="M949" s="15"/>
      <c r="N949" s="32">
        <f t="shared" si="111"/>
        <v>-3395400</v>
      </c>
      <c r="O949" s="34">
        <f t="shared" si="106"/>
        <v>-0.35133628334901384</v>
      </c>
      <c r="P949" s="34">
        <f t="shared" si="107"/>
        <v>0.68216398115294485</v>
      </c>
      <c r="Q949" s="34">
        <f t="shared" si="108"/>
        <v>0.67026337254056223</v>
      </c>
      <c r="R949" s="35" cm="1">
        <f t="array" ref="R949">SQRT(MMULT(O949:Q949, MMULT($AU$32:$AW$34,TRANSPOSE(O949:Q949))))</f>
        <v>1.3590253007021363E-2</v>
      </c>
      <c r="S949" s="36" cm="1">
        <f t="array" ref="S949:U949">TRANSPOSE(MMULT($AU$32:$AW$34, TRANSPOSE(O949:Q949))/MMULT(O949:Q949, MMULT($AU$32:$AW$34,TRANSPOSE(O949:Q949))))</f>
        <v>0.14303334327429154</v>
      </c>
      <c r="T949" s="36">
        <v>1.0292463106681844</v>
      </c>
      <c r="U949" s="36">
        <v>0.51940484384370222</v>
      </c>
      <c r="V949" s="35">
        <f t="shared" si="112"/>
        <v>4.5291922238429793E-3</v>
      </c>
      <c r="W949" s="35">
        <f t="shared" si="113"/>
        <v>3.2591382400660771E-2</v>
      </c>
      <c r="X949" s="35">
        <f t="shared" si="114"/>
        <v>1.6447104751316419E-2</v>
      </c>
      <c r="Y949" s="32">
        <f t="shared" si="115"/>
        <v>-15378.419276836452</v>
      </c>
      <c r="Z949" s="32">
        <f t="shared" si="116"/>
        <v>214861.94761459623</v>
      </c>
      <c r="AA949" s="32">
        <f t="shared" si="117"/>
        <v>106537.59468723781</v>
      </c>
      <c r="AB949" s="40">
        <f t="shared" si="118"/>
        <v>-5.0252803220973252E-2</v>
      </c>
      <c r="AC949" s="40">
        <f t="shared" si="121"/>
        <v>0.70211476087238933</v>
      </c>
      <c r="AD949" s="40">
        <f t="shared" si="119"/>
        <v>0.34813804234858386</v>
      </c>
      <c r="AE949" s="40"/>
      <c r="AF949" s="40"/>
      <c r="AG949" s="40"/>
      <c r="AH949" s="40"/>
      <c r="AI949" s="40"/>
      <c r="AJ949" s="40"/>
      <c r="AK949" s="33">
        <f t="shared" si="109"/>
        <v>6592600.0000000009</v>
      </c>
      <c r="AL949" s="33">
        <f t="shared" si="110"/>
        <v>6477589.5999999996</v>
      </c>
      <c r="AM949" s="34"/>
      <c r="AN949" s="33"/>
      <c r="AO949" s="15" cm="1">
        <f t="array" ref="AO949">SUMPRODUCT(I949:K949, TRANSPOSE($AY$5:$AY$7))</f>
        <v>2.7436480485222474E-3</v>
      </c>
      <c r="AP949" s="22">
        <f t="shared" si="125"/>
        <v>9664245.2286291327</v>
      </c>
      <c r="AQ949" s="22">
        <f t="shared" si="126"/>
        <v>26442.737995469943</v>
      </c>
      <c r="AR949">
        <f t="shared" si="123"/>
        <v>0</v>
      </c>
      <c r="AS949">
        <f t="shared" si="124"/>
        <v>0</v>
      </c>
      <c r="BJ949">
        <f t="shared" si="99"/>
        <v>9.7018234298450499E-5</v>
      </c>
      <c r="BK949">
        <f t="shared" si="101"/>
        <v>7.7482544333356331E-5</v>
      </c>
      <c r="BO949">
        <f t="shared" si="102"/>
        <v>6.0373686498258677E-5</v>
      </c>
      <c r="BP949">
        <f t="shared" si="100"/>
        <v>3.135058949376047</v>
      </c>
    </row>
    <row r="950" spans="1:68" x14ac:dyDescent="0.15">
      <c r="A950" s="5">
        <v>44950</v>
      </c>
      <c r="B950" s="1"/>
      <c r="C950">
        <v>112.56</v>
      </c>
      <c r="D950">
        <v>95.78</v>
      </c>
      <c r="E950">
        <v>80.619190000000003</v>
      </c>
      <c r="G950" s="3">
        <v>1.7582869056287299E-6</v>
      </c>
      <c r="I950" s="15">
        <f t="shared" si="103"/>
        <v>-5.4779996465807081E-3</v>
      </c>
      <c r="J950" s="15">
        <f t="shared" si="104"/>
        <v>1.6988744956466278E-2</v>
      </c>
      <c r="K950" s="15">
        <f t="shared" si="105"/>
        <v>-4.3309937387820555E-3</v>
      </c>
      <c r="L950" s="32">
        <f t="shared" si="120"/>
        <v>309303.98791649414</v>
      </c>
      <c r="M950" s="15"/>
      <c r="N950" s="32">
        <f t="shared" si="111"/>
        <v>-3376800</v>
      </c>
      <c r="O950" s="34">
        <f t="shared" si="106"/>
        <v>-0.34590585972179622</v>
      </c>
      <c r="P950" s="34">
        <f t="shared" si="107"/>
        <v>0.68679235580749676</v>
      </c>
      <c r="Q950" s="34">
        <f t="shared" si="108"/>
        <v>0.66066453984896556</v>
      </c>
      <c r="R950" s="35" cm="1">
        <f t="array" ref="R950">SQRT(MMULT(O950:Q950, MMULT($AU$32:$AW$34,TRANSPOSE(O950:Q950))))</f>
        <v>1.3598223609069279E-2</v>
      </c>
      <c r="S950" s="36" cm="1">
        <f t="array" ref="S950:U950">TRANSPOSE(MMULT($AU$32:$AW$34, TRANSPOSE(O950:Q950))/MMULT(O950:Q950, MMULT($AU$32:$AW$34,TRANSPOSE(O950:Q950))))</f>
        <v>0.14445726759878713</v>
      </c>
      <c r="T950" s="36">
        <v>1.0329700674197797</v>
      </c>
      <c r="U950" s="36">
        <v>0.51543960470136629</v>
      </c>
      <c r="V950" s="35">
        <f t="shared" si="112"/>
        <v>4.5769639883588746E-3</v>
      </c>
      <c r="W950" s="35">
        <f t="shared" si="113"/>
        <v>3.2728480042721414E-2</v>
      </c>
      <c r="X950" s="35">
        <f t="shared" si="114"/>
        <v>1.6331116793959731E-2</v>
      </c>
      <c r="Y950" s="32">
        <f t="shared" si="115"/>
        <v>-15455.491995890248</v>
      </c>
      <c r="Z950" s="32">
        <f t="shared" si="116"/>
        <v>219431.36729443001</v>
      </c>
      <c r="AA950" s="32">
        <f t="shared" si="117"/>
        <v>105328.11261795444</v>
      </c>
      <c r="AB950" s="40">
        <f t="shared" si="118"/>
        <v>-4.9968615341820039E-2</v>
      </c>
      <c r="AC950" s="40">
        <f t="shared" si="121"/>
        <v>0.70943594608185934</v>
      </c>
      <c r="AD950" s="40">
        <f t="shared" si="119"/>
        <v>0.3405326692599609</v>
      </c>
      <c r="AE950" s="40"/>
      <c r="AF950" s="40"/>
      <c r="AG950" s="40"/>
      <c r="AH950" s="40"/>
      <c r="AI950" s="40"/>
      <c r="AJ950" s="40"/>
      <c r="AK950" s="33">
        <f t="shared" si="109"/>
        <v>6704600</v>
      </c>
      <c r="AL950" s="33">
        <f t="shared" si="110"/>
        <v>6449535.2000000002</v>
      </c>
      <c r="AM950" s="34"/>
      <c r="AN950" s="33"/>
      <c r="AO950" s="15" cm="1">
        <f t="array" ref="AO950">SUMPRODUCT(I950:K950, TRANSPOSE($AY$5:$AY$7))</f>
        <v>1.013513790723417E-2</v>
      </c>
      <c r="AP950" s="22">
        <f t="shared" si="125"/>
        <v>9762193.6867906172</v>
      </c>
      <c r="AQ950" s="22">
        <f t="shared" si="126"/>
        <v>97948.45816148445</v>
      </c>
      <c r="AR950">
        <f t="shared" si="123"/>
        <v>0</v>
      </c>
      <c r="AS950">
        <f t="shared" si="124"/>
        <v>0</v>
      </c>
      <c r="BJ950">
        <f t="shared" si="99"/>
        <v>3.091572842505454E-12</v>
      </c>
      <c r="BK950">
        <f t="shared" si="101"/>
        <v>7.8654685731261985E-5</v>
      </c>
      <c r="BO950">
        <f t="shared" si="102"/>
        <v>6.7113021349944781E-5</v>
      </c>
      <c r="BP950">
        <f t="shared" si="100"/>
        <v>3.8856276807362842</v>
      </c>
    </row>
    <row r="951" spans="1:68" x14ac:dyDescent="0.15">
      <c r="A951" s="5">
        <v>44951</v>
      </c>
      <c r="B951" s="1"/>
      <c r="C951">
        <v>112.7</v>
      </c>
      <c r="D951">
        <v>95.64</v>
      </c>
      <c r="E951">
        <v>80.84666</v>
      </c>
      <c r="G951" s="3">
        <v>-1.3384978164354599E-4</v>
      </c>
      <c r="I951" s="15">
        <f t="shared" si="103"/>
        <v>1.2437810945273681E-3</v>
      </c>
      <c r="J951" s="15">
        <f t="shared" si="104"/>
        <v>-1.4616830235957461E-3</v>
      </c>
      <c r="K951" s="15">
        <f t="shared" si="105"/>
        <v>2.8215366589517546E-3</v>
      </c>
      <c r="L951" s="32">
        <f t="shared" si="120"/>
        <v>309261.5920615514</v>
      </c>
      <c r="M951" s="15"/>
      <c r="N951" s="32">
        <f t="shared" si="111"/>
        <v>-3381000</v>
      </c>
      <c r="O951" s="34">
        <f t="shared" si="106"/>
        <v>-0.34611866192693402</v>
      </c>
      <c r="P951" s="34">
        <f t="shared" si="107"/>
        <v>0.68535794672240102</v>
      </c>
      <c r="Q951" s="34">
        <f t="shared" si="108"/>
        <v>0.66211269518986759</v>
      </c>
      <c r="R951" s="35" cm="1">
        <f t="array" ref="R951">SQRT(MMULT(O951:Q951, MMULT($AU$32:$AW$34,TRANSPOSE(O951:Q951))))</f>
        <v>1.358782395813737E-2</v>
      </c>
      <c r="S951" s="36" cm="1">
        <f t="array" ref="S951:U951">TRANSPOSE(MMULT($AU$32:$AW$34, TRANSPOSE(O951:Q951))/MMULT(O951:Q951, MMULT($AU$32:$AW$34,TRANSPOSE(O951:Q951))))</f>
        <v>0.14468770017755594</v>
      </c>
      <c r="T951" s="36">
        <v>1.0329471434179627</v>
      </c>
      <c r="U951" s="36">
        <v>0.51674070348239476</v>
      </c>
      <c r="V951" s="35">
        <f t="shared" si="112"/>
        <v>4.5807590274845123E-3</v>
      </c>
      <c r="W951" s="35">
        <f t="shared" si="113"/>
        <v>3.2702724186780274E-2</v>
      </c>
      <c r="X951" s="35">
        <f t="shared" si="114"/>
        <v>1.6359819386450224E-2</v>
      </c>
      <c r="Y951" s="32">
        <f t="shared" si="115"/>
        <v>-15487.546271925135</v>
      </c>
      <c r="Z951" s="32">
        <f t="shared" si="116"/>
        <v>218938.19788565658</v>
      </c>
      <c r="AA951" s="32">
        <f t="shared" si="117"/>
        <v>105810.94044781999</v>
      </c>
      <c r="AB951" s="40">
        <f t="shared" si="118"/>
        <v>-5.0079113182741088E-2</v>
      </c>
      <c r="AC951" s="40">
        <f t="shared" si="121"/>
        <v>0.70793853328570455</v>
      </c>
      <c r="AD951" s="40">
        <f t="shared" si="119"/>
        <v>0.34214057989703667</v>
      </c>
      <c r="AE951" s="40"/>
      <c r="AF951" s="40"/>
      <c r="AG951" s="40"/>
      <c r="AH951" s="40"/>
      <c r="AI951" s="40"/>
      <c r="AJ951" s="40"/>
      <c r="AK951" s="33">
        <f t="shared" si="109"/>
        <v>6694800</v>
      </c>
      <c r="AL951" s="33">
        <f t="shared" si="110"/>
        <v>6467732.7999999998</v>
      </c>
      <c r="AM951" s="34"/>
      <c r="AN951" s="33"/>
      <c r="AO951" s="15" cm="1">
        <f t="array" ref="AO951">SUMPRODUCT(I951:K951, TRANSPOSE($AY$5:$AY$7))</f>
        <v>6.281919687887781E-4</v>
      </c>
      <c r="AP951" s="22">
        <f t="shared" si="125"/>
        <v>9768326.2184624188</v>
      </c>
      <c r="AQ951" s="22">
        <f t="shared" si="126"/>
        <v>6132.531671801582</v>
      </c>
      <c r="AR951">
        <f t="shared" si="123"/>
        <v>0</v>
      </c>
      <c r="AS951">
        <f t="shared" si="124"/>
        <v>0</v>
      </c>
      <c r="BJ951">
        <f t="shared" si="99"/>
        <v>1.7915764046024942E-8</v>
      </c>
      <c r="BK951">
        <f t="shared" si="101"/>
        <v>7.3935404772880635E-5</v>
      </c>
      <c r="BO951">
        <f t="shared" si="102"/>
        <v>5.8581858055827285E-5</v>
      </c>
      <c r="BP951">
        <f t="shared" si="100"/>
        <v>3.9534513039768862</v>
      </c>
    </row>
    <row r="952" spans="1:68" x14ac:dyDescent="0.15">
      <c r="A952" s="5">
        <v>44952</v>
      </c>
      <c r="B952" s="1"/>
      <c r="C952">
        <v>109.8</v>
      </c>
      <c r="D952">
        <v>96.02</v>
      </c>
      <c r="E952">
        <v>78.363439999999997</v>
      </c>
      <c r="G952" s="3">
        <v>-7.6461672953166407E-3</v>
      </c>
      <c r="I952" s="15">
        <f t="shared" si="103"/>
        <v>-2.5732031943212118E-2</v>
      </c>
      <c r="J952" s="15">
        <f t="shared" si="104"/>
        <v>3.9732329569217425E-3</v>
      </c>
      <c r="K952" s="15">
        <f t="shared" si="105"/>
        <v>-3.0715183533865258E-2</v>
      </c>
      <c r="L952" s="32">
        <f t="shared" si="120"/>
        <v>307305.07024287345</v>
      </c>
      <c r="M952" s="15"/>
      <c r="N952" s="32">
        <f t="shared" si="111"/>
        <v>-3294000</v>
      </c>
      <c r="O952" s="34">
        <f t="shared" si="106"/>
        <v>-0.34057676109137575</v>
      </c>
      <c r="P952" s="34">
        <f t="shared" si="107"/>
        <v>0.69494615725548659</v>
      </c>
      <c r="Q952" s="34">
        <f t="shared" si="108"/>
        <v>0.64817890912394305</v>
      </c>
      <c r="R952" s="35" cm="1">
        <f t="array" ref="R952">SQRT(MMULT(O952:Q952, MMULT($AU$32:$AW$34,TRANSPOSE(O952:Q952))))</f>
        <v>1.3636572346427182E-2</v>
      </c>
      <c r="S952" s="36" cm="1">
        <f t="array" ref="S952:U952">TRANSPOSE(MMULT($AU$32:$AW$34, TRANSPOSE(O952:Q952))/MMULT(O952:Q952, MMULT($AU$32:$AW$34,TRANSPOSE(O952:Q952))))</f>
        <v>0.14500198386619267</v>
      </c>
      <c r="T952" s="36">
        <v>1.0360245479990118</v>
      </c>
      <c r="U952" s="36">
        <v>0.50819769499738332</v>
      </c>
      <c r="V952" s="35">
        <f t="shared" si="112"/>
        <v>4.6071790010446525E-3</v>
      </c>
      <c r="W952" s="35">
        <f t="shared" si="113"/>
        <v>3.2917829224408897E-2</v>
      </c>
      <c r="X952" s="35">
        <f t="shared" si="114"/>
        <v>1.6147073897498095E-2</v>
      </c>
      <c r="Y952" s="32">
        <f t="shared" si="115"/>
        <v>-15176.047629441086</v>
      </c>
      <c r="Z952" s="32">
        <f t="shared" si="116"/>
        <v>221253.89734894197</v>
      </c>
      <c r="AA952" s="32">
        <f t="shared" si="117"/>
        <v>101227.22052337266</v>
      </c>
      <c r="AB952" s="40">
        <f t="shared" si="118"/>
        <v>-4.938430601697183E-2</v>
      </c>
      <c r="AC952" s="40">
        <f t="shared" si="121"/>
        <v>0.71998127845426574</v>
      </c>
      <c r="AD952" s="40">
        <f t="shared" si="119"/>
        <v>0.32940302756270634</v>
      </c>
      <c r="AE952" s="40"/>
      <c r="AF952" s="40"/>
      <c r="AG952" s="40"/>
      <c r="AH952" s="40"/>
      <c r="AI952" s="40"/>
      <c r="AJ952" s="40"/>
      <c r="AK952" s="33">
        <f t="shared" si="109"/>
        <v>6721400</v>
      </c>
      <c r="AL952" s="33">
        <f t="shared" si="110"/>
        <v>6269075.2000000002</v>
      </c>
      <c r="AM952" s="34"/>
      <c r="AN952" s="33"/>
      <c r="AO952" s="15" cm="1">
        <f t="array" ref="AO952">SUMPRODUCT(I952:K952, TRANSPOSE($AY$5:$AY$7))</f>
        <v>-9.8786412158776149E-3</v>
      </c>
      <c r="AP952" s="22">
        <f t="shared" si="125"/>
        <v>9671828.428470578</v>
      </c>
      <c r="AQ952" s="22">
        <f t="shared" si="126"/>
        <v>-96497.78999184072</v>
      </c>
      <c r="AR952">
        <f t="shared" si="123"/>
        <v>0</v>
      </c>
      <c r="AS952">
        <f t="shared" si="124"/>
        <v>0</v>
      </c>
      <c r="BJ952">
        <f t="shared" si="99"/>
        <v>5.8463874307969792E-5</v>
      </c>
      <c r="BK952">
        <f t="shared" si="101"/>
        <v>6.9500355432350553E-5</v>
      </c>
      <c r="BO952">
        <f t="shared" si="102"/>
        <v>5.1892745392204622E-5</v>
      </c>
      <c r="BP952">
        <f t="shared" si="100"/>
        <v>3.4509127221272795</v>
      </c>
    </row>
    <row r="953" spans="1:68" x14ac:dyDescent="0.15">
      <c r="A953" s="5">
        <v>44953</v>
      </c>
      <c r="B953" s="1"/>
      <c r="C953">
        <v>109.54</v>
      </c>
      <c r="D953">
        <v>95.02</v>
      </c>
      <c r="E953">
        <v>78.268659999999997</v>
      </c>
      <c r="G953" s="3">
        <v>1.3017965341568499E-3</v>
      </c>
      <c r="I953" s="15">
        <f t="shared" si="103"/>
        <v>-2.3679417122039245E-3</v>
      </c>
      <c r="J953" s="15">
        <f t="shared" si="104"/>
        <v>-1.0414496979795877E-2</v>
      </c>
      <c r="K953" s="15">
        <f t="shared" si="105"/>
        <v>-1.2094925899118274E-3</v>
      </c>
      <c r="L953" s="32">
        <f t="shared" si="120"/>
        <v>304916.03551671287</v>
      </c>
      <c r="M953" s="15"/>
      <c r="N953" s="32">
        <f t="shared" si="111"/>
        <v>-3286200</v>
      </c>
      <c r="O953" s="34">
        <f t="shared" si="106"/>
        <v>-0.34209770589509114</v>
      </c>
      <c r="P953" s="34">
        <f t="shared" si="107"/>
        <v>0.6924194148227768</v>
      </c>
      <c r="Q953" s="34">
        <f t="shared" si="108"/>
        <v>0.65182956678188508</v>
      </c>
      <c r="R953" s="35" cm="1">
        <f t="array" ref="R953">SQRT(MMULT(O953:Q953, MMULT($AU$32:$AW$34,TRANSPOSE(O953:Q953))))</f>
        <v>1.3623243335557955E-2</v>
      </c>
      <c r="S953" s="36" cm="1">
        <f t="array" ref="S953:U953">TRANSPOSE(MMULT($AU$32:$AW$34, TRANSPOSE(O953:Q953))/MMULT(O953:Q953, MMULT($AU$32:$AW$34,TRANSPOSE(O953:Q953))))</f>
        <v>0.14488116800833997</v>
      </c>
      <c r="T953" s="36">
        <v>1.0352738889022359</v>
      </c>
      <c r="U953" s="36">
        <v>0.51043983247142632</v>
      </c>
      <c r="V953" s="35">
        <f t="shared" si="112"/>
        <v>4.5988407771857054E-3</v>
      </c>
      <c r="W953" s="35">
        <f t="shared" si="113"/>
        <v>3.2861826290392408E-2</v>
      </c>
      <c r="X953" s="35">
        <f t="shared" si="114"/>
        <v>1.6202461286992851E-2</v>
      </c>
      <c r="Y953" s="32">
        <f t="shared" si="115"/>
        <v>-15112.710561987666</v>
      </c>
      <c r="Z953" s="32">
        <f t="shared" si="116"/>
        <v>218577.15138791606</v>
      </c>
      <c r="AA953" s="32">
        <f t="shared" si="117"/>
        <v>101451.59469078446</v>
      </c>
      <c r="AB953" s="40">
        <f t="shared" si="118"/>
        <v>-4.9563515203054374E-2</v>
      </c>
      <c r="AC953" s="40">
        <f t="shared" si="121"/>
        <v>0.71684374033498655</v>
      </c>
      <c r="AD953" s="40">
        <f t="shared" si="119"/>
        <v>0.33271977486806775</v>
      </c>
      <c r="AE953" s="40"/>
      <c r="AF953" s="40"/>
      <c r="AG953" s="40"/>
      <c r="AH953" s="40"/>
      <c r="AI953" s="40"/>
      <c r="AJ953" s="40"/>
      <c r="AK953" s="33">
        <f t="shared" si="109"/>
        <v>6651400</v>
      </c>
      <c r="AL953" s="33">
        <f t="shared" si="110"/>
        <v>6261492.7999999998</v>
      </c>
      <c r="AM953" s="34"/>
      <c r="AN953" s="33"/>
      <c r="AO953" s="15" cm="1">
        <f t="array" ref="AO953">SUMPRODUCT(I953:K953, TRANSPOSE($AY$5:$AY$7))</f>
        <v>-6.8033508626471747E-3</v>
      </c>
      <c r="AP953" s="22">
        <f t="shared" si="125"/>
        <v>9606027.5861883666</v>
      </c>
      <c r="AQ953" s="22">
        <f t="shared" si="126"/>
        <v>-65800.842282211408</v>
      </c>
      <c r="AR953">
        <f t="shared" si="123"/>
        <v>0</v>
      </c>
      <c r="AS953">
        <f t="shared" si="124"/>
        <v>0</v>
      </c>
      <c r="BJ953">
        <f t="shared" si="99"/>
        <v>1.6946742163427863E-6</v>
      </c>
      <c r="BK953">
        <f t="shared" si="101"/>
        <v>6.8838166564887704E-5</v>
      </c>
      <c r="BO953">
        <f t="shared" si="102"/>
        <v>5.4969831551471068E-5</v>
      </c>
      <c r="BP953">
        <f t="shared" si="100"/>
        <v>3.9700099026246627</v>
      </c>
    </row>
    <row r="954" spans="1:68" x14ac:dyDescent="0.15">
      <c r="A954" s="5">
        <v>44956</v>
      </c>
      <c r="B954" s="1"/>
      <c r="C954">
        <v>111.18</v>
      </c>
      <c r="D954">
        <v>95.78</v>
      </c>
      <c r="E954">
        <v>78.827860000000001</v>
      </c>
      <c r="G954" s="3">
        <v>4.1779333765416997E-3</v>
      </c>
      <c r="I954" s="15">
        <f t="shared" si="103"/>
        <v>1.4971699835676469E-2</v>
      </c>
      <c r="J954" s="15">
        <f t="shared" si="104"/>
        <v>7.9983161439697442E-3</v>
      </c>
      <c r="K954" s="15">
        <f t="shared" si="105"/>
        <v>7.1446221258930987E-3</v>
      </c>
      <c r="L954" s="32">
        <f t="shared" si="120"/>
        <v>307163.55831134302</v>
      </c>
      <c r="M954" s="15"/>
      <c r="N954" s="32">
        <f t="shared" si="111"/>
        <v>-3335400</v>
      </c>
      <c r="O954" s="34">
        <f t="shared" si="106"/>
        <v>-0.34562284770621704</v>
      </c>
      <c r="P954" s="34">
        <f t="shared" si="107"/>
        <v>0.69474813957279569</v>
      </c>
      <c r="Q954" s="34">
        <f t="shared" si="108"/>
        <v>0.65346787675929718</v>
      </c>
      <c r="R954" s="35" cm="1">
        <f t="array" ref="R954">SQRT(MMULT(O954:Q954, MMULT($AU$32:$AW$34,TRANSPOSE(O954:Q954))))</f>
        <v>1.3660553255497605E-2</v>
      </c>
      <c r="S954" s="36" cm="1">
        <f t="array" ref="S954:U954">TRANSPOSE(MMULT($AU$32:$AW$34, TRANSPOSE(O954:Q954))/MMULT(O954:Q954, MMULT($AU$32:$AW$34,TRANSPOSE(O954:Q954))))</f>
        <v>0.14275511948799918</v>
      </c>
      <c r="T954" s="36">
        <v>1.032389994877563</v>
      </c>
      <c r="U954" s="36">
        <v>0.50819392119813755</v>
      </c>
      <c r="V954" s="35">
        <f t="shared" si="112"/>
        <v>4.5437654155675161E-3</v>
      </c>
      <c r="W954" s="35">
        <f t="shared" si="113"/>
        <v>3.2860033117740085E-2</v>
      </c>
      <c r="X954" s="35">
        <f t="shared" si="114"/>
        <v>1.6175349590428233E-2</v>
      </c>
      <c r="Y954" s="32">
        <f t="shared" si="115"/>
        <v>-15155.275167083893</v>
      </c>
      <c r="Z954" s="32">
        <f t="shared" si="116"/>
        <v>220313.37804120017</v>
      </c>
      <c r="AA954" s="32">
        <f t="shared" si="117"/>
        <v>102005.45543722672</v>
      </c>
      <c r="AB954" s="40">
        <f t="shared" si="118"/>
        <v>-4.9339430922083559E-2</v>
      </c>
      <c r="AC954" s="40">
        <f t="shared" si="121"/>
        <v>0.71725102825475495</v>
      </c>
      <c r="AD954" s="40">
        <f t="shared" si="119"/>
        <v>0.33208840266732848</v>
      </c>
      <c r="AE954" s="40"/>
      <c r="AF954" s="40"/>
      <c r="AG954" s="40"/>
      <c r="AH954" s="40"/>
      <c r="AI954" s="40"/>
      <c r="AJ954" s="40"/>
      <c r="AK954" s="33">
        <f t="shared" si="109"/>
        <v>6704600</v>
      </c>
      <c r="AL954" s="33">
        <f t="shared" si="110"/>
        <v>6306228.7999999998</v>
      </c>
      <c r="AM954" s="34"/>
      <c r="AN954" s="33"/>
      <c r="AO954" s="15" cm="1">
        <f t="array" ref="AO954">SUMPRODUCT(I954:K954, TRANSPOSE($AY$5:$AY$7))</f>
        <v>4.6196088210177988E-3</v>
      </c>
      <c r="AP954" s="22">
        <f t="shared" si="125"/>
        <v>9650403.6759604625</v>
      </c>
      <c r="AQ954" s="22">
        <f t="shared" si="126"/>
        <v>44376.089772095904</v>
      </c>
      <c r="AR954">
        <f t="shared" si="123"/>
        <v>0</v>
      </c>
      <c r="AS954">
        <f t="shared" si="124"/>
        <v>0</v>
      </c>
      <c r="BJ954">
        <f t="shared" si="99"/>
        <v>1.7455127298821127E-5</v>
      </c>
      <c r="BK954">
        <f t="shared" si="101"/>
        <v>6.4809557023975009E-5</v>
      </c>
      <c r="BO954">
        <f t="shared" si="102"/>
        <v>4.9298352563678428E-5</v>
      </c>
      <c r="BP954">
        <f t="shared" si="100"/>
        <v>3.8628358092618296</v>
      </c>
    </row>
    <row r="955" spans="1:68" x14ac:dyDescent="0.15">
      <c r="A955" s="5">
        <v>44957</v>
      </c>
      <c r="B955" s="1"/>
      <c r="C955">
        <v>111.48</v>
      </c>
      <c r="D955">
        <v>95.56</v>
      </c>
      <c r="E955">
        <v>78.154929999999993</v>
      </c>
      <c r="G955" s="3">
        <v>-8.24798866264842E-3</v>
      </c>
      <c r="I955" s="15">
        <f t="shared" si="103"/>
        <v>2.6983270372368875E-3</v>
      </c>
      <c r="J955" s="15">
        <f t="shared" si="104"/>
        <v>-2.296930465650437E-3</v>
      </c>
      <c r="K955" s="15">
        <f t="shared" si="105"/>
        <v>-8.5367026328002308E-3</v>
      </c>
      <c r="L955" s="32">
        <f t="shared" si="120"/>
        <v>305747.76006497053</v>
      </c>
      <c r="M955" s="15"/>
      <c r="N955" s="32">
        <f t="shared" si="111"/>
        <v>-3344400</v>
      </c>
      <c r="O955" s="34">
        <f t="shared" si="106"/>
        <v>-0.34965517047640704</v>
      </c>
      <c r="P955" s="34">
        <f t="shared" si="107"/>
        <v>0.69935216073160567</v>
      </c>
      <c r="Q955" s="34">
        <f t="shared" si="108"/>
        <v>0.65368437681429625</v>
      </c>
      <c r="R955" s="35" cm="1">
        <f t="array" ref="R955">SQRT(MMULT(O955:Q955, MMULT($AU$32:$AW$34,TRANSPOSE(O955:Q955))))</f>
        <v>1.3719209969890974E-2</v>
      </c>
      <c r="S955" s="36" cm="1">
        <f t="array" ref="S955:U955">TRANSPOSE(MMULT($AU$32:$AW$34, TRANSPOSE(O955:Q955))/MMULT(O955:Q955, MMULT($AU$32:$AW$34,TRANSPOSE(O955:Q955))))</f>
        <v>0.13991407721239954</v>
      </c>
      <c r="T955" s="36">
        <v>1.0288592008949518</v>
      </c>
      <c r="U955" s="36">
        <v>0.50389268425004419</v>
      </c>
      <c r="V955" s="35">
        <f t="shared" si="112"/>
        <v>4.4724597050376427E-3</v>
      </c>
      <c r="W955" s="35">
        <f t="shared" si="113"/>
        <v>3.2888265497219758E-2</v>
      </c>
      <c r="X955" s="35">
        <f t="shared" si="114"/>
        <v>1.6107312222417711E-2</v>
      </c>
      <c r="Y955" s="32">
        <f t="shared" si="115"/>
        <v>-14957.694237527892</v>
      </c>
      <c r="Z955" s="32">
        <f t="shared" si="116"/>
        <v>219996.1855640024</v>
      </c>
      <c r="AA955" s="32">
        <f t="shared" si="117"/>
        <v>100709.26873849604</v>
      </c>
      <c r="AB955" s="40">
        <f t="shared" si="118"/>
        <v>-4.8921680519750745E-2</v>
      </c>
      <c r="AC955" s="40">
        <f t="shared" si="121"/>
        <v>0.71953490523447772</v>
      </c>
      <c r="AD955" s="40">
        <f t="shared" si="119"/>
        <v>0.3293867752852731</v>
      </c>
      <c r="AE955" s="40"/>
      <c r="AF955" s="40"/>
      <c r="AG955" s="40"/>
      <c r="AH955" s="40"/>
      <c r="AI955" s="40"/>
      <c r="AJ955" s="40"/>
      <c r="AK955" s="33">
        <f t="shared" si="109"/>
        <v>6689200</v>
      </c>
      <c r="AL955" s="33">
        <f t="shared" si="110"/>
        <v>6252394.3999999994</v>
      </c>
      <c r="AM955" s="34"/>
      <c r="AN955" s="33"/>
      <c r="AO955" s="15" cm="1">
        <f t="array" ref="AO955">SUMPRODUCT(I955:K955, TRANSPOSE($AY$5:$AY$7))</f>
        <v>-8.8650749574620356E-3</v>
      </c>
      <c r="AP955" s="22">
        <f t="shared" si="125"/>
        <v>9564852.124003306</v>
      </c>
      <c r="AQ955" s="22">
        <f t="shared" si="126"/>
        <v>-85551.551957156509</v>
      </c>
      <c r="AR955">
        <f t="shared" si="123"/>
        <v>0</v>
      </c>
      <c r="AS955">
        <f t="shared" si="124"/>
        <v>0</v>
      </c>
      <c r="BJ955">
        <f t="shared" si="99"/>
        <v>6.802931697917687E-5</v>
      </c>
      <c r="BK955">
        <f t="shared" si="101"/>
        <v>6.1968291240465772E-5</v>
      </c>
      <c r="BO955">
        <f t="shared" si="102"/>
        <v>4.7094371276637154E-5</v>
      </c>
      <c r="BP955">
        <f t="shared" si="100"/>
        <v>3.3404741010056203</v>
      </c>
    </row>
    <row r="956" spans="1:68" x14ac:dyDescent="0.15">
      <c r="A956" s="5">
        <v>44958</v>
      </c>
      <c r="B956" s="1"/>
      <c r="C956">
        <v>111.02</v>
      </c>
      <c r="D956">
        <v>94.38</v>
      </c>
      <c r="E956">
        <v>76.031875999999997</v>
      </c>
      <c r="G956" s="3">
        <v>-7.5185762864946604E-3</v>
      </c>
      <c r="I956" s="15">
        <f t="shared" si="103"/>
        <v>-4.1263006817367056E-3</v>
      </c>
      <c r="J956" s="15">
        <f t="shared" si="104"/>
        <v>-1.2348262871494421E-2</v>
      </c>
      <c r="K956" s="15">
        <f t="shared" si="105"/>
        <v>-2.7164684300785585E-2</v>
      </c>
      <c r="L956" s="32">
        <f t="shared" si="120"/>
        <v>300366.26102767891</v>
      </c>
      <c r="M956" s="15"/>
      <c r="N956" s="32">
        <f t="shared" si="111"/>
        <v>-3330600</v>
      </c>
      <c r="O956" s="34">
        <f t="shared" si="106"/>
        <v>-0.35769467394467425</v>
      </c>
      <c r="P956" s="34">
        <f t="shared" si="107"/>
        <v>0.70952550077550136</v>
      </c>
      <c r="Q956" s="34">
        <f t="shared" si="108"/>
        <v>0.65324439068568796</v>
      </c>
      <c r="R956" s="35" cm="1">
        <f t="array" ref="R956">SQRT(MMULT(O956:Q956, MMULT($AU$32:$AW$34,TRANSPOSE(O956:Q956))))</f>
        <v>1.3844753358991694E-2</v>
      </c>
      <c r="S956" s="36" cm="1">
        <f t="array" ref="S956:U956">TRANSPOSE(MMULT($AU$32:$AW$34, TRANSPOSE(O956:Q956))/MMULT(O956:Q956, MMULT($AU$32:$AW$34,TRANSPOSE(O956:Q956))))</f>
        <v>0.13414902369903836</v>
      </c>
      <c r="T956" s="36">
        <v>1.0216910371652872</v>
      </c>
      <c r="U956" s="36">
        <v>0.49456000099804676</v>
      </c>
      <c r="V956" s="35">
        <f t="shared" si="112"/>
        <v>4.3274161412581325E-3</v>
      </c>
      <c r="W956" s="35">
        <f t="shared" si="113"/>
        <v>3.2957990775444757E-2</v>
      </c>
      <c r="X956" s="35">
        <f t="shared" si="114"/>
        <v>1.5953652677644699E-2</v>
      </c>
      <c r="Y956" s="32">
        <f t="shared" si="115"/>
        <v>-14412.892200074337</v>
      </c>
      <c r="Z956" s="32">
        <f t="shared" si="116"/>
        <v>217740.26185705332</v>
      </c>
      <c r="AA956" s="32">
        <f t="shared" si="117"/>
        <v>97038.891370699988</v>
      </c>
      <c r="AB956" s="40">
        <f t="shared" si="118"/>
        <v>-4.7984391292023913E-2</v>
      </c>
      <c r="AC956" s="40">
        <f t="shared" si="121"/>
        <v>0.72491584478254179</v>
      </c>
      <c r="AD956" s="40">
        <f t="shared" si="119"/>
        <v>0.3230685465094823</v>
      </c>
      <c r="AE956" s="40"/>
      <c r="AF956" s="40"/>
      <c r="AG956" s="40"/>
      <c r="AH956" s="40"/>
      <c r="AI956" s="40"/>
      <c r="AJ956" s="40"/>
      <c r="AK956" s="33">
        <f t="shared" si="109"/>
        <v>6606600</v>
      </c>
      <c r="AL956" s="33">
        <f t="shared" si="110"/>
        <v>6082550.0800000001</v>
      </c>
      <c r="AM956" s="34"/>
      <c r="AN956" s="33"/>
      <c r="AO956" s="15" cm="1">
        <f t="array" ref="AO956">SUMPRODUCT(I956:K956, TRANSPOSE($AY$5:$AY$7))</f>
        <v>-2.6509440948632598E-2</v>
      </c>
      <c r="AP956" s="22">
        <f t="shared" si="125"/>
        <v>9311293.2414396368</v>
      </c>
      <c r="AQ956" s="22">
        <f t="shared" si="126"/>
        <v>-253558.88256366923</v>
      </c>
      <c r="AR956">
        <f t="shared" si="123"/>
        <v>0</v>
      </c>
      <c r="AS956">
        <f t="shared" si="124"/>
        <v>0</v>
      </c>
      <c r="BJ956">
        <f t="shared" si="99"/>
        <v>5.6528989375839839E-5</v>
      </c>
      <c r="BK956">
        <f t="shared" si="101"/>
        <v>6.2331952784788441E-5</v>
      </c>
      <c r="BO956">
        <f t="shared" si="102"/>
        <v>5.256840068057699E-5</v>
      </c>
      <c r="BP956">
        <f t="shared" si="100"/>
        <v>3.4700883377641576</v>
      </c>
    </row>
    <row r="957" spans="1:68" x14ac:dyDescent="0.15">
      <c r="A957" s="5">
        <v>44959</v>
      </c>
      <c r="B957" s="1"/>
      <c r="C957">
        <v>109.82</v>
      </c>
      <c r="D957">
        <v>94.74</v>
      </c>
      <c r="E957">
        <v>74.174199999999999</v>
      </c>
      <c r="G957" s="3">
        <v>-1.11727987155763E-3</v>
      </c>
      <c r="I957" s="15">
        <f t="shared" si="103"/>
        <v>-1.0808863267879687E-2</v>
      </c>
      <c r="J957" s="15">
        <f t="shared" si="104"/>
        <v>3.8143674507310813E-3</v>
      </c>
      <c r="K957" s="15">
        <f t="shared" si="105"/>
        <v>-2.4432857608300995E-2</v>
      </c>
      <c r="L957" s="32">
        <f t="shared" si="120"/>
        <v>298997.55497501604</v>
      </c>
      <c r="M957" s="15"/>
      <c r="N957" s="32">
        <f t="shared" si="111"/>
        <v>-3294600</v>
      </c>
      <c r="O957" s="34">
        <f t="shared" si="106"/>
        <v>-0.35784965044860789</v>
      </c>
      <c r="P957" s="34">
        <f t="shared" si="107"/>
        <v>0.72032638616071076</v>
      </c>
      <c r="Q957" s="34">
        <f t="shared" si="108"/>
        <v>0.64452647465076507</v>
      </c>
      <c r="R957" s="35" cm="1">
        <f t="array" ref="R957">SQRT(MMULT(O957:Q957, MMULT($AU$32:$AW$34,TRANSPOSE(O957:Q957))))</f>
        <v>1.3938293945535264E-2</v>
      </c>
      <c r="S957" s="36" cm="1">
        <f t="array" ref="S957:U957">TRANSPOSE(MMULT($AU$32:$AW$34, TRANSPOSE(O957:Q957))/MMULT(O957:Q957, MMULT($AU$32:$AW$34,TRANSPOSE(O957:Q957))))</f>
        <v>0.13183372769690874</v>
      </c>
      <c r="T957" s="36">
        <v>1.0196859193748542</v>
      </c>
      <c r="U957" s="36">
        <v>0.48511580570967933</v>
      </c>
      <c r="V957" s="35">
        <f t="shared" si="112"/>
        <v>4.2814617891801408E-3</v>
      </c>
      <c r="W957" s="35">
        <f t="shared" si="113"/>
        <v>3.3115549237942306E-2</v>
      </c>
      <c r="X957" s="35">
        <f t="shared" si="114"/>
        <v>1.5754730005423576E-2</v>
      </c>
      <c r="Y957" s="32">
        <f t="shared" si="115"/>
        <v>-14105.704010632891</v>
      </c>
      <c r="Z957" s="32">
        <f t="shared" si="116"/>
        <v>219615.69943618579</v>
      </c>
      <c r="AA957" s="32">
        <f t="shared" si="117"/>
        <v>93487.559549463156</v>
      </c>
      <c r="AB957" s="40">
        <f t="shared" si="118"/>
        <v>-4.7176653373675749E-2</v>
      </c>
      <c r="AC957" s="40">
        <f t="shared" si="121"/>
        <v>0.73450667332225072</v>
      </c>
      <c r="AD957" s="40">
        <f t="shared" si="119"/>
        <v>0.31266998005142516</v>
      </c>
      <c r="AE957" s="40"/>
      <c r="AF957" s="40"/>
      <c r="AG957" s="40"/>
      <c r="AH957" s="40"/>
      <c r="AI957" s="40"/>
      <c r="AJ957" s="40"/>
      <c r="AK957" s="33">
        <f t="shared" si="109"/>
        <v>6631800</v>
      </c>
      <c r="AL957" s="33">
        <f t="shared" si="110"/>
        <v>5933936</v>
      </c>
      <c r="AM957" s="34"/>
      <c r="AN957" s="33"/>
      <c r="AO957" s="15" cm="1">
        <f t="array" ref="AO957">SUMPRODUCT(I957:K957, TRANSPOSE($AY$5:$AY$7))</f>
        <v>-1.123725933840998E-2</v>
      </c>
      <c r="AP957" s="22">
        <f t="shared" si="125"/>
        <v>9206659.8245095946</v>
      </c>
      <c r="AQ957" s="22">
        <f t="shared" si="126"/>
        <v>-104633.41693004221</v>
      </c>
      <c r="AR957">
        <f t="shared" si="123"/>
        <v>0</v>
      </c>
      <c r="AS957">
        <f t="shared" si="124"/>
        <v>0</v>
      </c>
      <c r="BJ957">
        <f t="shared" si="99"/>
        <v>1.2483143113878343E-6</v>
      </c>
      <c r="BK957">
        <f t="shared" si="101"/>
        <v>6.1983774980251528E-5</v>
      </c>
      <c r="BO957">
        <f t="shared" si="102"/>
        <v>5.5224234571298026E-5</v>
      </c>
      <c r="BP957">
        <f t="shared" si="100"/>
        <v>3.9718135684581166</v>
      </c>
    </row>
    <row r="958" spans="1:68" x14ac:dyDescent="0.15">
      <c r="A958" s="5">
        <v>44960</v>
      </c>
      <c r="B958" s="1"/>
      <c r="C958">
        <v>111.78</v>
      </c>
      <c r="D958">
        <v>94.36</v>
      </c>
      <c r="E958">
        <v>75.387375000000006</v>
      </c>
      <c r="G958" s="3">
        <v>1.4387221457204001E-2</v>
      </c>
      <c r="I958" s="15">
        <f t="shared" si="103"/>
        <v>1.7847386632671717E-2</v>
      </c>
      <c r="J958" s="15">
        <f t="shared" si="104"/>
        <v>-4.010977411864001E-3</v>
      </c>
      <c r="K958" s="15">
        <f t="shared" si="105"/>
        <v>1.6355754426741465E-2</v>
      </c>
      <c r="L958" s="32">
        <f t="shared" si="120"/>
        <v>299402.36207496718</v>
      </c>
      <c r="M958" s="15"/>
      <c r="N958" s="32">
        <f t="shared" si="111"/>
        <v>-3353400</v>
      </c>
      <c r="O958" s="34">
        <f t="shared" si="106"/>
        <v>-0.36337144614561351</v>
      </c>
      <c r="P958" s="34">
        <f t="shared" si="107"/>
        <v>0.71573360651309303</v>
      </c>
      <c r="Q958" s="34">
        <f t="shared" si="108"/>
        <v>0.65351272081759815</v>
      </c>
      <c r="R958" s="35" cm="1">
        <f t="array" ref="R958">SQRT(MMULT(O958:Q958, MMULT($AU$32:$AW$34,TRANSPOSE(O958:Q958))))</f>
        <v>1.3924023211160668E-2</v>
      </c>
      <c r="S958" s="36" cm="1">
        <f t="array" ref="S958:U958">TRANSPOSE(MMULT($AU$32:$AW$34, TRANSPOSE(O958:Q958))/MMULT(O958:Q958, MMULT($AU$32:$AW$34,TRANSPOSE(O958:Q958))))</f>
        <v>0.13033515469914</v>
      </c>
      <c r="T958" s="36">
        <v>1.0169411513618645</v>
      </c>
      <c r="U958" s="36">
        <v>0.48889808200077867</v>
      </c>
      <c r="V958" s="35">
        <f t="shared" si="112"/>
        <v>4.2284600458782273E-3</v>
      </c>
      <c r="W958" s="35">
        <f t="shared" si="113"/>
        <v>3.2992595416556636E-2</v>
      </c>
      <c r="X958" s="35">
        <f t="shared" si="114"/>
        <v>1.5861307803092903E-2</v>
      </c>
      <c r="Y958" s="32">
        <f t="shared" si="115"/>
        <v>-14179.717917848047</v>
      </c>
      <c r="Z958" s="32">
        <f t="shared" si="116"/>
        <v>217922.6912454399</v>
      </c>
      <c r="AA958" s="32">
        <f t="shared" si="117"/>
        <v>95659.388747375269</v>
      </c>
      <c r="AB958" s="40">
        <f t="shared" si="118"/>
        <v>-4.7360073646638752E-2</v>
      </c>
      <c r="AC958" s="40">
        <f t="shared" si="121"/>
        <v>0.72785895787580446</v>
      </c>
      <c r="AD958" s="40">
        <f t="shared" si="119"/>
        <v>0.31950111577083407</v>
      </c>
      <c r="AE958" s="40"/>
      <c r="AF958" s="40"/>
      <c r="AG958" s="40"/>
      <c r="AH958" s="40"/>
      <c r="AI958" s="40"/>
      <c r="AJ958" s="40"/>
      <c r="AK958" s="33">
        <f t="shared" si="109"/>
        <v>6605200</v>
      </c>
      <c r="AL958" s="33">
        <f t="shared" si="110"/>
        <v>6030990</v>
      </c>
      <c r="AM958" s="34"/>
      <c r="AN958" s="33"/>
      <c r="AO958" s="15" cm="1">
        <f t="array" ref="AO958">SUMPRODUCT(I958:K958, TRANSPOSE($AY$5:$AY$7))</f>
        <v>2.3801687779576568E-3</v>
      </c>
      <c r="AP958" s="22">
        <f t="shared" si="125"/>
        <v>9228573.2287731692</v>
      </c>
      <c r="AQ958" s="22">
        <f t="shared" si="126"/>
        <v>21913.40426357463</v>
      </c>
      <c r="AR958">
        <f t="shared" si="123"/>
        <v>0</v>
      </c>
      <c r="AS958">
        <f t="shared" si="124"/>
        <v>0</v>
      </c>
      <c r="BJ958">
        <f t="shared" si="99"/>
        <v>2.069921412586312E-4</v>
      </c>
      <c r="BK958">
        <f t="shared" si="101"/>
        <v>5.8339647340119705E-5</v>
      </c>
      <c r="BO958">
        <f t="shared" si="102"/>
        <v>4.9434330241994674E-5</v>
      </c>
      <c r="BP958">
        <f t="shared" si="100"/>
        <v>1.944886963918858</v>
      </c>
    </row>
    <row r="959" spans="1:68" x14ac:dyDescent="0.15">
      <c r="A959" s="5">
        <v>44963</v>
      </c>
      <c r="B959" s="1"/>
      <c r="C959">
        <v>111.48</v>
      </c>
      <c r="D959">
        <v>93.38</v>
      </c>
      <c r="E959">
        <v>75.017740000000003</v>
      </c>
      <c r="G959" s="3">
        <v>-5.8271892957205695E-3</v>
      </c>
      <c r="I959" s="15">
        <f t="shared" si="103"/>
        <v>-2.6838432635533831E-3</v>
      </c>
      <c r="J959" s="15">
        <f t="shared" si="104"/>
        <v>-1.0385756676557906E-2</v>
      </c>
      <c r="K959" s="15">
        <f t="shared" si="105"/>
        <v>-4.9031419385540667E-3</v>
      </c>
      <c r="L959" s="32">
        <f t="shared" si="120"/>
        <v>296708.85242844908</v>
      </c>
      <c r="M959" s="15"/>
      <c r="N959" s="32">
        <f t="shared" si="111"/>
        <v>-3344400</v>
      </c>
      <c r="O959" s="34">
        <f t="shared" si="106"/>
        <v>-0.36582842536875521</v>
      </c>
      <c r="P959" s="34">
        <f t="shared" si="107"/>
        <v>0.71500839769926006</v>
      </c>
      <c r="Q959" s="34">
        <f t="shared" si="108"/>
        <v>0.65646744884398234</v>
      </c>
      <c r="R959" s="35" cm="1">
        <f t="array" ref="R959">SQRT(MMULT(O959:Q959, MMULT($AU$32:$AW$34,TRANSPOSE(O959:Q959))))</f>
        <v>1.3929445093389075E-2</v>
      </c>
      <c r="S959" s="36" cm="1">
        <f t="array" ref="S959:U959">TRANSPOSE(MMULT($AU$32:$AW$34, TRANSPOSE(O959:Q959))/MMULT(O959:Q959, MMULT($AU$32:$AW$34,TRANSPOSE(O959:Q959))))</f>
        <v>0.12940266938607756</v>
      </c>
      <c r="T959" s="36">
        <v>1.0154343296087909</v>
      </c>
      <c r="U959" s="36">
        <v>0.48943036301862142</v>
      </c>
      <c r="V959" s="35">
        <f t="shared" si="112"/>
        <v>4.1998421910926379E-3</v>
      </c>
      <c r="W959" s="35">
        <f t="shared" si="113"/>
        <v>3.2956537604731231E-2</v>
      </c>
      <c r="X959" s="35">
        <f t="shared" si="114"/>
        <v>1.5884759549083513E-2</v>
      </c>
      <c r="Y959" s="32">
        <f t="shared" si="115"/>
        <v>-14045.952223890217</v>
      </c>
      <c r="Z959" s="32">
        <f t="shared" si="116"/>
        <v>215423.70370708616</v>
      </c>
      <c r="AA959" s="32">
        <f t="shared" si="117"/>
        <v>95331.100945253143</v>
      </c>
      <c r="AB959" s="40">
        <f t="shared" si="118"/>
        <v>-4.7339174780022371E-2</v>
      </c>
      <c r="AC959" s="40">
        <f t="shared" si="121"/>
        <v>0.72604407298240381</v>
      </c>
      <c r="AD959" s="40">
        <f t="shared" si="119"/>
        <v>0.32129510179761861</v>
      </c>
      <c r="AE959" s="40"/>
      <c r="AF959" s="40"/>
      <c r="AG959" s="40"/>
      <c r="AH959" s="40"/>
      <c r="AI959" s="40"/>
      <c r="AJ959" s="40"/>
      <c r="AK959" s="33">
        <f t="shared" si="109"/>
        <v>6536600</v>
      </c>
      <c r="AL959" s="33">
        <f t="shared" si="110"/>
        <v>6001419.2000000002</v>
      </c>
      <c r="AM959" s="34"/>
      <c r="AN959" s="33"/>
      <c r="AO959" s="15" cm="1">
        <f t="array" ref="AO959">SUMPRODUCT(I959:K959, TRANSPOSE($AY$5:$AY$7))</f>
        <v>-9.3820244492692061E-3</v>
      </c>
      <c r="AP959" s="22">
        <f t="shared" si="125"/>
        <v>9141990.529108949</v>
      </c>
      <c r="AQ959" s="22">
        <f t="shared" si="126"/>
        <v>-86582.699664220214</v>
      </c>
      <c r="AR959">
        <f t="shared" si="123"/>
        <v>0</v>
      </c>
      <c r="AS959">
        <f t="shared" si="124"/>
        <v>0</v>
      </c>
      <c r="BJ959">
        <f t="shared" si="99"/>
        <v>3.3956135088160389E-5</v>
      </c>
      <c r="BK959">
        <f t="shared" si="101"/>
        <v>6.7258796975230411E-5</v>
      </c>
      <c r="BO959">
        <f t="shared" si="102"/>
        <v>7.4194926601648981E-5</v>
      </c>
      <c r="BP959">
        <f t="shared" si="100"/>
        <v>3.6066382865017426</v>
      </c>
    </row>
    <row r="960" spans="1:68" x14ac:dyDescent="0.15">
      <c r="A960" s="5">
        <v>44964</v>
      </c>
      <c r="B960" s="1"/>
      <c r="C960">
        <v>110.04</v>
      </c>
      <c r="D960">
        <v>93.9</v>
      </c>
      <c r="E960">
        <v>75.159903999999997</v>
      </c>
      <c r="G960" s="3">
        <v>-4.3767271232479895E-3</v>
      </c>
      <c r="I960" s="15">
        <f t="shared" si="103"/>
        <v>-1.2917115177610313E-2</v>
      </c>
      <c r="J960" s="15">
        <f t="shared" si="104"/>
        <v>5.568644249304029E-3</v>
      </c>
      <c r="K960" s="15">
        <f t="shared" si="105"/>
        <v>1.8950717523614274E-3</v>
      </c>
      <c r="L960" s="32">
        <f t="shared" si="120"/>
        <v>298274.00873672299</v>
      </c>
      <c r="M960" s="15"/>
      <c r="N960" s="32">
        <f t="shared" si="111"/>
        <v>-3301200</v>
      </c>
      <c r="O960" s="34">
        <f t="shared" si="106"/>
        <v>-0.35747456591852006</v>
      </c>
      <c r="P960" s="34">
        <f t="shared" si="107"/>
        <v>0.71176551611003036</v>
      </c>
      <c r="Q960" s="34">
        <f t="shared" si="108"/>
        <v>0.65110272765970278</v>
      </c>
      <c r="R960" s="35" cm="1">
        <f t="array" ref="R960">SQRT(MMULT(O960:Q960, MMULT($AU$32:$AW$34,TRANSPOSE(O960:Q960))))</f>
        <v>1.3862220448636043E-2</v>
      </c>
      <c r="S960" s="36" cm="1">
        <f t="array" ref="S960:U960">TRANSPOSE(MMULT($AU$32:$AW$34, TRANSPOSE(O960:Q960))/MMULT(O960:Q960, MMULT($AU$32:$AW$34,TRANSPOSE(O960:Q960))))</f>
        <v>0.133761503916871</v>
      </c>
      <c r="T960" s="36">
        <v>1.0215319897235142</v>
      </c>
      <c r="U960" s="36">
        <v>0.49258754116056286</v>
      </c>
      <c r="V960" s="35">
        <f t="shared" si="112"/>
        <v>4.3203592897696486E-3</v>
      </c>
      <c r="W960" s="35">
        <f t="shared" si="113"/>
        <v>3.2994434813933105E-2</v>
      </c>
      <c r="X960" s="35">
        <f t="shared" si="114"/>
        <v>1.5910072009958975E-2</v>
      </c>
      <c r="Y960" s="32">
        <f t="shared" si="115"/>
        <v>-14262.370087387564</v>
      </c>
      <c r="Z960" s="32">
        <f t="shared" si="116"/>
        <v>216872.4200319823</v>
      </c>
      <c r="AA960" s="32">
        <f t="shared" si="117"/>
        <v>95663.95879212828</v>
      </c>
      <c r="AB960" s="40">
        <f t="shared" si="118"/>
        <v>-4.7816335549291877E-2</v>
      </c>
      <c r="AC960" s="40">
        <f t="shared" si="121"/>
        <v>0.72709124388846336</v>
      </c>
      <c r="AD960" s="40">
        <f t="shared" si="119"/>
        <v>0.32072509166082863</v>
      </c>
      <c r="AE960" s="40"/>
      <c r="AF960" s="40"/>
      <c r="AG960" s="40"/>
      <c r="AH960" s="40"/>
      <c r="AI960" s="40"/>
      <c r="AJ960" s="40"/>
      <c r="AK960" s="33">
        <f t="shared" si="109"/>
        <v>6573000</v>
      </c>
      <c r="AL960" s="33">
        <f t="shared" si="110"/>
        <v>6012792.3199999994</v>
      </c>
      <c r="AM960" s="34"/>
      <c r="AN960" s="33"/>
      <c r="AO960" s="15" cm="1">
        <f t="array" ref="AO960">SUMPRODUCT(I960:K960, TRANSPOSE($AY$5:$AY$7))</f>
        <v>1.0150125045064493E-2</v>
      </c>
      <c r="AP960" s="22">
        <f t="shared" si="125"/>
        <v>9234782.8761401996</v>
      </c>
      <c r="AQ960" s="22">
        <f t="shared" si="126"/>
        <v>92792.347031250596</v>
      </c>
      <c r="AR960">
        <f t="shared" si="123"/>
        <v>0</v>
      </c>
      <c r="AS960">
        <f t="shared" si="124"/>
        <v>0</v>
      </c>
      <c r="BJ960">
        <f t="shared" si="99"/>
        <v>1.915574031137462E-5</v>
      </c>
      <c r="BK960">
        <f t="shared" si="101"/>
        <v>6.5260637262006208E-5</v>
      </c>
      <c r="BO960">
        <f t="shared" si="102"/>
        <v>6.8972793263975438E-5</v>
      </c>
      <c r="BP960">
        <f t="shared" si="100"/>
        <v>3.7330962158853294</v>
      </c>
    </row>
    <row r="961" spans="1:68" x14ac:dyDescent="0.15">
      <c r="A961" s="5">
        <v>44965</v>
      </c>
      <c r="B961" s="1"/>
      <c r="C961">
        <v>110.38</v>
      </c>
      <c r="D961">
        <v>94.56</v>
      </c>
      <c r="E961">
        <v>76.126655999999997</v>
      </c>
      <c r="G961" s="3">
        <v>3.77530469148879E-3</v>
      </c>
      <c r="I961" s="15">
        <f t="shared" si="103"/>
        <v>3.0897855325335258E-3</v>
      </c>
      <c r="J961" s="15">
        <f t="shared" si="104"/>
        <v>7.0287539936101867E-3</v>
      </c>
      <c r="K961" s="15">
        <f t="shared" si="105"/>
        <v>1.2862602911254378E-2</v>
      </c>
      <c r="L961" s="32">
        <f t="shared" si="120"/>
        <v>300986.23942041898</v>
      </c>
      <c r="M961" s="15"/>
      <c r="N961" s="32">
        <f t="shared" si="111"/>
        <v>-3311400</v>
      </c>
      <c r="O961" s="34">
        <f t="shared" si="106"/>
        <v>-0.35401887780488317</v>
      </c>
      <c r="P961" s="34">
        <f t="shared" si="107"/>
        <v>0.7076528827583749</v>
      </c>
      <c r="Q961" s="34">
        <f t="shared" si="108"/>
        <v>0.65109073692476593</v>
      </c>
      <c r="R961" s="35" cm="1">
        <f t="array" ref="R961">SQRT(MMULT(O961:Q961, MMULT($AU$32:$AW$34,TRANSPOSE(O961:Q961))))</f>
        <v>1.3810375798202207E-2</v>
      </c>
      <c r="S961" s="36" cm="1">
        <f t="array" ref="S961:U961">TRANSPOSE(MMULT($AU$32:$AW$34, TRANSPOSE(O961:Q961))/MMULT(O961:Q961, MMULT($AU$32:$AW$34,TRANSPOSE(O961:Q961))))</f>
        <v>0.13615958731064995</v>
      </c>
      <c r="T961" s="36">
        <v>1.0245781897175641</v>
      </c>
      <c r="U961" s="36">
        <v>0.49633228736049723</v>
      </c>
      <c r="V961" s="35">
        <f t="shared" si="112"/>
        <v>4.3813671114415068E-3</v>
      </c>
      <c r="W961" s="35">
        <f t="shared" si="113"/>
        <v>3.2969056914714176E-2</v>
      </c>
      <c r="X961" s="35">
        <f t="shared" si="114"/>
        <v>1.5971067503505326E-2</v>
      </c>
      <c r="Y961" s="32">
        <f t="shared" si="115"/>
        <v>-14508.459052827406</v>
      </c>
      <c r="Z961" s="32">
        <f t="shared" si="116"/>
        <v>218228.78152987608</v>
      </c>
      <c r="AA961" s="32">
        <f t="shared" si="117"/>
        <v>97265.916943370292</v>
      </c>
      <c r="AB961" s="40">
        <f t="shared" si="118"/>
        <v>-4.8203064302092306E-2</v>
      </c>
      <c r="AC961" s="40">
        <f t="shared" si="121"/>
        <v>0.72504570956499148</v>
      </c>
      <c r="AD961" s="40">
        <f t="shared" si="119"/>
        <v>0.32315735473710083</v>
      </c>
      <c r="AE961" s="40"/>
      <c r="AF961" s="40"/>
      <c r="AG961" s="40"/>
      <c r="AH961" s="40"/>
      <c r="AI961" s="40"/>
      <c r="AJ961" s="40"/>
      <c r="AK961" s="33">
        <f t="shared" si="109"/>
        <v>6619200</v>
      </c>
      <c r="AL961" s="33">
        <f t="shared" si="110"/>
        <v>6090132.4799999995</v>
      </c>
      <c r="AM961" s="34"/>
      <c r="AN961" s="33"/>
      <c r="AO961" s="15" cm="1">
        <f t="array" ref="AO961">SUMPRODUCT(I961:K961, TRANSPOSE($AY$5:$AY$7))</f>
        <v>1.2881256174632545E-2</v>
      </c>
      <c r="AP961" s="22">
        <f t="shared" si="125"/>
        <v>9353738.4800848719</v>
      </c>
      <c r="AQ961" s="22">
        <f t="shared" si="126"/>
        <v>118955.60394467227</v>
      </c>
      <c r="AR961">
        <f t="shared" si="123"/>
        <v>0</v>
      </c>
      <c r="AS961">
        <f t="shared" si="124"/>
        <v>0</v>
      </c>
      <c r="BJ961">
        <f t="shared" si="99"/>
        <v>1.4252925513577267E-5</v>
      </c>
      <c r="BK961">
        <f t="shared" si="101"/>
        <v>6.2494343444968322E-5</v>
      </c>
      <c r="BO961">
        <f t="shared" si="102"/>
        <v>6.2768787465071333E-5</v>
      </c>
      <c r="BP961">
        <f t="shared" si="100"/>
        <v>3.8055526432898938</v>
      </c>
    </row>
    <row r="962" spans="1:68" x14ac:dyDescent="0.15">
      <c r="A962" s="5">
        <v>44966</v>
      </c>
      <c r="B962" s="1"/>
      <c r="C962">
        <v>109</v>
      </c>
      <c r="D962">
        <v>95.08</v>
      </c>
      <c r="E962">
        <v>75.908659999999998</v>
      </c>
      <c r="G962" s="3">
        <v>-5.1922272741729003E-3</v>
      </c>
      <c r="I962" s="15">
        <f t="shared" si="103"/>
        <v>-1.2502264903062109E-2</v>
      </c>
      <c r="J962" s="15">
        <f t="shared" si="104"/>
        <v>5.4991539763112945E-3</v>
      </c>
      <c r="K962" s="15">
        <f t="shared" si="105"/>
        <v>-2.863596162689708E-3</v>
      </c>
      <c r="L962" s="32">
        <f t="shared" si="120"/>
        <v>302092.24381726253</v>
      </c>
      <c r="M962" s="15"/>
      <c r="N962" s="32">
        <f t="shared" si="111"/>
        <v>-3270000</v>
      </c>
      <c r="O962" s="34">
        <f t="shared" si="106"/>
        <v>-0.34735798687992964</v>
      </c>
      <c r="P962" s="34">
        <f t="shared" si="107"/>
        <v>0.70699566283732707</v>
      </c>
      <c r="Q962" s="34">
        <f t="shared" si="108"/>
        <v>0.64507594677316304</v>
      </c>
      <c r="R962" s="35" cm="1">
        <f t="array" ref="R962">SQRT(MMULT(O962:Q962, MMULT($AU$32:$AW$34,TRANSPOSE(O962:Q962))))</f>
        <v>1.3772512982426426E-2</v>
      </c>
      <c r="S962" s="36" cm="1">
        <f t="array" ref="S962:U962">TRANSPOSE(MMULT($AU$32:$AW$34, TRANSPOSE(O962:Q962))/MMULT(O962:Q962, MMULT($AU$32:$AW$34,TRANSPOSE(O962:Q962))))</f>
        <v>0.13927758599998993</v>
      </c>
      <c r="T962" s="36">
        <v>1.0292609530170531</v>
      </c>
      <c r="U962" s="36">
        <v>0.49714479943607831</v>
      </c>
      <c r="V962" s="35">
        <f t="shared" si="112"/>
        <v>4.4694115019358873E-3</v>
      </c>
      <c r="W962" s="35">
        <f t="shared" si="113"/>
        <v>3.3028937921915469E-2</v>
      </c>
      <c r="X962" s="35">
        <f t="shared" si="114"/>
        <v>1.5953354366203466E-2</v>
      </c>
      <c r="Y962" s="32">
        <f t="shared" si="115"/>
        <v>-14614.975611330352</v>
      </c>
      <c r="Z962" s="32">
        <f t="shared" si="116"/>
        <v>219827.39923310059</v>
      </c>
      <c r="AA962" s="32">
        <f t="shared" si="117"/>
        <v>96879.820195492357</v>
      </c>
      <c r="AB962" s="40">
        <f t="shared" si="118"/>
        <v>-4.8379181890452774E-2</v>
      </c>
      <c r="AC962" s="40">
        <f t="shared" si="121"/>
        <v>0.72768302971087051</v>
      </c>
      <c r="AD962" s="40">
        <f t="shared" si="119"/>
        <v>0.32069615217958247</v>
      </c>
      <c r="AE962" s="40"/>
      <c r="AF962" s="40"/>
      <c r="AG962" s="40"/>
      <c r="AH962" s="40"/>
      <c r="AI962" s="40"/>
      <c r="AJ962" s="40"/>
      <c r="AK962" s="33">
        <f t="shared" si="109"/>
        <v>6655600</v>
      </c>
      <c r="AL962" s="33">
        <f t="shared" si="110"/>
        <v>6072692.7999999998</v>
      </c>
      <c r="AM962" s="34"/>
      <c r="AN962" s="33"/>
      <c r="AO962" s="15" cm="1">
        <f t="array" ref="AO962">SUMPRODUCT(I962:K962, TRANSPOSE($AY$5:$AY$7))</f>
        <v>6.4338613717397457E-3</v>
      </c>
      <c r="AP962" s="22">
        <f t="shared" si="125"/>
        <v>9413919.1367732473</v>
      </c>
      <c r="AQ962" s="22">
        <f t="shared" si="126"/>
        <v>60180.656688375399</v>
      </c>
      <c r="AR962">
        <f t="shared" si="123"/>
        <v>0</v>
      </c>
      <c r="AS962">
        <f t="shared" si="124"/>
        <v>0</v>
      </c>
      <c r="BJ962">
        <f t="shared" ref="BJ962:BJ1025" si="127">G962^2</f>
        <v>2.6959224066664945E-5</v>
      </c>
      <c r="BK962">
        <f t="shared" si="101"/>
        <v>5.9599858369084859E-5</v>
      </c>
      <c r="BO962">
        <f t="shared" si="102"/>
        <v>5.7204236913913668E-5</v>
      </c>
      <c r="BP962">
        <f t="shared" ref="BP962:BP1025" si="128" xml:space="preserve"> -0.5 * (LN(2 * PI()) + LN(BO962) + (BJ962) / BO962)</f>
        <v>3.7298626632800218</v>
      </c>
    </row>
    <row r="963" spans="1:68" x14ac:dyDescent="0.15">
      <c r="A963" s="5">
        <v>44967</v>
      </c>
      <c r="B963" s="1"/>
      <c r="C963">
        <v>109.48</v>
      </c>
      <c r="D963">
        <v>94.14</v>
      </c>
      <c r="E963">
        <v>75.605360000000005</v>
      </c>
      <c r="G963" s="3">
        <v>-7.7792305833934705E-3</v>
      </c>
      <c r="I963" s="15">
        <f t="shared" si="103"/>
        <v>4.403669724770679E-3</v>
      </c>
      <c r="J963" s="15">
        <f t="shared" si="104"/>
        <v>-9.8864114429953482E-3</v>
      </c>
      <c r="K963" s="15">
        <f t="shared" si="105"/>
        <v>-3.9955915438369353E-3</v>
      </c>
      <c r="L963" s="32">
        <f t="shared" si="120"/>
        <v>299469.35283460427</v>
      </c>
      <c r="M963" s="15"/>
      <c r="N963" s="32">
        <f t="shared" si="111"/>
        <v>-3284400</v>
      </c>
      <c r="O963" s="34">
        <f t="shared" si="106"/>
        <v>-0.35283212768740713</v>
      </c>
      <c r="P963" s="34">
        <f t="shared" si="107"/>
        <v>0.70792021527051374</v>
      </c>
      <c r="Q963" s="34">
        <f t="shared" si="108"/>
        <v>0.6497625145140028</v>
      </c>
      <c r="R963" s="35" cm="1">
        <f t="array" ref="R963">SQRT(MMULT(O963:Q963, MMULT($AU$32:$AW$34,TRANSPOSE(O963:Q963))))</f>
        <v>1.3807293071448208E-2</v>
      </c>
      <c r="S963" s="36" cm="1">
        <f t="array" ref="S963:U963">TRANSPOSE(MMULT($AU$32:$AW$34, TRANSPOSE(O963:Q963))/MMULT(O963:Q963, MMULT($AU$32:$AW$34,TRANSPOSE(O963:Q963))))</f>
        <v>0.13664274300808354</v>
      </c>
      <c r="T963" s="36">
        <v>1.0253043385156677</v>
      </c>
      <c r="U963" s="36">
        <v>0.49614786096102992</v>
      </c>
      <c r="V963" s="35">
        <f t="shared" si="112"/>
        <v>4.3959327092021128E-3</v>
      </c>
      <c r="W963" s="35">
        <f t="shared" si="113"/>
        <v>3.2985058550099679E-2</v>
      </c>
      <c r="X963" s="35">
        <f t="shared" si="114"/>
        <v>1.5961569290732308E-2</v>
      </c>
      <c r="Y963" s="32">
        <f t="shared" si="115"/>
        <v>-14438.00139010342</v>
      </c>
      <c r="Z963" s="32">
        <f t="shared" si="116"/>
        <v>217364.93883344685</v>
      </c>
      <c r="AA963" s="32">
        <f t="shared" si="117"/>
        <v>96542.415391260874</v>
      </c>
      <c r="AB963" s="40">
        <f t="shared" si="118"/>
        <v>-4.821194974858569E-2</v>
      </c>
      <c r="AC963" s="40">
        <f t="shared" si="121"/>
        <v>0.7258336680398032</v>
      </c>
      <c r="AD963" s="40">
        <f t="shared" si="119"/>
        <v>0.32237828170878263</v>
      </c>
      <c r="AE963" s="40"/>
      <c r="AF963" s="40"/>
      <c r="AG963" s="40"/>
      <c r="AH963" s="40"/>
      <c r="AI963" s="40"/>
      <c r="AJ963" s="40"/>
      <c r="AK963" s="33">
        <f t="shared" si="109"/>
        <v>6589800</v>
      </c>
      <c r="AL963" s="33">
        <f t="shared" si="110"/>
        <v>6048428.8000000007</v>
      </c>
      <c r="AM963" s="34"/>
      <c r="AN963" s="33"/>
      <c r="AO963" s="15" cm="1">
        <f t="array" ref="AO963">SUMPRODUCT(I963:K963, TRANSPOSE($AY$5:$AY$7))</f>
        <v>-1.1179511862626446E-2</v>
      </c>
      <c r="AP963" s="22">
        <f t="shared" si="125"/>
        <v>9308676.1161098853</v>
      </c>
      <c r="AQ963" s="22">
        <f t="shared" si="126"/>
        <v>-105243.020663362</v>
      </c>
      <c r="AR963">
        <f t="shared" si="123"/>
        <v>0</v>
      </c>
      <c r="AS963">
        <f t="shared" si="124"/>
        <v>0</v>
      </c>
      <c r="BJ963">
        <f t="shared" si="127"/>
        <v>6.0516428469604314E-5</v>
      </c>
      <c r="BK963">
        <f t="shared" ref="BK963:BK1026" si="129">$BM$2 * BK962 + (1 - $BM$2) * BJ962</f>
        <v>5.7641420310939664E-5</v>
      </c>
      <c r="BO963">
        <f t="shared" ref="BO963:BO1026" si="130" xml:space="preserve"> $BR$2 + $BS$2 * BJ962 + $BT$2 * BO962</f>
        <v>5.4649154762998815E-5</v>
      </c>
      <c r="BP963">
        <f t="shared" si="128"/>
        <v>3.4346685866831654</v>
      </c>
    </row>
    <row r="964" spans="1:68" x14ac:dyDescent="0.15">
      <c r="A964" s="5">
        <v>44970</v>
      </c>
      <c r="B964" s="1"/>
      <c r="C964">
        <v>110.96</v>
      </c>
      <c r="D964">
        <v>95.08</v>
      </c>
      <c r="E964">
        <v>76.221429999999998</v>
      </c>
      <c r="G964" s="3">
        <v>7.0864825482044305E-3</v>
      </c>
      <c r="I964" s="15">
        <f t="shared" ref="I964:I1027" si="131">(C964-C963)/C963</f>
        <v>1.3518450858604217E-2</v>
      </c>
      <c r="J964" s="15">
        <f t="shared" ref="J964:J1027" si="132">(D964-D963)/D963</f>
        <v>9.9851285319736312E-3</v>
      </c>
      <c r="K964" s="15">
        <f t="shared" ref="K964:K1027" si="133">(E964-E963)/E963</f>
        <v>8.1484963499941464E-3</v>
      </c>
      <c r="L964" s="32">
        <f t="shared" si="120"/>
        <v>302231.61833446415</v>
      </c>
      <c r="M964" s="15"/>
      <c r="N964" s="32">
        <f t="shared" si="111"/>
        <v>-3328800</v>
      </c>
      <c r="O964" s="34">
        <f t="shared" si="106"/>
        <v>-0.35503200284733016</v>
      </c>
      <c r="P964" s="34">
        <f t="shared" si="107"/>
        <v>0.7098506963923007</v>
      </c>
      <c r="Q964" s="34">
        <f t="shared" si="108"/>
        <v>0.6503496023260652</v>
      </c>
      <c r="R964" s="35" cm="1">
        <f t="array" ref="R964">SQRT(MMULT(O964:Q964, MMULT($AU$32:$AW$34,TRANSPOSE(O964:Q964))))</f>
        <v>1.3834509797841118E-2</v>
      </c>
      <c r="S964" s="36" cm="1">
        <f t="array" ref="S964:U964">TRANSPOSE(MMULT($AU$32:$AW$34, TRANSPOSE(O964:Q964))/MMULT(O964:Q964, MMULT($AU$32:$AW$34,TRANSPOSE(O964:Q964))))</f>
        <v>0.1352577004539246</v>
      </c>
      <c r="T964" s="36">
        <v>1.023466952063987</v>
      </c>
      <c r="U964" s="36">
        <v>0.49436807908488312</v>
      </c>
      <c r="V964" s="35">
        <f t="shared" si="112"/>
        <v>4.3599518784404392E-3</v>
      </c>
      <c r="W964" s="35">
        <f t="shared" si="113"/>
        <v>3.2990851132303239E-2</v>
      </c>
      <c r="X964" s="35">
        <f t="shared" si="114"/>
        <v>1.5935662278846519E-2</v>
      </c>
      <c r="Y964" s="32">
        <f t="shared" si="115"/>
        <v>-14513.407812952533</v>
      </c>
      <c r="Z964" s="32">
        <f t="shared" si="116"/>
        <v>219573.90879615743</v>
      </c>
      <c r="AA964" s="32">
        <f t="shared" si="117"/>
        <v>97171.117351259221</v>
      </c>
      <c r="AB964" s="40">
        <f t="shared" si="118"/>
        <v>-4.8020812292681084E-2</v>
      </c>
      <c r="AC964" s="40">
        <f t="shared" si="121"/>
        <v>0.72650872865712646</v>
      </c>
      <c r="AD964" s="40">
        <f t="shared" si="119"/>
        <v>0.3215120836355545</v>
      </c>
      <c r="AE964" s="40"/>
      <c r="AF964" s="40"/>
      <c r="AG964" s="40"/>
      <c r="AH964" s="40"/>
      <c r="AI964" s="40"/>
      <c r="AJ964" s="40"/>
      <c r="AK964" s="33">
        <f t="shared" si="109"/>
        <v>6655600</v>
      </c>
      <c r="AL964" s="33">
        <f t="shared" si="110"/>
        <v>6097714.3999999994</v>
      </c>
      <c r="AM964" s="34"/>
      <c r="AN964" s="33"/>
      <c r="AO964" s="15" cm="1">
        <f t="array" ref="AO964">SUMPRODUCT(I964:K964, TRANSPOSE($AY$5:$AY$7))</f>
        <v>7.2384139991487724E-3</v>
      </c>
      <c r="AP964" s="22">
        <f t="shared" si="125"/>
        <v>9376056.1676222775</v>
      </c>
      <c r="AQ964" s="22">
        <f t="shared" si="126"/>
        <v>67380.051512392238</v>
      </c>
      <c r="AR964">
        <f t="shared" si="123"/>
        <v>0</v>
      </c>
      <c r="AS964">
        <f t="shared" si="124"/>
        <v>0</v>
      </c>
      <c r="BJ964">
        <f t="shared" si="127"/>
        <v>5.0218234906005955E-5</v>
      </c>
      <c r="BK964">
        <f t="shared" si="129"/>
        <v>5.7813920800459539E-5</v>
      </c>
      <c r="BO964">
        <f t="shared" si="130"/>
        <v>5.7424225829809793E-5</v>
      </c>
      <c r="BP964">
        <f t="shared" si="128"/>
        <v>3.5263270869663139</v>
      </c>
    </row>
    <row r="965" spans="1:68" x14ac:dyDescent="0.15">
      <c r="A965" s="5">
        <v>44971</v>
      </c>
      <c r="B965" s="1"/>
      <c r="C965">
        <v>111.3</v>
      </c>
      <c r="D965">
        <v>95.24</v>
      </c>
      <c r="E965">
        <v>76.221429999999998</v>
      </c>
      <c r="G965" s="3">
        <v>2.0136461029709399E-3</v>
      </c>
      <c r="I965" s="15">
        <f t="shared" si="131"/>
        <v>3.064167267483809E-3</v>
      </c>
      <c r="J965" s="15">
        <f t="shared" si="132"/>
        <v>1.6827934371055593E-3</v>
      </c>
      <c r="K965" s="15">
        <f t="shared" si="133"/>
        <v>0</v>
      </c>
      <c r="L965" s="32">
        <f t="shared" si="120"/>
        <v>302556.78386938176</v>
      </c>
      <c r="M965" s="15"/>
      <c r="N965" s="32">
        <f t="shared" si="111"/>
        <v>-3339000</v>
      </c>
      <c r="O965" s="34">
        <f t="shared" si="106"/>
        <v>-0.35615622513946266</v>
      </c>
      <c r="P965" s="34">
        <f t="shared" si="107"/>
        <v>0.71111779627426464</v>
      </c>
      <c r="Q965" s="34">
        <f t="shared" si="108"/>
        <v>0.65041597564616449</v>
      </c>
      <c r="R965" s="35" cm="1">
        <f t="array" ref="R965">SQRT(MMULT(O965:Q965, MMULT($AU$32:$AW$34,TRANSPOSE(O965:Q965))))</f>
        <v>1.3850807537048211E-2</v>
      </c>
      <c r="S965" s="36" cm="1">
        <f t="array" ref="S965:U965">TRANSPOSE(MMULT($AU$32:$AW$34, TRANSPOSE(O965:Q965))/MMULT(O965:Q965, MMULT($AU$32:$AW$34,TRANSPOSE(O965:Q965))))</f>
        <v>0.13449391017995488</v>
      </c>
      <c r="T965" s="36">
        <v>1.0224835616964374</v>
      </c>
      <c r="U965" s="36">
        <v>0.49321449387064836</v>
      </c>
      <c r="V965" s="35">
        <f t="shared" si="112"/>
        <v>4.3404387870017175E-3</v>
      </c>
      <c r="W965" s="35">
        <f t="shared" si="113"/>
        <v>3.2997979643247292E-2</v>
      </c>
      <c r="X965" s="35">
        <f t="shared" si="114"/>
        <v>1.5917206337768039E-2</v>
      </c>
      <c r="Y965" s="32">
        <f t="shared" si="115"/>
        <v>-14492.725109798736</v>
      </c>
      <c r="Z965" s="32">
        <f t="shared" si="116"/>
        <v>219990.93068560105</v>
      </c>
      <c r="AA965" s="32">
        <f t="shared" si="117"/>
        <v>97058.578293579427</v>
      </c>
      <c r="AB965" s="40">
        <f t="shared" si="118"/>
        <v>-4.7900843353938675E-2</v>
      </c>
      <c r="AC965" s="40">
        <f t="shared" si="121"/>
        <v>0.72710625712023169</v>
      </c>
      <c r="AD965" s="40">
        <f t="shared" si="119"/>
        <v>0.32079458623370694</v>
      </c>
      <c r="AE965" s="40"/>
      <c r="AF965" s="40"/>
      <c r="AG965" s="40"/>
      <c r="AH965" s="40"/>
      <c r="AI965" s="40"/>
      <c r="AJ965" s="40"/>
      <c r="AK965" s="33">
        <f t="shared" si="109"/>
        <v>6666800</v>
      </c>
      <c r="AL965" s="33">
        <f t="shared" si="110"/>
        <v>6097714.3999999994</v>
      </c>
      <c r="AM965" s="34"/>
      <c r="AN965" s="33"/>
      <c r="AO965" s="15" cm="1">
        <f t="array" ref="AO965">SUMPRODUCT(I965:K965, TRANSPOSE($AY$5:$AY$7))</f>
        <v>-1.02047493580133E-4</v>
      </c>
      <c r="AP965" s="22">
        <f t="shared" si="125"/>
        <v>9375099.3645907044</v>
      </c>
      <c r="AQ965" s="22">
        <f t="shared" si="126"/>
        <v>-956.80303157307208</v>
      </c>
      <c r="AR965">
        <f t="shared" si="123"/>
        <v>0</v>
      </c>
      <c r="AS965">
        <f t="shared" si="124"/>
        <v>0</v>
      </c>
      <c r="BJ965">
        <f t="shared" si="127"/>
        <v>4.0547706280100529E-6</v>
      </c>
      <c r="BK965">
        <f t="shared" si="129"/>
        <v>5.7358179646792324E-5</v>
      </c>
      <c r="BO965">
        <f t="shared" si="130"/>
        <v>5.8134262124283104E-5</v>
      </c>
      <c r="BP965">
        <f t="shared" si="128"/>
        <v>3.9225649557914322</v>
      </c>
    </row>
    <row r="966" spans="1:68" x14ac:dyDescent="0.15">
      <c r="A966" s="5">
        <v>44972</v>
      </c>
      <c r="B966" s="1"/>
      <c r="C966">
        <v>110.7</v>
      </c>
      <c r="D966">
        <v>95.74</v>
      </c>
      <c r="E966">
        <v>76.486810000000006</v>
      </c>
      <c r="G966" s="3">
        <v>3.6286344881646298E-3</v>
      </c>
      <c r="I966" s="15">
        <f t="shared" si="131"/>
        <v>-5.3908355795147739E-3</v>
      </c>
      <c r="J966" s="15">
        <f t="shared" si="132"/>
        <v>5.2498950020999583E-3</v>
      </c>
      <c r="K966" s="15">
        <f t="shared" si="133"/>
        <v>3.4816979949078299E-3</v>
      </c>
      <c r="L966" s="32">
        <f t="shared" si="120"/>
        <v>304128.91577479866</v>
      </c>
      <c r="M966" s="15"/>
      <c r="N966" s="32">
        <f t="shared" si="111"/>
        <v>-3321000</v>
      </c>
      <c r="O966" s="34">
        <f t="shared" si="106"/>
        <v>-0.35137522652141101</v>
      </c>
      <c r="P966" s="34">
        <f t="shared" si="107"/>
        <v>0.70907753480915159</v>
      </c>
      <c r="Q966" s="34">
        <f t="shared" si="108"/>
        <v>0.64740909821499859</v>
      </c>
      <c r="R966" s="35" cm="1">
        <f t="array" ref="R966">SQRT(MMULT(O966:Q966, MMULT($AU$32:$AW$34,TRANSPOSE(O966:Q966))))</f>
        <v>1.3810329981284532E-2</v>
      </c>
      <c r="S966" s="36" cm="1">
        <f t="array" ref="S966:U966">TRANSPOSE(MMULT($AU$32:$AW$34, TRANSPOSE(O966:Q966))/MMULT(O966:Q966, MMULT($AU$32:$AW$34,TRANSPOSE(O966:Q966))))</f>
        <v>0.13705055615814016</v>
      </c>
      <c r="T966" s="36">
        <v>1.0260834277337261</v>
      </c>
      <c r="U966" s="36">
        <v>0.49517911263973985</v>
      </c>
      <c r="V966" s="35">
        <f t="shared" si="112"/>
        <v>4.4100222328635839E-3</v>
      </c>
      <c r="W966" s="35">
        <f t="shared" si="113"/>
        <v>3.3017383190019546E-2</v>
      </c>
      <c r="X966" s="35">
        <f t="shared" si="114"/>
        <v>1.5933907582769115E-2</v>
      </c>
      <c r="Y966" s="32">
        <f t="shared" si="115"/>
        <v>-14645.683835339962</v>
      </c>
      <c r="Z966" s="32">
        <f t="shared" si="116"/>
        <v>221275.89866287299</v>
      </c>
      <c r="AA966" s="32">
        <f t="shared" si="117"/>
        <v>97498.70094726565</v>
      </c>
      <c r="AB966" s="40">
        <f t="shared" si="118"/>
        <v>-4.815617021495186E-2</v>
      </c>
      <c r="AC966" s="40">
        <f t="shared" si="121"/>
        <v>0.7275727074459547</v>
      </c>
      <c r="AD966" s="40">
        <f t="shared" si="119"/>
        <v>0.32058346276899718</v>
      </c>
      <c r="AE966" s="40"/>
      <c r="AF966" s="40"/>
      <c r="AG966" s="40"/>
      <c r="AH966" s="40"/>
      <c r="AI966" s="40"/>
      <c r="AJ966" s="40"/>
      <c r="AK966" s="33">
        <f t="shared" si="109"/>
        <v>6701800</v>
      </c>
      <c r="AL966" s="33">
        <f t="shared" si="110"/>
        <v>6118944.8000000007</v>
      </c>
      <c r="AM966" s="34"/>
      <c r="AN966" s="33"/>
      <c r="AO966" s="15" cm="1">
        <f t="array" ref="AO966">SUMPRODUCT(I966:K966, TRANSPOSE($AY$5:$AY$7))</f>
        <v>8.1423468467824549E-3</v>
      </c>
      <c r="AP966" s="22">
        <f t="shared" si="125"/>
        <v>9451434.675340252</v>
      </c>
      <c r="AQ966" s="22">
        <f t="shared" si="126"/>
        <v>76335.310749547556</v>
      </c>
      <c r="AR966">
        <f t="shared" si="123"/>
        <v>0</v>
      </c>
      <c r="AS966">
        <f t="shared" si="124"/>
        <v>0</v>
      </c>
      <c r="BJ966">
        <f t="shared" si="127"/>
        <v>1.3166988248697784E-5</v>
      </c>
      <c r="BK966">
        <f t="shared" si="129"/>
        <v>5.4159975105665383E-5</v>
      </c>
      <c r="BO966">
        <f t="shared" si="130"/>
        <v>5.2116590255922061E-5</v>
      </c>
      <c r="BP966">
        <f t="shared" si="128"/>
        <v>3.885752655073456</v>
      </c>
    </row>
    <row r="967" spans="1:68" x14ac:dyDescent="0.15">
      <c r="A967" s="5">
        <v>44973</v>
      </c>
      <c r="B967" s="1"/>
      <c r="C967">
        <v>107.9</v>
      </c>
      <c r="D967">
        <v>96.16</v>
      </c>
      <c r="E967">
        <v>75.216774000000001</v>
      </c>
      <c r="G967" s="3">
        <v>-6.89752743338956E-3</v>
      </c>
      <c r="I967" s="15">
        <f t="shared" si="131"/>
        <v>-2.5293586269195999E-2</v>
      </c>
      <c r="J967" s="15">
        <f t="shared" si="132"/>
        <v>4.3868811364111311E-3</v>
      </c>
      <c r="K967" s="15">
        <f t="shared" si="133"/>
        <v>-1.660464072171404E-2</v>
      </c>
      <c r="L967" s="32">
        <f t="shared" si="120"/>
        <v>303862.16227416229</v>
      </c>
      <c r="M967" s="15"/>
      <c r="N967" s="32">
        <f t="shared" si="111"/>
        <v>-3237000</v>
      </c>
      <c r="O967" s="34">
        <f t="shared" si="106"/>
        <v>-0.3422756531290147</v>
      </c>
      <c r="P967" s="34">
        <f t="shared" si="107"/>
        <v>0.71174725867841326</v>
      </c>
      <c r="Q967" s="34">
        <f t="shared" si="108"/>
        <v>0.63626494771967856</v>
      </c>
      <c r="R967" s="35" cm="1">
        <f t="array" ref="R967">SQRT(MMULT(O967:Q967, MMULT($AU$32:$AW$34,TRANSPOSE(O967:Q967))))</f>
        <v>1.3789674386364682E-2</v>
      </c>
      <c r="S967" s="36" cm="1">
        <f t="array" ref="S967:U967">TRANSPOSE(MMULT($AU$32:$AW$34, TRANSPOSE(O967:Q967))/MMULT(O967:Q967, MMULT($AU$32:$AW$34,TRANSPOSE(O967:Q967))))</f>
        <v>0.14053188347992163</v>
      </c>
      <c r="T967" s="36">
        <v>1.0317880434441815</v>
      </c>
      <c r="U967" s="36">
        <v>0.49307813021817054</v>
      </c>
      <c r="V967" s="35">
        <f t="shared" si="112"/>
        <v>4.5152811698312405E-3</v>
      </c>
      <c r="W967" s="35">
        <f t="shared" si="113"/>
        <v>3.3151289290776167E-2</v>
      </c>
      <c r="X967" s="35">
        <f t="shared" si="114"/>
        <v>1.5842571390198401E-2</v>
      </c>
      <c r="Y967" s="32">
        <f t="shared" si="115"/>
        <v>-14615.965146743725</v>
      </c>
      <c r="Z967" s="32">
        <f t="shared" si="116"/>
        <v>223147.95847407254</v>
      </c>
      <c r="AA967" s="32">
        <f t="shared" si="117"/>
        <v>95330.16894683351</v>
      </c>
      <c r="AB967" s="40">
        <f t="shared" si="118"/>
        <v>-4.8100642203540774E-2</v>
      </c>
      <c r="AC967" s="40">
        <f t="shared" si="121"/>
        <v>0.73437231145855975</v>
      </c>
      <c r="AD967" s="40">
        <f t="shared" si="119"/>
        <v>0.31372833074498113</v>
      </c>
      <c r="AE967" s="40"/>
      <c r="AF967" s="40"/>
      <c r="AG967" s="40"/>
      <c r="AH967" s="40"/>
      <c r="AI967" s="40"/>
      <c r="AJ967" s="40"/>
      <c r="AK967" s="33">
        <f t="shared" si="109"/>
        <v>6731200</v>
      </c>
      <c r="AL967" s="33">
        <f t="shared" si="110"/>
        <v>6017341.9199999999</v>
      </c>
      <c r="AM967" s="34"/>
      <c r="AN967" s="33"/>
      <c r="AO967" s="15" cm="1">
        <f t="array" ref="AO967">SUMPRODUCT(I967:K967, TRANSPOSE($AY$5:$AY$7))</f>
        <v>6.1948252988608225E-4</v>
      </c>
      <c r="AP967" s="22">
        <f t="shared" si="125"/>
        <v>9457289.6740039829</v>
      </c>
      <c r="AQ967" s="22">
        <f t="shared" si="126"/>
        <v>5854.9986637309194</v>
      </c>
      <c r="AR967">
        <f t="shared" si="123"/>
        <v>0</v>
      </c>
      <c r="AS967">
        <f t="shared" si="124"/>
        <v>0</v>
      </c>
      <c r="BJ967">
        <f t="shared" si="127"/>
        <v>4.757588469436157E-5</v>
      </c>
      <c r="BK967">
        <f t="shared" si="129"/>
        <v>5.1700395894247319E-5</v>
      </c>
      <c r="BO967">
        <f t="shared" si="130"/>
        <v>4.869421965634596E-5</v>
      </c>
      <c r="BP967">
        <f t="shared" si="128"/>
        <v>3.5575198221384494</v>
      </c>
    </row>
    <row r="968" spans="1:68" x14ac:dyDescent="0.15">
      <c r="A968" s="5">
        <v>44974</v>
      </c>
      <c r="B968" s="1"/>
      <c r="C968">
        <v>109.28</v>
      </c>
      <c r="D968">
        <v>96.14</v>
      </c>
      <c r="E968">
        <v>76.098219999999998</v>
      </c>
      <c r="G968" s="3">
        <v>5.4823263817402801E-3</v>
      </c>
      <c r="I968" s="15">
        <f t="shared" si="131"/>
        <v>1.2789620018535638E-2</v>
      </c>
      <c r="J968" s="15">
        <f t="shared" si="132"/>
        <v>-2.0798668885187209E-4</v>
      </c>
      <c r="K968" s="15">
        <f t="shared" si="133"/>
        <v>1.1718742417748425E-2</v>
      </c>
      <c r="L968" s="32">
        <f t="shared" si="120"/>
        <v>304748.85784772749</v>
      </c>
      <c r="M968" s="15"/>
      <c r="N968" s="32">
        <f t="shared" si="111"/>
        <v>-3278400</v>
      </c>
      <c r="O968" s="34">
        <f t="shared" si="106"/>
        <v>-0.34545903418662333</v>
      </c>
      <c r="P968" s="34">
        <f t="shared" si="107"/>
        <v>0.70914781853011755</v>
      </c>
      <c r="Q968" s="34">
        <f t="shared" si="108"/>
        <v>0.64150360137923812</v>
      </c>
      <c r="R968" s="35" cm="1">
        <f t="array" ref="R968">SQRT(MMULT(O968:Q968, MMULT($AU$32:$AW$34,TRANSPOSE(O968:Q968))))</f>
        <v>1.3782270805913972E-2</v>
      </c>
      <c r="S968" s="36" cm="1">
        <f t="array" ref="S968:U968">TRANSPOSE(MMULT($AU$32:$AW$34, TRANSPOSE(O968:Q968))/MMULT(O968:Q968, MMULT($AU$32:$AW$34,TRANSPOSE(O968:Q968))))</f>
        <v>0.13967215499734884</v>
      </c>
      <c r="T968" s="36">
        <v>1.0301305839735948</v>
      </c>
      <c r="U968" s="36">
        <v>0.4952990921001571</v>
      </c>
      <c r="V968" s="35">
        <f t="shared" si="112"/>
        <v>4.4852487516303923E-3</v>
      </c>
      <c r="W968" s="35">
        <f t="shared" si="113"/>
        <v>3.3080265109903646E-2</v>
      </c>
      <c r="X968" s="35">
        <f t="shared" si="114"/>
        <v>1.5905386686187122E-2</v>
      </c>
      <c r="Y968" s="32">
        <f t="shared" si="115"/>
        <v>-14704.439507345078</v>
      </c>
      <c r="Z968" s="32">
        <f t="shared" si="116"/>
        <v>222623.56813662956</v>
      </c>
      <c r="AA968" s="32">
        <f t="shared" si="117"/>
        <v>96829.72921844307</v>
      </c>
      <c r="AB968" s="40">
        <f t="shared" si="118"/>
        <v>-4.8251007768148488E-2</v>
      </c>
      <c r="AC968" s="40">
        <f t="shared" si="121"/>
        <v>0.73051485642603098</v>
      </c>
      <c r="AD968" s="40">
        <f t="shared" si="119"/>
        <v>0.31773615134211775</v>
      </c>
      <c r="AE968" s="40"/>
      <c r="AF968" s="40"/>
      <c r="AG968" s="40"/>
      <c r="AH968" s="40"/>
      <c r="AI968" s="40"/>
      <c r="AJ968" s="40"/>
      <c r="AK968" s="33">
        <f t="shared" si="109"/>
        <v>6729800</v>
      </c>
      <c r="AL968" s="33">
        <f t="shared" si="110"/>
        <v>6087857.5999999996</v>
      </c>
      <c r="AM968" s="34"/>
      <c r="AN968" s="33"/>
      <c r="AO968" s="15" cm="1">
        <f t="array" ref="AO968">SUMPRODUCT(I968:K968, TRANSPOSE($AY$5:$AY$7))</f>
        <v>3.4568338625717383E-3</v>
      </c>
      <c r="AP968" s="22">
        <f t="shared" si="125"/>
        <v>9489981.9531972297</v>
      </c>
      <c r="AQ968" s="22">
        <f t="shared" si="126"/>
        <v>32692.279193246737</v>
      </c>
      <c r="AR968">
        <f t="shared" si="123"/>
        <v>0</v>
      </c>
      <c r="AS968">
        <f t="shared" si="124"/>
        <v>0</v>
      </c>
      <c r="BJ968">
        <f t="shared" si="127"/>
        <v>3.005590255592547E-5</v>
      </c>
      <c r="BK968">
        <f t="shared" si="129"/>
        <v>5.1452925222254173E-5</v>
      </c>
      <c r="BO968">
        <f t="shared" si="130"/>
        <v>5.0910306175545799E-5</v>
      </c>
      <c r="BP968">
        <f t="shared" si="128"/>
        <v>3.728599201146769</v>
      </c>
    </row>
    <row r="969" spans="1:68" x14ac:dyDescent="0.15">
      <c r="A969" s="5">
        <v>44978</v>
      </c>
      <c r="B969" s="1"/>
      <c r="C969">
        <v>109.62</v>
      </c>
      <c r="D969">
        <v>96.5</v>
      </c>
      <c r="E969">
        <v>76.515249999999995</v>
      </c>
      <c r="G969" s="3">
        <v>2.2983824529698698E-3</v>
      </c>
      <c r="I969" s="15">
        <f t="shared" si="131"/>
        <v>3.1112737920937356E-3</v>
      </c>
      <c r="J969" s="15">
        <f t="shared" si="132"/>
        <v>3.744539213646759E-3</v>
      </c>
      <c r="K969" s="15">
        <f t="shared" si="133"/>
        <v>5.4801544635340602E-3</v>
      </c>
      <c r="L969" s="32">
        <f t="shared" si="120"/>
        <v>306067.47415401845</v>
      </c>
      <c r="M969" s="15"/>
      <c r="N969" s="32">
        <f t="shared" si="111"/>
        <v>-3288600</v>
      </c>
      <c r="O969" s="34">
        <f t="shared" si="106"/>
        <v>-0.34471604881189266</v>
      </c>
      <c r="P969" s="34">
        <f t="shared" si="107"/>
        <v>0.70806936377921759</v>
      </c>
      <c r="Q969" s="34">
        <f t="shared" si="108"/>
        <v>0.64163558119209796</v>
      </c>
      <c r="R969" s="35" cm="1">
        <f t="array" ref="R969">SQRT(MMULT(O969:Q969, MMULT($AU$32:$AW$34,TRANSPOSE(O969:Q969))))</f>
        <v>1.376929514603698E-2</v>
      </c>
      <c r="S969" s="36" cm="1">
        <f t="array" ref="S969:U969">TRANSPOSE(MMULT($AU$32:$AW$34, TRANSPOSE(O969:Q969))/MMULT(O969:Q969, MMULT($AU$32:$AW$34,TRANSPOSE(O969:Q969))))</f>
        <v>0.14023692859550713</v>
      </c>
      <c r="T969" s="36">
        <v>1.0308484309574506</v>
      </c>
      <c r="U969" s="36">
        <v>0.49627816255217605</v>
      </c>
      <c r="V969" s="35">
        <f t="shared" si="112"/>
        <v>4.4991453282782349E-3</v>
      </c>
      <c r="W969" s="35">
        <f t="shared" si="113"/>
        <v>3.3072151171269673E-2</v>
      </c>
      <c r="X969" s="35">
        <f t="shared" si="114"/>
        <v>1.5921823152683222E-2</v>
      </c>
      <c r="Y969" s="32">
        <f t="shared" si="115"/>
        <v>-14795.889326575803</v>
      </c>
      <c r="Z969" s="32">
        <f t="shared" si="116"/>
        <v>223402.38116192663</v>
      </c>
      <c r="AA969" s="32">
        <f t="shared" si="117"/>
        <v>97460.982318667593</v>
      </c>
      <c r="AB969" s="40">
        <f t="shared" si="118"/>
        <v>-4.8341919922958741E-2</v>
      </c>
      <c r="AC969" s="40">
        <f t="shared" si="121"/>
        <v>0.72991219266084673</v>
      </c>
      <c r="AD969" s="40">
        <f t="shared" si="119"/>
        <v>0.31842972726211194</v>
      </c>
      <c r="AE969" s="40"/>
      <c r="AF969" s="40"/>
      <c r="AG969" s="40"/>
      <c r="AH969" s="40"/>
      <c r="AI969" s="40"/>
      <c r="AJ969" s="40"/>
      <c r="AK969" s="33">
        <f t="shared" si="109"/>
        <v>6755000</v>
      </c>
      <c r="AL969" s="33">
        <f t="shared" si="110"/>
        <v>6121220</v>
      </c>
      <c r="AM969" s="34"/>
      <c r="AN969" s="33"/>
      <c r="AO969" s="15" cm="1">
        <f t="array" ref="AO969">SUMPRODUCT(I969:K969, TRANSPOSE($AY$5:$AY$7))</f>
        <v>5.2733344452710294E-3</v>
      </c>
      <c r="AP969" s="22">
        <f t="shared" si="125"/>
        <v>9540025.8019160256</v>
      </c>
      <c r="AQ969" s="22">
        <f t="shared" si="126"/>
        <v>50043.848718795925</v>
      </c>
      <c r="AR969">
        <f t="shared" si="123"/>
        <v>0</v>
      </c>
      <c r="AS969">
        <f t="shared" si="124"/>
        <v>0</v>
      </c>
      <c r="BJ969">
        <f t="shared" si="127"/>
        <v>5.2825619001197962E-6</v>
      </c>
      <c r="BK969">
        <f t="shared" si="129"/>
        <v>5.0169103862274447E-5</v>
      </c>
      <c r="BO969">
        <f t="shared" si="130"/>
        <v>5.0153358338332598E-5</v>
      </c>
      <c r="BP969">
        <f t="shared" si="128"/>
        <v>3.978609917303805</v>
      </c>
    </row>
    <row r="970" spans="1:68" x14ac:dyDescent="0.15">
      <c r="A970" s="5">
        <v>44979</v>
      </c>
      <c r="B970" s="1"/>
      <c r="C970">
        <v>110.36</v>
      </c>
      <c r="D970">
        <v>97.08</v>
      </c>
      <c r="E970">
        <v>76.884889999999999</v>
      </c>
      <c r="G970" s="3">
        <v>1.6071045867263002E-3</v>
      </c>
      <c r="I970" s="15">
        <f t="shared" si="131"/>
        <v>6.7505929574894624E-3</v>
      </c>
      <c r="J970" s="15">
        <f t="shared" si="132"/>
        <v>6.0103626943005008E-3</v>
      </c>
      <c r="K970" s="15">
        <f t="shared" si="133"/>
        <v>4.8309323958296421E-3</v>
      </c>
      <c r="L970" s="32">
        <f t="shared" si="120"/>
        <v>307781.20757158205</v>
      </c>
      <c r="M970" s="15"/>
      <c r="N970" s="32">
        <f t="shared" si="111"/>
        <v>-3310800</v>
      </c>
      <c r="O970" s="34">
        <f t="shared" si="106"/>
        <v>-0.3453682969918116</v>
      </c>
      <c r="P970" s="34">
        <f t="shared" si="107"/>
        <v>0.70888751934201844</v>
      </c>
      <c r="Q970" s="34">
        <f t="shared" si="108"/>
        <v>0.64162386187514231</v>
      </c>
      <c r="R970" s="35" cm="1">
        <f t="array" ref="R970">SQRT(MMULT(O970:Q970, MMULT($AU$32:$AW$34,TRANSPOSE(O970:Q970))))</f>
        <v>1.3779571124632631E-2</v>
      </c>
      <c r="S970" s="36" cm="1">
        <f t="array" ref="S970:U970">TRANSPOSE(MMULT($AU$32:$AW$34, TRANSPOSE(O970:Q970))/MMULT(O970:Q970, MMULT($AU$32:$AW$34,TRANSPOSE(O970:Q970))))</f>
        <v>0.13976885519292273</v>
      </c>
      <c r="T970" s="36">
        <v>1.0302425493061484</v>
      </c>
      <c r="U970" s="36">
        <v>0.4955327650425092</v>
      </c>
      <c r="V970" s="35">
        <f t="shared" si="112"/>
        <v>4.4874748730547032E-3</v>
      </c>
      <c r="W970" s="35">
        <f t="shared" si="113"/>
        <v>3.3077380127223506E-2</v>
      </c>
      <c r="X970" s="35">
        <f t="shared" si="114"/>
        <v>1.5909773524539664E-2</v>
      </c>
      <c r="Y970" s="32">
        <f t="shared" si="115"/>
        <v>-14857.131809709512</v>
      </c>
      <c r="Z970" s="32">
        <f t="shared" si="116"/>
        <v>224780.64439256006</v>
      </c>
      <c r="AA970" s="32">
        <f t="shared" si="117"/>
        <v>97857.694988731557</v>
      </c>
      <c r="AB970" s="40">
        <f t="shared" si="118"/>
        <v>-4.8271731490474847E-2</v>
      </c>
      <c r="AC970" s="40">
        <f t="shared" si="121"/>
        <v>0.73032608509823271</v>
      </c>
      <c r="AD970" s="40">
        <f t="shared" si="119"/>
        <v>0.31794564639224232</v>
      </c>
      <c r="AE970" s="40"/>
      <c r="AF970" s="40"/>
      <c r="AG970" s="40"/>
      <c r="AH970" s="40"/>
      <c r="AI970" s="40"/>
      <c r="AJ970" s="40"/>
      <c r="AK970" s="33">
        <f t="shared" si="109"/>
        <v>6795600</v>
      </c>
      <c r="AL970" s="33">
        <f t="shared" si="110"/>
        <v>6150791.2000000002</v>
      </c>
      <c r="AM970" s="34"/>
      <c r="AN970" s="33"/>
      <c r="AO970" s="15" cm="1">
        <f t="array" ref="AO970">SUMPRODUCT(I970:K970, TRANSPOSE($AY$5:$AY$7))</f>
        <v>4.8492857222617713E-3</v>
      </c>
      <c r="AP970" s="22">
        <f t="shared" si="125"/>
        <v>9586288.1128272656</v>
      </c>
      <c r="AQ970" s="22">
        <f t="shared" si="126"/>
        <v>46262.310911240056</v>
      </c>
      <c r="AR970">
        <f t="shared" si="123"/>
        <v>0</v>
      </c>
      <c r="AS970">
        <f t="shared" si="124"/>
        <v>0</v>
      </c>
      <c r="BJ970">
        <f t="shared" si="127"/>
        <v>2.582785152676712E-6</v>
      </c>
      <c r="BK970">
        <f t="shared" si="129"/>
        <v>4.7475911344545167E-5</v>
      </c>
      <c r="BO970">
        <f t="shared" si="130"/>
        <v>4.6031400634085152E-5</v>
      </c>
      <c r="BP970">
        <f t="shared" si="128"/>
        <v>4.046100251774992</v>
      </c>
    </row>
    <row r="971" spans="1:68" x14ac:dyDescent="0.15">
      <c r="A971" s="5">
        <v>44980</v>
      </c>
      <c r="B971" s="1"/>
      <c r="C971">
        <v>108.66</v>
      </c>
      <c r="D971">
        <v>96.96</v>
      </c>
      <c r="E971">
        <v>76.306730000000002</v>
      </c>
      <c r="G971" s="3">
        <v>-4.6497893683888902E-3</v>
      </c>
      <c r="I971" s="15">
        <f t="shared" si="131"/>
        <v>-1.5404131931859395E-2</v>
      </c>
      <c r="J971" s="15">
        <f t="shared" si="132"/>
        <v>-1.2360939431397256E-3</v>
      </c>
      <c r="K971" s="15">
        <f t="shared" si="133"/>
        <v>-7.5198130607977316E-3</v>
      </c>
      <c r="L971" s="32">
        <f t="shared" si="120"/>
        <v>306998.21110685891</v>
      </c>
      <c r="M971" s="15"/>
      <c r="N971" s="32">
        <f t="shared" si="111"/>
        <v>-3259800</v>
      </c>
      <c r="O971" s="34">
        <f t="shared" si="106"/>
        <v>-0.34014366655946093</v>
      </c>
      <c r="P971" s="34">
        <f t="shared" si="107"/>
        <v>0.7082100416198458</v>
      </c>
      <c r="Q971" s="34">
        <f t="shared" si="108"/>
        <v>0.63697775140469515</v>
      </c>
      <c r="R971" s="35" cm="1">
        <f t="array" ref="R971">SQRT(MMULT(O971:Q971, MMULT($AU$32:$AW$34,TRANSPOSE(O971:Q971))))</f>
        <v>1.3748374614346442E-2</v>
      </c>
      <c r="S971" s="36" cm="1">
        <f t="array" ref="S971:U971">TRANSPOSE(MMULT($AU$32:$AW$34, TRANSPOSE(O971:Q971))/MMULT(O971:Q971, MMULT($AU$32:$AW$34,TRANSPOSE(O971:Q971))))</f>
        <v>0.14225490147299991</v>
      </c>
      <c r="T971" s="36">
        <v>1.0339728299486519</v>
      </c>
      <c r="U971" s="36">
        <v>0.49627661585391192</v>
      </c>
      <c r="V971" s="35">
        <f t="shared" si="112"/>
        <v>4.5569526654941489E-3</v>
      </c>
      <c r="W971" s="35">
        <f t="shared" si="113"/>
        <v>3.3121988730752693E-2</v>
      </c>
      <c r="X971" s="35">
        <f t="shared" si="114"/>
        <v>1.5897582607142264E-2</v>
      </c>
      <c r="Y971" s="32">
        <f t="shared" si="115"/>
        <v>-14854.754298977827</v>
      </c>
      <c r="Z971" s="32">
        <f t="shared" si="116"/>
        <v>224805.56191336468</v>
      </c>
      <c r="AA971" s="32">
        <f t="shared" si="117"/>
        <v>97047.403492472076</v>
      </c>
      <c r="AB971" s="40">
        <f t="shared" si="118"/>
        <v>-4.8387103773081051E-2</v>
      </c>
      <c r="AC971" s="40">
        <f t="shared" si="121"/>
        <v>0.73226994093172459</v>
      </c>
      <c r="AD971" s="40">
        <f t="shared" si="119"/>
        <v>0.31611716284135655</v>
      </c>
      <c r="AE971" s="40"/>
      <c r="AF971" s="40"/>
      <c r="AG971" s="40"/>
      <c r="AH971" s="40"/>
      <c r="AI971" s="40"/>
      <c r="AJ971" s="40"/>
      <c r="AK971" s="33">
        <f t="shared" si="109"/>
        <v>6787200</v>
      </c>
      <c r="AL971" s="33">
        <f t="shared" si="110"/>
        <v>6104538.4000000004</v>
      </c>
      <c r="AM971" s="34"/>
      <c r="AN971" s="33"/>
      <c r="AO971" s="15" cm="1">
        <f t="array" ref="AO971">SUMPRODUCT(I971:K971, TRANSPOSE($AY$5:$AY$7))</f>
        <v>-2.806707546798657E-4</v>
      </c>
      <c r="AP971" s="22">
        <f t="shared" si="125"/>
        <v>9583597.5221080594</v>
      </c>
      <c r="AQ971" s="22">
        <f t="shared" si="126"/>
        <v>-2690.5907192062587</v>
      </c>
      <c r="AR971">
        <f t="shared" si="123"/>
        <v>0</v>
      </c>
      <c r="AS971">
        <f t="shared" si="124"/>
        <v>0</v>
      </c>
      <c r="BJ971">
        <f t="shared" si="127"/>
        <v>2.1620541170382354E-5</v>
      </c>
      <c r="BK971">
        <f t="shared" si="129"/>
        <v>4.4782323773033055E-5</v>
      </c>
      <c r="BO971">
        <f t="shared" si="130"/>
        <v>4.2413721603716032E-5</v>
      </c>
      <c r="BP971">
        <f t="shared" si="128"/>
        <v>3.8602040514586333</v>
      </c>
    </row>
    <row r="972" spans="1:68" x14ac:dyDescent="0.15">
      <c r="A972" s="5">
        <v>44981</v>
      </c>
      <c r="B972" s="1"/>
      <c r="C972">
        <v>108.32</v>
      </c>
      <c r="D972">
        <v>97.1</v>
      </c>
      <c r="E972">
        <v>76.477339999999998</v>
      </c>
      <c r="G972" s="3">
        <v>-5.8659809025908205E-3</v>
      </c>
      <c r="I972" s="15">
        <f t="shared" si="131"/>
        <v>-3.1290263206331993E-3</v>
      </c>
      <c r="J972" s="15">
        <f t="shared" si="132"/>
        <v>1.4438943894389499E-3</v>
      </c>
      <c r="K972" s="15">
        <f t="shared" si="133"/>
        <v>2.2358447282434506E-3</v>
      </c>
      <c r="L972" s="32">
        <f t="shared" ref="L972:L1035" si="134">2.33*R972*AP972</f>
        <v>307586.59373448655</v>
      </c>
      <c r="M972" s="15"/>
      <c r="N972" s="32">
        <f t="shared" ref="N972:N1035" si="135">C972*$AV$5</f>
        <v>-3249600</v>
      </c>
      <c r="O972" s="34">
        <f t="shared" ref="O972:O1035" si="136">N972/AP972</f>
        <v>-0.33778542310638832</v>
      </c>
      <c r="P972" s="34">
        <f t="shared" ref="P972:P1035" si="137">AK972/AP972</f>
        <v>0.70652619425594576</v>
      </c>
      <c r="Q972" s="34">
        <f t="shared" ref="Q972:Q1035" si="138">AL972/AP972</f>
        <v>0.63596579640450801</v>
      </c>
      <c r="R972" s="35" cm="1">
        <f t="array" ref="R972">SQRT(MMULT(O972:Q972, MMULT($AU$32:$AW$34,TRANSPOSE(O972:Q972))))</f>
        <v>1.3722160021075729E-2</v>
      </c>
      <c r="S972" s="36" cm="1">
        <f t="array" ref="S972:U972">TRANSPOSE(MMULT($AU$32:$AW$34, TRANSPOSE(O972:Q972))/MMULT(O972:Q972, MMULT($AU$32:$AW$34,TRANSPOSE(O972:Q972))))</f>
        <v>0.14368365931517074</v>
      </c>
      <c r="T972" s="36">
        <v>1.0359495183868597</v>
      </c>
      <c r="U972" s="36">
        <v>0.49783931270844828</v>
      </c>
      <c r="V972" s="35">
        <f t="shared" si="112"/>
        <v>4.5939448857000471E-3</v>
      </c>
      <c r="W972" s="35">
        <f t="shared" si="113"/>
        <v>3.3122033601591709E-2</v>
      </c>
      <c r="X972" s="35">
        <f t="shared" si="114"/>
        <v>1.5917233563078708E-2</v>
      </c>
      <c r="Y972" s="32">
        <f t="shared" si="115"/>
        <v>-14928.483300570873</v>
      </c>
      <c r="Z972" s="32">
        <f t="shared" ref="Z972:Z1035" si="139">W972*AK972</f>
        <v>225130.46239001886</v>
      </c>
      <c r="AA972" s="32">
        <f t="shared" ref="AA972:AA1035" si="140">X972*AL972</f>
        <v>97384.614645038542</v>
      </c>
      <c r="AB972" s="40">
        <f t="shared" si="118"/>
        <v>-4.8534245655249095E-2</v>
      </c>
      <c r="AC972" s="40">
        <f t="shared" si="121"/>
        <v>0.73192547066714786</v>
      </c>
      <c r="AD972" s="40">
        <f t="shared" si="119"/>
        <v>0.31660877498810119</v>
      </c>
      <c r="AE972" s="40"/>
      <c r="AF972" s="40"/>
      <c r="AG972" s="40"/>
      <c r="AH972" s="40"/>
      <c r="AI972" s="40"/>
      <c r="AJ972" s="40"/>
      <c r="AK972" s="33">
        <f t="shared" ref="AK972:AK1035" si="141">D972*$AV$6</f>
        <v>6797000</v>
      </c>
      <c r="AL972" s="33">
        <f t="shared" ref="AL972:AL1035" si="142">E972*$AV$7</f>
        <v>6118187.2000000002</v>
      </c>
      <c r="AM972" s="34"/>
      <c r="AN972" s="33"/>
      <c r="AO972" s="15" cm="1">
        <f t="array" ref="AO972">SUMPRODUCT(I972:K972, TRANSPOSE($AY$5:$AY$7))</f>
        <v>3.8306122144409257E-3</v>
      </c>
      <c r="AP972" s="22">
        <f t="shared" si="125"/>
        <v>9620308.5678345319</v>
      </c>
      <c r="AQ972" s="22">
        <f t="shared" si="126"/>
        <v>36711.045726472512</v>
      </c>
      <c r="AR972">
        <f t="shared" si="123"/>
        <v>0</v>
      </c>
      <c r="AS972">
        <f t="shared" si="124"/>
        <v>0</v>
      </c>
      <c r="BJ972">
        <f t="shared" si="127"/>
        <v>3.4409731949560216E-5</v>
      </c>
      <c r="BK972">
        <f t="shared" si="129"/>
        <v>4.3392616816874013E-5</v>
      </c>
      <c r="BO972">
        <f t="shared" si="130"/>
        <v>4.2287451604673332E-5</v>
      </c>
      <c r="BP972">
        <f t="shared" si="128"/>
        <v>3.7097164361999218</v>
      </c>
    </row>
    <row r="973" spans="1:68" x14ac:dyDescent="0.15">
      <c r="A973" s="5">
        <v>44984</v>
      </c>
      <c r="B973" s="1"/>
      <c r="C973">
        <v>108.64</v>
      </c>
      <c r="D973">
        <v>97.54</v>
      </c>
      <c r="E973">
        <v>76.183520000000001</v>
      </c>
      <c r="G973" s="3">
        <v>3.4125959248996101E-3</v>
      </c>
      <c r="I973" s="15">
        <f t="shared" si="131"/>
        <v>2.9542097488922396E-3</v>
      </c>
      <c r="J973" s="15">
        <f t="shared" si="132"/>
        <v>4.5314109165809678E-3</v>
      </c>
      <c r="K973" s="15">
        <f t="shared" si="133"/>
        <v>-3.8419223262733332E-3</v>
      </c>
      <c r="L973" s="32">
        <f t="shared" si="134"/>
        <v>308190.10779176094</v>
      </c>
      <c r="M973" s="15"/>
      <c r="N973" s="32">
        <f t="shared" si="135"/>
        <v>-3259200</v>
      </c>
      <c r="O973" s="34">
        <f t="shared" si="136"/>
        <v>-0.3391284217557673</v>
      </c>
      <c r="P973" s="34">
        <f t="shared" si="137"/>
        <v>0.71045073578302276</v>
      </c>
      <c r="Q973" s="34">
        <f t="shared" si="138"/>
        <v>0.63416781790375387</v>
      </c>
      <c r="R973" s="35" cm="1">
        <f t="array" ref="R973">SQRT(MMULT(O973:Q973, MMULT($AU$32:$AW$34,TRANSPOSE(O973:Q973))))</f>
        <v>1.3763090030803485E-2</v>
      </c>
      <c r="S973" s="36" cm="1">
        <f t="array" ref="S973:U973">TRANSPOSE(MMULT($AU$32:$AW$34, TRANSPOSE(O973:Q973))/MMULT(O973:Q973, MMULT($AU$32:$AW$34,TRANSPOSE(O973:Q973))))</f>
        <v>0.14221810816733862</v>
      </c>
      <c r="T973" s="36">
        <v>1.034215625830891</v>
      </c>
      <c r="U973" s="36">
        <v>0.49430283497230293</v>
      </c>
      <c r="V973" s="35">
        <f t="shared" ref="V973:V1036" si="143">(L973/AP973)*S973</f>
        <v>4.5606502602520771E-3</v>
      </c>
      <c r="W973" s="35">
        <f t="shared" ref="W973:W1036" si="144">(L973/AP973)*T973</f>
        <v>3.3165226453108168E-2</v>
      </c>
      <c r="X973" s="35">
        <f t="shared" ref="X973:X1036" si="145">(L973/AP973)*U973</f>
        <v>1.5851303199078123E-2</v>
      </c>
      <c r="Y973" s="32">
        <f t="shared" ref="Y973:Y1036" si="146">(V973*N973)</f>
        <v>-14864.071328213569</v>
      </c>
      <c r="Z973" s="32">
        <f t="shared" si="139"/>
        <v>226445.53317653196</v>
      </c>
      <c r="AA973" s="32">
        <f t="shared" si="140"/>
        <v>96608.645943442578</v>
      </c>
      <c r="AB973" s="40">
        <f t="shared" ref="AB973:AB1036" si="147">Y973/L973</f>
        <v>-4.8230202567880541E-2</v>
      </c>
      <c r="AC973" s="40">
        <f t="shared" ref="AC973:AC1036" si="148">Z973/L973</f>
        <v>0.73475925232985584</v>
      </c>
      <c r="AD973" s="40">
        <f t="shared" ref="AD973:AD1036" si="149">AA973/L973</f>
        <v>0.31347095023802474</v>
      </c>
      <c r="AE973" s="40"/>
      <c r="AF973" s="40"/>
      <c r="AG973" s="40"/>
      <c r="AH973" s="40"/>
      <c r="AI973" s="40"/>
      <c r="AJ973" s="40"/>
      <c r="AK973" s="33">
        <f t="shared" si="141"/>
        <v>6827800</v>
      </c>
      <c r="AL973" s="33">
        <f t="shared" si="142"/>
        <v>6094681.6000000006</v>
      </c>
      <c r="AM973" s="34"/>
      <c r="AN973" s="33"/>
      <c r="AO973" s="15" cm="1">
        <f t="array" ref="AO973">SUMPRODUCT(I973:K973, TRANSPOSE($AY$5:$AY$7))</f>
        <v>-1.017637087501083E-3</v>
      </c>
      <c r="AP973" s="22">
        <f t="shared" si="125"/>
        <v>9610518.5850426983</v>
      </c>
      <c r="AQ973" s="22">
        <f t="shared" ref="AQ973" si="150">AP973 - AP972</f>
        <v>-9789.9827918335795</v>
      </c>
      <c r="AR973">
        <f t="shared" si="123"/>
        <v>0</v>
      </c>
      <c r="AS973">
        <f t="shared" si="124"/>
        <v>0</v>
      </c>
      <c r="BJ973">
        <f t="shared" si="127"/>
        <v>1.1645810946641425E-5</v>
      </c>
      <c r="BK973">
        <f t="shared" si="129"/>
        <v>4.2853643724835187E-5</v>
      </c>
      <c r="BO973">
        <f t="shared" si="130"/>
        <v>4.4009847057415019E-5</v>
      </c>
      <c r="BP973">
        <f t="shared" si="128"/>
        <v>3.9643008925598098</v>
      </c>
    </row>
    <row r="974" spans="1:68" x14ac:dyDescent="0.15">
      <c r="A974" s="5">
        <v>44985</v>
      </c>
      <c r="B974" s="1"/>
      <c r="C974">
        <v>106.08</v>
      </c>
      <c r="D974">
        <v>98.2</v>
      </c>
      <c r="E974">
        <v>75.140945000000002</v>
      </c>
      <c r="G974" s="3">
        <v>-1.08358436701818E-2</v>
      </c>
      <c r="I974" s="15">
        <f t="shared" si="131"/>
        <v>-2.3564064801178224E-2</v>
      </c>
      <c r="J974" s="15">
        <f t="shared" si="132"/>
        <v>6.7664547877793373E-3</v>
      </c>
      <c r="K974" s="15">
        <f t="shared" si="133"/>
        <v>-1.3685046319728982E-2</v>
      </c>
      <c r="L974" s="32">
        <f t="shared" si="134"/>
        <v>308761.18131385196</v>
      </c>
      <c r="M974" s="15"/>
      <c r="N974" s="32">
        <f t="shared" si="135"/>
        <v>-3182400</v>
      </c>
      <c r="O974" s="34">
        <f t="shared" si="136"/>
        <v>-0.32993182174101809</v>
      </c>
      <c r="P974" s="34">
        <f t="shared" si="137"/>
        <v>0.71265439374301098</v>
      </c>
      <c r="Q974" s="34">
        <f t="shared" si="138"/>
        <v>0.62321238992437522</v>
      </c>
      <c r="R974" s="35" cm="1">
        <f t="array" ref="R974">SQRT(MMULT(O974:Q974, MMULT($AU$32:$AW$34,TRANSPOSE(O974:Q974))))</f>
        <v>1.3738401745246383E-2</v>
      </c>
      <c r="S974" s="36" cm="1">
        <f t="array" ref="S974:U974">TRANSPOSE(MMULT($AU$32:$AW$34, TRANSPOSE(O974:Q974))/MMULT(O974:Q974, MMULT($AU$32:$AW$34,TRANSPOSE(O974:Q974))))</f>
        <v>0.14584533252574683</v>
      </c>
      <c r="T974" s="36">
        <v>1.0400364653152765</v>
      </c>
      <c r="U974" s="36">
        <v>0.4925005737289771</v>
      </c>
      <c r="V974" s="35">
        <f t="shared" si="143"/>
        <v>4.6685785262150789E-3</v>
      </c>
      <c r="W974" s="35">
        <f t="shared" si="144"/>
        <v>3.3292062381182944E-2</v>
      </c>
      <c r="X974" s="35">
        <f t="shared" si="145"/>
        <v>1.5765177828051546E-2</v>
      </c>
      <c r="Y974" s="32">
        <f t="shared" si="146"/>
        <v>-14857.284301826867</v>
      </c>
      <c r="Z974" s="32">
        <f t="shared" si="139"/>
        <v>228849.63680825155</v>
      </c>
      <c r="AA974" s="32">
        <f t="shared" si="140"/>
        <v>94768.828807427257</v>
      </c>
      <c r="AB974" s="40">
        <f t="shared" si="147"/>
        <v>-4.8119016252644205E-2</v>
      </c>
      <c r="AC974" s="40">
        <f t="shared" si="148"/>
        <v>0.74118655665988242</v>
      </c>
      <c r="AD974" s="40">
        <f t="shared" si="149"/>
        <v>0.30693245959276177</v>
      </c>
      <c r="AE974" s="40"/>
      <c r="AF974" s="40"/>
      <c r="AG974" s="40"/>
      <c r="AH974" s="40"/>
      <c r="AI974" s="40"/>
      <c r="AJ974" s="40"/>
      <c r="AK974" s="33">
        <f t="shared" si="141"/>
        <v>6874000</v>
      </c>
      <c r="AL974" s="33">
        <f t="shared" si="142"/>
        <v>6011275.6000000006</v>
      </c>
      <c r="AM974" s="34"/>
      <c r="AN974" s="33"/>
      <c r="AO974" s="15" cm="1">
        <f t="array" ref="AO974">SUMPRODUCT(I974:K974, TRANSPOSE($AY$5:$AY$7))</f>
        <v>3.653348447004625E-3</v>
      </c>
      <c r="AP974" s="22">
        <f t="shared" ref="AP974:AP1037" si="151">AP973 * (1 + AO974)</f>
        <v>9645629.1581902746</v>
      </c>
      <c r="AQ974" s="22">
        <f t="shared" ref="AQ974:AQ1037" si="152">AP974 - AP973</f>
        <v>35110.573147576302</v>
      </c>
      <c r="AR974">
        <f t="shared" ref="AR974:AR1037" si="153">IF(-AQ974 &gt; L974, 1, 0)</f>
        <v>0</v>
      </c>
      <c r="AS974">
        <f t="shared" ref="AS974:AS1037" si="154">IF(-AQ974 &gt; L973, 1, 0)</f>
        <v>0</v>
      </c>
      <c r="BJ974">
        <f t="shared" si="127"/>
        <v>1.1741550804461899E-4</v>
      </c>
      <c r="BK974">
        <f t="shared" si="129"/>
        <v>4.0981173758143561E-5</v>
      </c>
      <c r="BO974">
        <f t="shared" si="130"/>
        <v>4.2118815641336961E-5</v>
      </c>
      <c r="BP974">
        <f t="shared" si="128"/>
        <v>2.7247089475997739</v>
      </c>
    </row>
    <row r="975" spans="1:68" x14ac:dyDescent="0.15">
      <c r="A975" s="5">
        <v>44986</v>
      </c>
      <c r="B975" s="1"/>
      <c r="C975">
        <v>105.6</v>
      </c>
      <c r="D975">
        <v>97.5</v>
      </c>
      <c r="E975">
        <v>74.496449999999996</v>
      </c>
      <c r="G975" s="3">
        <v>-3.80836349605928E-3</v>
      </c>
      <c r="I975" s="15">
        <f t="shared" si="131"/>
        <v>-4.524886877828092E-3</v>
      </c>
      <c r="J975" s="15">
        <f t="shared" si="132"/>
        <v>-7.1283095723014547E-3</v>
      </c>
      <c r="K975" s="15">
        <f t="shared" si="133"/>
        <v>-8.5771479184884643E-3</v>
      </c>
      <c r="L975" s="32">
        <f t="shared" si="134"/>
        <v>306384.44307620416</v>
      </c>
      <c r="M975" s="15"/>
      <c r="N975" s="32">
        <f t="shared" si="135"/>
        <v>-3168000</v>
      </c>
      <c r="O975" s="34">
        <f t="shared" si="136"/>
        <v>-0.33149616654838238</v>
      </c>
      <c r="P975" s="34">
        <f t="shared" si="137"/>
        <v>0.71416077547118362</v>
      </c>
      <c r="Q975" s="34">
        <f t="shared" si="138"/>
        <v>0.62361837364806161</v>
      </c>
      <c r="R975" s="35" cm="1">
        <f t="array" ref="R975">SQRT(MMULT(O975:Q975, MMULT($AU$32:$AW$34,TRANSPOSE(O975:Q975))))</f>
        <v>1.3759546696826464E-2</v>
      </c>
      <c r="S975" s="36" cm="1">
        <f t="array" ref="S975:U975">TRANSPOSE(MMULT($AU$32:$AW$34, TRANSPOSE(O975:Q975))/MMULT(O975:Q975, MMULT($AU$32:$AW$34,TRANSPOSE(O975:Q975))))</f>
        <v>0.14481450586545674</v>
      </c>
      <c r="T975" s="36">
        <v>1.0385929420150934</v>
      </c>
      <c r="U975" s="36">
        <v>0.49113869255470416</v>
      </c>
      <c r="V975" s="35">
        <f t="shared" si="143"/>
        <v>4.642715957092293E-3</v>
      </c>
      <c r="W975" s="35">
        <f t="shared" si="144"/>
        <v>3.3297023637236967E-2</v>
      </c>
      <c r="X975" s="35">
        <f t="shared" si="145"/>
        <v>1.5745780655341664E-2</v>
      </c>
      <c r="Y975" s="32">
        <f t="shared" si="146"/>
        <v>-14708.124152068383</v>
      </c>
      <c r="Z975" s="32">
        <f t="shared" si="139"/>
        <v>227252.1863241423</v>
      </c>
      <c r="AA975" s="32">
        <f t="shared" si="140"/>
        <v>93840.380904130201</v>
      </c>
      <c r="AB975" s="40">
        <f t="shared" si="147"/>
        <v>-4.8005453554997142E-2</v>
      </c>
      <c r="AC975" s="40">
        <f t="shared" si="148"/>
        <v>0.74172234086839706</v>
      </c>
      <c r="AD975" s="40">
        <f t="shared" si="149"/>
        <v>0.30628311268659991</v>
      </c>
      <c r="AE975" s="40"/>
      <c r="AF975" s="40"/>
      <c r="AG975" s="40"/>
      <c r="AH975" s="40"/>
      <c r="AI975" s="40"/>
      <c r="AJ975" s="40"/>
      <c r="AK975" s="33">
        <f t="shared" si="141"/>
        <v>6825000</v>
      </c>
      <c r="AL975" s="33">
        <f t="shared" si="142"/>
        <v>5959716</v>
      </c>
      <c r="AM975" s="34"/>
      <c r="AN975" s="33"/>
      <c r="AO975" s="15" cm="1">
        <f t="array" ref="AO975">SUMPRODUCT(I975:K975, TRANSPOSE($AY$5:$AY$7))</f>
        <v>-9.2225771717691779E-3</v>
      </c>
      <c r="AP975" s="22">
        <f t="shared" si="151"/>
        <v>9556671.5989085976</v>
      </c>
      <c r="AQ975" s="22">
        <f t="shared" si="152"/>
        <v>-88957.559281677008</v>
      </c>
      <c r="AR975">
        <f t="shared" si="153"/>
        <v>0</v>
      </c>
      <c r="AS975">
        <f t="shared" si="154"/>
        <v>0</v>
      </c>
      <c r="BJ975">
        <f t="shared" si="127"/>
        <v>1.4503632518116861E-5</v>
      </c>
      <c r="BK975">
        <f t="shared" si="129"/>
        <v>4.5567233815332092E-5</v>
      </c>
      <c r="BO975">
        <f t="shared" si="130"/>
        <v>5.5699270883262371E-5</v>
      </c>
      <c r="BP975">
        <f t="shared" si="128"/>
        <v>3.8486373253394341</v>
      </c>
    </row>
    <row r="976" spans="1:68" x14ac:dyDescent="0.15">
      <c r="A976" s="5">
        <v>44987</v>
      </c>
      <c r="B976" s="1"/>
      <c r="C976">
        <v>107.74</v>
      </c>
      <c r="D976">
        <v>98.08</v>
      </c>
      <c r="E976">
        <v>75.643280000000004</v>
      </c>
      <c r="G976" s="3">
        <v>9.9034041150818305E-3</v>
      </c>
      <c r="I976" s="15">
        <f t="shared" si="131"/>
        <v>2.0265151515151521E-2</v>
      </c>
      <c r="J976" s="15">
        <f t="shared" si="132"/>
        <v>5.9487179487179315E-3</v>
      </c>
      <c r="K976" s="15">
        <f t="shared" si="133"/>
        <v>1.5394424835009031E-2</v>
      </c>
      <c r="L976" s="32">
        <f t="shared" si="134"/>
        <v>308885.09168317693</v>
      </c>
      <c r="M976" s="15"/>
      <c r="N976" s="32">
        <f t="shared" si="135"/>
        <v>-3232200</v>
      </c>
      <c r="O976" s="34">
        <f t="shared" si="136"/>
        <v>-0.33577455567500492</v>
      </c>
      <c r="P976" s="34">
        <f t="shared" si="137"/>
        <v>0.71322745790554842</v>
      </c>
      <c r="Q976" s="34">
        <f t="shared" si="138"/>
        <v>0.62865141344718733</v>
      </c>
      <c r="R976" s="35" cm="1">
        <f t="array" ref="R976">SQRT(MMULT(O976:Q976, MMULT($AU$32:$AW$34,TRANSPOSE(O976:Q976))))</f>
        <v>1.3771796089211733E-2</v>
      </c>
      <c r="S976" s="36" cm="1">
        <f t="array" ref="S976:U976">TRANSPOSE(MMULT($AU$32:$AW$34, TRANSPOSE(O976:Q976))/MMULT(O976:Q976, MMULT($AU$32:$AW$34,TRANSPOSE(O976:Q976))))</f>
        <v>0.14311444784776639</v>
      </c>
      <c r="T976" s="36">
        <v>1.0358784721198322</v>
      </c>
      <c r="U976" s="36">
        <v>0.4919057114211432</v>
      </c>
      <c r="V976" s="35">
        <f t="shared" si="143"/>
        <v>4.5922971741083887E-3</v>
      </c>
      <c r="W976" s="35">
        <f t="shared" si="144"/>
        <v>3.323956352258578E-2</v>
      </c>
      <c r="X976" s="35">
        <f t="shared" si="145"/>
        <v>1.5784410606048734E-2</v>
      </c>
      <c r="Y976" s="32">
        <f t="shared" si="146"/>
        <v>-14843.222926153134</v>
      </c>
      <c r="Z976" s="32">
        <f t="shared" si="139"/>
        <v>228209.54732066492</v>
      </c>
      <c r="AA976" s="32">
        <f t="shared" si="140"/>
        <v>95518.767288665127</v>
      </c>
      <c r="AB976" s="40">
        <f t="shared" si="147"/>
        <v>-4.8054190136757428E-2</v>
      </c>
      <c r="AC976" s="40">
        <f t="shared" si="148"/>
        <v>0.73881696936911145</v>
      </c>
      <c r="AD976" s="40">
        <f t="shared" si="149"/>
        <v>0.30923722076764587</v>
      </c>
      <c r="AE976" s="40"/>
      <c r="AF976" s="40"/>
      <c r="AG976" s="40"/>
      <c r="AH976" s="40"/>
      <c r="AI976" s="40"/>
      <c r="AJ976" s="40"/>
      <c r="AK976" s="33">
        <f t="shared" si="141"/>
        <v>6865600</v>
      </c>
      <c r="AL976" s="33">
        <f t="shared" si="142"/>
        <v>6051462.4000000004</v>
      </c>
      <c r="AM976" s="34"/>
      <c r="AN976" s="33"/>
      <c r="AO976" s="15" cm="1">
        <f t="array" ref="AO976">SUMPRODUCT(I976:K976, TRANSPOSE($AY$5:$AY$7))</f>
        <v>7.2650856771097035E-3</v>
      </c>
      <c r="AP976" s="22">
        <f t="shared" si="151"/>
        <v>9626101.6368626691</v>
      </c>
      <c r="AQ976" s="22">
        <f t="shared" si="152"/>
        <v>69430.037954071537</v>
      </c>
      <c r="AR976">
        <f t="shared" si="153"/>
        <v>0</v>
      </c>
      <c r="AS976">
        <f t="shared" si="154"/>
        <v>0</v>
      </c>
      <c r="BJ976">
        <f t="shared" si="127"/>
        <v>9.807741306661973E-5</v>
      </c>
      <c r="BK976">
        <f t="shared" si="129"/>
        <v>4.3703417737499179E-5</v>
      </c>
      <c r="BO976">
        <f t="shared" si="130"/>
        <v>5.1694763585095785E-5</v>
      </c>
      <c r="BP976">
        <f t="shared" si="128"/>
        <v>3.0675181149200976</v>
      </c>
    </row>
    <row r="977" spans="1:68" x14ac:dyDescent="0.15">
      <c r="A977" s="5">
        <v>44988</v>
      </c>
      <c r="B977" s="1"/>
      <c r="C977">
        <v>107.56</v>
      </c>
      <c r="D977">
        <v>98.08</v>
      </c>
      <c r="E977">
        <v>75.20729</v>
      </c>
      <c r="G977" s="3">
        <v>2.1955308903229801E-3</v>
      </c>
      <c r="I977" s="15">
        <f t="shared" si="131"/>
        <v>-1.6706886950064285E-3</v>
      </c>
      <c r="J977" s="15">
        <f t="shared" si="132"/>
        <v>0</v>
      </c>
      <c r="K977" s="15">
        <f t="shared" si="133"/>
        <v>-5.7637638135205642E-3</v>
      </c>
      <c r="L977" s="32">
        <f t="shared" si="134"/>
        <v>308360.05305687652</v>
      </c>
      <c r="M977" s="15"/>
      <c r="N977" s="32">
        <f t="shared" si="135"/>
        <v>-3226800</v>
      </c>
      <c r="O977" s="34">
        <f t="shared" si="136"/>
        <v>-0.33642099658741959</v>
      </c>
      <c r="P977" s="34">
        <f t="shared" si="137"/>
        <v>0.71579645288539362</v>
      </c>
      <c r="Q977" s="34">
        <f t="shared" si="138"/>
        <v>0.62727932198931635</v>
      </c>
      <c r="R977" s="35" cm="1">
        <f t="array" ref="R977">SQRT(MMULT(O977:Q977, MMULT($AU$32:$AW$34,TRANSPOSE(O977:Q977))))</f>
        <v>1.3797907699670833E-2</v>
      </c>
      <c r="S977" s="36" cm="1">
        <f t="array" ref="S977:U977">TRANSPOSE(MMULT($AU$32:$AW$34, TRANSPOSE(O977:Q977))/MMULT(O977:Q977, MMULT($AU$32:$AW$34,TRANSPOSE(O977:Q977))))</f>
        <v>0.14226712394424174</v>
      </c>
      <c r="T977" s="36">
        <v>1.0348402335894944</v>
      </c>
      <c r="U977" s="36">
        <v>0.4896170945640167</v>
      </c>
      <c r="V977" s="35">
        <f t="shared" si="143"/>
        <v>4.5737635425710478E-3</v>
      </c>
      <c r="W977" s="35">
        <f t="shared" si="144"/>
        <v>3.3269207962848601E-2</v>
      </c>
      <c r="X977" s="35">
        <f t="shared" si="145"/>
        <v>1.5740761146012472E-2</v>
      </c>
      <c r="Y977" s="32">
        <f t="shared" si="146"/>
        <v>-14758.620199168257</v>
      </c>
      <c r="Z977" s="32">
        <f t="shared" si="139"/>
        <v>228413.07418973336</v>
      </c>
      <c r="AA977" s="32">
        <f t="shared" si="140"/>
        <v>94705.599066311392</v>
      </c>
      <c r="AB977" s="40">
        <f t="shared" si="147"/>
        <v>-4.7861647618947754E-2</v>
      </c>
      <c r="AC977" s="40">
        <f t="shared" si="148"/>
        <v>0.74073496850645226</v>
      </c>
      <c r="AD977" s="40">
        <f t="shared" si="149"/>
        <v>0.30712667911249547</v>
      </c>
      <c r="AE977" s="40"/>
      <c r="AF977" s="40"/>
      <c r="AG977" s="40"/>
      <c r="AH977" s="40"/>
      <c r="AI977" s="40"/>
      <c r="AJ977" s="40"/>
      <c r="AK977" s="33">
        <f t="shared" si="141"/>
        <v>6865600</v>
      </c>
      <c r="AL977" s="33">
        <f t="shared" si="142"/>
        <v>6016583.2000000002</v>
      </c>
      <c r="AM977" s="34"/>
      <c r="AN977" s="33"/>
      <c r="AO977" s="15" cm="1">
        <f t="array" ref="AO977">SUMPRODUCT(I977:K977, TRANSPOSE($AY$5:$AY$7))</f>
        <v>-3.5890021101523443E-3</v>
      </c>
      <c r="AP977" s="22">
        <f t="shared" si="151"/>
        <v>9591553.537775429</v>
      </c>
      <c r="AQ977" s="22">
        <f t="shared" si="152"/>
        <v>-34548.099087240174</v>
      </c>
      <c r="AR977">
        <f t="shared" si="153"/>
        <v>0</v>
      </c>
      <c r="AS977">
        <f t="shared" si="154"/>
        <v>0</v>
      </c>
      <c r="BJ977">
        <f t="shared" si="127"/>
        <v>4.8203558903624178E-6</v>
      </c>
      <c r="BK977">
        <f t="shared" si="129"/>
        <v>4.6965857457246416E-5</v>
      </c>
      <c r="BO977">
        <f t="shared" si="130"/>
        <v>6.0456306484779523E-5</v>
      </c>
      <c r="BP977">
        <f t="shared" si="128"/>
        <v>3.8979898533433528</v>
      </c>
    </row>
    <row r="978" spans="1:68" x14ac:dyDescent="0.15">
      <c r="A978" s="5">
        <v>44991</v>
      </c>
      <c r="B978" s="1"/>
      <c r="C978">
        <v>105</v>
      </c>
      <c r="D978">
        <v>98.98</v>
      </c>
      <c r="E978">
        <v>75.08408</v>
      </c>
      <c r="G978" s="3">
        <v>-3.8287684123341397E-3</v>
      </c>
      <c r="I978" s="15">
        <f t="shared" si="131"/>
        <v>-2.3800669393826721E-2</v>
      </c>
      <c r="J978" s="15">
        <f t="shared" si="132"/>
        <v>9.1761827079935333E-3</v>
      </c>
      <c r="K978" s="15">
        <f t="shared" si="133"/>
        <v>-1.6382720345328261E-3</v>
      </c>
      <c r="L978" s="32">
        <f t="shared" si="134"/>
        <v>310661.37410166295</v>
      </c>
      <c r="M978" s="15"/>
      <c r="N978" s="32">
        <f t="shared" si="135"/>
        <v>-3150000</v>
      </c>
      <c r="O978" s="34">
        <f t="shared" si="136"/>
        <v>-0.32381297148025584</v>
      </c>
      <c r="P978" s="34">
        <f t="shared" si="137"/>
        <v>0.71224462038034941</v>
      </c>
      <c r="Q978" s="34">
        <f t="shared" si="138"/>
        <v>0.61747807125488885</v>
      </c>
      <c r="R978" s="35" cm="1">
        <f t="array" ref="R978">SQRT(MMULT(O978:Q978, MMULT($AU$32:$AW$34,TRANSPOSE(O978:Q978))))</f>
        <v>1.3706135659377188E-2</v>
      </c>
      <c r="S978" s="36" cm="1">
        <f t="array" ref="S978:U978">TRANSPOSE(MMULT($AU$32:$AW$34, TRANSPOSE(O978:Q978))/MMULT(O978:Q978, MMULT($AU$32:$AW$34,TRANSPOSE(O978:Q978))))</f>
        <v>0.14870424223180684</v>
      </c>
      <c r="T978" s="36">
        <v>1.0442531200434706</v>
      </c>
      <c r="U978" s="36">
        <v>0.49295466455001502</v>
      </c>
      <c r="V978" s="35">
        <f t="shared" si="143"/>
        <v>4.7489140049688915E-3</v>
      </c>
      <c r="W978" s="35">
        <f t="shared" si="144"/>
        <v>3.3348532577681819E-2</v>
      </c>
      <c r="X978" s="35">
        <f t="shared" si="145"/>
        <v>1.5742653169551504E-2</v>
      </c>
      <c r="Y978" s="32">
        <f t="shared" si="146"/>
        <v>-14959.079115652008</v>
      </c>
      <c r="Z978" s="32">
        <f t="shared" si="139"/>
        <v>231058.64281772624</v>
      </c>
      <c r="AA978" s="32">
        <f t="shared" si="140"/>
        <v>94561.810399588692</v>
      </c>
      <c r="AB978" s="40">
        <f t="shared" si="147"/>
        <v>-4.815236254880112E-2</v>
      </c>
      <c r="AC978" s="40">
        <f t="shared" si="148"/>
        <v>0.7437636670663571</v>
      </c>
      <c r="AD978" s="40">
        <f t="shared" si="149"/>
        <v>0.30438869548244396</v>
      </c>
      <c r="AE978" s="40"/>
      <c r="AF978" s="40"/>
      <c r="AG978" s="40"/>
      <c r="AH978" s="40"/>
      <c r="AI978" s="40"/>
      <c r="AJ978" s="40"/>
      <c r="AK978" s="33">
        <f t="shared" si="141"/>
        <v>6928600</v>
      </c>
      <c r="AL978" s="33">
        <f t="shared" si="142"/>
        <v>6006726.4000000004</v>
      </c>
      <c r="AM978" s="34"/>
      <c r="AN978" s="33"/>
      <c r="AO978" s="15" cm="1">
        <f t="array" ref="AO978">SUMPRODUCT(I978:K978, TRANSPOSE($AY$5:$AY$7))</f>
        <v>1.4208758127298859E-2</v>
      </c>
      <c r="AP978" s="22">
        <f t="shared" si="151"/>
        <v>9727837.602058718</v>
      </c>
      <c r="AQ978" s="22">
        <f t="shared" si="152"/>
        <v>136284.06428328902</v>
      </c>
      <c r="AR978">
        <f t="shared" si="153"/>
        <v>0</v>
      </c>
      <c r="AS978">
        <f t="shared" si="154"/>
        <v>0</v>
      </c>
      <c r="BJ978">
        <f t="shared" si="127"/>
        <v>1.4659467555287689E-5</v>
      </c>
      <c r="BK978">
        <f t="shared" si="129"/>
        <v>4.4437127363233378E-5</v>
      </c>
      <c r="BO978">
        <f t="shared" si="130"/>
        <v>5.4046987466818042E-5</v>
      </c>
      <c r="BP978">
        <f t="shared" si="128"/>
        <v>3.8582720380787849</v>
      </c>
    </row>
    <row r="979" spans="1:68" x14ac:dyDescent="0.15">
      <c r="A979" s="5">
        <v>44992</v>
      </c>
      <c r="B979" s="1"/>
      <c r="C979">
        <v>105.18</v>
      </c>
      <c r="D979">
        <v>98.24</v>
      </c>
      <c r="E979">
        <v>74.970344999999995</v>
      </c>
      <c r="G979" s="3">
        <v>-7.4606463417503602E-3</v>
      </c>
      <c r="I979" s="15">
        <f t="shared" si="131"/>
        <v>1.7142857142857792E-3</v>
      </c>
      <c r="J979" s="15">
        <f t="shared" si="132"/>
        <v>-7.4762578298647108E-3</v>
      </c>
      <c r="K979" s="15">
        <f t="shared" si="133"/>
        <v>-1.5147685101822579E-3</v>
      </c>
      <c r="L979" s="32">
        <f t="shared" si="134"/>
        <v>308765.94830012124</v>
      </c>
      <c r="M979" s="15"/>
      <c r="N979" s="32">
        <f t="shared" si="135"/>
        <v>-3155400</v>
      </c>
      <c r="O979" s="34">
        <f t="shared" si="136"/>
        <v>-0.32655816270515714</v>
      </c>
      <c r="P979" s="34">
        <f t="shared" si="137"/>
        <v>0.71169270878203228</v>
      </c>
      <c r="Q979" s="34">
        <f t="shared" si="138"/>
        <v>0.62070553642826298</v>
      </c>
      <c r="R979" s="35" cm="1">
        <f t="array" ref="R979">SQRT(MMULT(O979:Q979, MMULT($AU$32:$AW$34,TRANSPOSE(O979:Q979))))</f>
        <v>1.3714488056961707E-2</v>
      </c>
      <c r="S979" s="36" cm="1">
        <f t="array" ref="S979:U979">TRANSPOSE(MMULT($AU$32:$AW$34, TRANSPOSE(O979:Q979))/MMULT(O979:Q979, MMULT($AU$32:$AW$34,TRANSPOSE(O979:Q979))))</f>
        <v>0.14759993532678148</v>
      </c>
      <c r="T979" s="36">
        <v>1.0424823070689124</v>
      </c>
      <c r="U979" s="36">
        <v>0.49342705799418007</v>
      </c>
      <c r="V979" s="35">
        <f t="shared" si="143"/>
        <v>4.716520092076593E-3</v>
      </c>
      <c r="W979" s="35">
        <f t="shared" si="144"/>
        <v>3.331226897924483E-2</v>
      </c>
      <c r="X979" s="35">
        <f t="shared" si="145"/>
        <v>1.5767341820654035E-2</v>
      </c>
      <c r="Y979" s="32">
        <f t="shared" si="146"/>
        <v>-14882.507498538482</v>
      </c>
      <c r="Z979" s="32">
        <f t="shared" si="139"/>
        <v>229081.81131647085</v>
      </c>
      <c r="AA979" s="32">
        <f t="shared" si="140"/>
        <v>94566.644482188887</v>
      </c>
      <c r="AB979" s="40">
        <f t="shared" si="147"/>
        <v>-4.8199963695713784E-2</v>
      </c>
      <c r="AC979" s="40">
        <f t="shared" si="148"/>
        <v>0.74192705697521666</v>
      </c>
      <c r="AD979" s="40">
        <f t="shared" si="149"/>
        <v>0.30627290672049717</v>
      </c>
      <c r="AE979" s="40"/>
      <c r="AF979" s="40"/>
      <c r="AG979" s="40"/>
      <c r="AH979" s="40"/>
      <c r="AI979" s="40"/>
      <c r="AJ979" s="40"/>
      <c r="AK979" s="33">
        <f t="shared" si="141"/>
        <v>6876800</v>
      </c>
      <c r="AL979" s="33">
        <f t="shared" si="142"/>
        <v>5997627.5999999996</v>
      </c>
      <c r="AM979" s="34"/>
      <c r="AN979" s="33"/>
      <c r="AO979" s="15" cm="1">
        <f t="array" ref="AO979">SUMPRODUCT(I979:K979, TRANSPOSE($AY$5:$AY$7))</f>
        <v>-6.7065641711416615E-3</v>
      </c>
      <c r="AP979" s="22">
        <f t="shared" si="151"/>
        <v>9662597.2349340655</v>
      </c>
      <c r="AQ979" s="22">
        <f t="shared" si="152"/>
        <v>-65240.36712465249</v>
      </c>
      <c r="AR979">
        <f t="shared" si="153"/>
        <v>0</v>
      </c>
      <c r="AS979">
        <f t="shared" si="154"/>
        <v>0</v>
      </c>
      <c r="BJ979">
        <f t="shared" si="127"/>
        <v>5.5661243836673036E-5</v>
      </c>
      <c r="BK979">
        <f t="shared" si="129"/>
        <v>4.265046777475664E-5</v>
      </c>
      <c r="BO979">
        <f t="shared" si="130"/>
        <v>5.0420941525575273E-5</v>
      </c>
      <c r="BP979">
        <f t="shared" si="128"/>
        <v>3.4766479140712834</v>
      </c>
    </row>
    <row r="980" spans="1:68" x14ac:dyDescent="0.15">
      <c r="A980" s="5">
        <v>44993</v>
      </c>
      <c r="B980" s="1"/>
      <c r="C980">
        <v>105.32</v>
      </c>
      <c r="D980">
        <v>98.88</v>
      </c>
      <c r="E980">
        <v>74.496449999999996</v>
      </c>
      <c r="G980" s="3">
        <v>-3.5089443384416202E-3</v>
      </c>
      <c r="I980" s="15">
        <f t="shared" si="131"/>
        <v>1.3310515307091305E-3</v>
      </c>
      <c r="J980" s="15">
        <f t="shared" si="132"/>
        <v>6.5146579804560324E-3</v>
      </c>
      <c r="K980" s="15">
        <f t="shared" si="133"/>
        <v>-6.3210993626879918E-3</v>
      </c>
      <c r="L980" s="32">
        <f t="shared" si="134"/>
        <v>309644.06384802231</v>
      </c>
      <c r="M980" s="15"/>
      <c r="N980" s="32">
        <f t="shared" si="135"/>
        <v>-3159600</v>
      </c>
      <c r="O980" s="34">
        <f t="shared" si="136"/>
        <v>-0.32728774713795017</v>
      </c>
      <c r="P980" s="34">
        <f t="shared" si="137"/>
        <v>0.71697520907394474</v>
      </c>
      <c r="Q980" s="34">
        <f t="shared" si="138"/>
        <v>0.61733827801683627</v>
      </c>
      <c r="R980" s="35" cm="1">
        <f t="array" ref="R980">SQRT(MMULT(O980:Q980, MMULT($AU$32:$AW$34,TRANSPOSE(O980:Q980))))</f>
        <v>1.3765895839406361E-2</v>
      </c>
      <c r="S980" s="36" cm="1">
        <f t="array" ref="S980:U980">TRANSPOSE(MMULT($AU$32:$AW$34, TRANSPOSE(O980:Q980))/MMULT(O980:Q980, MMULT($AU$32:$AW$34,TRANSPOSE(O980:Q980))))</f>
        <v>0.14609253763433516</v>
      </c>
      <c r="T980" s="36">
        <v>1.0406485007092476</v>
      </c>
      <c r="U980" s="36">
        <v>0.48870308531116191</v>
      </c>
      <c r="V980" s="35">
        <f t="shared" si="143"/>
        <v>4.6858505484539317E-3</v>
      </c>
      <c r="W980" s="35">
        <f t="shared" si="144"/>
        <v>3.3378319158241111E-2</v>
      </c>
      <c r="X980" s="35">
        <f t="shared" si="145"/>
        <v>1.5674925341280645E-2</v>
      </c>
      <c r="Y980" s="32">
        <f t="shared" si="146"/>
        <v>-14805.413392895043</v>
      </c>
      <c r="Z980" s="32">
        <f t="shared" si="139"/>
        <v>231031.37388568168</v>
      </c>
      <c r="AA980" s="32">
        <f t="shared" si="140"/>
        <v>93418.103355235726</v>
      </c>
      <c r="AB980" s="40">
        <f t="shared" si="147"/>
        <v>-4.7814297516007763E-2</v>
      </c>
      <c r="AC980" s="40">
        <f t="shared" si="148"/>
        <v>0.74611917636850011</v>
      </c>
      <c r="AD980" s="40">
        <f t="shared" si="149"/>
        <v>0.30169512114750779</v>
      </c>
      <c r="AE980" s="40"/>
      <c r="AF980" s="40"/>
      <c r="AG980" s="40"/>
      <c r="AH980" s="40"/>
      <c r="AI980" s="40"/>
      <c r="AJ980" s="40"/>
      <c r="AK980" s="33">
        <f t="shared" si="141"/>
        <v>6921600</v>
      </c>
      <c r="AL980" s="33">
        <f t="shared" si="142"/>
        <v>5959716</v>
      </c>
      <c r="AM980" s="34"/>
      <c r="AN980" s="33"/>
      <c r="AO980" s="15" cm="1">
        <f t="array" ref="AO980">SUMPRODUCT(I980:K980, TRANSPOSE($AY$5:$AY$7))</f>
        <v>-9.0109908799755091E-4</v>
      </c>
      <c r="AP980" s="22">
        <f t="shared" si="151"/>
        <v>9653890.2773779798</v>
      </c>
      <c r="AQ980" s="22">
        <f t="shared" si="152"/>
        <v>-8706.9575560856611</v>
      </c>
      <c r="AR980">
        <f t="shared" si="153"/>
        <v>0</v>
      </c>
      <c r="AS980">
        <f t="shared" si="154"/>
        <v>0</v>
      </c>
      <c r="BJ980">
        <f t="shared" si="127"/>
        <v>1.2312690370281499E-5</v>
      </c>
      <c r="BK980">
        <f t="shared" si="129"/>
        <v>4.3431114338471625E-5</v>
      </c>
      <c r="BO980">
        <f t="shared" si="130"/>
        <v>5.3416228611800123E-5</v>
      </c>
      <c r="BP980">
        <f t="shared" si="128"/>
        <v>3.8845071055124114</v>
      </c>
    </row>
    <row r="981" spans="1:68" x14ac:dyDescent="0.15">
      <c r="A981" s="5">
        <v>44994</v>
      </c>
      <c r="B981" s="1"/>
      <c r="C981">
        <v>105.66</v>
      </c>
      <c r="D981">
        <v>98.28</v>
      </c>
      <c r="E981">
        <v>71.567769999999996</v>
      </c>
      <c r="G981" s="3">
        <v>-6.9305209003320796E-3</v>
      </c>
      <c r="I981" s="15">
        <f t="shared" si="131"/>
        <v>3.2282567413596986E-3</v>
      </c>
      <c r="J981" s="15">
        <f t="shared" si="132"/>
        <v>-6.0679611650484864E-3</v>
      </c>
      <c r="K981" s="15">
        <f t="shared" si="133"/>
        <v>-3.9313014244302918E-2</v>
      </c>
      <c r="L981" s="32">
        <f t="shared" si="134"/>
        <v>304555.64996041107</v>
      </c>
      <c r="M981" s="15"/>
      <c r="N981" s="32">
        <f t="shared" si="135"/>
        <v>-3169800</v>
      </c>
      <c r="O981" s="34">
        <f t="shared" si="136"/>
        <v>-0.33998335033771365</v>
      </c>
      <c r="P981" s="34">
        <f t="shared" si="137"/>
        <v>0.73788549971081296</v>
      </c>
      <c r="Q981" s="34">
        <f t="shared" si="138"/>
        <v>0.61409174637640007</v>
      </c>
      <c r="R981" s="35" cm="1">
        <f t="array" ref="R981">SQRT(MMULT(O981:Q981, MMULT($AU$32:$AW$34,TRANSPOSE(O981:Q981))))</f>
        <v>1.4019629220432601E-2</v>
      </c>
      <c r="S981" s="36" cm="1">
        <f t="array" ref="S981:U981">TRANSPOSE(MMULT($AU$32:$AW$34, TRANSPOSE(O981:Q981))/MMULT(O981:Q981, MMULT($AU$32:$AW$34,TRANSPOSE(O981:Q981))))</f>
        <v>0.13611275160483349</v>
      </c>
      <c r="T981" s="36">
        <v>1.0264229441234038</v>
      </c>
      <c r="U981" s="36">
        <v>0.47044022978625238</v>
      </c>
      <c r="V981" s="35">
        <f t="shared" si="143"/>
        <v>4.4462232215371766E-3</v>
      </c>
      <c r="W981" s="35">
        <f t="shared" si="144"/>
        <v>3.352886100289499E-2</v>
      </c>
      <c r="X981" s="35">
        <f t="shared" si="145"/>
        <v>1.5367276389309606E-2</v>
      </c>
      <c r="Y981" s="32">
        <f t="shared" si="146"/>
        <v>-14093.638367628542</v>
      </c>
      <c r="Z981" s="32">
        <f t="shared" si="139"/>
        <v>230665.15215551638</v>
      </c>
      <c r="AA981" s="32">
        <f t="shared" si="140"/>
        <v>87984.136172523227</v>
      </c>
      <c r="AB981" s="40">
        <f t="shared" si="147"/>
        <v>-4.6276069314296293E-2</v>
      </c>
      <c r="AC981" s="40">
        <f t="shared" si="148"/>
        <v>0.75738260703914162</v>
      </c>
      <c r="AD981" s="40">
        <f t="shared" si="149"/>
        <v>0.28889346227515467</v>
      </c>
      <c r="AE981" s="40"/>
      <c r="AF981" s="40"/>
      <c r="AG981" s="40"/>
      <c r="AH981" s="40"/>
      <c r="AI981" s="40"/>
      <c r="AJ981" s="40"/>
      <c r="AK981" s="33">
        <f t="shared" si="141"/>
        <v>6879600</v>
      </c>
      <c r="AL981" s="33">
        <f t="shared" si="142"/>
        <v>5725421.5999999996</v>
      </c>
      <c r="AM981" s="34"/>
      <c r="AN981" s="33"/>
      <c r="AO981" s="15" cm="1">
        <f t="array" ref="AO981">SUMPRODUCT(I981:K981, TRANSPOSE($AY$5:$AY$7))</f>
        <v>-3.4234130324733984E-2</v>
      </c>
      <c r="AP981" s="22">
        <f t="shared" si="151"/>
        <v>9323397.7394815404</v>
      </c>
      <c r="AQ981" s="22">
        <f t="shared" si="152"/>
        <v>-330492.53789643943</v>
      </c>
      <c r="AR981">
        <f t="shared" si="153"/>
        <v>1</v>
      </c>
      <c r="AS981">
        <f t="shared" si="154"/>
        <v>1</v>
      </c>
      <c r="BJ981">
        <f t="shared" si="127"/>
        <v>4.8032119949939782E-5</v>
      </c>
      <c r="BK981">
        <f t="shared" si="129"/>
        <v>4.1564008900380213E-5</v>
      </c>
      <c r="BO981">
        <f t="shared" si="130"/>
        <v>4.9591959189987779E-5</v>
      </c>
      <c r="BP981">
        <f t="shared" si="128"/>
        <v>3.5526291274329287</v>
      </c>
    </row>
    <row r="982" spans="1:68" x14ac:dyDescent="0.15">
      <c r="A982" s="5">
        <v>44995</v>
      </c>
      <c r="B982" s="1"/>
      <c r="C982">
        <v>105.46</v>
      </c>
      <c r="D982">
        <v>95.6</v>
      </c>
      <c r="E982">
        <v>70.724239999999995</v>
      </c>
      <c r="G982" s="3">
        <v>-1.6767929133002599E-2</v>
      </c>
      <c r="I982" s="15">
        <f t="shared" si="131"/>
        <v>-1.8928639030853951E-3</v>
      </c>
      <c r="J982" s="15">
        <f t="shared" si="132"/>
        <v>-2.726902726902734E-2</v>
      </c>
      <c r="K982" s="15">
        <f t="shared" si="133"/>
        <v>-1.1786450800409196E-2</v>
      </c>
      <c r="L982" s="32">
        <f t="shared" si="134"/>
        <v>297261.94255860167</v>
      </c>
      <c r="M982" s="15"/>
      <c r="N982" s="32">
        <f t="shared" si="135"/>
        <v>-3163800</v>
      </c>
      <c r="O982" s="34">
        <f t="shared" si="136"/>
        <v>-0.34834967025846764</v>
      </c>
      <c r="P982" s="34">
        <f t="shared" si="137"/>
        <v>0.73682154161756919</v>
      </c>
      <c r="Q982" s="34">
        <f t="shared" si="138"/>
        <v>0.62296645004818829</v>
      </c>
      <c r="R982" s="35" cm="1">
        <f t="array" ref="R982">SQRT(MMULT(O982:Q982, MMULT($AU$32:$AW$34,TRANSPOSE(O982:Q982))))</f>
        <v>1.4047200217302717E-2</v>
      </c>
      <c r="S982" s="36" cm="1">
        <f t="array" ref="S982:U982">TRANSPOSE(MMULT($AU$32:$AW$34, TRANSPOSE(O982:Q982))/MMULT(O982:Q982, MMULT($AU$32:$AW$34,TRANSPOSE(O982:Q982))))</f>
        <v>0.13272623749698489</v>
      </c>
      <c r="T982" s="36">
        <v>1.0214877987022692</v>
      </c>
      <c r="U982" s="36">
        <v>0.47126282075169401</v>
      </c>
      <c r="V982" s="35">
        <f t="shared" si="143"/>
        <v>4.3441266350479442E-3</v>
      </c>
      <c r="W982" s="35">
        <f t="shared" si="144"/>
        <v>3.3433271653013033E-2</v>
      </c>
      <c r="X982" s="35">
        <f t="shared" si="145"/>
        <v>1.5424421051502837E-2</v>
      </c>
      <c r="Y982" s="32">
        <f t="shared" si="146"/>
        <v>-13743.947847964686</v>
      </c>
      <c r="Z982" s="32">
        <f t="shared" si="139"/>
        <v>223735.45390196322</v>
      </c>
      <c r="AA982" s="32">
        <f t="shared" si="140"/>
        <v>87270.436504603116</v>
      </c>
      <c r="AB982" s="40">
        <f t="shared" si="147"/>
        <v>-4.6235141066721747E-2</v>
      </c>
      <c r="AC982" s="40">
        <f t="shared" si="148"/>
        <v>0.75265421458334314</v>
      </c>
      <c r="AD982" s="40">
        <f t="shared" si="149"/>
        <v>0.29358092648337847</v>
      </c>
      <c r="AE982" s="40"/>
      <c r="AF982" s="40"/>
      <c r="AG982" s="40"/>
      <c r="AH982" s="40"/>
      <c r="AI982" s="40"/>
      <c r="AJ982" s="40"/>
      <c r="AK982" s="33">
        <f t="shared" si="141"/>
        <v>6692000</v>
      </c>
      <c r="AL982" s="33">
        <f t="shared" si="142"/>
        <v>5657939.1999999993</v>
      </c>
      <c r="AM982" s="34"/>
      <c r="AN982" s="33"/>
      <c r="AO982" s="15" cm="1">
        <f t="array" ref="AO982">SUMPRODUCT(I982:K982, TRANSPOSE($AY$5:$AY$7))</f>
        <v>-2.5864419867465745E-2</v>
      </c>
      <c r="AP982" s="22">
        <f t="shared" si="151"/>
        <v>9082253.4657562077</v>
      </c>
      <c r="AQ982" s="22">
        <f t="shared" si="152"/>
        <v>-241144.27372533269</v>
      </c>
      <c r="AR982">
        <f t="shared" si="153"/>
        <v>0</v>
      </c>
      <c r="AS982">
        <f t="shared" si="154"/>
        <v>0</v>
      </c>
      <c r="BJ982">
        <f t="shared" si="127"/>
        <v>2.8116344740939731E-4</v>
      </c>
      <c r="BK982">
        <f t="shared" si="129"/>
        <v>4.1952095563353787E-5</v>
      </c>
      <c r="BO982">
        <f t="shared" si="130"/>
        <v>5.1679451162004489E-5</v>
      </c>
      <c r="BP982">
        <f t="shared" si="128"/>
        <v>1.2960231452159912</v>
      </c>
    </row>
    <row r="983" spans="1:68" x14ac:dyDescent="0.15">
      <c r="A983" s="5">
        <v>44998</v>
      </c>
      <c r="B983" s="1"/>
      <c r="C983">
        <v>106.76</v>
      </c>
      <c r="D983">
        <v>91.46</v>
      </c>
      <c r="E983">
        <v>70.819016000000005</v>
      </c>
      <c r="G983" s="3">
        <v>-1.2373326748781199E-2</v>
      </c>
      <c r="I983" s="15">
        <f t="shared" si="131"/>
        <v>1.232694860610669E-2</v>
      </c>
      <c r="J983" s="15">
        <f t="shared" si="132"/>
        <v>-4.3305439330543941E-2</v>
      </c>
      <c r="K983" s="15">
        <f t="shared" si="133"/>
        <v>1.3400780269962631E-3</v>
      </c>
      <c r="L983" s="32">
        <f t="shared" si="134"/>
        <v>287563.33162246534</v>
      </c>
      <c r="M983" s="15"/>
      <c r="N983" s="32">
        <f t="shared" si="135"/>
        <v>-3202800</v>
      </c>
      <c r="O983" s="34">
        <f t="shared" si="136"/>
        <v>-0.36442877615982344</v>
      </c>
      <c r="P983" s="34">
        <f t="shared" si="137"/>
        <v>0.72847068525365977</v>
      </c>
      <c r="Q983" s="34">
        <f t="shared" si="138"/>
        <v>0.64464811614145012</v>
      </c>
      <c r="R983" s="35" cm="1">
        <f t="array" ref="R983">SQRT(MMULT(O983:Q983, MMULT($AU$32:$AW$34,TRANSPOSE(O983:Q983))))</f>
        <v>1.4043017216643658E-2</v>
      </c>
      <c r="S983" s="36" cm="1">
        <f t="array" ref="S983:U983">TRANSPOSE(MMULT($AU$32:$AW$34, TRANSPOSE(O983:Q983))/MMULT(O983:Q983, MMULT($AU$32:$AW$34,TRANSPOSE(O983:Q983))))</f>
        <v>0.12741217430057555</v>
      </c>
      <c r="T983" s="36">
        <v>1.0135000745362164</v>
      </c>
      <c r="U983" s="36">
        <v>0.47797792505854164</v>
      </c>
      <c r="V983" s="35">
        <f t="shared" si="143"/>
        <v>4.1689556625392555E-3</v>
      </c>
      <c r="W983" s="35">
        <f t="shared" si="144"/>
        <v>3.3161955660171404E-2</v>
      </c>
      <c r="X983" s="35">
        <f t="shared" si="145"/>
        <v>1.5639547697700418E-2</v>
      </c>
      <c r="Y983" s="32">
        <f t="shared" si="146"/>
        <v>-13352.331195980727</v>
      </c>
      <c r="Z983" s="32">
        <f t="shared" si="139"/>
        <v>212309.47252754937</v>
      </c>
      <c r="AA983" s="32">
        <f t="shared" si="140"/>
        <v>88606.190290896731</v>
      </c>
      <c r="AB983" s="40">
        <f t="shared" si="147"/>
        <v>-4.643266274822086E-2</v>
      </c>
      <c r="AC983" s="40">
        <f t="shared" si="148"/>
        <v>0.73830509380203291</v>
      </c>
      <c r="AD983" s="40">
        <f t="shared" si="149"/>
        <v>0.30812756894618809</v>
      </c>
      <c r="AE983" s="40"/>
      <c r="AF983" s="40"/>
      <c r="AG983" s="40"/>
      <c r="AH983" s="40"/>
      <c r="AI983" s="40"/>
      <c r="AJ983" s="40"/>
      <c r="AK983" s="33">
        <f t="shared" si="141"/>
        <v>6402200</v>
      </c>
      <c r="AL983" s="33">
        <f t="shared" si="142"/>
        <v>5665521.2800000003</v>
      </c>
      <c r="AM983" s="34"/>
      <c r="AN983" s="33"/>
      <c r="AO983" s="15" cm="1">
        <f t="array" ref="AO983">SUMPRODUCT(I983:K983, TRANSPOSE($AY$5:$AY$7))</f>
        <v>-3.2338328337598241E-2</v>
      </c>
      <c r="AP983" s="22">
        <f t="shared" si="151"/>
        <v>8788548.5711352937</v>
      </c>
      <c r="AQ983" s="22">
        <f t="shared" si="152"/>
        <v>-293704.89462091401</v>
      </c>
      <c r="AR983">
        <f t="shared" si="153"/>
        <v>1</v>
      </c>
      <c r="AS983">
        <f t="shared" si="154"/>
        <v>0</v>
      </c>
      <c r="BJ983">
        <f t="shared" si="127"/>
        <v>1.5309921483210433E-4</v>
      </c>
      <c r="BK983">
        <f t="shared" si="129"/>
        <v>5.6304776674116414E-5</v>
      </c>
      <c r="BO983">
        <f t="shared" si="130"/>
        <v>8.651944332365951E-5</v>
      </c>
      <c r="BP983">
        <f t="shared" si="128"/>
        <v>2.8738644791436982</v>
      </c>
    </row>
    <row r="984" spans="1:68" x14ac:dyDescent="0.15">
      <c r="A984" s="5">
        <v>44999</v>
      </c>
      <c r="B984" s="1"/>
      <c r="C984">
        <v>107.16</v>
      </c>
      <c r="D984">
        <v>91.72</v>
      </c>
      <c r="E984">
        <v>70.951706000000001</v>
      </c>
      <c r="G984" s="3">
        <v>7.9630936110932603E-3</v>
      </c>
      <c r="I984" s="15">
        <f t="shared" si="131"/>
        <v>3.7467216185836593E-3</v>
      </c>
      <c r="J984" s="15">
        <f t="shared" si="132"/>
        <v>2.8427727968511384E-3</v>
      </c>
      <c r="K984" s="15">
        <f t="shared" si="133"/>
        <v>1.8736493034582215E-3</v>
      </c>
      <c r="L984" s="32">
        <f t="shared" si="134"/>
        <v>288282.91632956127</v>
      </c>
      <c r="M984" s="15"/>
      <c r="N984" s="32">
        <f t="shared" si="135"/>
        <v>-3214800</v>
      </c>
      <c r="O984" s="34">
        <f t="shared" si="136"/>
        <v>-0.36514709998450012</v>
      </c>
      <c r="P984" s="34">
        <f t="shared" si="137"/>
        <v>0.7292492350194365</v>
      </c>
      <c r="Q984" s="34">
        <f t="shared" si="138"/>
        <v>0.64471344244999018</v>
      </c>
      <c r="R984" s="35" cm="1">
        <f t="array" ref="R984">SQRT(MMULT(O984:Q984, MMULT($AU$32:$AW$34,TRANSPOSE(O984:Q984))))</f>
        <v>1.4053253551147506E-2</v>
      </c>
      <c r="S984" s="36" cm="1">
        <f t="array" ref="S984:U984">TRANSPOSE(MMULT($AU$32:$AW$34, TRANSPOSE(O984:Q984))/MMULT(O984:Q984, MMULT($AU$32:$AW$34,TRANSPOSE(O984:Q984))))</f>
        <v>0.12695050880096612</v>
      </c>
      <c r="T984" s="36">
        <v>1.0128741902778713</v>
      </c>
      <c r="U984" s="36">
        <v>0.47729403706830609</v>
      </c>
      <c r="V984" s="35">
        <f t="shared" si="143"/>
        <v>4.1568777145012826E-3</v>
      </c>
      <c r="W984" s="35">
        <f t="shared" si="144"/>
        <v>3.3165634300534388E-2</v>
      </c>
      <c r="X984" s="35">
        <f t="shared" si="145"/>
        <v>1.5628554502796068E-2</v>
      </c>
      <c r="Y984" s="32">
        <f t="shared" si="146"/>
        <v>-13363.530476578724</v>
      </c>
      <c r="Z984" s="32">
        <f t="shared" si="139"/>
        <v>212936.638463151</v>
      </c>
      <c r="AA984" s="32">
        <f t="shared" si="140"/>
        <v>88709.808342989025</v>
      </c>
      <c r="AB984" s="40">
        <f t="shared" si="147"/>
        <v>-4.6355610130229534E-2</v>
      </c>
      <c r="AC984" s="40">
        <f t="shared" si="148"/>
        <v>0.73863772843106879</v>
      </c>
      <c r="AD984" s="40">
        <f t="shared" si="149"/>
        <v>0.30771788169916087</v>
      </c>
      <c r="AE984" s="40"/>
      <c r="AF984" s="40"/>
      <c r="AG984" s="40"/>
      <c r="AH984" s="40"/>
      <c r="AI984" s="40"/>
      <c r="AJ984" s="40"/>
      <c r="AK984" s="33">
        <f t="shared" si="141"/>
        <v>6420400</v>
      </c>
      <c r="AL984" s="33">
        <f t="shared" si="142"/>
        <v>5676136.4800000004</v>
      </c>
      <c r="AM984" s="34"/>
      <c r="AN984" s="33"/>
      <c r="AO984" s="15" cm="1">
        <f t="array" ref="AO984">SUMPRODUCT(I984:K984, TRANSPOSE($AY$5:$AY$7))</f>
        <v>1.7721333386540607E-3</v>
      </c>
      <c r="AP984" s="22">
        <f t="shared" si="151"/>
        <v>8804123.0510565825</v>
      </c>
      <c r="AQ984" s="22">
        <f t="shared" si="152"/>
        <v>15574.479921288788</v>
      </c>
      <c r="AR984">
        <f t="shared" si="153"/>
        <v>0</v>
      </c>
      <c r="AS984">
        <f t="shared" si="154"/>
        <v>0</v>
      </c>
      <c r="BJ984">
        <f t="shared" si="127"/>
        <v>6.3410859859034294E-5</v>
      </c>
      <c r="BK984">
        <f t="shared" si="129"/>
        <v>6.2112442963595699E-5</v>
      </c>
      <c r="BO984">
        <f t="shared" si="130"/>
        <v>9.5608263048137373E-5</v>
      </c>
      <c r="BP984">
        <f t="shared" si="128"/>
        <v>3.3770690271842061</v>
      </c>
    </row>
    <row r="985" spans="1:68" x14ac:dyDescent="0.15">
      <c r="A985" s="5">
        <v>45000</v>
      </c>
      <c r="B985" s="1"/>
      <c r="C985">
        <v>107.24</v>
      </c>
      <c r="D985">
        <v>87</v>
      </c>
      <c r="E985">
        <v>71.529859999999999</v>
      </c>
      <c r="G985" s="3">
        <v>-1.8692527085465201E-2</v>
      </c>
      <c r="I985" s="15">
        <f t="shared" si="131"/>
        <v>7.4654721911159288E-4</v>
      </c>
      <c r="J985" s="15">
        <f t="shared" si="132"/>
        <v>-5.1460968163977314E-2</v>
      </c>
      <c r="K985" s="15">
        <f t="shared" si="133"/>
        <v>8.1485567098273561E-3</v>
      </c>
      <c r="L985" s="32">
        <f t="shared" si="134"/>
        <v>278104.88489260687</v>
      </c>
      <c r="M985" s="15"/>
      <c r="N985" s="32">
        <f t="shared" si="135"/>
        <v>-3217200</v>
      </c>
      <c r="O985" s="34">
        <f t="shared" si="136"/>
        <v>-0.37599082112066223</v>
      </c>
      <c r="P985" s="34">
        <f t="shared" si="137"/>
        <v>0.71173197209524841</v>
      </c>
      <c r="Q985" s="34">
        <f t="shared" si="138"/>
        <v>0.66876963312311355</v>
      </c>
      <c r="R985" s="35" cm="1">
        <f t="array" ref="R985">SQRT(MMULT(O985:Q985, MMULT($AU$32:$AW$34,TRANSPOSE(O985:Q985))))</f>
        <v>1.3949282801887083E-2</v>
      </c>
      <c r="S985" s="36" cm="1">
        <f t="array" ref="S985:U985">TRANSPOSE(MMULT($AU$32:$AW$34, TRANSPOSE(O985:Q985))/MMULT(O985:Q985, MMULT($AU$32:$AW$34,TRANSPOSE(O985:Q985))))</f>
        <v>0.12557208434561468</v>
      </c>
      <c r="T985" s="36">
        <v>1.0092616431657817</v>
      </c>
      <c r="U985" s="36">
        <v>0.49178394945441928</v>
      </c>
      <c r="V985" s="35">
        <f t="shared" si="143"/>
        <v>4.0813224035833951E-3</v>
      </c>
      <c r="W985" s="35">
        <f t="shared" si="144"/>
        <v>3.2802849270166995E-2</v>
      </c>
      <c r="X985" s="35">
        <f t="shared" si="145"/>
        <v>1.5983877794898925E-2</v>
      </c>
      <c r="Y985" s="32">
        <f t="shared" si="146"/>
        <v>-13130.4304368085</v>
      </c>
      <c r="Z985" s="32">
        <f t="shared" si="139"/>
        <v>199769.35205531699</v>
      </c>
      <c r="AA985" s="32">
        <f t="shared" si="140"/>
        <v>91465.963274098307</v>
      </c>
      <c r="AB985" s="40">
        <f t="shared" si="147"/>
        <v>-4.7213951102940722E-2</v>
      </c>
      <c r="AC985" s="40">
        <f t="shared" si="148"/>
        <v>0.71832377965047267</v>
      </c>
      <c r="AD985" s="40">
        <f t="shared" si="149"/>
        <v>0.32889017145246785</v>
      </c>
      <c r="AE985" s="40"/>
      <c r="AF985" s="40"/>
      <c r="AG985" s="40"/>
      <c r="AH985" s="40"/>
      <c r="AI985" s="40"/>
      <c r="AJ985" s="40"/>
      <c r="AK985" s="33">
        <f t="shared" si="141"/>
        <v>6090000</v>
      </c>
      <c r="AL985" s="33">
        <f t="shared" si="142"/>
        <v>5722388.7999999998</v>
      </c>
      <c r="AM985" s="34"/>
      <c r="AN985" s="33"/>
      <c r="AO985" s="15" cm="1">
        <f t="array" ref="AO985">SUMPRODUCT(I985:K985, TRANSPOSE($AY$5:$AY$7))</f>
        <v>-2.811537141410583E-2</v>
      </c>
      <c r="AP985" s="22">
        <f t="shared" si="151"/>
        <v>8556591.8615006357</v>
      </c>
      <c r="AQ985" s="22">
        <f t="shared" si="152"/>
        <v>-247531.18955594674</v>
      </c>
      <c r="AR985">
        <f t="shared" si="153"/>
        <v>0</v>
      </c>
      <c r="AS985">
        <f t="shared" si="154"/>
        <v>0</v>
      </c>
      <c r="BJ985">
        <f t="shared" si="127"/>
        <v>3.4941056884085016E-4</v>
      </c>
      <c r="BK985">
        <f t="shared" si="129"/>
        <v>6.2190347977322005E-5</v>
      </c>
      <c r="BO985">
        <f t="shared" si="130"/>
        <v>8.9963908281090238E-5</v>
      </c>
      <c r="BP985">
        <f t="shared" si="128"/>
        <v>1.7971638750110468</v>
      </c>
    </row>
    <row r="986" spans="1:68" x14ac:dyDescent="0.15">
      <c r="A986" s="5">
        <v>45001</v>
      </c>
      <c r="B986" s="1"/>
      <c r="C986">
        <v>109.74</v>
      </c>
      <c r="D986">
        <v>90.18</v>
      </c>
      <c r="E986">
        <v>72.970505000000003</v>
      </c>
      <c r="G986" s="3">
        <v>1.9275282360026801E-2</v>
      </c>
      <c r="I986" s="15">
        <f t="shared" si="131"/>
        <v>2.3312196941439763E-2</v>
      </c>
      <c r="J986" s="15">
        <f t="shared" si="132"/>
        <v>3.6551724137931112E-2</v>
      </c>
      <c r="K986" s="15">
        <f t="shared" si="133"/>
        <v>2.0140470007910031E-2</v>
      </c>
      <c r="L986" s="32">
        <f t="shared" si="134"/>
        <v>286947.64229836827</v>
      </c>
      <c r="M986" s="15"/>
      <c r="N986" s="32">
        <f t="shared" si="135"/>
        <v>-3292200</v>
      </c>
      <c r="O986" s="34">
        <f t="shared" si="136"/>
        <v>-0.37366657314119134</v>
      </c>
      <c r="P986" s="34">
        <f t="shared" si="137"/>
        <v>0.71648369163814019</v>
      </c>
      <c r="Q986" s="34">
        <f t="shared" si="138"/>
        <v>0.66257550680352761</v>
      </c>
      <c r="R986" s="35" cm="1">
        <f t="array" ref="R986">SQRT(MMULT(O986:Q986, MMULT($AU$32:$AW$34,TRANSPOSE(O986:Q986))))</f>
        <v>1.3977991701099155E-2</v>
      </c>
      <c r="S986" s="36" cm="1">
        <f t="array" ref="S986:U986">TRANSPOSE(MMULT($AU$32:$AW$34, TRANSPOSE(O986:Q986))/MMULT(O986:Q986, MMULT($AU$32:$AW$34,TRANSPOSE(O986:Q986))))</f>
        <v>0.12564317971159605</v>
      </c>
      <c r="T986" s="36">
        <v>1.0101395711544081</v>
      </c>
      <c r="U986" s="36">
        <v>0.487793653813338</v>
      </c>
      <c r="V986" s="35">
        <f t="shared" si="143"/>
        <v>4.0920376233085712E-3</v>
      </c>
      <c r="W986" s="35">
        <f t="shared" si="144"/>
        <v>3.2898953524137256E-2</v>
      </c>
      <c r="X986" s="35">
        <f t="shared" si="145"/>
        <v>1.5886815252504398E-2</v>
      </c>
      <c r="Y986" s="32">
        <f t="shared" si="146"/>
        <v>-13471.806263456478</v>
      </c>
      <c r="Z986" s="32">
        <f t="shared" si="139"/>
        <v>207677.93401646888</v>
      </c>
      <c r="AA986" s="32">
        <f t="shared" si="140"/>
        <v>92741.51454535588</v>
      </c>
      <c r="AB986" s="40">
        <f t="shared" si="147"/>
        <v>-4.6948656401394957E-2</v>
      </c>
      <c r="AC986" s="40">
        <f t="shared" si="148"/>
        <v>0.72374852901047804</v>
      </c>
      <c r="AD986" s="40">
        <f t="shared" si="149"/>
        <v>0.32320012739091691</v>
      </c>
      <c r="AE986" s="40"/>
      <c r="AF986" s="40"/>
      <c r="AG986" s="40"/>
      <c r="AH986" s="40"/>
      <c r="AI986" s="40"/>
      <c r="AJ986" s="40"/>
      <c r="AK986" s="33">
        <f t="shared" si="141"/>
        <v>6312600.0000000009</v>
      </c>
      <c r="AL986" s="33">
        <f t="shared" si="142"/>
        <v>5837640.4000000004</v>
      </c>
      <c r="AM986" s="34"/>
      <c r="AN986" s="33"/>
      <c r="AO986" s="15" cm="1">
        <f t="array" ref="AO986">SUMPRODUCT(I986:K986, TRANSPOSE($AY$5:$AY$7))</f>
        <v>2.9677313537540301E-2</v>
      </c>
      <c r="AP986" s="22">
        <f t="shared" si="151"/>
        <v>8810528.5209871568</v>
      </c>
      <c r="AQ986" s="22">
        <f t="shared" si="152"/>
        <v>253936.65948652104</v>
      </c>
      <c r="AR986">
        <f t="shared" si="153"/>
        <v>0</v>
      </c>
      <c r="AS986">
        <f t="shared" si="154"/>
        <v>0</v>
      </c>
      <c r="BJ986">
        <f t="shared" si="127"/>
        <v>3.7153651005876037E-4</v>
      </c>
      <c r="BK986">
        <f t="shared" si="129"/>
        <v>7.9423561229133711E-5</v>
      </c>
      <c r="BO986">
        <f t="shared" si="130"/>
        <v>1.2626872850682417E-4</v>
      </c>
      <c r="BP986">
        <f t="shared" si="128"/>
        <v>2.0983970684786621</v>
      </c>
    </row>
    <row r="987" spans="1:68" x14ac:dyDescent="0.15">
      <c r="A987" s="5">
        <v>45002</v>
      </c>
      <c r="B987" s="1"/>
      <c r="C987">
        <v>109.34</v>
      </c>
      <c r="D987">
        <v>87.96</v>
      </c>
      <c r="E987">
        <v>72.259659999999997</v>
      </c>
      <c r="G987" s="3">
        <v>-9.847142317100481E-3</v>
      </c>
      <c r="I987" s="15">
        <f t="shared" si="131"/>
        <v>-3.6449790413704344E-3</v>
      </c>
      <c r="J987" s="15">
        <f t="shared" si="132"/>
        <v>-2.461743180306069E-2</v>
      </c>
      <c r="K987" s="15">
        <f t="shared" si="133"/>
        <v>-9.7415387217068897E-3</v>
      </c>
      <c r="L987" s="32">
        <f t="shared" si="134"/>
        <v>280986.37681022316</v>
      </c>
      <c r="M987" s="15"/>
      <c r="N987" s="32">
        <f t="shared" si="135"/>
        <v>-3280200</v>
      </c>
      <c r="O987" s="34">
        <f t="shared" si="136"/>
        <v>-0.38064977259764032</v>
      </c>
      <c r="P987" s="34">
        <f t="shared" si="137"/>
        <v>0.71451032858916863</v>
      </c>
      <c r="Q987" s="34">
        <f t="shared" si="138"/>
        <v>0.67082795310000132</v>
      </c>
      <c r="R987" s="35" cm="1">
        <f t="array" ref="R987">SQRT(MMULT(O987:Q987, MMULT($AU$32:$AW$34,TRANSPOSE(O987:Q987))))</f>
        <v>1.3994410007429977E-2</v>
      </c>
      <c r="S987" s="36" cm="1">
        <f t="array" ref="S987:U987">TRANSPOSE(MMULT($AU$32:$AW$34, TRANSPOSE(O987:Q987))/MMULT(O987:Q987, MMULT($AU$32:$AW$34,TRANSPOSE(O987:Q987))))</f>
        <v>0.1229811592344046</v>
      </c>
      <c r="T987" s="36">
        <v>1.0058316302604771</v>
      </c>
      <c r="U987" s="36">
        <v>0.48915025102518672</v>
      </c>
      <c r="V987" s="35">
        <f t="shared" si="143"/>
        <v>4.010043623650629E-3</v>
      </c>
      <c r="W987" s="35">
        <f t="shared" si="144"/>
        <v>3.2797127141274911E-2</v>
      </c>
      <c r="X987" s="35">
        <f t="shared" si="145"/>
        <v>1.5949710161635159E-2</v>
      </c>
      <c r="Y987" s="32">
        <f t="shared" si="146"/>
        <v>-13153.745094298793</v>
      </c>
      <c r="Z987" s="32">
        <f t="shared" si="139"/>
        <v>201938.47123425789</v>
      </c>
      <c r="AA987" s="32">
        <f t="shared" si="140"/>
        <v>92201.650670264135</v>
      </c>
      <c r="AB987" s="40">
        <f t="shared" si="147"/>
        <v>-4.6812750296370303E-2</v>
      </c>
      <c r="AC987" s="40">
        <f t="shared" si="148"/>
        <v>0.71867708864279267</v>
      </c>
      <c r="AD987" s="40">
        <f t="shared" si="149"/>
        <v>0.32813566165357788</v>
      </c>
      <c r="AE987" s="40"/>
      <c r="AF987" s="40"/>
      <c r="AG987" s="40"/>
      <c r="AH987" s="40"/>
      <c r="AI987" s="40"/>
      <c r="AJ987" s="40"/>
      <c r="AK987" s="33">
        <f t="shared" si="141"/>
        <v>6157200</v>
      </c>
      <c r="AL987" s="33">
        <f t="shared" si="142"/>
        <v>5780772.7999999998</v>
      </c>
      <c r="AM987" s="34"/>
      <c r="AN987" s="33"/>
      <c r="AO987" s="15" cm="1">
        <f t="array" ref="AO987">SUMPRODUCT(I987:K987, TRANSPOSE($AY$5:$AY$7))</f>
        <v>-2.1923581425150343E-2</v>
      </c>
      <c r="AP987" s="22">
        <f t="shared" si="151"/>
        <v>8617370.1815586854</v>
      </c>
      <c r="AQ987" s="22">
        <f t="shared" si="152"/>
        <v>-193158.3394284714</v>
      </c>
      <c r="AR987">
        <f t="shared" si="153"/>
        <v>0</v>
      </c>
      <c r="AS987">
        <f t="shared" si="154"/>
        <v>0</v>
      </c>
      <c r="BJ987">
        <f t="shared" si="127"/>
        <v>9.6966211813231024E-5</v>
      </c>
      <c r="BK987">
        <f t="shared" si="129"/>
        <v>9.6950338158911326E-5</v>
      </c>
      <c r="BO987">
        <f t="shared" si="130"/>
        <v>1.5789664124735649E-4</v>
      </c>
      <c r="BP987">
        <f t="shared" si="128"/>
        <v>3.1507904536870464</v>
      </c>
    </row>
    <row r="988" spans="1:68" x14ac:dyDescent="0.15">
      <c r="A988" s="5">
        <v>45005</v>
      </c>
      <c r="B988" s="1"/>
      <c r="C988">
        <v>108.98</v>
      </c>
      <c r="D988">
        <v>89.28</v>
      </c>
      <c r="E988">
        <v>72.733559999999997</v>
      </c>
      <c r="G988" s="3">
        <v>2.8350103947714003E-3</v>
      </c>
      <c r="I988" s="15">
        <f t="shared" si="131"/>
        <v>-3.2924821657215973E-3</v>
      </c>
      <c r="J988" s="15">
        <f t="shared" si="132"/>
        <v>1.5006821282401177E-2</v>
      </c>
      <c r="K988" s="15">
        <f t="shared" si="133"/>
        <v>6.5582926905551515E-3</v>
      </c>
      <c r="L988" s="32">
        <f t="shared" si="134"/>
        <v>284668.05051395256</v>
      </c>
      <c r="M988" s="15"/>
      <c r="N988" s="32">
        <f t="shared" si="135"/>
        <v>-3269400</v>
      </c>
      <c r="O988" s="34">
        <f t="shared" si="136"/>
        <v>-0.37342329829806092</v>
      </c>
      <c r="P988" s="34">
        <f t="shared" si="137"/>
        <v>0.71381484218619984</v>
      </c>
      <c r="Q988" s="34">
        <f t="shared" si="138"/>
        <v>0.66459670574808616</v>
      </c>
      <c r="R988" s="35" cm="1">
        <f t="array" ref="R988">SQRT(MMULT(O988:Q988, MMULT($AU$32:$AW$34,TRANSPOSE(O988:Q988))))</f>
        <v>1.3954560357309747E-2</v>
      </c>
      <c r="S988" s="36" cm="1">
        <f t="array" ref="S988:U988">TRANSPOSE(MMULT($AU$32:$AW$34, TRANSPOSE(O988:Q988))/MMULT(O988:Q988, MMULT($AU$32:$AW$34,TRANSPOSE(O988:Q988))))</f>
        <v>0.12628614395466542</v>
      </c>
      <c r="T988" s="36">
        <v>1.0106706675160604</v>
      </c>
      <c r="U988" s="36">
        <v>0.4901114654233073</v>
      </c>
      <c r="V988" s="35">
        <f t="shared" si="143"/>
        <v>4.1060835501899769E-3</v>
      </c>
      <c r="W988" s="35">
        <f t="shared" si="144"/>
        <v>3.2861073056731874E-2</v>
      </c>
      <c r="X988" s="35">
        <f t="shared" si="145"/>
        <v>1.5935545760717637E-2</v>
      </c>
      <c r="Y988" s="32">
        <f t="shared" si="146"/>
        <v>-13424.429558991111</v>
      </c>
      <c r="Z988" s="32">
        <f t="shared" si="139"/>
        <v>205368.56217535152</v>
      </c>
      <c r="AA988" s="32">
        <f t="shared" si="140"/>
        <v>92723.917897592153</v>
      </c>
      <c r="AB988" s="40">
        <f t="shared" si="147"/>
        <v>-4.7158188404894892E-2</v>
      </c>
      <c r="AC988" s="40">
        <f t="shared" si="148"/>
        <v>0.72143172303519776</v>
      </c>
      <c r="AD988" s="40">
        <f t="shared" si="149"/>
        <v>0.32572646536969707</v>
      </c>
      <c r="AE988" s="40"/>
      <c r="AF988" s="40"/>
      <c r="AG988" s="40"/>
      <c r="AH988" s="40"/>
      <c r="AI988" s="40"/>
      <c r="AJ988" s="40"/>
      <c r="AK988" s="33">
        <f t="shared" si="141"/>
        <v>6249600</v>
      </c>
      <c r="AL988" s="33">
        <f t="shared" si="142"/>
        <v>5818684.7999999998</v>
      </c>
      <c r="AM988" s="34"/>
      <c r="AN988" s="33"/>
      <c r="AO988" s="15" cm="1">
        <f t="array" ref="AO988">SUMPRODUCT(I988:K988, TRANSPOSE($AY$5:$AY$7))</f>
        <v>1.5995766035862006E-2</v>
      </c>
      <c r="AP988" s="22">
        <f t="shared" si="151"/>
        <v>8755211.6188273113</v>
      </c>
      <c r="AQ988" s="22">
        <f t="shared" si="152"/>
        <v>137841.43726862594</v>
      </c>
      <c r="AR988">
        <f t="shared" si="153"/>
        <v>0</v>
      </c>
      <c r="AS988">
        <f t="shared" si="154"/>
        <v>0</v>
      </c>
      <c r="BJ988">
        <f t="shared" si="127"/>
        <v>8.0372839384618905E-6</v>
      </c>
      <c r="BK988">
        <f t="shared" si="129"/>
        <v>9.6951290578170508E-5</v>
      </c>
      <c r="BO988">
        <f t="shared" si="130"/>
        <v>1.4360055237477897E-4</v>
      </c>
      <c r="BP988">
        <f t="shared" si="128"/>
        <v>3.4773141298801797</v>
      </c>
    </row>
    <row r="989" spans="1:68" x14ac:dyDescent="0.15">
      <c r="A989" s="5">
        <v>45006</v>
      </c>
      <c r="B989" s="1"/>
      <c r="C989">
        <v>107.94</v>
      </c>
      <c r="D989">
        <v>92.78</v>
      </c>
      <c r="E989">
        <v>72.875725000000003</v>
      </c>
      <c r="G989" s="3">
        <v>1.3993789209452601E-2</v>
      </c>
      <c r="I989" s="15">
        <f t="shared" si="131"/>
        <v>-9.5430354193430551E-3</v>
      </c>
      <c r="J989" s="15">
        <f t="shared" si="132"/>
        <v>3.9202508960573479E-2</v>
      </c>
      <c r="K989" s="15">
        <f t="shared" si="133"/>
        <v>1.9545997748495422E-3</v>
      </c>
      <c r="L989" s="32">
        <f t="shared" si="134"/>
        <v>293059.21960694168</v>
      </c>
      <c r="M989" s="15"/>
      <c r="N989" s="32">
        <f t="shared" si="135"/>
        <v>-3238200</v>
      </c>
      <c r="O989" s="34">
        <f t="shared" si="136"/>
        <v>-0.35874861381771889</v>
      </c>
      <c r="P989" s="34">
        <f t="shared" si="137"/>
        <v>0.7195135406400337</v>
      </c>
      <c r="Q989" s="34">
        <f t="shared" si="138"/>
        <v>0.64589130565650754</v>
      </c>
      <c r="R989" s="35" cm="1">
        <f t="array" ref="R989">SQRT(MMULT(O989:Q989, MMULT($AU$32:$AW$34,TRANSPOSE(O989:Q989))))</f>
        <v>1.3934328057591049E-2</v>
      </c>
      <c r="S989" s="36" cm="1">
        <f t="array" ref="S989:U989">TRANSPOSE(MMULT($AU$32:$AW$34, TRANSPOSE(O989:Q989))/MMULT(O989:Q989, MMULT($AU$32:$AW$34,TRANSPOSE(O989:Q989))))</f>
        <v>0.13157499766037151</v>
      </c>
      <c r="T989" s="36">
        <v>1.0193704581292322</v>
      </c>
      <c r="U989" s="36">
        <v>0.48576517089419907</v>
      </c>
      <c r="V989" s="35">
        <f t="shared" si="143"/>
        <v>4.2718433930729917E-3</v>
      </c>
      <c r="W989" s="35">
        <f t="shared" si="144"/>
        <v>3.3095884735589776E-2</v>
      </c>
      <c r="X989" s="35">
        <f t="shared" si="145"/>
        <v>1.577133021294631E-2</v>
      </c>
      <c r="Y989" s="32">
        <f t="shared" si="146"/>
        <v>-13833.083275448962</v>
      </c>
      <c r="Z989" s="32">
        <f t="shared" si="139"/>
        <v>214944.53300376135</v>
      </c>
      <c r="AA989" s="32">
        <f t="shared" si="140"/>
        <v>91947.769878629333</v>
      </c>
      <c r="AB989" s="40">
        <f t="shared" si="147"/>
        <v>-4.7202348023727893E-2</v>
      </c>
      <c r="AC989" s="40">
        <f t="shared" si="148"/>
        <v>0.73345084755241718</v>
      </c>
      <c r="AD989" s="40">
        <f t="shared" si="149"/>
        <v>0.31375150047131078</v>
      </c>
      <c r="AE989" s="40"/>
      <c r="AF989" s="40"/>
      <c r="AG989" s="40"/>
      <c r="AH989" s="40"/>
      <c r="AI989" s="40"/>
      <c r="AJ989" s="40"/>
      <c r="AK989" s="33">
        <f t="shared" si="141"/>
        <v>6494600</v>
      </c>
      <c r="AL989" s="33">
        <f t="shared" si="142"/>
        <v>5830058</v>
      </c>
      <c r="AM989" s="34"/>
      <c r="AN989" s="33"/>
      <c r="AO989" s="15" cm="1">
        <f t="array" ref="AO989">SUMPRODUCT(I989:K989, TRANSPOSE($AY$5:$AY$7))</f>
        <v>3.0971806692251976E-2</v>
      </c>
      <c r="AP989" s="22">
        <f t="shared" si="151"/>
        <v>9026376.3406353891</v>
      </c>
      <c r="AQ989" s="22">
        <f t="shared" si="152"/>
        <v>271164.72180807777</v>
      </c>
      <c r="AR989">
        <f t="shared" si="153"/>
        <v>0</v>
      </c>
      <c r="AS989">
        <f t="shared" si="154"/>
        <v>0</v>
      </c>
      <c r="BJ989">
        <f t="shared" si="127"/>
        <v>1.9582613643859205E-4</v>
      </c>
      <c r="BK989">
        <f t="shared" si="129"/>
        <v>9.1616450179787977E-5</v>
      </c>
      <c r="BO989">
        <f t="shared" si="130"/>
        <v>1.1972172836935446E-4</v>
      </c>
      <c r="BP989">
        <f t="shared" si="128"/>
        <v>2.7783929397821283</v>
      </c>
    </row>
    <row r="990" spans="1:68" x14ac:dyDescent="0.15">
      <c r="A990" s="5">
        <v>45007</v>
      </c>
      <c r="B990" s="1"/>
      <c r="C990">
        <v>109.66</v>
      </c>
      <c r="D990">
        <v>92.62</v>
      </c>
      <c r="E990">
        <v>72.22175</v>
      </c>
      <c r="G990" s="3">
        <v>-9.5466091285933909E-4</v>
      </c>
      <c r="I990" s="15">
        <f t="shared" si="131"/>
        <v>1.5934778580692966E-2</v>
      </c>
      <c r="J990" s="15">
        <f t="shared" si="132"/>
        <v>-1.7245095925845721E-3</v>
      </c>
      <c r="K990" s="15">
        <f t="shared" si="133"/>
        <v>-8.9738386822224084E-3</v>
      </c>
      <c r="L990" s="32">
        <f t="shared" si="134"/>
        <v>291650.37587067613</v>
      </c>
      <c r="M990" s="15"/>
      <c r="N990" s="32">
        <f t="shared" si="135"/>
        <v>-3289800</v>
      </c>
      <c r="O990" s="34">
        <f t="shared" si="136"/>
        <v>-0.3696514069251926</v>
      </c>
      <c r="P990" s="34">
        <f t="shared" si="137"/>
        <v>0.72849350466861018</v>
      </c>
      <c r="Q990" s="34">
        <f t="shared" si="138"/>
        <v>0.64920351384520714</v>
      </c>
      <c r="R990" s="35" cm="1">
        <f t="array" ref="R990">SQRT(MMULT(O990:Q990, MMULT($AU$32:$AW$34,TRANSPOSE(O990:Q990))))</f>
        <v>1.4064668054602986E-2</v>
      </c>
      <c r="S990" s="36" cm="1">
        <f t="array" ref="S990:U990">TRANSPOSE(MMULT($AU$32:$AW$34, TRANSPOSE(O990:Q990))/MMULT(O990:Q990, MMULT($AU$32:$AW$34,TRANSPOSE(O990:Q990))))</f>
        <v>0.12508116431636904</v>
      </c>
      <c r="T990" s="36">
        <v>1.0104362628942043</v>
      </c>
      <c r="U990" s="36">
        <v>0.4777241147885764</v>
      </c>
      <c r="V990" s="35">
        <f t="shared" si="143"/>
        <v>4.0989943804636492E-3</v>
      </c>
      <c r="W990" s="35">
        <f t="shared" si="144"/>
        <v>3.3112679963101459E-2</v>
      </c>
      <c r="X990" s="35">
        <f t="shared" si="145"/>
        <v>1.5655342454100288E-2</v>
      </c>
      <c r="Y990" s="32">
        <f t="shared" si="146"/>
        <v>-13484.871712849314</v>
      </c>
      <c r="Z990" s="32">
        <f t="shared" si="139"/>
        <v>214682.74927277199</v>
      </c>
      <c r="AA990" s="32">
        <f t="shared" si="140"/>
        <v>90452.498310753392</v>
      </c>
      <c r="AB990" s="40">
        <f t="shared" si="147"/>
        <v>-4.623642836938701E-2</v>
      </c>
      <c r="AC990" s="40">
        <f t="shared" si="148"/>
        <v>0.736096254400052</v>
      </c>
      <c r="AD990" s="40">
        <f t="shared" si="149"/>
        <v>0.31014017396933485</v>
      </c>
      <c r="AE990" s="40"/>
      <c r="AF990" s="40"/>
      <c r="AG990" s="40"/>
      <c r="AH990" s="40"/>
      <c r="AI990" s="40"/>
      <c r="AJ990" s="40"/>
      <c r="AK990" s="33">
        <f t="shared" si="141"/>
        <v>6483400</v>
      </c>
      <c r="AL990" s="33">
        <f t="shared" si="142"/>
        <v>5777740</v>
      </c>
      <c r="AM990" s="34"/>
      <c r="AN990" s="33"/>
      <c r="AO990" s="15" cm="1">
        <f t="array" ref="AO990">SUMPRODUCT(I990:K990, TRANSPOSE($AY$5:$AY$7))</f>
        <v>-1.403001120243905E-2</v>
      </c>
      <c r="AP990" s="22">
        <f t="shared" si="151"/>
        <v>8899736.1794588435</v>
      </c>
      <c r="AQ990" s="22">
        <f t="shared" si="152"/>
        <v>-126640.16117654555</v>
      </c>
      <c r="AR990">
        <f t="shared" si="153"/>
        <v>0</v>
      </c>
      <c r="AS990">
        <f t="shared" si="154"/>
        <v>0</v>
      </c>
      <c r="BJ990">
        <f t="shared" si="127"/>
        <v>9.1137745854142657E-7</v>
      </c>
      <c r="BK990">
        <f t="shared" si="129"/>
        <v>9.7869031355316219E-5</v>
      </c>
      <c r="BO990">
        <f t="shared" si="130"/>
        <v>1.2773660842464217E-4</v>
      </c>
      <c r="BP990">
        <f t="shared" si="128"/>
        <v>3.5602641381721813</v>
      </c>
    </row>
    <row r="991" spans="1:68" x14ac:dyDescent="0.15">
      <c r="A991" s="5">
        <v>45008</v>
      </c>
      <c r="B991" s="1"/>
      <c r="C991">
        <v>109.64</v>
      </c>
      <c r="D991">
        <v>91.26</v>
      </c>
      <c r="E991">
        <v>71.842635999999999</v>
      </c>
      <c r="G991" s="3">
        <v>-5.9118234402561996E-3</v>
      </c>
      <c r="I991" s="15">
        <f t="shared" si="131"/>
        <v>-1.8238190771471843E-4</v>
      </c>
      <c r="J991" s="15">
        <f t="shared" si="132"/>
        <v>-1.4683653638522991E-2</v>
      </c>
      <c r="K991" s="15">
        <f t="shared" si="133"/>
        <v>-5.2493050916102325E-3</v>
      </c>
      <c r="L991" s="32">
        <f t="shared" si="134"/>
        <v>288028.10867782356</v>
      </c>
      <c r="M991" s="15"/>
      <c r="N991" s="32">
        <f t="shared" si="135"/>
        <v>-3289200</v>
      </c>
      <c r="O991" s="34">
        <f t="shared" si="136"/>
        <v>-0.37462210853058325</v>
      </c>
      <c r="P991" s="34">
        <f t="shared" si="137"/>
        <v>0.72758146470724561</v>
      </c>
      <c r="Q991" s="34">
        <f t="shared" si="138"/>
        <v>0.65459904610762953</v>
      </c>
      <c r="R991" s="35" cm="1">
        <f t="array" ref="R991">SQRT(MMULT(O991:Q991, MMULT($AU$32:$AW$34,TRANSPOSE(O991:Q991))))</f>
        <v>1.407933277655762E-2</v>
      </c>
      <c r="S991" s="36" cm="1">
        <f t="array" ref="S991:U991">TRANSPOSE(MMULT($AU$32:$AW$34, TRANSPOSE(O991:Q991))/MMULT(O991:Q991, MMULT($AU$32:$AW$34,TRANSPOSE(O991:Q991))))</f>
        <v>0.12311151591905868</v>
      </c>
      <c r="T991" s="36">
        <v>1.0074709372664055</v>
      </c>
      <c r="U991" s="36">
        <v>0.47831281966188627</v>
      </c>
      <c r="V991" s="35">
        <f t="shared" si="143"/>
        <v>4.038654242914593E-3</v>
      </c>
      <c r="W991" s="35">
        <f t="shared" si="144"/>
        <v>3.3049928311168021E-2</v>
      </c>
      <c r="X991" s="35">
        <f t="shared" si="145"/>
        <v>1.5690978087199964E-2</v>
      </c>
      <c r="Y991" s="32">
        <f t="shared" si="146"/>
        <v>-13283.94153579468</v>
      </c>
      <c r="Z991" s="32">
        <f t="shared" si="139"/>
        <v>211129.55203740354</v>
      </c>
      <c r="AA991" s="32">
        <f t="shared" si="140"/>
        <v>90182.498176214664</v>
      </c>
      <c r="AB991" s="40">
        <f t="shared" si="147"/>
        <v>-4.6120295677994236E-2</v>
      </c>
      <c r="AC991" s="40">
        <f t="shared" si="148"/>
        <v>0.73301718018627271</v>
      </c>
      <c r="AD991" s="40">
        <f t="shared" si="149"/>
        <v>0.31310311549172137</v>
      </c>
      <c r="AE991" s="40"/>
      <c r="AF991" s="40"/>
      <c r="AG991" s="40"/>
      <c r="AH991" s="40"/>
      <c r="AI991" s="40"/>
      <c r="AJ991" s="40"/>
      <c r="AK991" s="33">
        <f t="shared" si="141"/>
        <v>6388200</v>
      </c>
      <c r="AL991" s="33">
        <f t="shared" si="142"/>
        <v>5747410.8799999999</v>
      </c>
      <c r="AM991" s="34"/>
      <c r="AN991" s="33"/>
      <c r="AO991" s="15" cm="1">
        <f t="array" ref="AO991">SUMPRODUCT(I991:K991, TRANSPOSE($AY$5:$AY$7))</f>
        <v>-1.3448537124348259E-2</v>
      </c>
      <c r="AP991" s="22">
        <f t="shared" si="151"/>
        <v>8780047.747052487</v>
      </c>
      <c r="AQ991" s="22">
        <f t="shared" si="152"/>
        <v>-119688.43240635656</v>
      </c>
      <c r="AR991">
        <f t="shared" si="153"/>
        <v>0</v>
      </c>
      <c r="AS991">
        <f t="shared" si="154"/>
        <v>0</v>
      </c>
      <c r="BJ991">
        <f t="shared" si="127"/>
        <v>3.4949656388762646E-5</v>
      </c>
      <c r="BK991">
        <f t="shared" si="129"/>
        <v>9.2051572121509731E-5</v>
      </c>
      <c r="BO991">
        <f t="shared" si="130"/>
        <v>1.0626351380186807E-4</v>
      </c>
      <c r="BP991">
        <f t="shared" si="128"/>
        <v>3.4914076962543636</v>
      </c>
    </row>
    <row r="992" spans="1:68" x14ac:dyDescent="0.15">
      <c r="A992" s="5">
        <v>45009</v>
      </c>
      <c r="B992" s="1"/>
      <c r="C992">
        <v>109.64</v>
      </c>
      <c r="D992">
        <v>90.68</v>
      </c>
      <c r="E992">
        <v>72.373400000000004</v>
      </c>
      <c r="G992" s="3">
        <v>-7.88384073163295E-3</v>
      </c>
      <c r="I992" s="15">
        <f t="shared" si="131"/>
        <v>0</v>
      </c>
      <c r="J992" s="15">
        <f t="shared" si="132"/>
        <v>-6.3554678939294132E-3</v>
      </c>
      <c r="K992" s="15">
        <f t="shared" si="133"/>
        <v>7.3878692313016593E-3</v>
      </c>
      <c r="L992" s="32">
        <f t="shared" si="134"/>
        <v>287356.12994504365</v>
      </c>
      <c r="M992" s="15"/>
      <c r="N992" s="32">
        <f t="shared" si="135"/>
        <v>-3289200</v>
      </c>
      <c r="O992" s="34">
        <f t="shared" si="136"/>
        <v>-0.37414802749710557</v>
      </c>
      <c r="P992" s="34">
        <f t="shared" si="137"/>
        <v>0.72204244781120863</v>
      </c>
      <c r="Q992" s="34">
        <f t="shared" si="138"/>
        <v>0.65860062880357584</v>
      </c>
      <c r="R992" s="35" cm="1">
        <f t="array" ref="R992">SQRT(MMULT(O992:Q992, MMULT($AU$32:$AW$34,TRANSPOSE(O992:Q992))))</f>
        <v>1.4028709540253734E-2</v>
      </c>
      <c r="S992" s="36" cm="1">
        <f t="array" ref="S992:U992">TRANSPOSE(MMULT($AU$32:$AW$34, TRANSPOSE(O992:Q992))/MMULT(O992:Q992, MMULT($AU$32:$AW$34,TRANSPOSE(O992:Q992))))</f>
        <v>0.12437300697528407</v>
      </c>
      <c r="T992" s="36">
        <v>1.0088171937252144</v>
      </c>
      <c r="U992" s="36">
        <v>0.48303184869441934</v>
      </c>
      <c r="V992" s="35">
        <f t="shared" si="143"/>
        <v>4.0653671995448141E-3</v>
      </c>
      <c r="W992" s="35">
        <f t="shared" si="144"/>
        <v>3.2975099898664852E-2</v>
      </c>
      <c r="X992" s="35">
        <f t="shared" si="145"/>
        <v>1.5788810464380111E-2</v>
      </c>
      <c r="Y992" s="32">
        <f t="shared" si="146"/>
        <v>-13371.805792742802</v>
      </c>
      <c r="Z992" s="32">
        <f t="shared" si="139"/>
        <v>209312.74411676504</v>
      </c>
      <c r="AA992" s="32">
        <f t="shared" si="140"/>
        <v>91415.191621021397</v>
      </c>
      <c r="AB992" s="40">
        <f t="shared" si="147"/>
        <v>-4.6533915233686281E-2</v>
      </c>
      <c r="AC992" s="40">
        <f t="shared" si="148"/>
        <v>0.72840883595138806</v>
      </c>
      <c r="AD992" s="40">
        <f t="shared" si="149"/>
        <v>0.31812507928229822</v>
      </c>
      <c r="AE992" s="40"/>
      <c r="AF992" s="40"/>
      <c r="AG992" s="40"/>
      <c r="AH992" s="40"/>
      <c r="AI992" s="40"/>
      <c r="AJ992" s="40"/>
      <c r="AK992" s="33">
        <f t="shared" si="141"/>
        <v>6347600.0000000009</v>
      </c>
      <c r="AL992" s="33">
        <f t="shared" si="142"/>
        <v>5789872</v>
      </c>
      <c r="AM992" s="34"/>
      <c r="AN992" s="33"/>
      <c r="AO992" s="15" cm="1">
        <f t="array" ref="AO992">SUMPRODUCT(I992:K992, TRANSPOSE($AY$5:$AY$7))</f>
        <v>1.2670948358304134E-3</v>
      </c>
      <c r="AP992" s="22">
        <f t="shared" si="151"/>
        <v>8791172.9002111219</v>
      </c>
      <c r="AQ992" s="22">
        <f t="shared" si="152"/>
        <v>11125.153158634901</v>
      </c>
      <c r="AR992">
        <f t="shared" si="153"/>
        <v>0</v>
      </c>
      <c r="AS992">
        <f t="shared" si="154"/>
        <v>0</v>
      </c>
      <c r="BJ992">
        <f t="shared" si="127"/>
        <v>6.2154944681754766E-5</v>
      </c>
      <c r="BK992">
        <f t="shared" si="129"/>
        <v>8.8625457177544898E-5</v>
      </c>
      <c r="BO992">
        <f t="shared" si="130"/>
        <v>9.4268211312111485E-5</v>
      </c>
      <c r="BP992">
        <f t="shared" si="128"/>
        <v>3.3860739757929221</v>
      </c>
    </row>
    <row r="993" spans="1:68" x14ac:dyDescent="0.15">
      <c r="A993" s="5">
        <v>45012</v>
      </c>
      <c r="B993" s="1"/>
      <c r="C993">
        <v>109.54</v>
      </c>
      <c r="D993">
        <v>91.84</v>
      </c>
      <c r="E993">
        <v>77.955894000000001</v>
      </c>
      <c r="G993" s="3">
        <v>1.4311458727142901E-2</v>
      </c>
      <c r="I993" s="15">
        <f t="shared" si="131"/>
        <v>-9.1207588471355636E-4</v>
      </c>
      <c r="J993" s="15">
        <f t="shared" si="132"/>
        <v>1.2792236435818224E-2</v>
      </c>
      <c r="K993" s="15">
        <f t="shared" si="133"/>
        <v>7.7134610229725245E-2</v>
      </c>
      <c r="L993" s="32">
        <f t="shared" si="134"/>
        <v>297214.85324022704</v>
      </c>
      <c r="M993" s="15"/>
      <c r="N993" s="32">
        <f t="shared" si="135"/>
        <v>-3286200</v>
      </c>
      <c r="O993" s="34">
        <f t="shared" si="136"/>
        <v>-0.35078990724975229</v>
      </c>
      <c r="P993" s="34">
        <f t="shared" si="137"/>
        <v>0.68625103637246887</v>
      </c>
      <c r="Q993" s="34">
        <f t="shared" si="138"/>
        <v>0.66572067009510127</v>
      </c>
      <c r="R993" s="35" cm="1">
        <f t="array" ref="R993">SQRT(MMULT(O993:Q993, MMULT($AU$32:$AW$34,TRANSPOSE(O993:Q993))))</f>
        <v>1.3616568858951583E-2</v>
      </c>
      <c r="S993" s="36" cm="1">
        <f t="array" ref="S993:U993">TRANSPOSE(MMULT($AU$32:$AW$34, TRANSPOSE(O993:Q993))/MMULT(O993:Q993, MMULT($AU$32:$AW$34,TRANSPOSE(O993:Q993))))</f>
        <v>0.14227227050864996</v>
      </c>
      <c r="T993" s="36">
        <v>1.0296973458329621</v>
      </c>
      <c r="U993" s="36">
        <v>0.51564690908433342</v>
      </c>
      <c r="V993" s="35">
        <f t="shared" si="143"/>
        <v>4.5138161916739748E-3</v>
      </c>
      <c r="W993" s="35">
        <f t="shared" si="144"/>
        <v>3.2668801415255105E-2</v>
      </c>
      <c r="X993" s="35">
        <f t="shared" si="145"/>
        <v>1.6359726031574026E-2</v>
      </c>
      <c r="Y993" s="32">
        <f t="shared" si="146"/>
        <v>-14833.302769079017</v>
      </c>
      <c r="Z993" s="32">
        <f t="shared" si="139"/>
        <v>210021.19053839202</v>
      </c>
      <c r="AA993" s="32">
        <f t="shared" si="140"/>
        <v>102026.96547091404</v>
      </c>
      <c r="AB993" s="40">
        <f t="shared" si="147"/>
        <v>-4.9907676575940987E-2</v>
      </c>
      <c r="AC993" s="40">
        <f t="shared" si="148"/>
        <v>0.7066308707278508</v>
      </c>
      <c r="AD993" s="40">
        <f t="shared" si="149"/>
        <v>0.34327680584809023</v>
      </c>
      <c r="AE993" s="40"/>
      <c r="AF993" s="40"/>
      <c r="AG993" s="40"/>
      <c r="AH993" s="40"/>
      <c r="AI993" s="40"/>
      <c r="AJ993" s="40"/>
      <c r="AK993" s="33">
        <f t="shared" si="141"/>
        <v>6428800</v>
      </c>
      <c r="AL993" s="33">
        <f t="shared" si="142"/>
        <v>6236471.5200000005</v>
      </c>
      <c r="AM993" s="34"/>
      <c r="AN993" s="33"/>
      <c r="AO993" s="15" cm="1">
        <f t="array" ref="AO993">SUMPRODUCT(I993:K993, TRANSPOSE($AY$5:$AY$7))</f>
        <v>6.5614398756839581E-2</v>
      </c>
      <c r="AP993" s="22">
        <f t="shared" si="151"/>
        <v>9368000.4244258963</v>
      </c>
      <c r="AQ993" s="22">
        <f t="shared" si="152"/>
        <v>576827.52421477437</v>
      </c>
      <c r="AR993">
        <f t="shared" si="153"/>
        <v>0</v>
      </c>
      <c r="AS993">
        <f t="shared" si="154"/>
        <v>0</v>
      </c>
      <c r="BJ993">
        <f t="shared" si="127"/>
        <v>2.048178508987147E-4</v>
      </c>
      <c r="BK993">
        <f t="shared" si="129"/>
        <v>8.7037226427797478E-5</v>
      </c>
      <c r="BO993">
        <f t="shared" si="130"/>
        <v>8.8733932406236495E-5</v>
      </c>
      <c r="BP993">
        <f t="shared" si="128"/>
        <v>2.5918832317887079</v>
      </c>
    </row>
    <row r="994" spans="1:68" x14ac:dyDescent="0.15">
      <c r="A994" s="5">
        <v>45013</v>
      </c>
      <c r="B994" s="1"/>
      <c r="C994">
        <v>110.26</v>
      </c>
      <c r="D994">
        <v>92.24</v>
      </c>
      <c r="E994">
        <v>79.112200000000001</v>
      </c>
      <c r="G994" s="3">
        <v>4.9029917762499695E-3</v>
      </c>
      <c r="I994" s="15">
        <f t="shared" si="131"/>
        <v>6.5729413912725835E-3</v>
      </c>
      <c r="J994" s="15">
        <f t="shared" si="132"/>
        <v>4.3554006968640185E-3</v>
      </c>
      <c r="K994" s="15">
        <f t="shared" si="133"/>
        <v>1.4832823288512357E-2</v>
      </c>
      <c r="L994" s="32">
        <f t="shared" si="134"/>
        <v>299547.9769266732</v>
      </c>
      <c r="M994" s="15"/>
      <c r="N994" s="32">
        <f t="shared" si="135"/>
        <v>-3307800</v>
      </c>
      <c r="O994" s="34">
        <f t="shared" si="136"/>
        <v>-0.34918385262884477</v>
      </c>
      <c r="P994" s="34">
        <f t="shared" si="137"/>
        <v>0.68160417789888283</v>
      </c>
      <c r="Q994" s="34">
        <f t="shared" si="138"/>
        <v>0.66811059401278661</v>
      </c>
      <c r="R994" s="35" cm="1">
        <f t="array" ref="R994">SQRT(MMULT(O994:Q994, MMULT($AU$32:$AW$34,TRANSPOSE(O994:Q994))))</f>
        <v>1.3571422758903851E-2</v>
      </c>
      <c r="S994" s="36" cm="1">
        <f t="array" ref="S994:U994">TRANSPOSE(MMULT($AU$32:$AW$34, TRANSPOSE(O994:Q994))/MMULT(O994:Q994, MMULT($AU$32:$AW$34,TRANSPOSE(O994:Q994))))</f>
        <v>0.14406597937888557</v>
      </c>
      <c r="T994" s="36">
        <v>1.0312542033620871</v>
      </c>
      <c r="U994" s="36">
        <v>0.51997130914861023</v>
      </c>
      <c r="V994" s="35">
        <f t="shared" si="143"/>
        <v>4.5555701253904672E-3</v>
      </c>
      <c r="W994" s="35">
        <f t="shared" si="144"/>
        <v>3.2609717164135729E-2</v>
      </c>
      <c r="X994" s="35">
        <f t="shared" si="145"/>
        <v>1.6442228569368597E-2</v>
      </c>
      <c r="Y994" s="32">
        <f t="shared" si="146"/>
        <v>-15068.914860766587</v>
      </c>
      <c r="Z994" s="32">
        <f t="shared" si="139"/>
        <v>210554.42178539158</v>
      </c>
      <c r="AA994" s="32">
        <f t="shared" si="140"/>
        <v>104062.47000204818</v>
      </c>
      <c r="AB994" s="40">
        <f t="shared" si="147"/>
        <v>-5.0305513712266964E-2</v>
      </c>
      <c r="AC994" s="40">
        <f t="shared" si="148"/>
        <v>0.70290717348738263</v>
      </c>
      <c r="AD994" s="40">
        <f t="shared" si="149"/>
        <v>0.34739834022488419</v>
      </c>
      <c r="AE994" s="40"/>
      <c r="AF994" s="40"/>
      <c r="AG994" s="40"/>
      <c r="AH994" s="40"/>
      <c r="AI994" s="40"/>
      <c r="AJ994" s="40"/>
      <c r="AK994" s="33">
        <f t="shared" si="141"/>
        <v>6456800</v>
      </c>
      <c r="AL994" s="33">
        <f t="shared" si="142"/>
        <v>6328976</v>
      </c>
      <c r="AM994" s="34"/>
      <c r="AN994" s="33"/>
      <c r="AO994" s="15" cm="1">
        <f t="array" ref="AO994">SUMPRODUCT(I994:K994, TRANSPOSE($AY$5:$AY$7))</f>
        <v>1.1202626044876192E-2</v>
      </c>
      <c r="AP994" s="22">
        <f t="shared" si="151"/>
        <v>9472946.6299689803</v>
      </c>
      <c r="AQ994" s="22">
        <f t="shared" si="152"/>
        <v>104946.20554308407</v>
      </c>
      <c r="AR994">
        <f t="shared" si="153"/>
        <v>0</v>
      </c>
      <c r="AS994">
        <f t="shared" si="154"/>
        <v>0</v>
      </c>
      <c r="BJ994">
        <f t="shared" si="127"/>
        <v>2.4039328357974831E-5</v>
      </c>
      <c r="BK994">
        <f t="shared" si="129"/>
        <v>9.4104063896052517E-5</v>
      </c>
      <c r="BO994">
        <f t="shared" si="130"/>
        <v>1.0471103929304579E-4</v>
      </c>
      <c r="BP994">
        <f t="shared" si="128"/>
        <v>3.548425578946905</v>
      </c>
    </row>
    <row r="995" spans="1:68" x14ac:dyDescent="0.15">
      <c r="A995" s="5">
        <v>45014</v>
      </c>
      <c r="B995" s="1"/>
      <c r="C995">
        <v>112</v>
      </c>
      <c r="D995">
        <v>93.14</v>
      </c>
      <c r="E995">
        <v>78.666730000000001</v>
      </c>
      <c r="G995" s="3">
        <v>1.1458915540841701E-2</v>
      </c>
      <c r="I995" s="15">
        <f t="shared" si="131"/>
        <v>1.5780881552693585E-2</v>
      </c>
      <c r="J995" s="15">
        <f t="shared" si="132"/>
        <v>9.7571552471813292E-3</v>
      </c>
      <c r="K995" s="15">
        <f t="shared" si="133"/>
        <v>-5.6308635077775646E-3</v>
      </c>
      <c r="L995" s="32">
        <f t="shared" si="134"/>
        <v>300787.18960989633</v>
      </c>
      <c r="M995" s="15"/>
      <c r="N995" s="32">
        <f t="shared" si="135"/>
        <v>-3360000</v>
      </c>
      <c r="O995" s="34">
        <f t="shared" si="136"/>
        <v>-0.35610392824786463</v>
      </c>
      <c r="P995" s="34">
        <f t="shared" si="137"/>
        <v>0.69098999743762735</v>
      </c>
      <c r="Q995" s="34">
        <f t="shared" si="138"/>
        <v>0.66698884703367012</v>
      </c>
      <c r="R995" s="35" cm="1">
        <f t="array" ref="R995">SQRT(MMULT(O995:Q995, MMULT($AU$32:$AW$34,TRANSPOSE(O995:Q995))))</f>
        <v>1.3681726418700106E-2</v>
      </c>
      <c r="S995" s="36" cm="1">
        <f t="array" ref="S995:U995">TRANSPOSE(MMULT($AU$32:$AW$34, TRANSPOSE(O995:Q995))/MMULT(O995:Q995, MMULT($AU$32:$AW$34,TRANSPOSE(O995:Q995))))</f>
        <v>0.13879324906624169</v>
      </c>
      <c r="T995" s="36">
        <v>1.0253900785683927</v>
      </c>
      <c r="U995" s="36">
        <v>0.51108880599771456</v>
      </c>
      <c r="V995" s="35">
        <f t="shared" si="143"/>
        <v>4.4245098415942969E-3</v>
      </c>
      <c r="W995" s="35">
        <f t="shared" si="144"/>
        <v>3.2687818208893618E-2</v>
      </c>
      <c r="X995" s="35">
        <f t="shared" si="145"/>
        <v>1.6292704921017521E-2</v>
      </c>
      <c r="Y995" s="32">
        <f t="shared" si="146"/>
        <v>-14866.353067756838</v>
      </c>
      <c r="Z995" s="32">
        <f t="shared" si="139"/>
        <v>213118.03715834461</v>
      </c>
      <c r="AA995" s="32">
        <f t="shared" si="140"/>
        <v>102535.50551930854</v>
      </c>
      <c r="AB995" s="40">
        <f t="shared" si="147"/>
        <v>-4.942482120677294E-2</v>
      </c>
      <c r="AC995" s="40">
        <f t="shared" si="148"/>
        <v>0.70853428776254213</v>
      </c>
      <c r="AD995" s="40">
        <f t="shared" si="149"/>
        <v>0.34089053344423076</v>
      </c>
      <c r="AE995" s="40"/>
      <c r="AF995" s="40"/>
      <c r="AG995" s="40"/>
      <c r="AH995" s="40"/>
      <c r="AI995" s="40"/>
      <c r="AJ995" s="40"/>
      <c r="AK995" s="33">
        <f t="shared" si="141"/>
        <v>6519800</v>
      </c>
      <c r="AL995" s="33">
        <f t="shared" si="142"/>
        <v>6293338.4000000004</v>
      </c>
      <c r="AM995" s="34"/>
      <c r="AN995" s="33"/>
      <c r="AO995" s="15" cm="1">
        <f t="array" ref="AO995">SUMPRODUCT(I995:K995, TRANSPOSE($AY$5:$AY$7))</f>
        <v>-3.9585258368440316E-3</v>
      </c>
      <c r="AP995" s="22">
        <f t="shared" si="151"/>
        <v>9435447.7259832025</v>
      </c>
      <c r="AQ995" s="22">
        <f t="shared" si="152"/>
        <v>-37498.90398577787</v>
      </c>
      <c r="AR995">
        <f t="shared" si="153"/>
        <v>0</v>
      </c>
      <c r="AS995">
        <f t="shared" si="154"/>
        <v>0</v>
      </c>
      <c r="BJ995">
        <f t="shared" si="127"/>
        <v>1.3130674537214346E-4</v>
      </c>
      <c r="BK995">
        <f t="shared" si="129"/>
        <v>8.9900179763767853E-5</v>
      </c>
      <c r="BO995">
        <f t="shared" si="130"/>
        <v>9.1496632212163188E-5</v>
      </c>
      <c r="BP995">
        <f t="shared" si="128"/>
        <v>3.013116053997277</v>
      </c>
    </row>
    <row r="996" spans="1:68" x14ac:dyDescent="0.15">
      <c r="A996" s="5">
        <v>45015</v>
      </c>
      <c r="B996" s="1"/>
      <c r="C996">
        <v>110.74</v>
      </c>
      <c r="D996">
        <v>93.36</v>
      </c>
      <c r="E996">
        <v>78.998459999999994</v>
      </c>
      <c r="G996" s="3">
        <v>6.2846717819682292E-3</v>
      </c>
      <c r="I996" s="15">
        <f t="shared" si="131"/>
        <v>-1.1250000000000046E-2</v>
      </c>
      <c r="J996" s="15">
        <f t="shared" si="132"/>
        <v>2.36203564526518E-3</v>
      </c>
      <c r="K996" s="15">
        <f t="shared" si="133"/>
        <v>4.2169033846963409E-3</v>
      </c>
      <c r="L996" s="32">
        <f t="shared" si="134"/>
        <v>301893.12620636064</v>
      </c>
      <c r="M996" s="15"/>
      <c r="N996" s="32">
        <f t="shared" si="135"/>
        <v>-3322200</v>
      </c>
      <c r="O996" s="34">
        <f t="shared" si="136"/>
        <v>-0.34892389270109858</v>
      </c>
      <c r="P996" s="34">
        <f t="shared" si="137"/>
        <v>0.68637873203907629</v>
      </c>
      <c r="Q996" s="34">
        <f t="shared" si="138"/>
        <v>0.66376377534385711</v>
      </c>
      <c r="R996" s="35" cm="1">
        <f t="array" ref="R996">SQRT(MMULT(O996:Q996, MMULT($AU$32:$AW$34,TRANSPOSE(O996:Q996))))</f>
        <v>1.3608248732176722E-2</v>
      </c>
      <c r="S996" s="36" cm="1">
        <f t="array" ref="S996:U996">TRANSPOSE(MMULT($AU$32:$AW$34, TRANSPOSE(O996:Q996))/MMULT(O996:Q996, MMULT($AU$32:$AW$34,TRANSPOSE(O996:Q996))))</f>
        <v>0.14310636140369715</v>
      </c>
      <c r="T996" s="36">
        <v>1.0310305589217539</v>
      </c>
      <c r="U996" s="36">
        <v>0.51562889340821894</v>
      </c>
      <c r="V996" s="35">
        <f t="shared" si="143"/>
        <v>4.5375048194522052E-3</v>
      </c>
      <c r="W996" s="35">
        <f t="shared" si="144"/>
        <v>3.2691112290338026E-2</v>
      </c>
      <c r="X996" s="35">
        <f t="shared" si="145"/>
        <v>1.6349158527540871E-2</v>
      </c>
      <c r="Y996" s="32">
        <f t="shared" si="146"/>
        <v>-15074.498511184116</v>
      </c>
      <c r="Z996" s="32">
        <f t="shared" si="139"/>
        <v>213642.95703981706</v>
      </c>
      <c r="AA996" s="32">
        <f t="shared" si="140"/>
        <v>103324.6676777277</v>
      </c>
      <c r="AB996" s="40">
        <f t="shared" si="147"/>
        <v>-4.9933228691268254E-2</v>
      </c>
      <c r="AC996" s="40">
        <f t="shared" si="148"/>
        <v>0.70767744772625363</v>
      </c>
      <c r="AD996" s="40">
        <f t="shared" si="149"/>
        <v>0.34225578096501469</v>
      </c>
      <c r="AE996" s="40"/>
      <c r="AF996" s="40"/>
      <c r="AG996" s="40"/>
      <c r="AH996" s="40"/>
      <c r="AI996" s="40"/>
      <c r="AJ996" s="40"/>
      <c r="AK996" s="33">
        <f t="shared" si="141"/>
        <v>6535200</v>
      </c>
      <c r="AL996" s="33">
        <f t="shared" si="142"/>
        <v>6319876.7999999998</v>
      </c>
      <c r="AM996" s="34"/>
      <c r="AN996" s="33"/>
      <c r="AO996" s="15" cm="1">
        <f t="array" ref="AO996">SUMPRODUCT(I996:K996, TRANSPOSE($AY$5:$AY$7))</f>
        <v>9.0961565555398444E-3</v>
      </c>
      <c r="AP996" s="22">
        <f t="shared" si="151"/>
        <v>9521274.0356703587</v>
      </c>
      <c r="AQ996" s="22">
        <f t="shared" si="152"/>
        <v>85826.30968715623</v>
      </c>
      <c r="AR996">
        <f t="shared" si="153"/>
        <v>0</v>
      </c>
      <c r="AS996">
        <f t="shared" si="154"/>
        <v>0</v>
      </c>
      <c r="BJ996">
        <f t="shared" si="127"/>
        <v>3.949709940706772E-5</v>
      </c>
      <c r="BK996">
        <f t="shared" si="129"/>
        <v>9.2384573700270397E-5</v>
      </c>
      <c r="BO996">
        <f t="shared" si="130"/>
        <v>9.6408576975641231E-5</v>
      </c>
      <c r="BP996">
        <f t="shared" si="128"/>
        <v>3.499676911840492</v>
      </c>
    </row>
    <row r="997" spans="1:68" x14ac:dyDescent="0.15">
      <c r="A997" s="5">
        <v>45016</v>
      </c>
      <c r="B997" s="1"/>
      <c r="C997">
        <v>111.46</v>
      </c>
      <c r="D997">
        <v>93.84</v>
      </c>
      <c r="E997">
        <v>79.387060000000005</v>
      </c>
      <c r="G997" s="3">
        <v>6.7097519601400004E-3</v>
      </c>
      <c r="I997" s="15">
        <f t="shared" si="131"/>
        <v>6.5017157305399939E-3</v>
      </c>
      <c r="J997" s="15">
        <f t="shared" si="132"/>
        <v>5.1413881748072409E-3</v>
      </c>
      <c r="K997" s="15">
        <f t="shared" si="133"/>
        <v>4.9190832327618917E-3</v>
      </c>
      <c r="L997" s="32">
        <f t="shared" si="134"/>
        <v>303401.82979753724</v>
      </c>
      <c r="M997" s="15"/>
      <c r="N997" s="32">
        <f t="shared" si="135"/>
        <v>-3343800</v>
      </c>
      <c r="O997" s="34">
        <f t="shared" si="136"/>
        <v>-0.34963968129451456</v>
      </c>
      <c r="P997" s="34">
        <f t="shared" si="137"/>
        <v>0.68685720990711385</v>
      </c>
      <c r="Q997" s="34">
        <f t="shared" si="138"/>
        <v>0.66407958268577094</v>
      </c>
      <c r="R997" s="35" cm="1">
        <f t="array" ref="R997">SQRT(MMULT(O997:Q997, MMULT($AU$32:$AW$34,TRANSPOSE(O997:Q997))))</f>
        <v>1.3615785370578034E-2</v>
      </c>
      <c r="S997" s="36" cm="1">
        <f t="array" ref="S997:U997">TRANSPOSE(MMULT($AU$32:$AW$34, TRANSPOSE(O997:Q997))/MMULT(O997:Q997, MMULT($AU$32:$AW$34,TRANSPOSE(O997:Q997))))</f>
        <v>0.14267057159123267</v>
      </c>
      <c r="T997" s="36">
        <v>1.0304573325079951</v>
      </c>
      <c r="U997" s="36">
        <v>0.51515850474260694</v>
      </c>
      <c r="V997" s="35">
        <f t="shared" si="143"/>
        <v>4.5261924838575149E-3</v>
      </c>
      <c r="W997" s="35">
        <f t="shared" si="144"/>
        <v>3.2691032084013631E-2</v>
      </c>
      <c r="X997" s="35">
        <f t="shared" si="145"/>
        <v>1.6343290183499556E-2</v>
      </c>
      <c r="Y997" s="32">
        <f t="shared" si="146"/>
        <v>-15134.682427522759</v>
      </c>
      <c r="Z997" s="32">
        <f t="shared" si="139"/>
        <v>214740.85155346873</v>
      </c>
      <c r="AA997" s="32">
        <f t="shared" si="140"/>
        <v>103795.66067159123</v>
      </c>
      <c r="AB997" s="40">
        <f t="shared" si="147"/>
        <v>-4.9883293181264818E-2</v>
      </c>
      <c r="AC997" s="40">
        <f t="shared" si="148"/>
        <v>0.70777704833476851</v>
      </c>
      <c r="AD997" s="40">
        <f t="shared" si="149"/>
        <v>0.34210624484649615</v>
      </c>
      <c r="AE997" s="40"/>
      <c r="AF997" s="40"/>
      <c r="AG997" s="40"/>
      <c r="AH997" s="40"/>
      <c r="AI997" s="40"/>
      <c r="AJ997" s="40"/>
      <c r="AK997" s="33">
        <f t="shared" si="141"/>
        <v>6568800</v>
      </c>
      <c r="AL997" s="33">
        <f t="shared" si="142"/>
        <v>6350964.8000000007</v>
      </c>
      <c r="AM997" s="34"/>
      <c r="AN997" s="33"/>
      <c r="AO997" s="15" cm="1">
        <f t="array" ref="AO997">SUMPRODUCT(I997:K997, TRANSPOSE($AY$5:$AY$7))</f>
        <v>4.441187461248111E-3</v>
      </c>
      <c r="AP997" s="22">
        <f t="shared" si="151"/>
        <v>9563559.7985326853</v>
      </c>
      <c r="AQ997" s="22">
        <f t="shared" si="152"/>
        <v>42285.762862326577</v>
      </c>
      <c r="AR997">
        <f t="shared" si="153"/>
        <v>0</v>
      </c>
      <c r="AS997">
        <f t="shared" si="154"/>
        <v>0</v>
      </c>
      <c r="BJ997">
        <f t="shared" si="127"/>
        <v>4.5020771366602577E-5</v>
      </c>
      <c r="BK997">
        <f t="shared" si="129"/>
        <v>8.9211325242678245E-5</v>
      </c>
      <c r="BO997">
        <f t="shared" si="130"/>
        <v>8.7185855295739899E-5</v>
      </c>
      <c r="BP997">
        <f t="shared" si="128"/>
        <v>3.4966071863112744</v>
      </c>
    </row>
    <row r="998" spans="1:68" x14ac:dyDescent="0.15">
      <c r="A998" s="5">
        <v>45019</v>
      </c>
      <c r="B998" s="1"/>
      <c r="C998">
        <v>112.1</v>
      </c>
      <c r="D998">
        <v>93.06</v>
      </c>
      <c r="E998">
        <v>79.974686000000005</v>
      </c>
      <c r="G998" s="3">
        <v>-1.18391452165034E-3</v>
      </c>
      <c r="I998" s="15">
        <f t="shared" si="131"/>
        <v>5.7419702135295229E-3</v>
      </c>
      <c r="J998" s="15">
        <f t="shared" si="132"/>
        <v>-8.3120204603580675E-3</v>
      </c>
      <c r="K998" s="15">
        <f t="shared" si="133"/>
        <v>7.4020375612851791E-3</v>
      </c>
      <c r="L998" s="32">
        <f t="shared" si="134"/>
        <v>302303.36670143099</v>
      </c>
      <c r="M998" s="15"/>
      <c r="N998" s="32">
        <f t="shared" si="135"/>
        <v>-3363000</v>
      </c>
      <c r="O998" s="34">
        <f t="shared" si="136"/>
        <v>-0.35244826263262891</v>
      </c>
      <c r="P998" s="34">
        <f t="shared" si="137"/>
        <v>0.68269951603968815</v>
      </c>
      <c r="Q998" s="34">
        <f t="shared" si="138"/>
        <v>0.67051892085138354</v>
      </c>
      <c r="R998" s="35" cm="1">
        <f t="array" ref="R998">SQRT(MMULT(O998:Q998, MMULT($AU$32:$AW$34,TRANSPOSE(O998:Q998))))</f>
        <v>1.3597390484164822E-2</v>
      </c>
      <c r="S998" s="36" cm="1">
        <f t="array" ref="S998:U998">TRANSPOSE(MMULT($AU$32:$AW$34, TRANSPOSE(O998:Q998))/MMULT(O998:Q998, MMULT($AU$32:$AW$34,TRANSPOSE(O998:Q998))))</f>
        <v>0.14232276285070411</v>
      </c>
      <c r="T998" s="36">
        <v>1.0287040067731847</v>
      </c>
      <c r="U998" s="36">
        <v>0.51880069616225977</v>
      </c>
      <c r="V998" s="35">
        <f t="shared" si="143"/>
        <v>4.5090583623502711E-3</v>
      </c>
      <c r="W998" s="35">
        <f t="shared" si="144"/>
        <v>3.2591317869437433E-2</v>
      </c>
      <c r="X998" s="35">
        <f t="shared" si="145"/>
        <v>1.6436602062577278E-2</v>
      </c>
      <c r="Y998" s="32">
        <f t="shared" si="146"/>
        <v>-15163.963272583962</v>
      </c>
      <c r="Z998" s="32">
        <f t="shared" si="139"/>
        <v>212306.36286508932</v>
      </c>
      <c r="AA998" s="32">
        <f t="shared" si="140"/>
        <v>105160.96710892563</v>
      </c>
      <c r="AB998" s="40">
        <f t="shared" si="147"/>
        <v>-5.0161410499806325E-2</v>
      </c>
      <c r="AC998" s="40">
        <f t="shared" si="148"/>
        <v>0.70229572757214132</v>
      </c>
      <c r="AD998" s="40">
        <f t="shared" si="149"/>
        <v>0.34786568292766501</v>
      </c>
      <c r="AE998" s="40"/>
      <c r="AF998" s="40"/>
      <c r="AG998" s="40"/>
      <c r="AH998" s="40"/>
      <c r="AI998" s="40"/>
      <c r="AJ998" s="40"/>
      <c r="AK998" s="33">
        <f t="shared" si="141"/>
        <v>6514200</v>
      </c>
      <c r="AL998" s="33">
        <f t="shared" si="142"/>
        <v>6397974.8800000008</v>
      </c>
      <c r="AM998" s="34"/>
      <c r="AN998" s="33"/>
      <c r="AO998" s="15" cm="1">
        <f t="array" ref="AO998">SUMPRODUCT(I998:K998, TRANSPOSE($AY$5:$AY$7))</f>
        <v>-2.2725624937701052E-3</v>
      </c>
      <c r="AP998" s="22">
        <f t="shared" si="151"/>
        <v>9541826.0112276133</v>
      </c>
      <c r="AQ998" s="22">
        <f t="shared" si="152"/>
        <v>-21733.78730507195</v>
      </c>
      <c r="AR998">
        <f t="shared" si="153"/>
        <v>0</v>
      </c>
      <c r="AS998">
        <f t="shared" si="154"/>
        <v>0</v>
      </c>
      <c r="BJ998">
        <f t="shared" si="127"/>
        <v>1.4016535945745533E-6</v>
      </c>
      <c r="BK998">
        <f t="shared" si="129"/>
        <v>8.6559892010113705E-5</v>
      </c>
      <c r="BO998">
        <f t="shared" si="130"/>
        <v>8.0738430159362637E-5</v>
      </c>
      <c r="BP998">
        <f t="shared" si="128"/>
        <v>3.7845291964142191</v>
      </c>
    </row>
    <row r="999" spans="1:68" x14ac:dyDescent="0.15">
      <c r="A999" s="5">
        <v>45020</v>
      </c>
      <c r="B999" s="1"/>
      <c r="C999">
        <v>111.3</v>
      </c>
      <c r="D999">
        <v>93.96</v>
      </c>
      <c r="E999">
        <v>80.372765000000001</v>
      </c>
      <c r="G999" s="3">
        <v>-1.76724455892607E-3</v>
      </c>
      <c r="I999" s="15">
        <f t="shared" si="131"/>
        <v>-7.1364852809990831E-3</v>
      </c>
      <c r="J999" s="15">
        <f t="shared" si="132"/>
        <v>9.6711798839457502E-3</v>
      </c>
      <c r="K999" s="15">
        <f t="shared" si="133"/>
        <v>4.9775625252219888E-3</v>
      </c>
      <c r="L999" s="32">
        <f t="shared" si="134"/>
        <v>304990.94279290014</v>
      </c>
      <c r="M999" s="15"/>
      <c r="N999" s="32">
        <f t="shared" si="135"/>
        <v>-3339000</v>
      </c>
      <c r="O999" s="34">
        <f t="shared" si="136"/>
        <v>-0.34549709606682333</v>
      </c>
      <c r="P999" s="34">
        <f t="shared" si="137"/>
        <v>0.68056409112030858</v>
      </c>
      <c r="Q999" s="34">
        <f t="shared" si="138"/>
        <v>0.66531433148514441</v>
      </c>
      <c r="R999" s="35" cm="1">
        <f t="array" ref="R999">SQRT(MMULT(O999:Q999, MMULT($AU$32:$AW$34,TRANSPOSE(O999:Q999))))</f>
        <v>1.3544376070760776E-2</v>
      </c>
      <c r="S999" s="36" cm="1">
        <f t="array" ref="S999:U999">TRANSPOSE(MMULT($AU$32:$AW$34, TRANSPOSE(O999:Q999))/MMULT(O999:Q999, MMULT($AU$32:$AW$34,TRANSPOSE(O999:Q999))))</f>
        <v>0.1460205916530237</v>
      </c>
      <c r="T999" s="36">
        <v>1.0340492080468793</v>
      </c>
      <c r="U999" s="36">
        <v>0.52112650295692842</v>
      </c>
      <c r="V999" s="35">
        <f t="shared" si="143"/>
        <v>4.60817569129686E-3</v>
      </c>
      <c r="W999" s="35">
        <f t="shared" si="144"/>
        <v>3.2632934644240129E-2</v>
      </c>
      <c r="X999" s="35">
        <f t="shared" si="145"/>
        <v>1.6445916674019526E-2</v>
      </c>
      <c r="Y999" s="32">
        <f t="shared" si="146"/>
        <v>-15386.698633240216</v>
      </c>
      <c r="Z999" s="32">
        <f t="shared" si="139"/>
        <v>214633.33774209616</v>
      </c>
      <c r="AA999" s="32">
        <f t="shared" si="140"/>
        <v>105744.30368404424</v>
      </c>
      <c r="AB999" s="40">
        <f t="shared" si="147"/>
        <v>-5.0449690382079117E-2</v>
      </c>
      <c r="AC999" s="40">
        <f t="shared" si="148"/>
        <v>0.70373675944809921</v>
      </c>
      <c r="AD999" s="40">
        <f t="shared" si="149"/>
        <v>0.34671293093398003</v>
      </c>
      <c r="AE999" s="40"/>
      <c r="AF999" s="40"/>
      <c r="AG999" s="40"/>
      <c r="AH999" s="40"/>
      <c r="AI999" s="40"/>
      <c r="AJ999" s="40"/>
      <c r="AK999" s="33">
        <f t="shared" si="141"/>
        <v>6577200</v>
      </c>
      <c r="AL999" s="33">
        <f t="shared" si="142"/>
        <v>6429821.2000000002</v>
      </c>
      <c r="AM999" s="34"/>
      <c r="AN999" s="33"/>
      <c r="AO999" s="15" cm="1">
        <f t="array" ref="AO999">SUMPRODUCT(I999:K999, TRANSPOSE($AY$5:$AY$7))</f>
        <v>1.2839253289573907E-2</v>
      </c>
      <c r="AP999" s="22">
        <f t="shared" si="151"/>
        <v>9664335.9322308078</v>
      </c>
      <c r="AQ999" s="22">
        <f t="shared" si="152"/>
        <v>122509.92100319453</v>
      </c>
      <c r="AR999">
        <f t="shared" si="153"/>
        <v>0</v>
      </c>
      <c r="AS999">
        <f t="shared" si="154"/>
        <v>0</v>
      </c>
      <c r="BJ999">
        <f t="shared" si="127"/>
        <v>3.1231533310537995E-6</v>
      </c>
      <c r="BK999">
        <f t="shared" si="129"/>
        <v>8.1450397705181356E-5</v>
      </c>
      <c r="BO999">
        <f t="shared" si="130"/>
        <v>6.946896345620145E-5</v>
      </c>
      <c r="BP999">
        <f t="shared" si="128"/>
        <v>3.84589793653018</v>
      </c>
    </row>
    <row r="1000" spans="1:68" x14ac:dyDescent="0.15">
      <c r="A1000" s="5">
        <v>45021</v>
      </c>
      <c r="B1000" s="1"/>
      <c r="C1000">
        <v>112.84</v>
      </c>
      <c r="D1000">
        <v>93.06</v>
      </c>
      <c r="E1000">
        <v>81.718630000000005</v>
      </c>
      <c r="G1000" s="3">
        <v>3.78523757880033E-3</v>
      </c>
      <c r="I1000" s="15">
        <f t="shared" si="131"/>
        <v>1.383647798742144E-2</v>
      </c>
      <c r="J1000" s="15">
        <f t="shared" si="132"/>
        <v>-9.5785440613025911E-3</v>
      </c>
      <c r="K1000" s="15">
        <f t="shared" si="133"/>
        <v>1.6745286789623368E-2</v>
      </c>
      <c r="L1000" s="32">
        <f t="shared" si="134"/>
        <v>304507.24073862779</v>
      </c>
      <c r="M1000" s="15"/>
      <c r="N1000" s="32">
        <f t="shared" si="135"/>
        <v>-3385200</v>
      </c>
      <c r="O1000" s="34">
        <f t="shared" si="136"/>
        <v>-0.35007134994409961</v>
      </c>
      <c r="P1000" s="34">
        <f t="shared" si="137"/>
        <v>0.67364846620756635</v>
      </c>
      <c r="Q1000" s="34">
        <f t="shared" si="138"/>
        <v>0.67605698025953909</v>
      </c>
      <c r="R1000" s="35" cm="1">
        <f t="array" ref="R1000">SQRT(MMULT(O1000:Q1000, MMULT($AU$32:$AW$34,TRANSPOSE(O1000:Q1000))))</f>
        <v>1.3514934338405697E-2</v>
      </c>
      <c r="S1000" s="36" cm="1">
        <f t="array" ref="S1000:U1000">TRANSPOSE(MMULT($AU$32:$AW$34, TRANSPOSE(O1000:Q1000))/MMULT(O1000:Q1000, MMULT($AU$32:$AW$34,TRANSPOSE(O1000:Q1000))))</f>
        <v>0.14550091048902991</v>
      </c>
      <c r="T1000" s="36">
        <v>1.030941760510347</v>
      </c>
      <c r="U1000" s="36">
        <v>0.52723864236861773</v>
      </c>
      <c r="V1000" s="35">
        <f t="shared" si="143"/>
        <v>4.581794135849338E-3</v>
      </c>
      <c r="W1000" s="35">
        <f t="shared" si="144"/>
        <v>3.2464146766041271E-2</v>
      </c>
      <c r="X1000" s="35">
        <f t="shared" si="145"/>
        <v>1.6602637823217137E-2</v>
      </c>
      <c r="Y1000" s="32">
        <f t="shared" si="146"/>
        <v>-15510.289508677179</v>
      </c>
      <c r="Z1000" s="32">
        <f t="shared" si="139"/>
        <v>211477.94486334606</v>
      </c>
      <c r="AA1000" s="32">
        <f t="shared" si="140"/>
        <v>108539.58538395894</v>
      </c>
      <c r="AB1000" s="40">
        <f t="shared" si="147"/>
        <v>-5.0935700152990301E-2</v>
      </c>
      <c r="AC1000" s="40">
        <f t="shared" si="148"/>
        <v>0.69449233571712354</v>
      </c>
      <c r="AD1000" s="40">
        <f t="shared" si="149"/>
        <v>0.35644336443586683</v>
      </c>
      <c r="AE1000" s="40"/>
      <c r="AF1000" s="40"/>
      <c r="AG1000" s="40"/>
      <c r="AH1000" s="40"/>
      <c r="AI1000" s="40"/>
      <c r="AJ1000" s="40"/>
      <c r="AK1000" s="33">
        <f t="shared" si="141"/>
        <v>6514200</v>
      </c>
      <c r="AL1000" s="33">
        <f t="shared" si="142"/>
        <v>6537490.4000000004</v>
      </c>
      <c r="AM1000" s="34"/>
      <c r="AN1000" s="33"/>
      <c r="AO1000" s="15" cm="1">
        <f t="array" ref="AO1000">SUMPRODUCT(I1000:K1000, TRANSPOSE($AY$5:$AY$7))</f>
        <v>5.89048738787918E-4</v>
      </c>
      <c r="AP1000" s="22">
        <f t="shared" si="151"/>
        <v>9670028.697122911</v>
      </c>
      <c r="AQ1000" s="22">
        <f t="shared" si="152"/>
        <v>5692.7648921031505</v>
      </c>
      <c r="AR1000">
        <f t="shared" si="153"/>
        <v>0</v>
      </c>
      <c r="AS1000">
        <f t="shared" si="154"/>
        <v>0</v>
      </c>
      <c r="BJ1000">
        <f t="shared" si="127"/>
        <v>1.4328023527962186E-5</v>
      </c>
      <c r="BK1000">
        <f t="shared" si="129"/>
        <v>7.6750763042733702E-5</v>
      </c>
      <c r="BO1000">
        <f t="shared" si="130"/>
        <v>6.0874608789681346E-5</v>
      </c>
      <c r="BP1000">
        <f t="shared" si="128"/>
        <v>3.816723940535256</v>
      </c>
    </row>
    <row r="1001" spans="1:68" x14ac:dyDescent="0.15">
      <c r="A1001" s="5">
        <v>45022</v>
      </c>
      <c r="B1001" s="1"/>
      <c r="C1001">
        <v>113.72</v>
      </c>
      <c r="D1001">
        <v>94.22</v>
      </c>
      <c r="E1001">
        <v>82.552679999999995</v>
      </c>
      <c r="G1001" s="3">
        <v>1.0316493822807299E-2</v>
      </c>
      <c r="I1001" s="15">
        <f t="shared" si="131"/>
        <v>7.7986529599432418E-3</v>
      </c>
      <c r="J1001" s="15">
        <f t="shared" si="132"/>
        <v>1.2465076294863492E-2</v>
      </c>
      <c r="K1001" s="15">
        <f t="shared" si="133"/>
        <v>1.0206362979898104E-2</v>
      </c>
      <c r="L1001" s="32">
        <f t="shared" si="134"/>
        <v>308130.37953237322</v>
      </c>
      <c r="M1001" s="15"/>
      <c r="N1001" s="32">
        <f t="shared" si="135"/>
        <v>-3411600</v>
      </c>
      <c r="O1001" s="34">
        <f t="shared" si="136"/>
        <v>-0.34839754974178411</v>
      </c>
      <c r="P1001" s="34">
        <f t="shared" si="137"/>
        <v>0.67353183244429682</v>
      </c>
      <c r="Q1001" s="34">
        <f t="shared" si="138"/>
        <v>0.67443197178139491</v>
      </c>
      <c r="R1001" s="35" cm="1">
        <f t="array" ref="R1001">SQRT(MMULT(O1001:Q1001, MMULT($AU$32:$AW$34,TRANSPOSE(O1001:Q1001))))</f>
        <v>1.3505030958512767E-2</v>
      </c>
      <c r="S1001" s="36" cm="1">
        <f t="array" ref="S1001:U1001">TRANSPOSE(MMULT($AU$32:$AW$34, TRANSPOSE(O1001:Q1001))/MMULT(O1001:Q1001, MMULT($AU$32:$AW$34,TRANSPOSE(O1001:Q1001))))</f>
        <v>0.1463057025176473</v>
      </c>
      <c r="T1001" s="36">
        <v>1.0322391727262874</v>
      </c>
      <c r="U1001" s="36">
        <v>0.52744623865278395</v>
      </c>
      <c r="V1001" s="35">
        <f t="shared" si="143"/>
        <v>4.6037608876451416E-3</v>
      </c>
      <c r="W1001" s="35">
        <f t="shared" si="144"/>
        <v>3.2481183223321421E-2</v>
      </c>
      <c r="X1001" s="35">
        <f t="shared" si="145"/>
        <v>1.6597004231959717E-2</v>
      </c>
      <c r="Y1001" s="32">
        <f t="shared" si="146"/>
        <v>-15706.190644290165</v>
      </c>
      <c r="Z1001" s="32">
        <f t="shared" si="139"/>
        <v>214226.39583109409</v>
      </c>
      <c r="AA1001" s="32">
        <f t="shared" si="140"/>
        <v>109610.17434556929</v>
      </c>
      <c r="AB1001" s="40">
        <f t="shared" si="147"/>
        <v>-5.0972548270398703E-2</v>
      </c>
      <c r="AC1001" s="40">
        <f t="shared" si="148"/>
        <v>0.69524594152712149</v>
      </c>
      <c r="AD1001" s="40">
        <f t="shared" si="149"/>
        <v>0.35572660674327722</v>
      </c>
      <c r="AE1001" s="40"/>
      <c r="AF1001" s="40"/>
      <c r="AG1001" s="40"/>
      <c r="AH1001" s="40"/>
      <c r="AI1001" s="40"/>
      <c r="AJ1001" s="40"/>
      <c r="AK1001" s="33">
        <f t="shared" si="141"/>
        <v>6595400</v>
      </c>
      <c r="AL1001" s="33">
        <f t="shared" si="142"/>
        <v>6604214.3999999994</v>
      </c>
      <c r="AM1001" s="34"/>
      <c r="AN1001" s="33"/>
      <c r="AO1001" s="15" cm="1">
        <f t="array" ref="AO1001">SUMPRODUCT(I1001:K1001, TRANSPOSE($AY$5:$AY$7))</f>
        <v>1.2640402250280748E-2</v>
      </c>
      <c r="AP1001" s="22">
        <f t="shared" si="151"/>
        <v>9792261.7496263031</v>
      </c>
      <c r="AQ1001" s="22">
        <f t="shared" si="152"/>
        <v>122233.0525033921</v>
      </c>
      <c r="AR1001">
        <f t="shared" si="153"/>
        <v>0</v>
      </c>
      <c r="AS1001">
        <f t="shared" si="154"/>
        <v>0</v>
      </c>
      <c r="BJ1001">
        <f t="shared" si="127"/>
        <v>1.0643004479602116E-4</v>
      </c>
      <c r="BK1001">
        <f t="shared" si="129"/>
        <v>7.3005398671847416E-5</v>
      </c>
      <c r="BO1001">
        <f t="shared" si="130"/>
        <v>5.5729178754817014E-5</v>
      </c>
      <c r="BP1001">
        <f t="shared" si="128"/>
        <v>3.0236786370185742</v>
      </c>
    </row>
    <row r="1002" spans="1:68" x14ac:dyDescent="0.15">
      <c r="A1002" s="5">
        <v>45027</v>
      </c>
      <c r="B1002" s="1"/>
      <c r="C1002">
        <v>113.42</v>
      </c>
      <c r="D1002">
        <v>94.5</v>
      </c>
      <c r="E1002">
        <v>82.315735000000004</v>
      </c>
      <c r="G1002" s="3">
        <v>3.1367620519286901E-3</v>
      </c>
      <c r="I1002" s="15">
        <f t="shared" si="131"/>
        <v>-2.638058389025652E-3</v>
      </c>
      <c r="J1002" s="15">
        <f t="shared" si="132"/>
        <v>2.9717682020802497E-3</v>
      </c>
      <c r="K1002" s="15">
        <f t="shared" si="133"/>
        <v>-2.8702278351228757E-3</v>
      </c>
      <c r="L1002" s="32">
        <f t="shared" si="134"/>
        <v>308494.57358815096</v>
      </c>
      <c r="M1002" s="15"/>
      <c r="N1002" s="32">
        <f t="shared" si="135"/>
        <v>-3402600</v>
      </c>
      <c r="O1002" s="34">
        <f t="shared" si="136"/>
        <v>-0.34717353902739601</v>
      </c>
      <c r="P1002" s="34">
        <f t="shared" si="137"/>
        <v>0.67494062207318661</v>
      </c>
      <c r="Q1002" s="34">
        <f t="shared" si="138"/>
        <v>0.67190607271125113</v>
      </c>
      <c r="R1002" s="35" cm="1">
        <f t="array" ref="R1002">SQRT(MMULT(O1002:Q1002, MMULT($AU$32:$AW$34,TRANSPOSE(O1002:Q1002))))</f>
        <v>1.3509128324155273E-2</v>
      </c>
      <c r="S1002" s="36" cm="1">
        <f t="array" ref="S1002:U1002">TRANSPOSE(MMULT($AU$32:$AW$34, TRANSPOSE(O1002:Q1002))/MMULT(O1002:Q1002, MMULT($AU$32:$AW$34,TRANSPOSE(O1002:Q1002))))</f>
        <v>0.14654222674254949</v>
      </c>
      <c r="T1002" s="36">
        <v>1.0331418064384963</v>
      </c>
      <c r="U1002" s="36">
        <v>0.52621374371726393</v>
      </c>
      <c r="V1002" s="35">
        <f t="shared" si="143"/>
        <v>4.6126025481160642E-3</v>
      </c>
      <c r="W1002" s="35">
        <f t="shared" si="144"/>
        <v>3.2519449409729458E-2</v>
      </c>
      <c r="X1002" s="35">
        <f t="shared" si="145"/>
        <v>1.6563245346258873E-2</v>
      </c>
      <c r="Y1002" s="32">
        <f t="shared" si="146"/>
        <v>-15694.84143021972</v>
      </c>
      <c r="Z1002" s="32">
        <f t="shared" si="139"/>
        <v>215116.15784536037</v>
      </c>
      <c r="AA1002" s="32">
        <f t="shared" si="140"/>
        <v>109073.25717301031</v>
      </c>
      <c r="AB1002" s="40">
        <f t="shared" si="147"/>
        <v>-5.087558347516602E-2</v>
      </c>
      <c r="AC1002" s="40">
        <f t="shared" si="148"/>
        <v>0.6973093735274144</v>
      </c>
      <c r="AD1002" s="40">
        <f t="shared" si="149"/>
        <v>0.35356620994775168</v>
      </c>
      <c r="AE1002" s="40"/>
      <c r="AF1002" s="40"/>
      <c r="AG1002" s="40"/>
      <c r="AH1002" s="40"/>
      <c r="AI1002" s="40"/>
      <c r="AJ1002" s="40"/>
      <c r="AK1002" s="33">
        <f t="shared" si="141"/>
        <v>6615000</v>
      </c>
      <c r="AL1002" s="33">
        <f t="shared" si="142"/>
        <v>6585258.8000000007</v>
      </c>
      <c r="AM1002" s="34"/>
      <c r="AN1002" s="33"/>
      <c r="AO1002" s="15" cm="1">
        <f t="array" ref="AO1002">SUMPRODUCT(I1002:K1002, TRANSPOSE($AY$5:$AY$7))</f>
        <v>8.7828593282210593E-4</v>
      </c>
      <c r="AP1002" s="22">
        <f t="shared" si="151"/>
        <v>9800862.1553715114</v>
      </c>
      <c r="AQ1002" s="22">
        <f t="shared" si="152"/>
        <v>8600.4057452082634</v>
      </c>
      <c r="AR1002">
        <f t="shared" si="153"/>
        <v>0</v>
      </c>
      <c r="AS1002">
        <f t="shared" si="154"/>
        <v>0</v>
      </c>
      <c r="BJ1002">
        <f t="shared" si="127"/>
        <v>9.8392761704198866E-6</v>
      </c>
      <c r="BK1002">
        <f t="shared" si="129"/>
        <v>7.5010877439297843E-5</v>
      </c>
      <c r="BO1002">
        <f t="shared" si="130"/>
        <v>6.4810399679134974E-5</v>
      </c>
      <c r="BP1002">
        <f t="shared" si="128"/>
        <v>3.827175547692907</v>
      </c>
    </row>
    <row r="1003" spans="1:68" x14ac:dyDescent="0.15">
      <c r="A1003" s="5">
        <v>45028</v>
      </c>
      <c r="B1003" s="1"/>
      <c r="C1003">
        <v>112.94</v>
      </c>
      <c r="D1003">
        <v>94.52</v>
      </c>
      <c r="E1003">
        <v>82.220955000000004</v>
      </c>
      <c r="G1003" s="3">
        <v>-2.9565777307280997E-3</v>
      </c>
      <c r="I1003" s="15">
        <f t="shared" si="131"/>
        <v>-4.232057838123823E-3</v>
      </c>
      <c r="J1003" s="15">
        <f t="shared" si="132"/>
        <v>2.1164021164016953E-4</v>
      </c>
      <c r="K1003" s="15">
        <f t="shared" si="133"/>
        <v>-1.1514201993094041E-3</v>
      </c>
      <c r="L1003" s="32">
        <f t="shared" si="134"/>
        <v>308481.11968849297</v>
      </c>
      <c r="M1003" s="15"/>
      <c r="N1003" s="32">
        <f t="shared" si="135"/>
        <v>-3388200</v>
      </c>
      <c r="O1003" s="34">
        <f t="shared" si="136"/>
        <v>-0.34537299188985759</v>
      </c>
      <c r="P1003" s="34">
        <f t="shared" si="137"/>
        <v>0.67443653371703383</v>
      </c>
      <c r="Q1003" s="34">
        <f t="shared" si="138"/>
        <v>0.67048927983923856</v>
      </c>
      <c r="R1003" s="35" cm="1">
        <f t="array" ref="R1003">SQRT(MMULT(O1003:Q1003, MMULT($AU$32:$AW$34,TRANSPOSE(O1003:Q1003))))</f>
        <v>1.349559392929058E-2</v>
      </c>
      <c r="S1003" s="36" cm="1">
        <f t="array" ref="S1003:U1003">TRANSPOSE(MMULT($AU$32:$AW$34, TRANSPOSE(O1003:Q1003))/MMULT(O1003:Q1003, MMULT($AU$32:$AW$34,TRANSPOSE(O1003:Q1003))))</f>
        <v>0.14749777834689518</v>
      </c>
      <c r="T1003" s="36">
        <v>1.0345530770933242</v>
      </c>
      <c r="U1003" s="36">
        <v>0.52678151368556947</v>
      </c>
      <c r="V1003" s="35">
        <f t="shared" si="143"/>
        <v>4.6380283843583409E-3</v>
      </c>
      <c r="W1003" s="35">
        <f t="shared" si="144"/>
        <v>3.2531246168326471E-2</v>
      </c>
      <c r="X1003" s="35">
        <f t="shared" si="145"/>
        <v>1.6564504497706918E-2</v>
      </c>
      <c r="Y1003" s="32">
        <f t="shared" si="146"/>
        <v>-15714.56777188293</v>
      </c>
      <c r="Z1003" s="32">
        <f t="shared" si="139"/>
        <v>215239.73714811527</v>
      </c>
      <c r="AA1003" s="32">
        <f t="shared" si="140"/>
        <v>108955.95031226065</v>
      </c>
      <c r="AB1003" s="40">
        <f t="shared" si="147"/>
        <v>-5.0941749004774238E-2</v>
      </c>
      <c r="AC1003" s="40">
        <f t="shared" si="148"/>
        <v>0.69774039126111287</v>
      </c>
      <c r="AD1003" s="40">
        <f t="shared" si="149"/>
        <v>0.35320135774366146</v>
      </c>
      <c r="AE1003" s="40"/>
      <c r="AF1003" s="40"/>
      <c r="AG1003" s="40"/>
      <c r="AH1003" s="40"/>
      <c r="AI1003" s="40"/>
      <c r="AJ1003" s="40"/>
      <c r="AK1003" s="33">
        <f t="shared" si="141"/>
        <v>6616400</v>
      </c>
      <c r="AL1003" s="33">
        <f t="shared" si="142"/>
        <v>6577676.4000000004</v>
      </c>
      <c r="AM1003" s="34"/>
      <c r="AN1003" s="33"/>
      <c r="AO1003" s="15" cm="1">
        <f t="array" ref="AO1003">SUMPRODUCT(I1003:K1003, TRANSPOSE($AY$5:$AY$7))</f>
        <v>9.5921988194730846E-4</v>
      </c>
      <c r="AP1003" s="22">
        <f t="shared" si="151"/>
        <v>9810263.3372111674</v>
      </c>
      <c r="AQ1003" s="22">
        <f t="shared" si="152"/>
        <v>9401.1818396560848</v>
      </c>
      <c r="AR1003">
        <f t="shared" si="153"/>
        <v>0</v>
      </c>
      <c r="AS1003">
        <f t="shared" si="154"/>
        <v>0</v>
      </c>
      <c r="BJ1003">
        <f t="shared" si="127"/>
        <v>8.7413518778373197E-6</v>
      </c>
      <c r="BK1003">
        <f t="shared" si="129"/>
        <v>7.1100581363165162E-5</v>
      </c>
      <c r="BO1003">
        <f t="shared" si="130"/>
        <v>5.8177041518567171E-5</v>
      </c>
      <c r="BP1003">
        <f t="shared" si="128"/>
        <v>3.8819441845773759</v>
      </c>
    </row>
    <row r="1004" spans="1:68" x14ac:dyDescent="0.15">
      <c r="A1004" s="5">
        <v>45029</v>
      </c>
      <c r="B1004" s="1"/>
      <c r="C1004">
        <v>111.62</v>
      </c>
      <c r="D1004">
        <v>94.14</v>
      </c>
      <c r="E1004">
        <v>82.562163999999996</v>
      </c>
      <c r="G1004" s="3">
        <v>2.3999874970130801E-3</v>
      </c>
      <c r="I1004" s="15">
        <f t="shared" si="131"/>
        <v>-1.1687621746059794E-2</v>
      </c>
      <c r="J1004" s="15">
        <f t="shared" si="132"/>
        <v>-4.0203131612356691E-3</v>
      </c>
      <c r="K1004" s="15">
        <f t="shared" si="133"/>
        <v>4.1499031481693699E-3</v>
      </c>
      <c r="L1004" s="32">
        <f t="shared" si="134"/>
        <v>308255.42941063415</v>
      </c>
      <c r="M1004" s="15"/>
      <c r="N1004" s="32">
        <f t="shared" si="135"/>
        <v>-3348600</v>
      </c>
      <c r="O1004" s="34">
        <f t="shared" si="136"/>
        <v>-0.33963007112378146</v>
      </c>
      <c r="P1004" s="34">
        <f t="shared" si="137"/>
        <v>0.66836715125470203</v>
      </c>
      <c r="Q1004" s="34">
        <f t="shared" si="138"/>
        <v>0.66990607732075047</v>
      </c>
      <c r="R1004" s="35" cm="1">
        <f t="array" ref="R1004">SQRT(MMULT(O1004:Q1004, MMULT($AU$32:$AW$34,TRANSPOSE(O1004:Q1004))))</f>
        <v>1.3418305544514984E-2</v>
      </c>
      <c r="S1004" s="36" cm="1">
        <f t="array" ref="S1004:U1004">TRANSPOSE(MMULT($AU$32:$AW$34, TRANSPOSE(O1004:Q1004))/MMULT(O1004:Q1004, MMULT($AU$32:$AW$34,TRANSPOSE(O1004:Q1004))))</f>
        <v>0.15163915164337069</v>
      </c>
      <c r="T1004" s="36">
        <v>1.0392501515443262</v>
      </c>
      <c r="U1004" s="36">
        <v>0.53276207622491167</v>
      </c>
      <c r="V1004" s="35">
        <f t="shared" si="143"/>
        <v>4.7409452933799686E-3</v>
      </c>
      <c r="W1004" s="35">
        <f t="shared" si="144"/>
        <v>3.2491794244510278E-2</v>
      </c>
      <c r="X1004" s="35">
        <f t="shared" si="145"/>
        <v>1.6656620868666389E-2</v>
      </c>
      <c r="Y1004" s="32">
        <f t="shared" si="146"/>
        <v>-15875.529409412164</v>
      </c>
      <c r="Z1004" s="32">
        <f t="shared" si="139"/>
        <v>214114.42571247384</v>
      </c>
      <c r="AA1004" s="32">
        <f t="shared" si="140"/>
        <v>110016.53310757256</v>
      </c>
      <c r="AB1004" s="40">
        <f t="shared" si="147"/>
        <v>-5.1501215857787878E-2</v>
      </c>
      <c r="AC1004" s="40">
        <f t="shared" si="148"/>
        <v>0.69460066322869884</v>
      </c>
      <c r="AD1004" s="40">
        <f t="shared" si="149"/>
        <v>0.35690055262908932</v>
      </c>
      <c r="AE1004" s="40"/>
      <c r="AF1004" s="40"/>
      <c r="AG1004" s="40"/>
      <c r="AH1004" s="40"/>
      <c r="AI1004" s="40"/>
      <c r="AJ1004" s="40"/>
      <c r="AK1004" s="33">
        <f t="shared" si="141"/>
        <v>6589800</v>
      </c>
      <c r="AL1004" s="33">
        <f t="shared" si="142"/>
        <v>6604973.1200000001</v>
      </c>
      <c r="AM1004" s="34"/>
      <c r="AN1004" s="33"/>
      <c r="AO1004" s="15" cm="1">
        <f t="array" ref="AO1004">SUMPRODUCT(I1004:K1004, TRANSPOSE($AY$5:$AY$7))</f>
        <v>5.0240895039608694E-3</v>
      </c>
      <c r="AP1004" s="22">
        <f t="shared" si="151"/>
        <v>9859550.9782747421</v>
      </c>
      <c r="AQ1004" s="22">
        <f t="shared" si="152"/>
        <v>49287.641063574702</v>
      </c>
      <c r="AR1004">
        <f t="shared" si="153"/>
        <v>0</v>
      </c>
      <c r="AS1004">
        <f t="shared" si="154"/>
        <v>0</v>
      </c>
      <c r="BJ1004">
        <f t="shared" si="127"/>
        <v>5.759939985819109E-6</v>
      </c>
      <c r="BK1004">
        <f t="shared" si="129"/>
        <v>6.7359027594045487E-5</v>
      </c>
      <c r="BO1004">
        <f t="shared" si="130"/>
        <v>5.2817609293155364E-5</v>
      </c>
      <c r="BP1004">
        <f t="shared" si="128"/>
        <v>3.9508677224870046</v>
      </c>
    </row>
    <row r="1005" spans="1:68" x14ac:dyDescent="0.15">
      <c r="A1005" s="5">
        <v>45030</v>
      </c>
      <c r="B1005" s="1"/>
      <c r="C1005">
        <v>112.98</v>
      </c>
      <c r="D1005">
        <v>88.76</v>
      </c>
      <c r="E1005">
        <v>82.884410000000003</v>
      </c>
      <c r="G1005" s="3">
        <v>7.4532052919280504E-3</v>
      </c>
      <c r="I1005" s="15">
        <f t="shared" si="131"/>
        <v>1.2184196380576951E-2</v>
      </c>
      <c r="J1005" s="15">
        <f t="shared" si="132"/>
        <v>-5.7148927129806619E-2</v>
      </c>
      <c r="K1005" s="15">
        <f t="shared" si="133"/>
        <v>3.9030711452767508E-3</v>
      </c>
      <c r="L1005" s="32">
        <f t="shared" si="134"/>
        <v>296343.0304903182</v>
      </c>
      <c r="M1005" s="15"/>
      <c r="N1005" s="32">
        <f t="shared" si="135"/>
        <v>-3389400</v>
      </c>
      <c r="O1005" s="34">
        <f t="shared" si="136"/>
        <v>-0.35790276376961544</v>
      </c>
      <c r="P1005" s="34">
        <f t="shared" si="137"/>
        <v>0.65608115060287209</v>
      </c>
      <c r="Q1005" s="34">
        <f t="shared" si="138"/>
        <v>0.7001725240435227</v>
      </c>
      <c r="R1005" s="35" cm="1">
        <f t="array" ref="R1005">SQRT(MMULT(O1005:Q1005, MMULT($AU$32:$AW$34,TRANSPOSE(O1005:Q1005))))</f>
        <v>1.3430154961320748E-2</v>
      </c>
      <c r="S1005" s="36" cm="1">
        <f t="array" ref="S1005:U1005">TRANSPOSE(MMULT($AU$32:$AW$34, TRANSPOSE(O1005:Q1005))/MMULT(O1005:Q1005, MMULT($AU$32:$AW$34,TRANSPOSE(O1005:Q1005))))</f>
        <v>0.14596060493200327</v>
      </c>
      <c r="T1005" s="36">
        <v>1.0244198180507906</v>
      </c>
      <c r="U1005" s="36">
        <v>0.54291929192564559</v>
      </c>
      <c r="V1005" s="35">
        <f t="shared" si="143"/>
        <v>4.5674373539898675E-3</v>
      </c>
      <c r="W1005" s="35">
        <f t="shared" si="144"/>
        <v>3.2056412381357396E-2</v>
      </c>
      <c r="X1005" s="35">
        <f t="shared" si="145"/>
        <v>1.6989172217381061E-2</v>
      </c>
      <c r="Y1005" s="32">
        <f t="shared" si="146"/>
        <v>-15480.872167613257</v>
      </c>
      <c r="Z1005" s="32">
        <f t="shared" si="139"/>
        <v>199172.90140784977</v>
      </c>
      <c r="AA1005" s="32">
        <f t="shared" si="140"/>
        <v>112651.00125008168</v>
      </c>
      <c r="AB1005" s="40">
        <f t="shared" si="147"/>
        <v>-5.2239703906648928E-2</v>
      </c>
      <c r="AC1005" s="40">
        <f t="shared" si="148"/>
        <v>0.6721025329271475</v>
      </c>
      <c r="AD1005" s="40">
        <f t="shared" si="149"/>
        <v>0.38013717097950139</v>
      </c>
      <c r="AE1005" s="40"/>
      <c r="AF1005" s="40"/>
      <c r="AG1005" s="40"/>
      <c r="AH1005" s="40"/>
      <c r="AI1005" s="40"/>
      <c r="AJ1005" s="40"/>
      <c r="AK1005" s="33">
        <f t="shared" si="141"/>
        <v>6213200</v>
      </c>
      <c r="AL1005" s="33">
        <f t="shared" si="142"/>
        <v>6630752.7999999998</v>
      </c>
      <c r="AM1005" s="34"/>
      <c r="AN1005" s="33"/>
      <c r="AO1005" s="15" cm="1">
        <f t="array" ref="AO1005">SUMPRODUCT(I1005:K1005, TRANSPOSE($AY$5:$AY$7))</f>
        <v>-3.9492774555971305E-2</v>
      </c>
      <c r="AP1005" s="22">
        <f t="shared" si="151"/>
        <v>9470169.954266632</v>
      </c>
      <c r="AQ1005" s="22">
        <f t="shared" si="152"/>
        <v>-389381.02400811017</v>
      </c>
      <c r="AR1005">
        <f t="shared" si="153"/>
        <v>1</v>
      </c>
      <c r="AS1005">
        <f t="shared" si="154"/>
        <v>1</v>
      </c>
      <c r="BJ1005">
        <f t="shared" si="127"/>
        <v>5.5550269123624294E-5</v>
      </c>
      <c r="BK1005">
        <f t="shared" si="129"/>
        <v>6.3663082337551914E-5</v>
      </c>
      <c r="BO1005">
        <f t="shared" si="130"/>
        <v>4.8189170928797418E-5</v>
      </c>
      <c r="BP1005">
        <f t="shared" si="128"/>
        <v>3.4748724832465325</v>
      </c>
    </row>
    <row r="1006" spans="1:68" x14ac:dyDescent="0.15">
      <c r="A1006" s="5">
        <v>45033</v>
      </c>
      <c r="B1006" s="1"/>
      <c r="C1006">
        <v>113.6</v>
      </c>
      <c r="D1006">
        <v>85.32</v>
      </c>
      <c r="E1006">
        <v>83.500470000000007</v>
      </c>
      <c r="G1006" s="3">
        <v>-2.7422301553044997E-3</v>
      </c>
      <c r="I1006" s="15">
        <f t="shared" si="131"/>
        <v>5.4876969375109779E-3</v>
      </c>
      <c r="J1006" s="15">
        <f t="shared" si="132"/>
        <v>-3.8756196484903242E-2</v>
      </c>
      <c r="K1006" s="15">
        <f t="shared" si="133"/>
        <v>7.4327608774678432E-3</v>
      </c>
      <c r="L1006" s="32">
        <f t="shared" si="134"/>
        <v>289423.50830656692</v>
      </c>
      <c r="M1006" s="15"/>
      <c r="N1006" s="32">
        <f t="shared" si="135"/>
        <v>-3408000</v>
      </c>
      <c r="O1006" s="34">
        <f t="shared" si="136"/>
        <v>-0.36802265132263356</v>
      </c>
      <c r="P1006" s="34">
        <f t="shared" si="137"/>
        <v>0.64494673789885459</v>
      </c>
      <c r="Q1006" s="34">
        <f t="shared" si="138"/>
        <v>0.72136301305366257</v>
      </c>
      <c r="R1006" s="35" cm="1">
        <f t="array" ref="R1006">SQRT(MMULT(O1006:Q1006, MMULT($AU$32:$AW$34,TRANSPOSE(O1006:Q1006))))</f>
        <v>1.3413831489915297E-2</v>
      </c>
      <c r="S1006" s="36" cm="1">
        <f t="array" ref="S1006:U1006">TRANSPOSE(MMULT($AU$32:$AW$34, TRANSPOSE(O1006:Q1006))/MMULT(O1006:Q1006, MMULT($AU$32:$AW$34,TRANSPOSE(O1006:Q1006))))</f>
        <v>0.14381870506293082</v>
      </c>
      <c r="T1006" s="36">
        <v>1.0148980736944349</v>
      </c>
      <c r="U1006" s="36">
        <v>0.55225085291191012</v>
      </c>
      <c r="V1006" s="35">
        <f t="shared" si="143"/>
        <v>4.4949425083119186E-3</v>
      </c>
      <c r="W1006" s="35">
        <f t="shared" si="144"/>
        <v>3.171985515414591E-2</v>
      </c>
      <c r="X1006" s="35">
        <f t="shared" si="145"/>
        <v>1.7260173723015103E-2</v>
      </c>
      <c r="Y1006" s="32">
        <f t="shared" si="146"/>
        <v>-15318.764068327018</v>
      </c>
      <c r="Z1006" s="32">
        <f t="shared" si="139"/>
        <v>189443.66292262101</v>
      </c>
      <c r="AA1006" s="32">
        <f t="shared" si="140"/>
        <v>115298.60945227288</v>
      </c>
      <c r="AB1006" s="40">
        <f t="shared" si="147"/>
        <v>-5.2928541147047661E-2</v>
      </c>
      <c r="AC1006" s="40">
        <f t="shared" si="148"/>
        <v>0.65455520192905692</v>
      </c>
      <c r="AD1006" s="40">
        <f t="shared" si="149"/>
        <v>0.39837333921799051</v>
      </c>
      <c r="AE1006" s="40"/>
      <c r="AF1006" s="40"/>
      <c r="AG1006" s="40"/>
      <c r="AH1006" s="40"/>
      <c r="AI1006" s="40"/>
      <c r="AJ1006" s="40"/>
      <c r="AK1006" s="33">
        <f t="shared" si="141"/>
        <v>5972399.9999999991</v>
      </c>
      <c r="AL1006" s="33">
        <f t="shared" si="142"/>
        <v>6680037.6000000006</v>
      </c>
      <c r="AM1006" s="34"/>
      <c r="AN1006" s="33"/>
      <c r="AO1006" s="15" cm="1">
        <f t="array" ref="AO1006">SUMPRODUCT(I1006:K1006, TRANSPOSE($AY$5:$AY$7))</f>
        <v>-2.2161205629712497E-2</v>
      </c>
      <c r="AP1006" s="22">
        <f t="shared" si="151"/>
        <v>9260299.5705618039</v>
      </c>
      <c r="AQ1006" s="22">
        <f t="shared" si="152"/>
        <v>-209870.3837048281</v>
      </c>
      <c r="AR1006">
        <f t="shared" si="153"/>
        <v>0</v>
      </c>
      <c r="AS1006">
        <f t="shared" si="154"/>
        <v>0</v>
      </c>
      <c r="BJ1006">
        <f t="shared" si="127"/>
        <v>7.5198262246613411E-6</v>
      </c>
      <c r="BK1006">
        <f t="shared" si="129"/>
        <v>6.3176313544716252E-5</v>
      </c>
      <c r="BO1006">
        <f t="shared" si="130"/>
        <v>5.1649869987109086E-5</v>
      </c>
      <c r="BP1006">
        <f t="shared" si="128"/>
        <v>3.9437767289192309</v>
      </c>
    </row>
    <row r="1007" spans="1:68" x14ac:dyDescent="0.15">
      <c r="A1007" s="5">
        <v>45034</v>
      </c>
      <c r="B1007" s="1"/>
      <c r="C1007">
        <v>114</v>
      </c>
      <c r="D1007">
        <v>88.48</v>
      </c>
      <c r="E1007">
        <v>83.149795999999995</v>
      </c>
      <c r="G1007" s="3">
        <v>4.1743112793080003E-3</v>
      </c>
      <c r="I1007" s="15">
        <f t="shared" si="131"/>
        <v>3.5211267605634307E-3</v>
      </c>
      <c r="J1007" s="15">
        <f t="shared" si="132"/>
        <v>3.7037037037037167E-2</v>
      </c>
      <c r="K1007" s="15">
        <f t="shared" si="133"/>
        <v>-4.1996649839217927E-3</v>
      </c>
      <c r="L1007" s="32">
        <f t="shared" si="134"/>
        <v>295937.21935962432</v>
      </c>
      <c r="M1007" s="15"/>
      <c r="N1007" s="32">
        <f t="shared" si="135"/>
        <v>-3420000</v>
      </c>
      <c r="O1007" s="34">
        <f t="shared" si="136"/>
        <v>-0.36212604550247368</v>
      </c>
      <c r="P1007" s="34">
        <f t="shared" si="137"/>
        <v>0.65580815070880727</v>
      </c>
      <c r="Q1007" s="34">
        <f t="shared" si="138"/>
        <v>0.70434401894309706</v>
      </c>
      <c r="R1007" s="35" cm="1">
        <f t="array" ref="R1007">SQRT(MMULT(O1007:Q1007, MMULT($AU$32:$AW$34,TRANSPOSE(O1007:Q1007))))</f>
        <v>1.3448607655510234E-2</v>
      </c>
      <c r="S1007" s="36" cm="1">
        <f t="array" ref="S1007:U1007">TRANSPOSE(MMULT($AU$32:$AW$34, TRANSPOSE(O1007:Q1007))/MMULT(O1007:Q1007, MMULT($AU$32:$AW$34,TRANSPOSE(O1007:Q1007))))</f>
        <v>0.14394518540820792</v>
      </c>
      <c r="T1007" s="36">
        <v>1.0213899935311526</v>
      </c>
      <c r="U1007" s="36">
        <v>0.54276093452812257</v>
      </c>
      <c r="V1007" s="35">
        <f t="shared" si="143"/>
        <v>4.510559211319369E-3</v>
      </c>
      <c r="W1007" s="35">
        <f t="shared" si="144"/>
        <v>3.2005516756996533E-2</v>
      </c>
      <c r="X1007" s="35">
        <f t="shared" si="145"/>
        <v>1.7007552741951839E-2</v>
      </c>
      <c r="Y1007" s="32">
        <f t="shared" si="146"/>
        <v>-15426.112502712242</v>
      </c>
      <c r="Z1007" s="32">
        <f t="shared" si="139"/>
        <v>198229.36858613373</v>
      </c>
      <c r="AA1007" s="32">
        <f t="shared" si="140"/>
        <v>113133.96327620288</v>
      </c>
      <c r="AB1007" s="40">
        <f t="shared" si="147"/>
        <v>-5.2126300760994705E-2</v>
      </c>
      <c r="AC1007" s="40">
        <f t="shared" si="148"/>
        <v>0.66983588281014583</v>
      </c>
      <c r="AD1007" s="40">
        <f t="shared" si="149"/>
        <v>0.38229041795084906</v>
      </c>
      <c r="AE1007" s="40"/>
      <c r="AF1007" s="40"/>
      <c r="AG1007" s="40"/>
      <c r="AH1007" s="40"/>
      <c r="AI1007" s="40"/>
      <c r="AJ1007" s="40"/>
      <c r="AK1007" s="33">
        <f t="shared" si="141"/>
        <v>6193600</v>
      </c>
      <c r="AL1007" s="33">
        <f t="shared" si="142"/>
        <v>6651983.6799999997</v>
      </c>
      <c r="AM1007" s="34"/>
      <c r="AN1007" s="33"/>
      <c r="AO1007" s="15" cm="1">
        <f t="array" ref="AO1007">SUMPRODUCT(I1007:K1007, TRANSPOSE($AY$5:$AY$7))</f>
        <v>1.9861758952591912E-2</v>
      </c>
      <c r="AP1007" s="22">
        <f t="shared" si="151"/>
        <v>9444225.4084610939</v>
      </c>
      <c r="AQ1007" s="22">
        <f t="shared" si="152"/>
        <v>183925.83789929003</v>
      </c>
      <c r="AR1007">
        <f t="shared" si="153"/>
        <v>0</v>
      </c>
      <c r="AS1007">
        <f t="shared" si="154"/>
        <v>0</v>
      </c>
      <c r="BJ1007">
        <f t="shared" si="127"/>
        <v>1.7424874656557994E-5</v>
      </c>
      <c r="BK1007">
        <f t="shared" si="129"/>
        <v>5.9836924305512955E-5</v>
      </c>
      <c r="BO1007">
        <f t="shared" si="130"/>
        <v>4.7523864281371595E-5</v>
      </c>
      <c r="BP1007">
        <f t="shared" si="128"/>
        <v>3.8748731220366746</v>
      </c>
    </row>
    <row r="1008" spans="1:68" x14ac:dyDescent="0.15">
      <c r="A1008" s="5">
        <v>45035</v>
      </c>
      <c r="B1008" s="1"/>
      <c r="C1008">
        <v>114.3</v>
      </c>
      <c r="D1008">
        <v>89.08</v>
      </c>
      <c r="E1008">
        <v>83.633160000000004</v>
      </c>
      <c r="G1008" s="3">
        <v>6.3762761716823393E-4</v>
      </c>
      <c r="I1008" s="15">
        <f t="shared" si="131"/>
        <v>2.6315789473683963E-3</v>
      </c>
      <c r="J1008" s="15">
        <f t="shared" si="132"/>
        <v>6.7811934900541852E-3</v>
      </c>
      <c r="K1008" s="15">
        <f t="shared" si="133"/>
        <v>5.81317120729928E-3</v>
      </c>
      <c r="L1008" s="32">
        <f t="shared" si="134"/>
        <v>297898.69778843649</v>
      </c>
      <c r="M1008" s="15"/>
      <c r="N1008" s="32">
        <f t="shared" si="135"/>
        <v>-3429000</v>
      </c>
      <c r="O1008" s="34">
        <f t="shared" si="136"/>
        <v>-0.36030325025782695</v>
      </c>
      <c r="P1008" s="34">
        <f t="shared" si="137"/>
        <v>0.65520762534491273</v>
      </c>
      <c r="Q1008" s="34">
        <f t="shared" si="138"/>
        <v>0.70302244099930911</v>
      </c>
      <c r="R1008" s="35" cm="1">
        <f t="array" ref="R1008">SQRT(MMULT(O1008:Q1008, MMULT($AU$32:$AW$34,TRANSPOSE(O1008:Q1008))))</f>
        <v>1.3434248534119833E-2</v>
      </c>
      <c r="S1008" s="36" cm="1">
        <f t="array" ref="S1008:U1008">TRANSPOSE(MMULT($AU$32:$AW$34, TRANSPOSE(O1008:Q1008))/MMULT(O1008:Q1008, MMULT($AU$32:$AW$34,TRANSPOSE(O1008:Q1008))))</f>
        <v>0.14494648705736871</v>
      </c>
      <c r="T1008" s="36">
        <v>1.0228042937985629</v>
      </c>
      <c r="U1008" s="36">
        <v>0.54347556434299193</v>
      </c>
      <c r="V1008" s="35">
        <f t="shared" si="143"/>
        <v>4.5370858158737207E-3</v>
      </c>
      <c r="W1008" s="35">
        <f t="shared" si="144"/>
        <v>3.2015614507245715E-2</v>
      </c>
      <c r="X1008" s="35">
        <f t="shared" si="145"/>
        <v>1.7011762922399157E-2</v>
      </c>
      <c r="Y1008" s="32">
        <f t="shared" si="146"/>
        <v>-15557.667262630988</v>
      </c>
      <c r="Z1008" s="32">
        <f t="shared" si="139"/>
        <v>199636.56582138137</v>
      </c>
      <c r="AA1008" s="32">
        <f t="shared" si="140"/>
        <v>113819.79922968612</v>
      </c>
      <c r="AB1008" s="40">
        <f t="shared" si="147"/>
        <v>-5.2224690400223997E-2</v>
      </c>
      <c r="AC1008" s="40">
        <f t="shared" si="148"/>
        <v>0.67014917253233675</v>
      </c>
      <c r="AD1008" s="40">
        <f t="shared" si="149"/>
        <v>0.38207551786788729</v>
      </c>
      <c r="AE1008" s="40"/>
      <c r="AF1008" s="40"/>
      <c r="AG1008" s="40"/>
      <c r="AH1008" s="40"/>
      <c r="AI1008" s="40"/>
      <c r="AJ1008" s="40"/>
      <c r="AK1008" s="33">
        <f t="shared" si="141"/>
        <v>6235600</v>
      </c>
      <c r="AL1008" s="33">
        <f t="shared" si="142"/>
        <v>6690652.8000000007</v>
      </c>
      <c r="AM1008" s="34"/>
      <c r="AN1008" s="33"/>
      <c r="AO1008" s="15" cm="1">
        <f t="array" ref="AO1008">SUMPRODUCT(I1008:K1008, TRANSPOSE($AY$5:$AY$7))</f>
        <v>7.7039508255850684E-3</v>
      </c>
      <c r="AP1008" s="22">
        <f t="shared" si="151"/>
        <v>9516983.2565936204</v>
      </c>
      <c r="AQ1008" s="22">
        <f t="shared" si="152"/>
        <v>72757.848132526502</v>
      </c>
      <c r="AR1008">
        <f t="shared" si="153"/>
        <v>0</v>
      </c>
      <c r="AS1008">
        <f t="shared" si="154"/>
        <v>0</v>
      </c>
      <c r="BJ1008">
        <f t="shared" si="127"/>
        <v>4.0656897817563987E-7</v>
      </c>
      <c r="BK1008">
        <f t="shared" si="129"/>
        <v>5.7292201326575656E-5</v>
      </c>
      <c r="BO1008">
        <f t="shared" si="130"/>
        <v>4.5698191666308593E-5</v>
      </c>
      <c r="BP1008">
        <f t="shared" si="128"/>
        <v>4.0733389677558245</v>
      </c>
    </row>
    <row r="1009" spans="1:68" x14ac:dyDescent="0.15">
      <c r="A1009" s="5">
        <v>45036</v>
      </c>
      <c r="B1009" s="1"/>
      <c r="C1009">
        <v>114.74</v>
      </c>
      <c r="D1009">
        <v>90.18</v>
      </c>
      <c r="E1009">
        <v>83.547870000000003</v>
      </c>
      <c r="G1009" s="3">
        <v>2.14886912173994E-3</v>
      </c>
      <c r="I1009" s="15">
        <f t="shared" si="131"/>
        <v>3.8495188101487117E-3</v>
      </c>
      <c r="J1009" s="15">
        <f t="shared" si="132"/>
        <v>1.234845083071406E-2</v>
      </c>
      <c r="K1009" s="15">
        <f t="shared" si="133"/>
        <v>-1.0198108023181298E-3</v>
      </c>
      <c r="L1009" s="32">
        <f t="shared" si="134"/>
        <v>300191.75805699913</v>
      </c>
      <c r="M1009" s="15"/>
      <c r="N1009" s="32">
        <f t="shared" si="135"/>
        <v>-3442200</v>
      </c>
      <c r="O1009" s="34">
        <f t="shared" si="136"/>
        <v>-0.35958756972224387</v>
      </c>
      <c r="P1009" s="34">
        <f t="shared" si="137"/>
        <v>0.65944236030115544</v>
      </c>
      <c r="Q1009" s="34">
        <f t="shared" si="138"/>
        <v>0.69822266059543248</v>
      </c>
      <c r="R1009" s="35" cm="1">
        <f t="array" ref="R1009">SQRT(MMULT(O1009:Q1009, MMULT($AU$32:$AW$34,TRANSPOSE(O1009:Q1009))))</f>
        <v>1.3458957245673572E-2</v>
      </c>
      <c r="S1009" s="36" cm="1">
        <f t="array" ref="S1009:U1009">TRANSPOSE(MMULT($AU$32:$AW$34, TRANSPOSE(O1009:Q1009))/MMULT(O1009:Q1009, MMULT($AU$32:$AW$34,TRANSPOSE(O1009:Q1009))))</f>
        <v>0.14426719273961561</v>
      </c>
      <c r="T1009" s="36">
        <v>1.0237554249591831</v>
      </c>
      <c r="U1009" s="36">
        <v>0.53961152607162655</v>
      </c>
      <c r="V1009" s="35">
        <f t="shared" si="143"/>
        <v>4.5241283311534966E-3</v>
      </c>
      <c r="W1009" s="35">
        <f t="shared" si="144"/>
        <v>3.2104325552306225E-2</v>
      </c>
      <c r="X1009" s="35">
        <f t="shared" si="145"/>
        <v>1.6921877708702713E-2</v>
      </c>
      <c r="Y1009" s="32">
        <f t="shared" si="146"/>
        <v>-15572.954541496567</v>
      </c>
      <c r="Z1009" s="32">
        <f t="shared" si="139"/>
        <v>202661.76548148831</v>
      </c>
      <c r="AA1009" s="32">
        <f t="shared" si="140"/>
        <v>113102.94711700738</v>
      </c>
      <c r="AB1009" s="40">
        <f t="shared" si="147"/>
        <v>-5.1876689227888934E-2</v>
      </c>
      <c r="AC1009" s="40">
        <f t="shared" si="148"/>
        <v>0.67510769380619629</v>
      </c>
      <c r="AD1009" s="40">
        <f t="shared" si="149"/>
        <v>0.37676899542169268</v>
      </c>
      <c r="AE1009" s="40"/>
      <c r="AF1009" s="40"/>
      <c r="AG1009" s="40"/>
      <c r="AH1009" s="40"/>
      <c r="AI1009" s="40"/>
      <c r="AJ1009" s="40"/>
      <c r="AK1009" s="33">
        <f t="shared" si="141"/>
        <v>6312600.0000000009</v>
      </c>
      <c r="AL1009" s="33">
        <f t="shared" si="142"/>
        <v>6683829.6000000006</v>
      </c>
      <c r="AM1009" s="34"/>
      <c r="AN1009" s="33"/>
      <c r="AO1009" s="15" cm="1">
        <f t="array" ref="AO1009">SUMPRODUCT(I1009:K1009, TRANSPOSE($AY$5:$AY$7))</f>
        <v>5.8474620700387286E-3</v>
      </c>
      <c r="AP1009" s="22">
        <f t="shared" si="151"/>
        <v>9572633.4552077465</v>
      </c>
      <c r="AQ1009" s="22">
        <f t="shared" si="152"/>
        <v>55650.198614126071</v>
      </c>
      <c r="AR1009">
        <f t="shared" si="153"/>
        <v>0</v>
      </c>
      <c r="AS1009">
        <f t="shared" si="154"/>
        <v>0</v>
      </c>
      <c r="BJ1009">
        <f t="shared" si="127"/>
        <v>4.6176385023673817E-6</v>
      </c>
      <c r="BK1009">
        <f t="shared" si="129"/>
        <v>5.3879063385671654E-5</v>
      </c>
      <c r="BO1009">
        <f t="shared" si="130"/>
        <v>4.1842422428612764E-5</v>
      </c>
      <c r="BP1009">
        <f t="shared" si="128"/>
        <v>4.0666824782638891</v>
      </c>
    </row>
    <row r="1010" spans="1:68" x14ac:dyDescent="0.15">
      <c r="A1010" s="5">
        <v>45037</v>
      </c>
      <c r="B1010" s="1"/>
      <c r="C1010">
        <v>116.3</v>
      </c>
      <c r="D1010">
        <v>89.32</v>
      </c>
      <c r="E1010">
        <v>84.268190000000004</v>
      </c>
      <c r="G1010" s="3">
        <v>6.1394165153780796E-3</v>
      </c>
      <c r="I1010" s="15">
        <f t="shared" si="131"/>
        <v>1.3595956074603472E-2</v>
      </c>
      <c r="J1010" s="15">
        <f t="shared" si="132"/>
        <v>-9.5364825903749562E-3</v>
      </c>
      <c r="K1010" s="15">
        <f t="shared" si="133"/>
        <v>8.6216440945771685E-3</v>
      </c>
      <c r="L1010" s="32">
        <f t="shared" si="134"/>
        <v>299030.71571423404</v>
      </c>
      <c r="M1010" s="15"/>
      <c r="N1010" s="32">
        <f t="shared" si="135"/>
        <v>-3489000</v>
      </c>
      <c r="O1010" s="34">
        <f t="shared" si="136"/>
        <v>-0.36640945544481296</v>
      </c>
      <c r="P1010" s="34">
        <f t="shared" si="137"/>
        <v>0.65661750622618176</v>
      </c>
      <c r="Q1010" s="34">
        <f t="shared" si="138"/>
        <v>0.70797733698412224</v>
      </c>
      <c r="R1010" s="35" cm="1">
        <f t="array" ref="R1010">SQRT(MMULT(O1010:Q1010, MMULT($AU$32:$AW$34,TRANSPOSE(O1010:Q1010))))</f>
        <v>1.3478004040426893E-2</v>
      </c>
      <c r="S1010" s="36" cm="1">
        <f t="array" ref="S1010:U1010">TRANSPOSE(MMULT($AU$32:$AW$34, TRANSPOSE(O1010:Q1010))/MMULT(O1010:Q1010, MMULT($AU$32:$AW$34,TRANSPOSE(O1010:Q1010))))</f>
        <v>0.14173846720671326</v>
      </c>
      <c r="T1010" s="36">
        <v>1.0180524521203471</v>
      </c>
      <c r="U1010" s="36">
        <v>0.5416321006821756</v>
      </c>
      <c r="V1010" s="35">
        <f t="shared" si="143"/>
        <v>4.451119306511671E-3</v>
      </c>
      <c r="W1010" s="35">
        <f t="shared" si="144"/>
        <v>3.1970664096893787E-2</v>
      </c>
      <c r="X1010" s="35">
        <f t="shared" si="145"/>
        <v>1.7009278764506894E-2</v>
      </c>
      <c r="Y1010" s="32">
        <f t="shared" si="146"/>
        <v>-15529.955260419219</v>
      </c>
      <c r="Z1010" s="32">
        <f t="shared" si="139"/>
        <v>199893.38019941869</v>
      </c>
      <c r="AA1010" s="32">
        <f t="shared" si="140"/>
        <v>114667.29077523458</v>
      </c>
      <c r="AB1010" s="40">
        <f t="shared" si="147"/>
        <v>-5.1934314584794285E-2</v>
      </c>
      <c r="AC1010" s="40">
        <f t="shared" si="148"/>
        <v>0.66847106231871167</v>
      </c>
      <c r="AD1010" s="40">
        <f t="shared" si="149"/>
        <v>0.38346325226608269</v>
      </c>
      <c r="AE1010" s="40"/>
      <c r="AF1010" s="40"/>
      <c r="AG1010" s="40"/>
      <c r="AH1010" s="40"/>
      <c r="AI1010" s="40"/>
      <c r="AJ1010" s="40"/>
      <c r="AK1010" s="33">
        <f t="shared" si="141"/>
        <v>6252399.9999999991</v>
      </c>
      <c r="AL1010" s="33">
        <f t="shared" si="142"/>
        <v>6741455.2000000002</v>
      </c>
      <c r="AM1010" s="34"/>
      <c r="AN1010" s="33"/>
      <c r="AO1010" s="15" cm="1">
        <f t="array" ref="AO1010">SUMPRODUCT(I1010:K1010, TRANSPOSE($AY$5:$AY$7))</f>
        <v>-5.2753794721412282E-3</v>
      </c>
      <c r="AP1010" s="22">
        <f t="shared" si="151"/>
        <v>9522134.1811838113</v>
      </c>
      <c r="AQ1010" s="22">
        <f t="shared" si="152"/>
        <v>-50499.274023935199</v>
      </c>
      <c r="AR1010">
        <f t="shared" si="153"/>
        <v>0</v>
      </c>
      <c r="AS1010">
        <f t="shared" si="154"/>
        <v>0</v>
      </c>
      <c r="BJ1010">
        <f t="shared" si="127"/>
        <v>3.769243514929712E-5</v>
      </c>
      <c r="BK1010">
        <f t="shared" si="129"/>
        <v>5.0923377892673398E-5</v>
      </c>
      <c r="BO1010">
        <f t="shared" si="130"/>
        <v>3.9417780024113733E-5</v>
      </c>
      <c r="BP1010">
        <f t="shared" si="128"/>
        <v>3.6735936170254391</v>
      </c>
    </row>
    <row r="1011" spans="1:68" x14ac:dyDescent="0.15">
      <c r="A1011" s="5">
        <v>45040</v>
      </c>
      <c r="B1011" s="1"/>
      <c r="C1011">
        <v>114.66</v>
      </c>
      <c r="D1011">
        <v>89.78</v>
      </c>
      <c r="E1011">
        <v>84.836860000000001</v>
      </c>
      <c r="G1011" s="3">
        <v>5.7760598781109098E-4</v>
      </c>
      <c r="I1011" s="15">
        <f t="shared" si="131"/>
        <v>-1.4101461736887366E-2</v>
      </c>
      <c r="J1011" s="15">
        <f t="shared" si="132"/>
        <v>5.1500223914017909E-3</v>
      </c>
      <c r="K1011" s="15">
        <f t="shared" si="133"/>
        <v>6.7483352852363071E-3</v>
      </c>
      <c r="L1011" s="32">
        <f t="shared" si="134"/>
        <v>301058.76648585906</v>
      </c>
      <c r="M1011" s="15"/>
      <c r="N1011" s="32">
        <f t="shared" si="135"/>
        <v>-3439800</v>
      </c>
      <c r="O1011" s="34">
        <f t="shared" si="136"/>
        <v>-0.35628355515471921</v>
      </c>
      <c r="P1011" s="34">
        <f t="shared" si="137"/>
        <v>0.65093890072834126</v>
      </c>
      <c r="Q1011" s="34">
        <f t="shared" si="138"/>
        <v>0.70297059338248014</v>
      </c>
      <c r="R1011" s="35" cm="1">
        <f t="array" ref="R1011">SQRT(MMULT(O1011:Q1011, MMULT($AU$32:$AW$34,TRANSPOSE(O1011:Q1011))))</f>
        <v>1.3383137560657198E-2</v>
      </c>
      <c r="S1011" s="36" cm="1">
        <f t="array" ref="S1011:U1011">TRANSPOSE(MMULT($AU$32:$AW$34, TRANSPOSE(O1011:Q1011))/MMULT(O1011:Q1011, MMULT($AU$32:$AW$34,TRANSPOSE(O1011:Q1011))))</f>
        <v>0.14789066972972378</v>
      </c>
      <c r="T1011" s="36">
        <v>1.0255984617210134</v>
      </c>
      <c r="U1011" s="36">
        <v>0.54780254245235638</v>
      </c>
      <c r="V1011" s="35">
        <f t="shared" si="143"/>
        <v>4.611631942248332E-3</v>
      </c>
      <c r="W1011" s="35">
        <f t="shared" si="144"/>
        <v>3.198093993784102E-2</v>
      </c>
      <c r="X1011" s="35">
        <f t="shared" si="145"/>
        <v>1.7081968101402098E-2</v>
      </c>
      <c r="Y1011" s="32">
        <f t="shared" si="146"/>
        <v>-15863.091554945813</v>
      </c>
      <c r="Z1011" s="32">
        <f t="shared" si="139"/>
        <v>200987.41513335568</v>
      </c>
      <c r="AA1011" s="32">
        <f t="shared" si="140"/>
        <v>115934.44290744925</v>
      </c>
      <c r="AB1011" s="40">
        <f t="shared" si="147"/>
        <v>-5.2691013585518406E-2</v>
      </c>
      <c r="AC1011" s="40">
        <f t="shared" si="148"/>
        <v>0.66760193526135436</v>
      </c>
      <c r="AD1011" s="40">
        <f t="shared" si="149"/>
        <v>0.38508907832416422</v>
      </c>
      <c r="AE1011" s="40"/>
      <c r="AF1011" s="40"/>
      <c r="AG1011" s="40"/>
      <c r="AH1011" s="40"/>
      <c r="AI1011" s="40"/>
      <c r="AJ1011" s="40"/>
      <c r="AK1011" s="33">
        <f t="shared" si="141"/>
        <v>6284600</v>
      </c>
      <c r="AL1011" s="33">
        <f t="shared" si="142"/>
        <v>6786948.7999999998</v>
      </c>
      <c r="AM1011" s="34"/>
      <c r="AN1011" s="33"/>
      <c r="AO1011" s="15" cm="1">
        <f t="array" ref="AO1011">SUMPRODUCT(I1011:K1011, TRANSPOSE($AY$5:$AY$7))</f>
        <v>1.3918664789205559E-2</v>
      </c>
      <c r="AP1011" s="22">
        <f t="shared" si="151"/>
        <v>9654669.5749295447</v>
      </c>
      <c r="AQ1011" s="22">
        <f t="shared" si="152"/>
        <v>132535.39374573343</v>
      </c>
      <c r="AR1011">
        <f t="shared" si="153"/>
        <v>0</v>
      </c>
      <c r="AS1011">
        <f t="shared" si="154"/>
        <v>0</v>
      </c>
      <c r="BJ1011">
        <f t="shared" si="127"/>
        <v>3.3362867715522617E-7</v>
      </c>
      <c r="BK1011">
        <f t="shared" si="129"/>
        <v>5.0129521328070822E-5</v>
      </c>
      <c r="BO1011">
        <f t="shared" si="130"/>
        <v>4.2226460661483004E-5</v>
      </c>
      <c r="BP1011">
        <f t="shared" si="128"/>
        <v>4.1133427492111343</v>
      </c>
    </row>
    <row r="1012" spans="1:68" x14ac:dyDescent="0.15">
      <c r="A1012" s="5">
        <v>45041</v>
      </c>
      <c r="B1012" s="1"/>
      <c r="C1012">
        <v>115.52</v>
      </c>
      <c r="D1012">
        <v>89.1</v>
      </c>
      <c r="E1012">
        <v>88.258390000000006</v>
      </c>
      <c r="G1012" s="3">
        <v>4.0044090359323496E-3</v>
      </c>
      <c r="I1012" s="15">
        <f t="shared" si="131"/>
        <v>7.5004360718646385E-3</v>
      </c>
      <c r="J1012" s="15">
        <f t="shared" si="132"/>
        <v>-7.5740699487637205E-3</v>
      </c>
      <c r="K1012" s="15">
        <f t="shared" si="133"/>
        <v>4.0330700594057869E-2</v>
      </c>
      <c r="L1012" s="32">
        <f t="shared" si="134"/>
        <v>304148.48792310461</v>
      </c>
      <c r="M1012" s="15"/>
      <c r="N1012" s="32">
        <f t="shared" si="135"/>
        <v>-3465600</v>
      </c>
      <c r="O1012" s="34">
        <f t="shared" si="136"/>
        <v>-0.35130211671869849</v>
      </c>
      <c r="P1012" s="34">
        <f t="shared" si="137"/>
        <v>0.63223433228720061</v>
      </c>
      <c r="Q1012" s="34">
        <f t="shared" si="138"/>
        <v>0.71572851397009263</v>
      </c>
      <c r="R1012" s="35" cm="1">
        <f t="array" ref="R1012">SQRT(MMULT(O1012:Q1012, MMULT($AU$32:$AW$34,TRANSPOSE(O1012:Q1012))))</f>
        <v>1.3232200482805143E-2</v>
      </c>
      <c r="S1012" s="36" cm="1">
        <f t="array" ref="S1012:U1012">TRANSPOSE(MMULT($AU$32:$AW$34, TRANSPOSE(O1012:Q1012))/MMULT(O1012:Q1012, MMULT($AU$32:$AW$34,TRANSPOSE(O1012:Q1012))))</f>
        <v>0.15490185626714911</v>
      </c>
      <c r="T1012" s="36">
        <v>1.0272066563410471</v>
      </c>
      <c r="U1012" s="36">
        <v>0.5658319147453692</v>
      </c>
      <c r="V1012" s="35">
        <f t="shared" si="143"/>
        <v>4.7757833322754099E-3</v>
      </c>
      <c r="W1012" s="35">
        <f t="shared" si="144"/>
        <v>3.1669836284565621E-2</v>
      </c>
      <c r="X1012" s="35">
        <f t="shared" si="145"/>
        <v>1.7445179111668943E-2</v>
      </c>
      <c r="Y1012" s="32">
        <f t="shared" si="146"/>
        <v>-16550.954716333661</v>
      </c>
      <c r="Z1012" s="32">
        <f t="shared" si="139"/>
        <v>197524.76890683579</v>
      </c>
      <c r="AA1012" s="32">
        <f t="shared" si="140"/>
        <v>123174.67373260249</v>
      </c>
      <c r="AB1012" s="40">
        <f t="shared" si="147"/>
        <v>-5.4417349990305078E-2</v>
      </c>
      <c r="AC1012" s="40">
        <f t="shared" si="148"/>
        <v>0.64943531449274994</v>
      </c>
      <c r="AD1012" s="40">
        <f t="shared" si="149"/>
        <v>0.40498203549755518</v>
      </c>
      <c r="AE1012" s="40"/>
      <c r="AF1012" s="40"/>
      <c r="AG1012" s="40"/>
      <c r="AH1012" s="40"/>
      <c r="AI1012" s="40"/>
      <c r="AJ1012" s="40"/>
      <c r="AK1012" s="33">
        <f t="shared" si="141"/>
        <v>6237000</v>
      </c>
      <c r="AL1012" s="33">
        <f t="shared" si="142"/>
        <v>7060671.2000000002</v>
      </c>
      <c r="AM1012" s="34"/>
      <c r="AN1012" s="33"/>
      <c r="AO1012" s="15" cm="1">
        <f t="array" ref="AO1012">SUMPRODUCT(I1012:K1012, TRANSPOSE($AY$5:$AY$7))</f>
        <v>2.1786718897125169E-2</v>
      </c>
      <c r="AP1012" s="22">
        <f t="shared" si="151"/>
        <v>9865013.1470031627</v>
      </c>
      <c r="AQ1012" s="22">
        <f t="shared" si="152"/>
        <v>210343.57207361795</v>
      </c>
      <c r="AR1012">
        <f t="shared" si="153"/>
        <v>0</v>
      </c>
      <c r="AS1012">
        <f t="shared" si="154"/>
        <v>0</v>
      </c>
      <c r="BJ1012">
        <f t="shared" si="127"/>
        <v>1.603529172705665E-5</v>
      </c>
      <c r="BK1012">
        <f t="shared" si="129"/>
        <v>4.7141767769015886E-5</v>
      </c>
      <c r="BO1012">
        <f t="shared" si="130"/>
        <v>3.9108881991522655E-5</v>
      </c>
      <c r="BP1012">
        <f t="shared" si="128"/>
        <v>3.9506336331802578</v>
      </c>
    </row>
    <row r="1013" spans="1:68" x14ac:dyDescent="0.15">
      <c r="A1013" s="5">
        <v>45042</v>
      </c>
      <c r="B1013" s="1"/>
      <c r="C1013">
        <v>115.04</v>
      </c>
      <c r="D1013">
        <v>88.92</v>
      </c>
      <c r="E1013">
        <v>86.874619999999993</v>
      </c>
      <c r="G1013" s="3">
        <v>-1.2872634578455999E-2</v>
      </c>
      <c r="I1013" s="15">
        <f t="shared" si="131"/>
        <v>-4.1551246537395239E-3</v>
      </c>
      <c r="J1013" s="15">
        <f t="shared" si="132"/>
        <v>-2.0202020202019374E-3</v>
      </c>
      <c r="K1013" s="15">
        <f t="shared" si="133"/>
        <v>-1.567862273490387E-2</v>
      </c>
      <c r="L1013" s="32">
        <f t="shared" si="134"/>
        <v>301892.19152667437</v>
      </c>
      <c r="M1013" s="15"/>
      <c r="N1013" s="32">
        <f t="shared" si="135"/>
        <v>-3451200</v>
      </c>
      <c r="O1013" s="34">
        <f t="shared" si="136"/>
        <v>-0.35382088631078285</v>
      </c>
      <c r="P1013" s="34">
        <f t="shared" si="137"/>
        <v>0.63813245385745154</v>
      </c>
      <c r="Q1013" s="34">
        <f t="shared" si="138"/>
        <v>0.71251866124970931</v>
      </c>
      <c r="R1013" s="35" cm="1">
        <f t="array" ref="R1013">SQRT(MMULT(O1013:Q1013, MMULT($AU$32:$AW$34,TRANSPOSE(O1013:Q1013))))</f>
        <v>1.32834014288583E-2</v>
      </c>
      <c r="S1013" s="36" cm="1">
        <f t="array" ref="S1013:U1013">TRANSPOSE(MMULT($AU$32:$AW$34, TRANSPOSE(O1013:Q1013))/MMULT(O1013:Q1013, MMULT($AU$32:$AW$34,TRANSPOSE(O1013:Q1013))))</f>
        <v>0.15217743763417599</v>
      </c>
      <c r="T1013" s="36">
        <v>1.0261640959260838</v>
      </c>
      <c r="U1013" s="36">
        <v>0.56000630575297194</v>
      </c>
      <c r="V1013" s="35">
        <f t="shared" si="143"/>
        <v>4.7099412025478531E-3</v>
      </c>
      <c r="W1013" s="35">
        <f t="shared" si="144"/>
        <v>3.1760112610097577E-2</v>
      </c>
      <c r="X1013" s="35">
        <f t="shared" si="145"/>
        <v>1.7332377349480239E-2</v>
      </c>
      <c r="Y1013" s="32">
        <f t="shared" si="146"/>
        <v>-16254.94907823315</v>
      </c>
      <c r="Z1013" s="32">
        <f t="shared" si="139"/>
        <v>197687.64493029137</v>
      </c>
      <c r="AA1013" s="32">
        <f t="shared" si="140"/>
        <v>120459.49567461624</v>
      </c>
      <c r="AB1013" s="40">
        <f t="shared" si="147"/>
        <v>-5.3843555860228029E-2</v>
      </c>
      <c r="AC1013" s="40">
        <f t="shared" si="148"/>
        <v>0.65482861259372527</v>
      </c>
      <c r="AD1013" s="40">
        <f t="shared" si="149"/>
        <v>0.399014943266503</v>
      </c>
      <c r="AE1013" s="40"/>
      <c r="AF1013" s="40"/>
      <c r="AG1013" s="40"/>
      <c r="AH1013" s="40"/>
      <c r="AI1013" s="40"/>
      <c r="AJ1013" s="40"/>
      <c r="AK1013" s="33">
        <f t="shared" si="141"/>
        <v>6224400</v>
      </c>
      <c r="AL1013" s="33">
        <f t="shared" si="142"/>
        <v>6949969.5999999996</v>
      </c>
      <c r="AM1013" s="34"/>
      <c r="AN1013" s="33"/>
      <c r="AO1013" s="15" cm="1">
        <f t="array" ref="AO1013">SUMPRODUCT(I1013:K1013, TRANSPOSE($AY$5:$AY$7))</f>
        <v>-1.1244315505666902E-2</v>
      </c>
      <c r="AP1013" s="22">
        <f t="shared" si="151"/>
        <v>9754087.8267107066</v>
      </c>
      <c r="AQ1013" s="22">
        <f t="shared" si="152"/>
        <v>-110925.32029245608</v>
      </c>
      <c r="AR1013">
        <f t="shared" si="153"/>
        <v>0</v>
      </c>
      <c r="AS1013">
        <f t="shared" si="154"/>
        <v>0</v>
      </c>
      <c r="BJ1013">
        <f t="shared" si="127"/>
        <v>1.6570472099046107E-4</v>
      </c>
      <c r="BK1013">
        <f t="shared" si="129"/>
        <v>4.5275379206498324E-5</v>
      </c>
      <c r="BO1013">
        <f t="shared" si="130"/>
        <v>3.8899753132231148E-5</v>
      </c>
      <c r="BP1013">
        <f t="shared" si="128"/>
        <v>2.0284285442905681</v>
      </c>
    </row>
    <row r="1014" spans="1:68" x14ac:dyDescent="0.15">
      <c r="A1014" s="5">
        <v>45043</v>
      </c>
      <c r="B1014" s="1"/>
      <c r="C1014">
        <v>113.7</v>
      </c>
      <c r="D1014">
        <v>88.88</v>
      </c>
      <c r="E1014">
        <v>86.580794999999995</v>
      </c>
      <c r="G1014" s="3">
        <v>-2.65842846898678E-4</v>
      </c>
      <c r="I1014" s="15">
        <f t="shared" si="131"/>
        <v>-1.1648122392211434E-2</v>
      </c>
      <c r="J1014" s="15">
        <f t="shared" si="132"/>
        <v>-4.4984255510578333E-4</v>
      </c>
      <c r="K1014" s="15">
        <f t="shared" si="133"/>
        <v>-3.3821730673469219E-3</v>
      </c>
      <c r="L1014" s="32">
        <f t="shared" si="134"/>
        <v>301586.44096846547</v>
      </c>
      <c r="M1014" s="15"/>
      <c r="N1014" s="32">
        <f t="shared" si="135"/>
        <v>-3411000</v>
      </c>
      <c r="O1014" s="34">
        <f t="shared" si="136"/>
        <v>-0.34906963725892637</v>
      </c>
      <c r="P1014" s="34">
        <f t="shared" si="137"/>
        <v>0.6366964688273633</v>
      </c>
      <c r="Q1014" s="34">
        <f t="shared" si="138"/>
        <v>0.70882970868928674</v>
      </c>
      <c r="R1014" s="35" cm="1">
        <f t="array" ref="R1014">SQRT(MMULT(O1014:Q1014, MMULT($AU$32:$AW$34,TRANSPOSE(O1014:Q1014))))</f>
        <v>1.324604562002419E-2</v>
      </c>
      <c r="S1014" s="36" cm="1">
        <f t="array" ref="S1014:U1014">TRANSPOSE(MMULT($AU$32:$AW$34, TRANSPOSE(O1014:Q1014))/MMULT(O1014:Q1014, MMULT($AU$32:$AW$34,TRANSPOSE(O1014:Q1014))))</f>
        <v>0.15484059835854866</v>
      </c>
      <c r="T1014" s="36">
        <v>1.0300096600407336</v>
      </c>
      <c r="U1014" s="36">
        <v>0.56183683219538394</v>
      </c>
      <c r="V1014" s="35">
        <f t="shared" si="143"/>
        <v>4.7788897171757855E-3</v>
      </c>
      <c r="W1014" s="35">
        <f t="shared" si="144"/>
        <v>3.1789483024098834E-2</v>
      </c>
      <c r="X1014" s="35">
        <f t="shared" si="145"/>
        <v>1.734013100292894E-2</v>
      </c>
      <c r="Y1014" s="32">
        <f t="shared" si="146"/>
        <v>-16300.792825286604</v>
      </c>
      <c r="Z1014" s="32">
        <f t="shared" si="139"/>
        <v>197781.44758273329</v>
      </c>
      <c r="AA1014" s="32">
        <f t="shared" si="140"/>
        <v>120105.78621101879</v>
      </c>
      <c r="AB1014" s="40">
        <f t="shared" si="147"/>
        <v>-5.4050151501973689E-2</v>
      </c>
      <c r="AC1014" s="40">
        <f t="shared" si="148"/>
        <v>0.65580351340600807</v>
      </c>
      <c r="AD1014" s="40">
        <f t="shared" si="149"/>
        <v>0.39824663809596567</v>
      </c>
      <c r="AE1014" s="40"/>
      <c r="AF1014" s="40"/>
      <c r="AG1014" s="40"/>
      <c r="AH1014" s="40"/>
      <c r="AI1014" s="40"/>
      <c r="AJ1014" s="40"/>
      <c r="AK1014" s="33">
        <f t="shared" si="141"/>
        <v>6221600</v>
      </c>
      <c r="AL1014" s="33">
        <f t="shared" si="142"/>
        <v>6926463.5999999996</v>
      </c>
      <c r="AM1014" s="34"/>
      <c r="AN1014" s="33"/>
      <c r="AO1014" s="15" cm="1">
        <f t="array" ref="AO1014">SUMPRODUCT(I1014:K1014, TRANSPOSE($AY$5:$AY$7))</f>
        <v>1.8045111804454251E-3</v>
      </c>
      <c r="AP1014" s="22">
        <f t="shared" si="151"/>
        <v>9771689.1872490533</v>
      </c>
      <c r="AQ1014" s="22">
        <f t="shared" si="152"/>
        <v>17601.360538346693</v>
      </c>
      <c r="AR1014">
        <f t="shared" si="153"/>
        <v>0</v>
      </c>
      <c r="AS1014">
        <f t="shared" si="154"/>
        <v>0</v>
      </c>
      <c r="BJ1014">
        <f t="shared" si="127"/>
        <v>7.067241924719395E-8</v>
      </c>
      <c r="BK1014">
        <f t="shared" si="129"/>
        <v>5.2501139713536094E-5</v>
      </c>
      <c r="BO1014">
        <f t="shared" si="130"/>
        <v>6.0051665259041253E-5</v>
      </c>
      <c r="BP1014">
        <f t="shared" si="128"/>
        <v>3.9406256759655767</v>
      </c>
    </row>
    <row r="1015" spans="1:68" x14ac:dyDescent="0.15">
      <c r="A1015" s="5">
        <v>45044</v>
      </c>
      <c r="B1015" s="1"/>
      <c r="C1015">
        <v>114.52</v>
      </c>
      <c r="D1015">
        <v>89.72</v>
      </c>
      <c r="E1015">
        <v>86.372283999999993</v>
      </c>
      <c r="G1015" s="3">
        <v>6.6233373268853504E-3</v>
      </c>
      <c r="I1015" s="15">
        <f t="shared" si="131"/>
        <v>7.2119613016710044E-3</v>
      </c>
      <c r="J1015" s="15">
        <f t="shared" si="132"/>
        <v>9.4509450945094893E-3</v>
      </c>
      <c r="K1015" s="15">
        <f t="shared" si="133"/>
        <v>-2.408282344831801E-3</v>
      </c>
      <c r="L1015" s="32">
        <f t="shared" si="134"/>
        <v>303052.56529762427</v>
      </c>
      <c r="M1015" s="15"/>
      <c r="N1015" s="32">
        <f t="shared" si="135"/>
        <v>-3435600</v>
      </c>
      <c r="O1015" s="34">
        <f t="shared" si="136"/>
        <v>-0.35102763889716587</v>
      </c>
      <c r="P1015" s="34">
        <f t="shared" si="137"/>
        <v>0.64169111169221116</v>
      </c>
      <c r="Q1015" s="34">
        <f t="shared" si="138"/>
        <v>0.70599741340494715</v>
      </c>
      <c r="R1015" s="35" cm="1">
        <f t="array" ref="R1015">SQRT(MMULT(O1015:Q1015, MMULT($AU$32:$AW$34,TRANSPOSE(O1015:Q1015))))</f>
        <v>1.3289258900639233E-2</v>
      </c>
      <c r="S1015" s="36" cm="1">
        <f t="array" ref="S1015:U1015">TRANSPOSE(MMULT($AU$32:$AW$34, TRANSPOSE(O1015:Q1015))/MMULT(O1015:Q1015, MMULT($AU$32:$AW$34,TRANSPOSE(O1015:Q1015))))</f>
        <v>0.15262517136159226</v>
      </c>
      <c r="T1015" s="36">
        <v>1.0291368081082863</v>
      </c>
      <c r="U1015" s="36">
        <v>0.55692514391044923</v>
      </c>
      <c r="V1015" s="35">
        <f t="shared" si="143"/>
        <v>4.7258817215602034E-3</v>
      </c>
      <c r="W1015" s="35">
        <f t="shared" si="144"/>
        <v>3.1866164585009397E-2</v>
      </c>
      <c r="X1015" s="35">
        <f t="shared" si="145"/>
        <v>1.7244615251885014E-2</v>
      </c>
      <c r="Y1015" s="32">
        <f t="shared" si="146"/>
        <v>-16236.239242592235</v>
      </c>
      <c r="Z1015" s="32">
        <f t="shared" si="139"/>
        <v>200132.26005969301</v>
      </c>
      <c r="AA1015" s="32">
        <f t="shared" si="140"/>
        <v>119156.54448052352</v>
      </c>
      <c r="AB1015" s="40">
        <f t="shared" si="147"/>
        <v>-5.3575653539335071E-2</v>
      </c>
      <c r="AC1015" s="40">
        <f t="shared" si="148"/>
        <v>0.66038794247838006</v>
      </c>
      <c r="AD1015" s="40">
        <f t="shared" si="149"/>
        <v>0.39318771106095507</v>
      </c>
      <c r="AE1015" s="40"/>
      <c r="AF1015" s="40"/>
      <c r="AG1015" s="40"/>
      <c r="AH1015" s="40"/>
      <c r="AI1015" s="40"/>
      <c r="AJ1015" s="40"/>
      <c r="AK1015" s="33">
        <f t="shared" si="141"/>
        <v>6280400</v>
      </c>
      <c r="AL1015" s="33">
        <f t="shared" si="142"/>
        <v>6909782.7199999997</v>
      </c>
      <c r="AM1015" s="34"/>
      <c r="AN1015" s="33"/>
      <c r="AO1015" s="15" cm="1">
        <f t="array" ref="AO1015">SUMPRODUCT(I1015:K1015, TRANSPOSE($AY$5:$AY$7))</f>
        <v>1.5938205863729887E-3</v>
      </c>
      <c r="AP1015" s="22">
        <f t="shared" si="151"/>
        <v>9787263.5066393297</v>
      </c>
      <c r="AQ1015" s="22">
        <f t="shared" si="152"/>
        <v>15574.319390276447</v>
      </c>
      <c r="AR1015">
        <f t="shared" si="153"/>
        <v>0</v>
      </c>
      <c r="AS1015">
        <f t="shared" si="154"/>
        <v>0</v>
      </c>
      <c r="BJ1015">
        <f t="shared" si="127"/>
        <v>4.3868597345712778E-5</v>
      </c>
      <c r="BK1015">
        <f t="shared" si="129"/>
        <v>4.9355311675878754E-5</v>
      </c>
      <c r="BO1015">
        <f t="shared" si="130"/>
        <v>5.3053144643297016E-5</v>
      </c>
      <c r="BP1015">
        <f t="shared" si="128"/>
        <v>3.5897295521505321</v>
      </c>
    </row>
    <row r="1016" spans="1:68" x14ac:dyDescent="0.15">
      <c r="A1016" s="5">
        <v>45048</v>
      </c>
      <c r="B1016" s="1"/>
      <c r="C1016">
        <v>114.56</v>
      </c>
      <c r="D1016">
        <v>88.56</v>
      </c>
      <c r="E1016">
        <v>87.405379999999994</v>
      </c>
      <c r="G1016" s="3">
        <v>-1.2079292441728999E-3</v>
      </c>
      <c r="I1016" s="15">
        <f t="shared" si="131"/>
        <v>3.4928396786592958E-4</v>
      </c>
      <c r="J1016" s="15">
        <f t="shared" si="132"/>
        <v>-1.2929112795363315E-2</v>
      </c>
      <c r="K1016" s="15">
        <f t="shared" si="133"/>
        <v>1.196096655265016E-2</v>
      </c>
      <c r="L1016" s="32">
        <f t="shared" si="134"/>
        <v>301898.73523781035</v>
      </c>
      <c r="M1016" s="15"/>
      <c r="N1016" s="32">
        <f t="shared" si="135"/>
        <v>-3436800</v>
      </c>
      <c r="O1016" s="34">
        <f t="shared" si="136"/>
        <v>-0.35108752747644106</v>
      </c>
      <c r="P1016" s="34">
        <f t="shared" si="137"/>
        <v>0.63328148287126207</v>
      </c>
      <c r="Q1016" s="34">
        <f t="shared" si="138"/>
        <v>0.71431421676766227</v>
      </c>
      <c r="R1016" s="35" cm="1">
        <f t="array" ref="R1016">SQRT(MMULT(O1016:Q1016, MMULT($AU$32:$AW$34,TRANSPOSE(O1016:Q1016))))</f>
        <v>1.3236297327050858E-2</v>
      </c>
      <c r="S1016" s="36" cm="1">
        <f t="array" ref="S1016:U1016">TRANSPOSE(MMULT($AU$32:$AW$34, TRANSPOSE(O1016:Q1016))/MMULT(O1016:Q1016, MMULT($AU$32:$AW$34,TRANSPOSE(O1016:Q1016))))</f>
        <v>0.15471430852693077</v>
      </c>
      <c r="T1016" s="36">
        <v>1.0277169300074196</v>
      </c>
      <c r="U1016" s="36">
        <v>0.56485528800581719</v>
      </c>
      <c r="V1016" s="35">
        <f t="shared" si="143"/>
        <v>4.7714778909988776E-3</v>
      </c>
      <c r="W1016" s="35">
        <f t="shared" si="144"/>
        <v>3.1695378768939547E-2</v>
      </c>
      <c r="X1016" s="35">
        <f t="shared" si="145"/>
        <v>1.7420460615408521E-2</v>
      </c>
      <c r="Y1016" s="32">
        <f t="shared" si="146"/>
        <v>-16398.615215784943</v>
      </c>
      <c r="Z1016" s="32">
        <f t="shared" si="139"/>
        <v>196485.99206441003</v>
      </c>
      <c r="AA1016" s="32">
        <f t="shared" si="140"/>
        <v>121811.35838918525</v>
      </c>
      <c r="AB1016" s="40">
        <f t="shared" si="147"/>
        <v>-5.4318264045947383E-2</v>
      </c>
      <c r="AC1016" s="40">
        <f t="shared" si="148"/>
        <v>0.65083410140699971</v>
      </c>
      <c r="AD1016" s="40">
        <f t="shared" si="149"/>
        <v>0.4034841626389476</v>
      </c>
      <c r="AE1016" s="40"/>
      <c r="AF1016" s="40"/>
      <c r="AG1016" s="40"/>
      <c r="AH1016" s="40"/>
      <c r="AI1016" s="40"/>
      <c r="AJ1016" s="40"/>
      <c r="AK1016" s="33">
        <f t="shared" si="141"/>
        <v>6199200</v>
      </c>
      <c r="AL1016" s="33">
        <f t="shared" si="142"/>
        <v>6992430.3999999994</v>
      </c>
      <c r="AM1016" s="34"/>
      <c r="AN1016" s="33"/>
      <c r="AO1016" s="15" cm="1">
        <f t="array" ref="AO1016">SUMPRODUCT(I1016:K1016, TRANSPOSE($AY$5:$AY$7))</f>
        <v>1.7864419086656598E-4</v>
      </c>
      <c r="AP1016" s="22">
        <f t="shared" si="151"/>
        <v>9789011.9444092717</v>
      </c>
      <c r="AQ1016" s="22">
        <f t="shared" si="152"/>
        <v>1748.4377699419856</v>
      </c>
      <c r="AR1016">
        <f t="shared" si="153"/>
        <v>0</v>
      </c>
      <c r="AS1016">
        <f t="shared" si="154"/>
        <v>0</v>
      </c>
      <c r="BJ1016">
        <f t="shared" si="127"/>
        <v>1.4590930589281134E-6</v>
      </c>
      <c r="BK1016">
        <f t="shared" si="129"/>
        <v>4.9026108816068801E-5</v>
      </c>
      <c r="BO1016">
        <f t="shared" si="130"/>
        <v>5.3801362045006126E-5</v>
      </c>
      <c r="BP1016">
        <f t="shared" si="128"/>
        <v>3.9826073528252901</v>
      </c>
    </row>
    <row r="1017" spans="1:68" x14ac:dyDescent="0.15">
      <c r="A1017" s="5">
        <v>45049</v>
      </c>
      <c r="B1017" s="1"/>
      <c r="C1017">
        <v>116.12</v>
      </c>
      <c r="D1017">
        <v>89.56</v>
      </c>
      <c r="E1017">
        <v>87.680239999999998</v>
      </c>
      <c r="G1017" s="3">
        <v>7.2536392092794602E-3</v>
      </c>
      <c r="I1017" s="15">
        <f t="shared" si="131"/>
        <v>1.361731843575421E-2</v>
      </c>
      <c r="J1017" s="15">
        <f t="shared" si="132"/>
        <v>1.1291779584462511E-2</v>
      </c>
      <c r="K1017" s="15">
        <f t="shared" si="133"/>
        <v>3.1446576858312827E-3</v>
      </c>
      <c r="L1017" s="32">
        <f t="shared" si="134"/>
        <v>304279.60627192166</v>
      </c>
      <c r="M1017" s="15"/>
      <c r="N1017" s="32">
        <f t="shared" si="135"/>
        <v>-3483600</v>
      </c>
      <c r="O1017" s="34">
        <f t="shared" si="136"/>
        <v>-0.35431980095940208</v>
      </c>
      <c r="P1017" s="34">
        <f t="shared" si="137"/>
        <v>0.63764545188158328</v>
      </c>
      <c r="Q1017" s="34">
        <f t="shared" si="138"/>
        <v>0.7134423053134139</v>
      </c>
      <c r="R1017" s="35" cm="1">
        <f t="array" ref="R1017">SQRT(MMULT(O1017:Q1017, MMULT($AU$32:$AW$34,TRANSPOSE(O1017:Q1017))))</f>
        <v>1.3282629721297701E-2</v>
      </c>
      <c r="S1017" s="36" cm="1">
        <f t="array" ref="S1017:U1017">TRANSPOSE(MMULT($AU$32:$AW$34, TRANSPOSE(O1017:Q1017))/MMULT(O1017:Q1017, MMULT($AU$32:$AW$34,TRANSPOSE(O1017:Q1017))))</f>
        <v>0.15204161920167766</v>
      </c>
      <c r="T1017" s="36">
        <v>1.025732633950075</v>
      </c>
      <c r="U1017" s="36">
        <v>0.56040636277191647</v>
      </c>
      <c r="V1017" s="35">
        <f t="shared" si="143"/>
        <v>4.7054641950920644E-3</v>
      </c>
      <c r="W1017" s="35">
        <f t="shared" si="144"/>
        <v>3.1744914373657861E-2</v>
      </c>
      <c r="X1017" s="35">
        <f t="shared" si="145"/>
        <v>1.7343751589669536E-2</v>
      </c>
      <c r="Y1017" s="32">
        <f t="shared" si="146"/>
        <v>-16391.955070022716</v>
      </c>
      <c r="Z1017" s="32">
        <f t="shared" si="139"/>
        <v>199015.21719133586</v>
      </c>
      <c r="AA1017" s="32">
        <f t="shared" si="140"/>
        <v>121656.34415060852</v>
      </c>
      <c r="AB1017" s="40">
        <f t="shared" si="147"/>
        <v>-5.387135625308364E-2</v>
      </c>
      <c r="AC1017" s="40">
        <f t="shared" si="148"/>
        <v>0.65405374888478229</v>
      </c>
      <c r="AD1017" s="40">
        <f t="shared" si="149"/>
        <v>0.39981760736830141</v>
      </c>
      <c r="AE1017" s="40"/>
      <c r="AF1017" s="40"/>
      <c r="AG1017" s="40"/>
      <c r="AH1017" s="40"/>
      <c r="AI1017" s="40"/>
      <c r="AJ1017" s="40"/>
      <c r="AK1017" s="33">
        <f t="shared" si="141"/>
        <v>6269200</v>
      </c>
      <c r="AL1017" s="33">
        <f t="shared" si="142"/>
        <v>7014419.2000000002</v>
      </c>
      <c r="AM1017" s="34"/>
      <c r="AN1017" s="33"/>
      <c r="AO1017" s="15" cm="1">
        <f t="array" ref="AO1017">SUMPRODUCT(I1017:K1017, TRANSPOSE($AY$5:$AY$7))</f>
        <v>4.3706199126158397E-3</v>
      </c>
      <c r="AP1017" s="22">
        <f t="shared" si="151"/>
        <v>9831795.9949383419</v>
      </c>
      <c r="AQ1017" s="22">
        <f t="shared" si="152"/>
        <v>42784.050529070199</v>
      </c>
      <c r="AR1017">
        <f t="shared" si="153"/>
        <v>0</v>
      </c>
      <c r="AS1017">
        <f t="shared" si="154"/>
        <v>0</v>
      </c>
      <c r="BJ1017">
        <f t="shared" si="127"/>
        <v>5.2615281778396355E-5</v>
      </c>
      <c r="BK1017">
        <f t="shared" si="129"/>
        <v>4.6172087870640354E-5</v>
      </c>
      <c r="BO1017">
        <f t="shared" si="130"/>
        <v>4.8348278319175261E-5</v>
      </c>
      <c r="BP1017">
        <f t="shared" si="128"/>
        <v>3.5054736689993251</v>
      </c>
    </row>
    <row r="1018" spans="1:68" x14ac:dyDescent="0.15">
      <c r="A1018" s="5">
        <v>45050</v>
      </c>
      <c r="B1018" s="1"/>
      <c r="C1018">
        <v>115.6</v>
      </c>
      <c r="D1018">
        <v>87.92</v>
      </c>
      <c r="E1018">
        <v>87.850845000000007</v>
      </c>
      <c r="G1018" s="3">
        <v>-4.3299185493833594E-3</v>
      </c>
      <c r="I1018" s="15">
        <f t="shared" si="131"/>
        <v>-4.4781260764727021E-3</v>
      </c>
      <c r="J1018" s="15">
        <f t="shared" si="132"/>
        <v>-1.8311746315319344E-2</v>
      </c>
      <c r="K1018" s="15">
        <f t="shared" si="133"/>
        <v>1.9457633783850159E-3</v>
      </c>
      <c r="L1018" s="32">
        <f t="shared" si="134"/>
        <v>300954.70952124539</v>
      </c>
      <c r="M1018" s="15"/>
      <c r="N1018" s="32">
        <f t="shared" si="135"/>
        <v>-3468000</v>
      </c>
      <c r="O1018" s="34">
        <f t="shared" si="136"/>
        <v>-0.35587800356511085</v>
      </c>
      <c r="P1018" s="34">
        <f t="shared" si="137"/>
        <v>0.63155005338555881</v>
      </c>
      <c r="Q1018" s="34">
        <f t="shared" si="138"/>
        <v>0.72120376770722028</v>
      </c>
      <c r="R1018" s="35" cm="1">
        <f t="array" ref="R1018">SQRT(MMULT(O1018:Q1018, MMULT($AU$32:$AW$34,TRANSPOSE(O1018:Q1018))))</f>
        <v>1.3254619944945902E-2</v>
      </c>
      <c r="S1018" s="36" cm="1">
        <f t="array" ref="S1018:U1018">TRANSPOSE(MMULT($AU$32:$AW$34, TRANSPOSE(O1018:Q1018))/MMULT(O1018:Q1018, MMULT($AU$32:$AW$34,TRANSPOSE(O1018:Q1018))))</f>
        <v>0.1528227572146052</v>
      </c>
      <c r="T1018" s="36">
        <v>1.0232082050065168</v>
      </c>
      <c r="U1018" s="36">
        <v>0.5659691192935451</v>
      </c>
      <c r="V1018" s="35">
        <f t="shared" si="143"/>
        <v>4.7196656283567118E-3</v>
      </c>
      <c r="W1018" s="35">
        <f t="shared" si="144"/>
        <v>3.1600009604854193E-2</v>
      </c>
      <c r="X1018" s="35">
        <f t="shared" si="145"/>
        <v>1.7478973993971234E-2</v>
      </c>
      <c r="Y1018" s="32">
        <f t="shared" si="146"/>
        <v>-16367.800399141077</v>
      </c>
      <c r="Z1018" s="32">
        <f t="shared" si="139"/>
        <v>194479.09911211464</v>
      </c>
      <c r="AA1018" s="32">
        <f t="shared" si="140"/>
        <v>122843.41080827183</v>
      </c>
      <c r="AB1018" s="40">
        <f t="shared" si="147"/>
        <v>-5.4386257736849339E-2</v>
      </c>
      <c r="AC1018" s="40">
        <f t="shared" si="148"/>
        <v>0.64620719649640745</v>
      </c>
      <c r="AD1018" s="40">
        <f t="shared" si="149"/>
        <v>0.4081790612404419</v>
      </c>
      <c r="AE1018" s="40"/>
      <c r="AF1018" s="40"/>
      <c r="AG1018" s="40"/>
      <c r="AH1018" s="40"/>
      <c r="AI1018" s="40"/>
      <c r="AJ1018" s="40"/>
      <c r="AK1018" s="33">
        <f t="shared" si="141"/>
        <v>6154400</v>
      </c>
      <c r="AL1018" s="33">
        <f t="shared" si="142"/>
        <v>7028067.6000000006</v>
      </c>
      <c r="AM1018" s="34"/>
      <c r="AN1018" s="33"/>
      <c r="AO1018" s="15" cm="1">
        <f t="array" ref="AO1018">SUMPRODUCT(I1018:K1018, TRANSPOSE($AY$5:$AY$7))</f>
        <v>-8.8369927736211811E-3</v>
      </c>
      <c r="AP1018" s="22">
        <f t="shared" si="151"/>
        <v>9744912.4847793542</v>
      </c>
      <c r="AQ1018" s="22">
        <f t="shared" si="152"/>
        <v>-86883.510158987716</v>
      </c>
      <c r="AR1018">
        <f t="shared" si="153"/>
        <v>0</v>
      </c>
      <c r="AS1018">
        <f t="shared" si="154"/>
        <v>0</v>
      </c>
      <c r="BJ1018">
        <f t="shared" si="127"/>
        <v>1.8748194644294095E-5</v>
      </c>
      <c r="BK1018">
        <f t="shared" si="129"/>
        <v>4.6558679505105711E-5</v>
      </c>
      <c r="BO1018">
        <f t="shared" si="130"/>
        <v>5.1356669002220132E-5</v>
      </c>
      <c r="BP1018">
        <f t="shared" si="128"/>
        <v>3.8368900357523006</v>
      </c>
    </row>
    <row r="1019" spans="1:68" x14ac:dyDescent="0.15">
      <c r="A1019" s="5">
        <v>45051</v>
      </c>
      <c r="B1019" s="1"/>
      <c r="C1019">
        <v>116.46</v>
      </c>
      <c r="D1019">
        <v>88.78</v>
      </c>
      <c r="E1019">
        <v>88.343689999999995</v>
      </c>
      <c r="G1019" s="3">
        <v>8.5431753772795497E-3</v>
      </c>
      <c r="I1019" s="15">
        <f t="shared" si="131"/>
        <v>7.4394463667820021E-3</v>
      </c>
      <c r="J1019" s="15">
        <f t="shared" si="132"/>
        <v>9.7816196542311121E-3</v>
      </c>
      <c r="K1019" s="15">
        <f t="shared" si="133"/>
        <v>5.6100200288339676E-3</v>
      </c>
      <c r="L1019" s="32">
        <f t="shared" si="134"/>
        <v>303424.81243918912</v>
      </c>
      <c r="M1019" s="15"/>
      <c r="N1019" s="32">
        <f t="shared" si="135"/>
        <v>-3493800</v>
      </c>
      <c r="O1019" s="34">
        <f t="shared" si="136"/>
        <v>-0.35581043391558587</v>
      </c>
      <c r="P1019" s="34">
        <f t="shared" si="137"/>
        <v>0.63289814030906166</v>
      </c>
      <c r="Q1019" s="34">
        <f t="shared" si="138"/>
        <v>0.71975743711956031</v>
      </c>
      <c r="R1019" s="35" cm="1">
        <f t="array" ref="R1019">SQRT(MMULT(O1019:Q1019, MMULT($AU$32:$AW$34,TRANSPOSE(O1019:Q1019))))</f>
        <v>1.3262207237338284E-2</v>
      </c>
      <c r="S1019" s="36" cm="1">
        <f t="array" ref="S1019:U1019">TRANSPOSE(MMULT($AU$32:$AW$34, TRANSPOSE(O1019:Q1019))/MMULT(O1019:Q1019, MMULT($AU$32:$AW$34,TRANSPOSE(O1019:Q1019))))</f>
        <v>0.15251170992851226</v>
      </c>
      <c r="T1019" s="36">
        <v>1.0235638817747879</v>
      </c>
      <c r="U1019" s="36">
        <v>0.56470910818329978</v>
      </c>
      <c r="V1019" s="35">
        <f t="shared" si="143"/>
        <v>4.7127556344391131E-3</v>
      </c>
      <c r="W1019" s="35">
        <f t="shared" si="144"/>
        <v>3.162908902735137E-2</v>
      </c>
      <c r="X1019" s="35">
        <f t="shared" si="145"/>
        <v>1.7450043886186817E-2</v>
      </c>
      <c r="Y1019" s="32">
        <f t="shared" si="146"/>
        <v>-16465.425635603373</v>
      </c>
      <c r="Z1019" s="32">
        <f t="shared" si="139"/>
        <v>196562.13666937783</v>
      </c>
      <c r="AA1019" s="32">
        <f t="shared" si="140"/>
        <v>123328.10140541467</v>
      </c>
      <c r="AB1019" s="40">
        <f t="shared" si="147"/>
        <v>-5.4265257686871904E-2</v>
      </c>
      <c r="AC1019" s="40">
        <f t="shared" si="148"/>
        <v>0.64781167726278754</v>
      </c>
      <c r="AD1019" s="40">
        <f t="shared" si="149"/>
        <v>0.40645358042408436</v>
      </c>
      <c r="AE1019" s="40"/>
      <c r="AF1019" s="40"/>
      <c r="AG1019" s="40"/>
      <c r="AH1019" s="40"/>
      <c r="AI1019" s="40"/>
      <c r="AJ1019" s="40"/>
      <c r="AK1019" s="33">
        <f t="shared" si="141"/>
        <v>6214600</v>
      </c>
      <c r="AL1019" s="33">
        <f t="shared" si="142"/>
        <v>7067495.1999999993</v>
      </c>
      <c r="AM1019" s="34"/>
      <c r="AN1019" s="33"/>
      <c r="AO1019" s="15" cm="1">
        <f t="array" ref="AO1019">SUMPRODUCT(I1019:K1019, TRANSPOSE($AY$5:$AY$7))</f>
        <v>7.6307626515787156E-3</v>
      </c>
      <c r="AP1019" s="22">
        <f t="shared" si="151"/>
        <v>9819273.599011112</v>
      </c>
      <c r="AQ1019" s="22">
        <f t="shared" si="152"/>
        <v>74361.11423175782</v>
      </c>
      <c r="AR1019">
        <f t="shared" si="153"/>
        <v>0</v>
      </c>
      <c r="AS1019">
        <f t="shared" si="154"/>
        <v>0</v>
      </c>
      <c r="BJ1019">
        <f t="shared" si="127"/>
        <v>7.2985845526955573E-5</v>
      </c>
      <c r="BK1019">
        <f t="shared" si="129"/>
        <v>4.4890050413457011E-5</v>
      </c>
      <c r="BO1019">
        <f t="shared" si="130"/>
        <v>4.8893029989428971E-5</v>
      </c>
      <c r="BP1019">
        <f t="shared" si="128"/>
        <v>3.2976163950486965</v>
      </c>
    </row>
    <row r="1020" spans="1:68" x14ac:dyDescent="0.15">
      <c r="A1020" s="5">
        <v>45054</v>
      </c>
      <c r="B1020" s="1"/>
      <c r="C1020">
        <v>116.38</v>
      </c>
      <c r="D1020">
        <v>89.82</v>
      </c>
      <c r="E1020">
        <v>88.817589999999996</v>
      </c>
      <c r="G1020" s="3">
        <v>3.5490694568729398E-3</v>
      </c>
      <c r="I1020" s="15">
        <f t="shared" si="131"/>
        <v>-6.869311351536862E-4</v>
      </c>
      <c r="J1020" s="15">
        <f t="shared" si="132"/>
        <v>1.1714350078846497E-2</v>
      </c>
      <c r="K1020" s="15">
        <f t="shared" si="133"/>
        <v>5.3642767242346396E-3</v>
      </c>
      <c r="L1020" s="32">
        <f t="shared" si="134"/>
        <v>306401.93463151052</v>
      </c>
      <c r="M1020" s="15"/>
      <c r="N1020" s="32">
        <f t="shared" si="135"/>
        <v>-3491400</v>
      </c>
      <c r="O1020" s="34">
        <f t="shared" si="136"/>
        <v>-0.35137611929155332</v>
      </c>
      <c r="P1020" s="34">
        <f t="shared" si="137"/>
        <v>0.63276685926382314</v>
      </c>
      <c r="Q1020" s="34">
        <f t="shared" si="138"/>
        <v>0.71509148419609947</v>
      </c>
      <c r="R1020" s="35" cm="1">
        <f t="array" ref="R1020">SQRT(MMULT(O1020:Q1020, MMULT($AU$32:$AW$34,TRANSPOSE(O1020:Q1020))))</f>
        <v>1.3234520669456644E-2</v>
      </c>
      <c r="S1020" s="36" cm="1">
        <f t="array" ref="S1020:U1020">TRANSPOSE(MMULT($AU$32:$AW$34, TRANSPOSE(O1020:Q1020))/MMULT(O1020:Q1020, MMULT($AU$32:$AW$34,TRANSPOSE(O1020:Q1020))))</f>
        <v>0.15469613440014518</v>
      </c>
      <c r="T1020" s="36">
        <v>1.0274081108514235</v>
      </c>
      <c r="U1020" s="36">
        <v>0.56530770233370309</v>
      </c>
      <c r="V1020" s="35">
        <f t="shared" si="143"/>
        <v>4.7702770085147712E-3</v>
      </c>
      <c r="W1020" s="35">
        <f t="shared" si="144"/>
        <v>3.1681601538141223E-2</v>
      </c>
      <c r="X1020" s="35">
        <f t="shared" si="145"/>
        <v>1.7432073177752562E-2</v>
      </c>
      <c r="Y1020" s="32">
        <f t="shared" si="146"/>
        <v>-16654.945147528473</v>
      </c>
      <c r="Z1020" s="32">
        <f t="shared" si="139"/>
        <v>199194.90151090908</v>
      </c>
      <c r="AA1020" s="32">
        <f t="shared" si="140"/>
        <v>123861.97826812993</v>
      </c>
      <c r="AB1020" s="40">
        <f t="shared" si="147"/>
        <v>-5.4356527374927584E-2</v>
      </c>
      <c r="AC1020" s="40">
        <f t="shared" si="148"/>
        <v>0.65010980348563308</v>
      </c>
      <c r="AD1020" s="40">
        <f t="shared" si="149"/>
        <v>0.40424672388929461</v>
      </c>
      <c r="AE1020" s="40"/>
      <c r="AF1020" s="40"/>
      <c r="AG1020" s="40"/>
      <c r="AH1020" s="40"/>
      <c r="AI1020" s="40"/>
      <c r="AJ1020" s="40"/>
      <c r="AK1020" s="33">
        <f t="shared" si="141"/>
        <v>6287399.9999999991</v>
      </c>
      <c r="AL1020" s="33">
        <f t="shared" si="142"/>
        <v>7105407.1999999993</v>
      </c>
      <c r="AM1020" s="34"/>
      <c r="AN1020" s="33"/>
      <c r="AO1020" s="15" cm="1">
        <f t="array" ref="AO1020">SUMPRODUCT(I1020:K1020, TRANSPOSE($AY$5:$AY$7))</f>
        <v>1.1924251901953613E-2</v>
      </c>
      <c r="AP1020" s="22">
        <f t="shared" si="151"/>
        <v>9936361.090899922</v>
      </c>
      <c r="AQ1020" s="22">
        <f t="shared" si="152"/>
        <v>117087.49188880995</v>
      </c>
      <c r="AR1020">
        <f t="shared" si="153"/>
        <v>0</v>
      </c>
      <c r="AS1020">
        <f t="shared" si="154"/>
        <v>0</v>
      </c>
      <c r="BJ1020">
        <f t="shared" si="127"/>
        <v>1.2595894009708384E-5</v>
      </c>
      <c r="BK1020">
        <f t="shared" si="129"/>
        <v>4.6575798120266925E-5</v>
      </c>
      <c r="BO1020">
        <f t="shared" si="130"/>
        <v>5.4685140209209676E-5</v>
      </c>
      <c r="BP1020">
        <f t="shared" si="128"/>
        <v>3.8728533103692411</v>
      </c>
    </row>
    <row r="1021" spans="1:68" x14ac:dyDescent="0.15">
      <c r="A1021" s="5">
        <v>45055</v>
      </c>
      <c r="B1021" s="1"/>
      <c r="C1021">
        <v>116.42</v>
      </c>
      <c r="D1021">
        <v>91.16</v>
      </c>
      <c r="E1021">
        <v>88.580635000000001</v>
      </c>
      <c r="G1021" s="3">
        <v>-4.2440728985548796E-3</v>
      </c>
      <c r="I1021" s="15">
        <f t="shared" si="131"/>
        <v>3.4370166695313846E-4</v>
      </c>
      <c r="J1021" s="15">
        <f t="shared" si="132"/>
        <v>1.4918726341572073E-2</v>
      </c>
      <c r="K1021" s="15">
        <f t="shared" si="133"/>
        <v>-2.6678836928585286E-3</v>
      </c>
      <c r="L1021" s="32">
        <f t="shared" si="134"/>
        <v>309044.42512804584</v>
      </c>
      <c r="M1021" s="15"/>
      <c r="N1021" s="32">
        <f t="shared" si="135"/>
        <v>-3492600</v>
      </c>
      <c r="O1021" s="34">
        <f t="shared" si="136"/>
        <v>-0.34880942056565878</v>
      </c>
      <c r="P1021" s="34">
        <f t="shared" si="137"/>
        <v>0.6372967630171168</v>
      </c>
      <c r="Q1021" s="34">
        <f t="shared" si="138"/>
        <v>0.70773085879145881</v>
      </c>
      <c r="R1021" s="35" cm="1">
        <f t="array" ref="R1021">SQRT(MMULT(O1021:Q1021, MMULT($AU$32:$AW$34,TRANSPOSE(O1021:Q1021))))</f>
        <v>1.3246597755544071E-2</v>
      </c>
      <c r="S1021" s="36" cm="1">
        <f t="array" ref="S1021:U1021">TRANSPOSE(MMULT($AU$32:$AW$34, TRANSPOSE(O1021:Q1021))/MMULT(O1021:Q1021, MMULT($AU$32:$AW$34,TRANSPOSE(O1021:Q1021))))</f>
        <v>0.15477252430437199</v>
      </c>
      <c r="T1021" s="36">
        <v>1.0305304836271654</v>
      </c>
      <c r="U1021" s="36">
        <v>0.56127603902189771</v>
      </c>
      <c r="V1021" s="35">
        <f t="shared" si="143"/>
        <v>4.7769878392535286E-3</v>
      </c>
      <c r="W1021" s="35">
        <f t="shared" si="144"/>
        <v>3.1806883104044371E-2</v>
      </c>
      <c r="X1021" s="35">
        <f t="shared" si="145"/>
        <v>1.7323545150683156E-2</v>
      </c>
      <c r="Y1021" s="32">
        <f t="shared" si="146"/>
        <v>-16684.107727376875</v>
      </c>
      <c r="Z1021" s="32">
        <f t="shared" si="139"/>
        <v>202966.08246352794</v>
      </c>
      <c r="AA1021" s="32">
        <f t="shared" si="140"/>
        <v>122762.45039189477</v>
      </c>
      <c r="AB1021" s="40">
        <f t="shared" si="147"/>
        <v>-5.3986114522092343E-2</v>
      </c>
      <c r="AC1021" s="40">
        <f t="shared" si="148"/>
        <v>0.65675374140605625</v>
      </c>
      <c r="AD1021" s="40">
        <f t="shared" si="149"/>
        <v>0.39723237311603604</v>
      </c>
      <c r="AE1021" s="40"/>
      <c r="AF1021" s="40"/>
      <c r="AG1021" s="40"/>
      <c r="AH1021" s="40"/>
      <c r="AI1021" s="40"/>
      <c r="AJ1021" s="40"/>
      <c r="AK1021" s="33">
        <f t="shared" si="141"/>
        <v>6381200</v>
      </c>
      <c r="AL1021" s="33">
        <f t="shared" si="142"/>
        <v>7086450.7999999998</v>
      </c>
      <c r="AM1021" s="34"/>
      <c r="AN1021" s="33"/>
      <c r="AO1021" s="15" cm="1">
        <f t="array" ref="AO1021">SUMPRODUCT(I1021:K1021, TRANSPOSE($AY$5:$AY$7))</f>
        <v>7.7046866436815981E-3</v>
      </c>
      <c r="AP1021" s="22">
        <f t="shared" si="151"/>
        <v>10012917.639483776</v>
      </c>
      <c r="AQ1021" s="22">
        <f t="shared" si="152"/>
        <v>76556.54858385399</v>
      </c>
      <c r="AR1021">
        <f t="shared" si="153"/>
        <v>0</v>
      </c>
      <c r="AS1021">
        <f t="shared" si="154"/>
        <v>0</v>
      </c>
      <c r="BJ1021">
        <f t="shared" si="127"/>
        <v>1.8012154768248018E-5</v>
      </c>
      <c r="BK1021">
        <f t="shared" si="129"/>
        <v>4.4537003873633413E-5</v>
      </c>
      <c r="BO1021">
        <f t="shared" si="130"/>
        <v>5.0627600486049341E-5</v>
      </c>
      <c r="BP1021">
        <f t="shared" si="128"/>
        <v>3.8486796127588212</v>
      </c>
    </row>
    <row r="1022" spans="1:68" x14ac:dyDescent="0.15">
      <c r="A1022" s="5">
        <v>45056</v>
      </c>
      <c r="B1022" s="1"/>
      <c r="C1022">
        <v>114.58</v>
      </c>
      <c r="D1022">
        <v>89.04</v>
      </c>
      <c r="E1022">
        <v>87.14</v>
      </c>
      <c r="G1022" s="3">
        <v>-8.5574680138026313E-3</v>
      </c>
      <c r="I1022" s="15">
        <f t="shared" si="131"/>
        <v>-1.5804844528431571E-2</v>
      </c>
      <c r="J1022" s="15">
        <f t="shared" si="132"/>
        <v>-2.3255813953488268E-2</v>
      </c>
      <c r="K1022" s="15">
        <f t="shared" si="133"/>
        <v>-1.6263543380559423E-2</v>
      </c>
      <c r="L1022" s="32">
        <f t="shared" si="134"/>
        <v>302592.60155391367</v>
      </c>
      <c r="M1022" s="15"/>
      <c r="N1022" s="32">
        <f t="shared" si="135"/>
        <v>-3437400</v>
      </c>
      <c r="O1022" s="34">
        <f t="shared" si="136"/>
        <v>-0.35067493877622069</v>
      </c>
      <c r="P1022" s="34">
        <f t="shared" si="137"/>
        <v>0.63585464548915704</v>
      </c>
      <c r="Q1022" s="34">
        <f t="shared" si="138"/>
        <v>0.71118436411147667</v>
      </c>
      <c r="R1022" s="35" cm="1">
        <f t="array" ref="R1022">SQRT(MMULT(O1022:Q1022, MMULT($AU$32:$AW$34,TRANSPOSE(O1022:Q1022))))</f>
        <v>1.3248815169472088E-2</v>
      </c>
      <c r="S1022" s="36" cm="1">
        <f t="array" ref="S1022:U1022">TRANSPOSE(MMULT($AU$32:$AW$34, TRANSPOSE(O1022:Q1022))/MMULT(O1022:Q1022, MMULT($AU$32:$AW$34,TRANSPOSE(O1022:Q1022))))</f>
        <v>0.15423692422144719</v>
      </c>
      <c r="T1022" s="36">
        <v>1.0286580177244615</v>
      </c>
      <c r="U1022" s="36">
        <v>0.56245618570140732</v>
      </c>
      <c r="V1022" s="35">
        <f t="shared" si="143"/>
        <v>4.7612536480705356E-3</v>
      </c>
      <c r="W1022" s="35">
        <f t="shared" si="144"/>
        <v>3.1754404882164758E-2</v>
      </c>
      <c r="X1022" s="35">
        <f t="shared" si="145"/>
        <v>1.7362875845512223E-2</v>
      </c>
      <c r="Y1022" s="32">
        <f t="shared" si="146"/>
        <v>-16366.333289877659</v>
      </c>
      <c r="Z1022" s="32">
        <f t="shared" si="139"/>
        <v>197918.85474955651</v>
      </c>
      <c r="AA1022" s="32">
        <f t="shared" si="140"/>
        <v>121040.0800942348</v>
      </c>
      <c r="AB1022" s="40">
        <f t="shared" si="147"/>
        <v>-5.4087023958388582E-2</v>
      </c>
      <c r="AC1022" s="40">
        <f t="shared" si="148"/>
        <v>0.65407697918976659</v>
      </c>
      <c r="AD1022" s="40">
        <f t="shared" si="149"/>
        <v>0.40001004476862195</v>
      </c>
      <c r="AE1022" s="40"/>
      <c r="AF1022" s="40"/>
      <c r="AG1022" s="40"/>
      <c r="AH1022" s="40"/>
      <c r="AI1022" s="40"/>
      <c r="AJ1022" s="40"/>
      <c r="AK1022" s="33">
        <f t="shared" si="141"/>
        <v>6232800</v>
      </c>
      <c r="AL1022" s="33">
        <f t="shared" si="142"/>
        <v>6971200</v>
      </c>
      <c r="AM1022" s="34"/>
      <c r="AN1022" s="33"/>
      <c r="AO1022" s="15" cm="1">
        <f t="array" ref="AO1022">SUMPRODUCT(I1022:K1022, TRANSPOSE($AY$5:$AY$7))</f>
        <v>-2.1040559380728602E-2</v>
      </c>
      <c r="AP1022" s="22">
        <f t="shared" si="151"/>
        <v>9802240.2513158731</v>
      </c>
      <c r="AQ1022" s="22">
        <f t="shared" si="152"/>
        <v>-210677.38816790283</v>
      </c>
      <c r="AR1022">
        <f t="shared" si="153"/>
        <v>0</v>
      </c>
      <c r="AS1022">
        <f t="shared" si="154"/>
        <v>0</v>
      </c>
      <c r="BJ1022">
        <f t="shared" si="127"/>
        <v>7.3230258807255156E-5</v>
      </c>
      <c r="BK1022">
        <f t="shared" si="129"/>
        <v>4.2945512927310288E-5</v>
      </c>
      <c r="BO1022">
        <f t="shared" si="130"/>
        <v>4.8216337149586868E-5</v>
      </c>
      <c r="BP1022">
        <f t="shared" si="128"/>
        <v>3.2915751961628716</v>
      </c>
    </row>
    <row r="1023" spans="1:68" x14ac:dyDescent="0.15">
      <c r="A1023" s="5">
        <v>45057</v>
      </c>
      <c r="B1023" s="1"/>
      <c r="C1023">
        <v>115.18</v>
      </c>
      <c r="D1023">
        <v>89.46</v>
      </c>
      <c r="E1023">
        <v>87.746579999999994</v>
      </c>
      <c r="G1023" s="3">
        <v>6.6162969267484694E-3</v>
      </c>
      <c r="I1023" s="15">
        <f t="shared" si="131"/>
        <v>5.2365159713737876E-3</v>
      </c>
      <c r="J1023" s="15">
        <f t="shared" si="132"/>
        <v>4.716981132075331E-3</v>
      </c>
      <c r="K1023" s="15">
        <f t="shared" si="133"/>
        <v>6.9609823272893494E-3</v>
      </c>
      <c r="L1023" s="32">
        <f t="shared" si="134"/>
        <v>304283.16689310723</v>
      </c>
      <c r="M1023" s="15"/>
      <c r="N1023" s="32">
        <f t="shared" si="135"/>
        <v>-3455400</v>
      </c>
      <c r="O1023" s="34">
        <f t="shared" si="136"/>
        <v>-0.3503510235111133</v>
      </c>
      <c r="P1023" s="34">
        <f t="shared" si="137"/>
        <v>0.63493898808569016</v>
      </c>
      <c r="Q1023" s="34">
        <f t="shared" si="138"/>
        <v>0.71174634745846577</v>
      </c>
      <c r="R1023" s="35" cm="1">
        <f t="array" ref="R1023">SQRT(MMULT(O1023:Q1023, MMULT($AU$32:$AW$34,TRANSPOSE(O1023:Q1023))))</f>
        <v>1.3241191551421663E-2</v>
      </c>
      <c r="S1023" s="36" cm="1">
        <f t="array" ref="S1023:U1023">TRANSPOSE(MMULT($AU$32:$AW$34, TRANSPOSE(O1023:Q1023))/MMULT(O1023:Q1023, MMULT($AU$32:$AW$34,TRANSPOSE(O1023:Q1023))))</f>
        <v>0.15462767676801237</v>
      </c>
      <c r="T1023" s="36">
        <v>1.0287727724431541</v>
      </c>
      <c r="U1023" s="36">
        <v>0.56335522218756584</v>
      </c>
      <c r="V1023" s="35">
        <f t="shared" si="143"/>
        <v>4.7705694212611966E-3</v>
      </c>
      <c r="W1023" s="35">
        <f t="shared" si="144"/>
        <v>3.1739673208740153E-2</v>
      </c>
      <c r="X1023" s="35">
        <f t="shared" si="145"/>
        <v>1.7380621971756702E-2</v>
      </c>
      <c r="Y1023" s="32">
        <f t="shared" si="146"/>
        <v>-16484.225578225938</v>
      </c>
      <c r="Z1023" s="32">
        <f t="shared" si="139"/>
        <v>198760.18156777258</v>
      </c>
      <c r="AA1023" s="32">
        <f t="shared" si="140"/>
        <v>122007.21090356057</v>
      </c>
      <c r="AB1023" s="40">
        <f t="shared" si="147"/>
        <v>-5.4173964818818726E-2</v>
      </c>
      <c r="AC1023" s="40">
        <f t="shared" si="148"/>
        <v>0.65320794310516617</v>
      </c>
      <c r="AD1023" s="40">
        <f t="shared" si="149"/>
        <v>0.40096602171365248</v>
      </c>
      <c r="AE1023" s="40"/>
      <c r="AF1023" s="40"/>
      <c r="AG1023" s="40"/>
      <c r="AH1023" s="40"/>
      <c r="AI1023" s="40"/>
      <c r="AJ1023" s="40"/>
      <c r="AK1023" s="33">
        <f t="shared" si="141"/>
        <v>6262200</v>
      </c>
      <c r="AL1023" s="33">
        <f t="shared" si="142"/>
        <v>7019726.3999999994</v>
      </c>
      <c r="AM1023" s="34"/>
      <c r="AN1023" s="33"/>
      <c r="AO1023" s="15" cm="1">
        <f t="array" ref="AO1023">SUMPRODUCT(I1023:K1023, TRANSPOSE($AY$5:$AY$7))</f>
        <v>6.1659023031255455E-3</v>
      </c>
      <c r="AP1023" s="22">
        <f t="shared" si="151"/>
        <v>9862679.9070572518</v>
      </c>
      <c r="AQ1023" s="22">
        <f t="shared" si="152"/>
        <v>60439.655741378665</v>
      </c>
      <c r="AR1023">
        <f t="shared" si="153"/>
        <v>0</v>
      </c>
      <c r="AS1023">
        <f t="shared" si="154"/>
        <v>0</v>
      </c>
      <c r="BJ1023">
        <f t="shared" si="127"/>
        <v>4.3775385022901243E-5</v>
      </c>
      <c r="BK1023">
        <f t="shared" si="129"/>
        <v>4.4762597680106981E-5</v>
      </c>
      <c r="BO1023">
        <f t="shared" si="130"/>
        <v>5.4189166064157779E-5</v>
      </c>
      <c r="BP1023">
        <f t="shared" si="128"/>
        <v>3.5886635430976828</v>
      </c>
    </row>
    <row r="1024" spans="1:68" x14ac:dyDescent="0.15">
      <c r="A1024" s="5">
        <v>45058</v>
      </c>
      <c r="B1024" s="1"/>
      <c r="C1024">
        <v>114.98</v>
      </c>
      <c r="D1024">
        <v>90</v>
      </c>
      <c r="E1024">
        <v>87.699190000000002</v>
      </c>
      <c r="G1024" s="3">
        <v>3.6239450711061899E-3</v>
      </c>
      <c r="I1024" s="15">
        <f t="shared" si="131"/>
        <v>-1.7364125716270431E-3</v>
      </c>
      <c r="J1024" s="15">
        <f t="shared" si="132"/>
        <v>6.0362173038230075E-3</v>
      </c>
      <c r="K1024" s="15">
        <f t="shared" si="133"/>
        <v>-5.4007802925188579E-4</v>
      </c>
      <c r="L1024" s="32">
        <f t="shared" si="134"/>
        <v>305446.71094276279</v>
      </c>
      <c r="M1024" s="15"/>
      <c r="N1024" s="32">
        <f t="shared" si="135"/>
        <v>-3449400</v>
      </c>
      <c r="O1024" s="34">
        <f t="shared" si="136"/>
        <v>-0.34826104378931977</v>
      </c>
      <c r="P1024" s="34">
        <f t="shared" si="137"/>
        <v>0.63606556962738869</v>
      </c>
      <c r="Q1024" s="34">
        <f t="shared" si="138"/>
        <v>0.70834838404076939</v>
      </c>
      <c r="R1024" s="35" cm="1">
        <f t="array" ref="R1024">SQRT(MMULT(O1024:Q1024, MMULT($AU$32:$AW$34,TRANSPOSE(O1024:Q1024))))</f>
        <v>1.3235515783542524E-2</v>
      </c>
      <c r="S1024" s="36" cm="1">
        <f t="array" ref="S1024:U1024">TRANSPOSE(MMULT($AU$32:$AW$34, TRANSPOSE(O1024:Q1024))/MMULT(O1024:Q1024, MMULT($AU$32:$AW$34,TRANSPOSE(O1024:Q1024))))</f>
        <v>0.15535179008686253</v>
      </c>
      <c r="T1024" s="36">
        <v>1.0308047677911794</v>
      </c>
      <c r="U1024" s="36">
        <v>0.56249659595119916</v>
      </c>
      <c r="V1024" s="35">
        <f t="shared" si="143"/>
        <v>4.7908552923922728E-3</v>
      </c>
      <c r="W1024" s="35">
        <f t="shared" si="144"/>
        <v>3.1788732363072933E-2</v>
      </c>
      <c r="X1024" s="35">
        <f t="shared" si="145"/>
        <v>1.7346692897189424E-2</v>
      </c>
      <c r="Y1024" s="32">
        <f t="shared" si="146"/>
        <v>-16525.576245577908</v>
      </c>
      <c r="Z1024" s="32">
        <f t="shared" si="139"/>
        <v>200269.01388735947</v>
      </c>
      <c r="AA1024" s="32">
        <f t="shared" si="140"/>
        <v>121703.27330098127</v>
      </c>
      <c r="AB1024" s="40">
        <f t="shared" si="147"/>
        <v>-5.4102976570190052E-2</v>
      </c>
      <c r="AC1024" s="40">
        <f t="shared" si="148"/>
        <v>0.65565942179972458</v>
      </c>
      <c r="AD1024" s="40">
        <f t="shared" si="149"/>
        <v>0.39844355477046556</v>
      </c>
      <c r="AE1024" s="40"/>
      <c r="AF1024" s="40"/>
      <c r="AG1024" s="40"/>
      <c r="AH1024" s="40"/>
      <c r="AI1024" s="40"/>
      <c r="AJ1024" s="40"/>
      <c r="AK1024" s="33">
        <f t="shared" si="141"/>
        <v>6300000</v>
      </c>
      <c r="AL1024" s="33">
        <f t="shared" si="142"/>
        <v>7015935.2000000002</v>
      </c>
      <c r="AM1024" s="34"/>
      <c r="AN1024" s="33"/>
      <c r="AO1024" s="15" cm="1">
        <f t="array" ref="AO1024">SUMPRODUCT(I1024:K1024, TRANSPOSE($AY$5:$AY$7))</f>
        <v>4.2543541016397072E-3</v>
      </c>
      <c r="AP1024" s="22">
        <f t="shared" si="151"/>
        <v>9904639.2397730015</v>
      </c>
      <c r="AQ1024" s="22">
        <f t="shared" si="152"/>
        <v>41959.332715749741</v>
      </c>
      <c r="AR1024">
        <f t="shared" si="153"/>
        <v>0</v>
      </c>
      <c r="AS1024">
        <f t="shared" si="154"/>
        <v>0</v>
      </c>
      <c r="BJ1024">
        <f t="shared" si="127"/>
        <v>1.3132977878394849E-5</v>
      </c>
      <c r="BK1024">
        <f t="shared" si="129"/>
        <v>4.470336492067464E-5</v>
      </c>
      <c r="BO1024">
        <f t="shared" si="130"/>
        <v>5.4679157868909754E-5</v>
      </c>
      <c r="BP1024">
        <f t="shared" si="128"/>
        <v>3.8679841809067739</v>
      </c>
    </row>
    <row r="1025" spans="1:68" x14ac:dyDescent="0.15">
      <c r="A1025" s="5">
        <v>45061</v>
      </c>
      <c r="B1025" s="1"/>
      <c r="C1025">
        <v>114.86</v>
      </c>
      <c r="D1025">
        <v>89.78</v>
      </c>
      <c r="E1025">
        <v>87.661280000000005</v>
      </c>
      <c r="G1025" s="3">
        <v>1.16942930332131E-3</v>
      </c>
      <c r="I1025" s="15">
        <f t="shared" si="131"/>
        <v>-1.043659766916025E-3</v>
      </c>
      <c r="J1025" s="15">
        <f t="shared" si="132"/>
        <v>-2.4444444444444318E-3</v>
      </c>
      <c r="K1025" s="15">
        <f t="shared" si="133"/>
        <v>-4.3227309168986116E-4</v>
      </c>
      <c r="L1025" s="32">
        <f t="shared" si="134"/>
        <v>304921.89330198988</v>
      </c>
      <c r="M1025" s="15"/>
      <c r="N1025" s="32">
        <f t="shared" si="135"/>
        <v>-3445800</v>
      </c>
      <c r="O1025" s="34">
        <f t="shared" si="136"/>
        <v>-0.34842503979215506</v>
      </c>
      <c r="P1025" s="34">
        <f t="shared" si="137"/>
        <v>0.63547275090770727</v>
      </c>
      <c r="Q1025" s="34">
        <f t="shared" si="138"/>
        <v>0.70911567641142836</v>
      </c>
      <c r="R1025" s="35" cm="1">
        <f t="array" ref="R1025">SQRT(MMULT(O1025:Q1025, MMULT($AU$32:$AW$34,TRANSPOSE(O1025:Q1025))))</f>
        <v>1.3232806998386675E-2</v>
      </c>
      <c r="S1025" s="36" cm="1">
        <f t="array" ref="S1025:U1025">TRANSPOSE(MMULT($AU$32:$AW$34, TRANSPOSE(O1025:Q1025))/MMULT(O1025:Q1025, MMULT($AU$32:$AW$34,TRANSPOSE(O1025:Q1025))))</f>
        <v>0.15542418167597266</v>
      </c>
      <c r="T1025" s="36">
        <v>1.0305575595043439</v>
      </c>
      <c r="U1025" s="36">
        <v>0.56304273429502283</v>
      </c>
      <c r="V1025" s="35">
        <f t="shared" si="143"/>
        <v>4.7921068036707766E-3</v>
      </c>
      <c r="W1025" s="35">
        <f t="shared" si="144"/>
        <v>3.1774604435563042E-2</v>
      </c>
      <c r="X1025" s="35">
        <f t="shared" si="145"/>
        <v>1.7359981495013978E-2</v>
      </c>
      <c r="Y1025" s="32">
        <f t="shared" si="146"/>
        <v>-16512.641624088763</v>
      </c>
      <c r="Z1025" s="32">
        <f t="shared" si="139"/>
        <v>199690.67903573951</v>
      </c>
      <c r="AA1025" s="32">
        <f t="shared" si="140"/>
        <v>121743.85589033912</v>
      </c>
      <c r="AB1025" s="40">
        <f t="shared" si="147"/>
        <v>-5.4153676685113915E-2</v>
      </c>
      <c r="AC1025" s="40">
        <f t="shared" si="148"/>
        <v>0.65489124730695858</v>
      </c>
      <c r="AD1025" s="40">
        <f t="shared" si="149"/>
        <v>0.39926242937815526</v>
      </c>
      <c r="AE1025" s="40"/>
      <c r="AF1025" s="40"/>
      <c r="AG1025" s="40"/>
      <c r="AH1025" s="40"/>
      <c r="AI1025" s="40"/>
      <c r="AJ1025" s="40"/>
      <c r="AK1025" s="33">
        <f t="shared" si="141"/>
        <v>6284600</v>
      </c>
      <c r="AL1025" s="33">
        <f t="shared" si="142"/>
        <v>7012902.4000000004</v>
      </c>
      <c r="AM1025" s="34"/>
      <c r="AN1025" s="33"/>
      <c r="AO1025" s="15" cm="1">
        <f t="array" ref="AO1025">SUMPRODUCT(I1025:K1025, TRANSPOSE($AY$5:$AY$7))</f>
        <v>-1.5138465448322085E-3</v>
      </c>
      <c r="AP1025" s="22">
        <f t="shared" si="151"/>
        <v>9889645.135882061</v>
      </c>
      <c r="AQ1025" s="22">
        <f t="shared" si="152"/>
        <v>-14994.103890940547</v>
      </c>
      <c r="AR1025">
        <f t="shared" si="153"/>
        <v>0</v>
      </c>
      <c r="AS1025">
        <f t="shared" si="154"/>
        <v>0</v>
      </c>
      <c r="BJ1025">
        <f t="shared" si="127"/>
        <v>1.3675648954665645E-6</v>
      </c>
      <c r="BK1025">
        <f t="shared" si="129"/>
        <v>4.2809141698137852E-5</v>
      </c>
      <c r="BO1025">
        <f t="shared" si="130"/>
        <v>5.0699399651013797E-5</v>
      </c>
      <c r="BP1025">
        <f t="shared" si="128"/>
        <v>4.0123727181245457</v>
      </c>
    </row>
    <row r="1026" spans="1:68" x14ac:dyDescent="0.15">
      <c r="A1026" s="5">
        <v>45062</v>
      </c>
      <c r="B1026" s="1"/>
      <c r="C1026">
        <v>114.46</v>
      </c>
      <c r="D1026">
        <v>89.28</v>
      </c>
      <c r="E1026">
        <v>87.670760000000001</v>
      </c>
      <c r="G1026" s="3">
        <v>-5.0426633202335005E-3</v>
      </c>
      <c r="I1026" s="15">
        <f t="shared" si="131"/>
        <v>-3.482500435312604E-3</v>
      </c>
      <c r="J1026" s="15">
        <f t="shared" si="132"/>
        <v>-5.5691690799732681E-3</v>
      </c>
      <c r="K1026" s="15">
        <f t="shared" si="133"/>
        <v>1.0814352699386068E-4</v>
      </c>
      <c r="L1026" s="32">
        <f t="shared" si="134"/>
        <v>303881.2456559597</v>
      </c>
      <c r="M1026" s="15"/>
      <c r="N1026" s="32">
        <f t="shared" si="135"/>
        <v>-3433800</v>
      </c>
      <c r="O1026" s="34">
        <f t="shared" si="136"/>
        <v>-0.34797995343097937</v>
      </c>
      <c r="P1026" s="34">
        <f t="shared" si="137"/>
        <v>0.63333202777163744</v>
      </c>
      <c r="Q1026" s="34">
        <f t="shared" si="138"/>
        <v>0.71076165139632053</v>
      </c>
      <c r="R1026" s="35" cm="1">
        <f t="array" ref="R1026">SQRT(MMULT(O1026:Q1026, MMULT($AU$32:$AW$34,TRANSPOSE(O1026:Q1026))))</f>
        <v>1.3216827028041214E-2</v>
      </c>
      <c r="S1026" s="36" cm="1">
        <f t="array" ref="S1026:U1026">TRANSPOSE(MMULT($AU$32:$AW$34, TRANSPOSE(O1026:Q1026))/MMULT(O1026:Q1026, MMULT($AU$32:$AW$34,TRANSPOSE(O1026:Q1026))))</f>
        <v>0.15619018365391635</v>
      </c>
      <c r="T1026" s="36">
        <v>1.030559099783301</v>
      </c>
      <c r="U1026" s="36">
        <v>0.56511907703645414</v>
      </c>
      <c r="V1026" s="35">
        <f t="shared" si="143"/>
        <v>4.8099090331381001E-3</v>
      </c>
      <c r="W1026" s="35">
        <f t="shared" si="144"/>
        <v>3.1736280778142729E-2</v>
      </c>
      <c r="X1026" s="35">
        <f t="shared" si="145"/>
        <v>1.7402958943048472E-2</v>
      </c>
      <c r="Y1026" s="32">
        <f t="shared" si="146"/>
        <v>-16516.265637989607</v>
      </c>
      <c r="Z1026" s="32">
        <f t="shared" si="139"/>
        <v>198339.06035108081</v>
      </c>
      <c r="AA1026" s="32">
        <f t="shared" si="140"/>
        <v>122058.4509428685</v>
      </c>
      <c r="AB1026" s="40">
        <f t="shared" si="147"/>
        <v>-5.4351052834265917E-2</v>
      </c>
      <c r="AC1026" s="40">
        <f t="shared" si="148"/>
        <v>0.65268608440427134</v>
      </c>
      <c r="AD1026" s="40">
        <f t="shared" si="149"/>
        <v>0.40166496842999461</v>
      </c>
      <c r="AE1026" s="40"/>
      <c r="AF1026" s="40"/>
      <c r="AG1026" s="40"/>
      <c r="AH1026" s="40"/>
      <c r="AI1026" s="40"/>
      <c r="AJ1026" s="40"/>
      <c r="AK1026" s="33">
        <f t="shared" si="141"/>
        <v>6249600</v>
      </c>
      <c r="AL1026" s="33">
        <f t="shared" si="142"/>
        <v>7013660.7999999998</v>
      </c>
      <c r="AM1026" s="34"/>
      <c r="AN1026" s="33"/>
      <c r="AO1026" s="15" cm="1">
        <f t="array" ref="AO1026">SUMPRODUCT(I1026:K1026, TRANSPOSE($AY$5:$AY$7))</f>
        <v>-2.2078972768375025E-3</v>
      </c>
      <c r="AP1026" s="22">
        <f t="shared" si="151"/>
        <v>9867809.8153176587</v>
      </c>
      <c r="AQ1026" s="22">
        <f t="shared" si="152"/>
        <v>-21835.320564402267</v>
      </c>
      <c r="AR1026">
        <f t="shared" si="153"/>
        <v>0</v>
      </c>
      <c r="AS1026">
        <f t="shared" si="154"/>
        <v>0</v>
      </c>
      <c r="BJ1026">
        <f t="shared" ref="BJ1026:BJ1089" si="155">G1026^2</f>
        <v>2.5428453361228351E-5</v>
      </c>
      <c r="BK1026">
        <f t="shared" si="129"/>
        <v>4.0322647089977573E-5</v>
      </c>
      <c r="BO1026">
        <f t="shared" si="130"/>
        <v>4.5902129261496325E-5</v>
      </c>
      <c r="BP1026">
        <f t="shared" ref="BP1026:BP1089" si="156" xml:space="preserve"> -0.5 * (LN(2 * PI()) + LN(BO1026) + (BJ1026) / BO1026)</f>
        <v>3.7985754397061897</v>
      </c>
    </row>
    <row r="1027" spans="1:68" x14ac:dyDescent="0.15">
      <c r="A1027" s="5">
        <v>45063</v>
      </c>
      <c r="B1027" s="1"/>
      <c r="C1027">
        <v>113.28</v>
      </c>
      <c r="D1027">
        <v>89.4</v>
      </c>
      <c r="E1027">
        <v>86.305940000000007</v>
      </c>
      <c r="G1027" s="3">
        <v>-7.1260339096128602E-3</v>
      </c>
      <c r="I1027" s="15">
        <f t="shared" si="131"/>
        <v>-1.03092783505154E-2</v>
      </c>
      <c r="J1027" s="15">
        <f t="shared" si="132"/>
        <v>1.3440860215054272E-3</v>
      </c>
      <c r="K1027" s="15">
        <f t="shared" si="133"/>
        <v>-1.5567562092537974E-2</v>
      </c>
      <c r="L1027" s="32">
        <f t="shared" si="134"/>
        <v>302424.38215591363</v>
      </c>
      <c r="M1027" s="15"/>
      <c r="N1027" s="32">
        <f t="shared" si="135"/>
        <v>-3398400</v>
      </c>
      <c r="O1027" s="34">
        <f t="shared" si="136"/>
        <v>-0.34665428227192313</v>
      </c>
      <c r="P1027" s="34">
        <f t="shared" si="137"/>
        <v>0.63834819281358735</v>
      </c>
      <c r="Q1027" s="34">
        <f t="shared" si="138"/>
        <v>0.7042919888536644</v>
      </c>
      <c r="R1027" s="35" cm="1">
        <f t="array" ref="R1027">SQRT(MMULT(O1027:Q1027, MMULT($AU$32:$AW$34,TRANSPOSE(O1027:Q1027))))</f>
        <v>1.3239846665760918E-2</v>
      </c>
      <c r="S1027" s="36" cm="1">
        <f t="array" ref="S1027:U1027">TRANSPOSE(MMULT($AU$32:$AW$34, TRANSPOSE(O1027:Q1027))/MMULT(O1027:Q1027, MMULT($AU$32:$AW$34,TRANSPOSE(O1027:Q1027))))</f>
        <v>0.15553605651336602</v>
      </c>
      <c r="T1027" s="36">
        <v>1.0326269653990334</v>
      </c>
      <c r="U1027" s="36">
        <v>0.56048015464082268</v>
      </c>
      <c r="V1027" s="35">
        <f t="shared" si="143"/>
        <v>4.7981073464154322E-3</v>
      </c>
      <c r="W1027" s="35">
        <f t="shared" si="144"/>
        <v>3.1855346855614773E-2</v>
      </c>
      <c r="X1027" s="35">
        <f t="shared" si="145"/>
        <v>1.7290164144486253E-2</v>
      </c>
      <c r="Y1027" s="32">
        <f t="shared" si="146"/>
        <v>-16305.888006058205</v>
      </c>
      <c r="Z1027" s="32">
        <f t="shared" si="139"/>
        <v>199350.76062243726</v>
      </c>
      <c r="AA1027" s="32">
        <f t="shared" si="140"/>
        <v>119379.50953953456</v>
      </c>
      <c r="AB1027" s="40">
        <f t="shared" si="147"/>
        <v>-5.3917240038046182E-2</v>
      </c>
      <c r="AC1027" s="40">
        <f t="shared" si="148"/>
        <v>0.65917555721305165</v>
      </c>
      <c r="AD1027" s="40">
        <f t="shared" si="149"/>
        <v>0.39474168282499439</v>
      </c>
      <c r="AE1027" s="40"/>
      <c r="AF1027" s="40"/>
      <c r="AG1027" s="40"/>
      <c r="AH1027" s="40"/>
      <c r="AI1027" s="40"/>
      <c r="AJ1027" s="40"/>
      <c r="AK1027" s="33">
        <f t="shared" si="141"/>
        <v>6258000</v>
      </c>
      <c r="AL1027" s="33">
        <f t="shared" si="142"/>
        <v>6904475.2000000002</v>
      </c>
      <c r="AM1027" s="34"/>
      <c r="AN1027" s="33"/>
      <c r="AO1027" s="15" cm="1">
        <f t="array" ref="AO1027">SUMPRODUCT(I1027:K1027, TRANSPOSE($AY$5:$AY$7))</f>
        <v>-6.5245149329756945E-3</v>
      </c>
      <c r="AP1027" s="22">
        <f t="shared" si="151"/>
        <v>9803427.142821854</v>
      </c>
      <c r="AQ1027" s="22">
        <f t="shared" si="152"/>
        <v>-64382.672495804727</v>
      </c>
      <c r="AR1027">
        <f t="shared" si="153"/>
        <v>0</v>
      </c>
      <c r="AS1027">
        <f t="shared" si="154"/>
        <v>0</v>
      </c>
      <c r="BJ1027">
        <f t="shared" si="155"/>
        <v>5.0780359280952345E-5</v>
      </c>
      <c r="BK1027">
        <f t="shared" ref="BK1027:BK1090" si="157">$BM$2 * BK1026 + (1 - $BM$2) * BJ1026</f>
        <v>3.9428995466252617E-5</v>
      </c>
      <c r="BO1027">
        <f t="shared" ref="BO1027:BO1090" si="158" xml:space="preserve"> $BR$2 + $BS$2 * BJ1026 + $BT$2 * BO1026</f>
        <v>4.5566008256855693E-5</v>
      </c>
      <c r="BP1027">
        <f t="shared" si="156"/>
        <v>3.5220181895553528</v>
      </c>
    </row>
    <row r="1028" spans="1:68" x14ac:dyDescent="0.15">
      <c r="A1028" s="5">
        <v>45065</v>
      </c>
      <c r="B1028" s="1"/>
      <c r="C1028">
        <v>113.82</v>
      </c>
      <c r="D1028">
        <v>91.72</v>
      </c>
      <c r="E1028">
        <v>85.784649999999999</v>
      </c>
      <c r="G1028" s="3">
        <v>1.16616842168981E-2</v>
      </c>
      <c r="I1028" s="15">
        <f t="shared" ref="I1028:I1091" si="159">(C1028-C1027)/C1027</f>
        <v>4.7669491525423029E-3</v>
      </c>
      <c r="J1028" s="15">
        <f t="shared" ref="J1028:J1091" si="160">(D1028-D1027)/D1027</f>
        <v>2.5950782997762784E-2</v>
      </c>
      <c r="K1028" s="15">
        <f t="shared" ref="K1028:K1091" si="161">(E1028-E1027)/E1027</f>
        <v>-6.0400245915867151E-3</v>
      </c>
      <c r="L1028" s="32">
        <f t="shared" si="134"/>
        <v>306821.23127823777</v>
      </c>
      <c r="M1028" s="15"/>
      <c r="N1028" s="32">
        <f t="shared" si="135"/>
        <v>-3414600</v>
      </c>
      <c r="O1028" s="34">
        <f t="shared" si="136"/>
        <v>-0.34461012097247279</v>
      </c>
      <c r="P1028" s="34">
        <f t="shared" si="137"/>
        <v>0.64796310569075855</v>
      </c>
      <c r="Q1028" s="34">
        <f t="shared" si="138"/>
        <v>0.69260841361403946</v>
      </c>
      <c r="R1028" s="35" cm="1">
        <f t="array" ref="R1028">SQRT(MMULT(O1028:Q1028, MMULT($AU$32:$AW$34,TRANSPOSE(O1028:Q1028))))</f>
        <v>1.3289776572616673E-2</v>
      </c>
      <c r="S1028" s="36" cm="1">
        <f t="array" ref="S1028:U1028">TRANSPOSE(MMULT($AU$32:$AW$34, TRANSPOSE(O1028:Q1028))/MMULT(O1028:Q1028, MMULT($AU$32:$AW$34,TRANSPOSE(O1028:Q1028))))</f>
        <v>0.15405130326216693</v>
      </c>
      <c r="T1028" s="36">
        <v>1.0357118037467161</v>
      </c>
      <c r="U1028" s="36">
        <v>0.55151597033544897</v>
      </c>
      <c r="V1028" s="35">
        <f t="shared" si="143"/>
        <v>4.7702262445038475E-3</v>
      </c>
      <c r="W1028" s="35">
        <f t="shared" si="144"/>
        <v>3.2071001824418507E-2</v>
      </c>
      <c r="X1028" s="35">
        <f t="shared" si="145"/>
        <v>1.7077790971232045E-2</v>
      </c>
      <c r="Y1028" s="32">
        <f t="shared" si="146"/>
        <v>-16288.414534482838</v>
      </c>
      <c r="Z1028" s="32">
        <f t="shared" si="139"/>
        <v>205908.66011349659</v>
      </c>
      <c r="AA1028" s="32">
        <f t="shared" si="140"/>
        <v>117200.98569922408</v>
      </c>
      <c r="AB1028" s="40">
        <f t="shared" si="147"/>
        <v>-5.3087638253142437E-2</v>
      </c>
      <c r="AC1028" s="40">
        <f t="shared" si="148"/>
        <v>0.67110303695629969</v>
      </c>
      <c r="AD1028" s="40">
        <f t="shared" si="149"/>
        <v>0.38198460129684292</v>
      </c>
      <c r="AE1028" s="40"/>
      <c r="AF1028" s="40"/>
      <c r="AG1028" s="40"/>
      <c r="AH1028" s="40"/>
      <c r="AI1028" s="40"/>
      <c r="AJ1028" s="40"/>
      <c r="AK1028" s="33">
        <f t="shared" si="141"/>
        <v>6420400</v>
      </c>
      <c r="AL1028" s="33">
        <f t="shared" si="142"/>
        <v>6862772</v>
      </c>
      <c r="AM1028" s="34"/>
      <c r="AN1028" s="33"/>
      <c r="AO1028" s="15" cm="1">
        <f t="array" ref="AO1028">SUMPRODUCT(I1028:K1028, TRANSPOSE($AY$5:$AY$7))</f>
        <v>1.0727034441472409E-2</v>
      </c>
      <c r="AP1028" s="22">
        <f t="shared" si="151"/>
        <v>9908588.8434273694</v>
      </c>
      <c r="AQ1028" s="22">
        <f t="shared" si="152"/>
        <v>105161.70060551539</v>
      </c>
      <c r="AR1028">
        <f t="shared" si="153"/>
        <v>0</v>
      </c>
      <c r="AS1028">
        <f t="shared" si="154"/>
        <v>0</v>
      </c>
      <c r="BJ1028">
        <f t="shared" si="155"/>
        <v>1.3599487877465026E-4</v>
      </c>
      <c r="BK1028">
        <f t="shared" si="157"/>
        <v>4.0110077295134601E-5</v>
      </c>
      <c r="BO1028">
        <f t="shared" si="158"/>
        <v>4.8912985287907383E-5</v>
      </c>
      <c r="BP1028">
        <f t="shared" si="156"/>
        <v>2.6536237654946175</v>
      </c>
    </row>
    <row r="1029" spans="1:68" x14ac:dyDescent="0.15">
      <c r="A1029" s="5">
        <v>45068</v>
      </c>
      <c r="B1029" s="1"/>
      <c r="C1029">
        <v>112.96</v>
      </c>
      <c r="D1029">
        <v>91.16</v>
      </c>
      <c r="E1029">
        <v>86.47654</v>
      </c>
      <c r="G1029" s="3">
        <v>-1.54977021316071E-3</v>
      </c>
      <c r="I1029" s="15">
        <f t="shared" si="159"/>
        <v>-7.5557898436127173E-3</v>
      </c>
      <c r="J1029" s="15">
        <f t="shared" si="160"/>
        <v>-6.1055385957261479E-3</v>
      </c>
      <c r="K1029" s="15">
        <f t="shared" si="161"/>
        <v>8.0654289549470775E-3</v>
      </c>
      <c r="L1029" s="32">
        <f t="shared" si="134"/>
        <v>306638.7622986699</v>
      </c>
      <c r="M1029" s="15"/>
      <c r="N1029" s="32">
        <f t="shared" si="135"/>
        <v>-3388800</v>
      </c>
      <c r="O1029" s="34">
        <f t="shared" si="136"/>
        <v>-0.34033530094445008</v>
      </c>
      <c r="P1029" s="34">
        <f t="shared" si="137"/>
        <v>0.64086037015661146</v>
      </c>
      <c r="Q1029" s="34">
        <f t="shared" si="138"/>
        <v>0.69478326878032992</v>
      </c>
      <c r="R1029" s="35" cm="1">
        <f t="array" ref="R1029">SQRT(MMULT(O1029:Q1029, MMULT($AU$32:$AW$34,TRANSPOSE(O1029:Q1029))))</f>
        <v>1.3216978758626183E-2</v>
      </c>
      <c r="S1029" s="36" cm="1">
        <f t="array" ref="S1029:U1029">TRANSPOSE(MMULT($AU$32:$AW$34, TRANSPOSE(O1029:Q1029))/MMULT(O1029:Q1029, MMULT($AU$32:$AW$34,TRANSPOSE(O1029:Q1029))))</f>
        <v>0.15792211601244222</v>
      </c>
      <c r="T1029" s="36">
        <v>1.0386243316350257</v>
      </c>
      <c r="U1029" s="36">
        <v>0.55863938395486823</v>
      </c>
      <c r="V1029" s="35">
        <f t="shared" si="143"/>
        <v>4.8633000791492341E-3</v>
      </c>
      <c r="W1029" s="35">
        <f t="shared" si="144"/>
        <v>3.1985018449531014E-2</v>
      </c>
      <c r="X1029" s="35">
        <f t="shared" si="145"/>
        <v>1.720361295050998E-2</v>
      </c>
      <c r="Y1029" s="32">
        <f t="shared" si="146"/>
        <v>-16480.751308220926</v>
      </c>
      <c r="Z1029" s="32">
        <f t="shared" si="139"/>
        <v>204102.79973014729</v>
      </c>
      <c r="AA1029" s="32">
        <f t="shared" si="140"/>
        <v>119016.71387674355</v>
      </c>
      <c r="AB1029" s="40">
        <f t="shared" si="147"/>
        <v>-5.3746470878878884E-2</v>
      </c>
      <c r="AC1029" s="40">
        <f t="shared" si="148"/>
        <v>0.66561317362528571</v>
      </c>
      <c r="AD1029" s="40">
        <f t="shared" si="149"/>
        <v>0.38813329725359319</v>
      </c>
      <c r="AE1029" s="40"/>
      <c r="AF1029" s="40"/>
      <c r="AG1029" s="40"/>
      <c r="AH1029" s="40"/>
      <c r="AI1029" s="40"/>
      <c r="AJ1029" s="40"/>
      <c r="AK1029" s="33">
        <f t="shared" si="141"/>
        <v>6381200</v>
      </c>
      <c r="AL1029" s="33">
        <f t="shared" si="142"/>
        <v>6918123.2000000002</v>
      </c>
      <c r="AM1029" s="34"/>
      <c r="AN1029" s="33"/>
      <c r="AO1029" s="15" cm="1">
        <f t="array" ref="AO1029">SUMPRODUCT(I1029:K1029, TRANSPOSE($AY$5:$AY$7))</f>
        <v>4.9099178702168775E-3</v>
      </c>
      <c r="AP1029" s="22">
        <f t="shared" si="151"/>
        <v>9957239.2008583434</v>
      </c>
      <c r="AQ1029" s="22">
        <f t="shared" si="152"/>
        <v>48650.357430974022</v>
      </c>
      <c r="AR1029">
        <f t="shared" si="153"/>
        <v>0</v>
      </c>
      <c r="AS1029">
        <f t="shared" si="154"/>
        <v>0</v>
      </c>
      <c r="BJ1029">
        <f t="shared" si="155"/>
        <v>2.4017877136001925E-6</v>
      </c>
      <c r="BK1029">
        <f t="shared" si="157"/>
        <v>4.586316538390555E-5</v>
      </c>
      <c r="BO1029">
        <f t="shared" si="158"/>
        <v>6.3674551134415436E-5</v>
      </c>
      <c r="BP1029">
        <f t="shared" si="156"/>
        <v>3.893064388446172</v>
      </c>
    </row>
    <row r="1030" spans="1:68" x14ac:dyDescent="0.15">
      <c r="A1030" s="5">
        <v>45069</v>
      </c>
      <c r="B1030" s="1"/>
      <c r="C1030">
        <v>112.42</v>
      </c>
      <c r="D1030">
        <v>92.12</v>
      </c>
      <c r="E1030">
        <v>86.068984999999998</v>
      </c>
      <c r="G1030" s="3">
        <v>-5.9139406695929396E-3</v>
      </c>
      <c r="I1030" s="15">
        <f t="shared" si="159"/>
        <v>-4.7804532577902983E-3</v>
      </c>
      <c r="J1030" s="15">
        <f t="shared" si="160"/>
        <v>1.0530934620447652E-2</v>
      </c>
      <c r="K1030" s="15">
        <f t="shared" si="161"/>
        <v>-4.712896700076138E-3</v>
      </c>
      <c r="L1030" s="32">
        <f t="shared" si="134"/>
        <v>308311.26186768943</v>
      </c>
      <c r="M1030" s="15"/>
      <c r="N1030" s="32">
        <f t="shared" si="135"/>
        <v>-3372600</v>
      </c>
      <c r="O1030" s="34">
        <f t="shared" si="136"/>
        <v>-0.33691132480937053</v>
      </c>
      <c r="P1030" s="34">
        <f t="shared" si="137"/>
        <v>0.64417333419342493</v>
      </c>
      <c r="Q1030" s="34">
        <f t="shared" si="138"/>
        <v>0.68784002280372036</v>
      </c>
      <c r="R1030" s="35" cm="1">
        <f t="array" ref="R1030">SQRT(MMULT(O1030:Q1030, MMULT($AU$32:$AW$34,TRANSPOSE(O1030:Q1030))))</f>
        <v>1.3218562885792319E-2</v>
      </c>
      <c r="S1030" s="36" cm="1">
        <f t="array" ref="S1030:U1030">TRANSPOSE(MMULT($AU$32:$AW$34, TRANSPOSE(O1030:Q1030))/MMULT(O1030:Q1030, MMULT($AU$32:$AW$34,TRANSPOSE(O1030:Q1030))))</f>
        <v>0.1587235213516221</v>
      </c>
      <c r="T1030" s="36">
        <v>1.0419745284660704</v>
      </c>
      <c r="U1030" s="36">
        <v>0.55574484333176766</v>
      </c>
      <c r="V1030" s="35">
        <f t="shared" si="143"/>
        <v>4.8885656568671033E-3</v>
      </c>
      <c r="W1030" s="35">
        <f t="shared" si="144"/>
        <v>3.209203558371955E-2</v>
      </c>
      <c r="X1030" s="35">
        <f t="shared" si="145"/>
        <v>1.711652521288335E-2</v>
      </c>
      <c r="Y1030" s="32">
        <f t="shared" si="146"/>
        <v>-16487.176534349994</v>
      </c>
      <c r="Z1030" s="32">
        <f t="shared" si="139"/>
        <v>206942.28225805715</v>
      </c>
      <c r="AA1030" s="32">
        <f t="shared" si="140"/>
        <v>117856.15614398231</v>
      </c>
      <c r="AB1030" s="40">
        <f t="shared" si="147"/>
        <v>-5.3475751856983417E-2</v>
      </c>
      <c r="AC1030" s="40">
        <f t="shared" si="148"/>
        <v>0.67121220614661048</v>
      </c>
      <c r="AD1030" s="40">
        <f t="shared" si="149"/>
        <v>0.38226354571037313</v>
      </c>
      <c r="AE1030" s="40"/>
      <c r="AF1030" s="40"/>
      <c r="AG1030" s="40"/>
      <c r="AH1030" s="40"/>
      <c r="AI1030" s="40"/>
      <c r="AJ1030" s="40"/>
      <c r="AK1030" s="33">
        <f t="shared" si="141"/>
        <v>6448400</v>
      </c>
      <c r="AL1030" s="33">
        <f t="shared" si="142"/>
        <v>6885518.7999999998</v>
      </c>
      <c r="AM1030" s="34"/>
      <c r="AN1030" s="33"/>
      <c r="AO1030" s="15" cm="1">
        <f t="array" ref="AO1030">SUMPRODUCT(I1030:K1030, TRANSPOSE($AY$5:$AY$7))</f>
        <v>5.3338044898174975E-3</v>
      </c>
      <c r="AP1030" s="22">
        <f t="shared" si="151"/>
        <v>10010349.168014068</v>
      </c>
      <c r="AQ1030" s="22">
        <f t="shared" si="152"/>
        <v>53109.967155724764</v>
      </c>
      <c r="AR1030">
        <f t="shared" si="153"/>
        <v>0</v>
      </c>
      <c r="AS1030">
        <f t="shared" si="154"/>
        <v>0</v>
      </c>
      <c r="BJ1030">
        <f t="shared" si="155"/>
        <v>3.497469424346539E-5</v>
      </c>
      <c r="BK1030">
        <f t="shared" si="157"/>
        <v>4.3255482723687227E-5</v>
      </c>
      <c r="BO1030">
        <f t="shared" si="158"/>
        <v>5.6226857468154789E-5</v>
      </c>
      <c r="BP1030">
        <f t="shared" si="156"/>
        <v>3.6631053496048245</v>
      </c>
    </row>
    <row r="1031" spans="1:68" x14ac:dyDescent="0.15">
      <c r="A1031" s="5">
        <v>45070</v>
      </c>
      <c r="B1031" s="1"/>
      <c r="C1031">
        <v>112.22</v>
      </c>
      <c r="D1031">
        <v>90.26</v>
      </c>
      <c r="E1031">
        <v>85.860470000000007</v>
      </c>
      <c r="G1031" s="3">
        <v>-8.8610723345008396E-3</v>
      </c>
      <c r="I1031" s="15">
        <f t="shared" si="159"/>
        <v>-1.7790428749333111E-3</v>
      </c>
      <c r="J1031" s="15">
        <f t="shared" si="160"/>
        <v>-2.0191055145462433E-2</v>
      </c>
      <c r="K1031" s="15">
        <f t="shared" si="161"/>
        <v>-2.4226496919882504E-3</v>
      </c>
      <c r="L1031" s="32">
        <f t="shared" si="134"/>
        <v>303883.966487167</v>
      </c>
      <c r="M1031" s="15"/>
      <c r="N1031" s="32">
        <f t="shared" si="135"/>
        <v>-3366600</v>
      </c>
      <c r="O1031" s="34">
        <f t="shared" si="136"/>
        <v>-0.34121033847703441</v>
      </c>
      <c r="P1031" s="34">
        <f t="shared" si="137"/>
        <v>0.64035975778696574</v>
      </c>
      <c r="Q1031" s="34">
        <f t="shared" si="138"/>
        <v>0.69616776642303235</v>
      </c>
      <c r="R1031" s="35" cm="1">
        <f t="array" ref="R1031">SQRT(MMULT(O1031:Q1031, MMULT($AU$32:$AW$34,TRANSPOSE(O1031:Q1031))))</f>
        <v>1.3218510730229482E-2</v>
      </c>
      <c r="S1031" s="36" cm="1">
        <f t="array" ref="S1031:U1031">TRANSPOSE(MMULT($AU$32:$AW$34, TRANSPOSE(O1031:Q1031))/MMULT(O1031:Q1031, MMULT($AU$32:$AW$34,TRANSPOSE(O1031:Q1031))))</f>
        <v>0.15761637456707944</v>
      </c>
      <c r="T1031" s="36">
        <v>1.0378484548457803</v>
      </c>
      <c r="U1031" s="36">
        <v>0.55903759139926146</v>
      </c>
      <c r="V1031" s="35">
        <f t="shared" si="143"/>
        <v>4.8544472106463038E-3</v>
      </c>
      <c r="W1031" s="35">
        <f t="shared" si="144"/>
        <v>3.1964829482583307E-2</v>
      </c>
      <c r="X1031" s="35">
        <f t="shared" si="145"/>
        <v>1.7217871453194783E-2</v>
      </c>
      <c r="Y1031" s="32">
        <f t="shared" si="146"/>
        <v>-16342.981979361846</v>
      </c>
      <c r="Z1031" s="32">
        <f t="shared" si="139"/>
        <v>201960.18563685784</v>
      </c>
      <c r="AA1031" s="32">
        <f t="shared" si="140"/>
        <v>118266.76282967097</v>
      </c>
      <c r="AB1031" s="40">
        <f t="shared" si="147"/>
        <v>-5.3780336515556207E-2</v>
      </c>
      <c r="AC1031" s="40">
        <f t="shared" si="148"/>
        <v>0.66459638516462038</v>
      </c>
      <c r="AD1031" s="40">
        <f t="shared" si="149"/>
        <v>0.3891839513509357</v>
      </c>
      <c r="AE1031" s="40"/>
      <c r="AF1031" s="40"/>
      <c r="AG1031" s="40"/>
      <c r="AH1031" s="40"/>
      <c r="AI1031" s="40"/>
      <c r="AJ1031" s="40"/>
      <c r="AK1031" s="33">
        <f t="shared" si="141"/>
        <v>6318200</v>
      </c>
      <c r="AL1031" s="33">
        <f t="shared" si="142"/>
        <v>6868837.6000000006</v>
      </c>
      <c r="AM1031" s="34"/>
      <c r="AN1031" s="33"/>
      <c r="AO1031" s="15" cm="1">
        <f t="array" ref="AO1031">SUMPRODUCT(I1031:K1031, TRANSPOSE($AY$5:$AY$7))</f>
        <v>-1.4355934762744519E-2</v>
      </c>
      <c r="AP1031" s="22">
        <f t="shared" si="151"/>
        <v>9866641.2484057639</v>
      </c>
      <c r="AQ1031" s="22">
        <f t="shared" si="152"/>
        <v>-143707.91960830428</v>
      </c>
      <c r="AR1031">
        <f t="shared" si="153"/>
        <v>0</v>
      </c>
      <c r="AS1031">
        <f t="shared" si="154"/>
        <v>0</v>
      </c>
      <c r="BJ1031">
        <f t="shared" si="155"/>
        <v>7.8518602917256156E-5</v>
      </c>
      <c r="BK1031">
        <f t="shared" si="157"/>
        <v>4.2758635414873915E-5</v>
      </c>
      <c r="BO1031">
        <f t="shared" si="158"/>
        <v>5.5024083803529797E-5</v>
      </c>
      <c r="BP1031">
        <f t="shared" si="156"/>
        <v>3.2714382059213709</v>
      </c>
    </row>
    <row r="1032" spans="1:68" x14ac:dyDescent="0.15">
      <c r="A1032" s="5">
        <v>45071</v>
      </c>
      <c r="B1032" s="1"/>
      <c r="C1032">
        <v>111.3</v>
      </c>
      <c r="D1032">
        <v>90.12</v>
      </c>
      <c r="E1032">
        <v>83.926990000000004</v>
      </c>
      <c r="G1032" s="3">
        <v>-5.0845937882429901E-3</v>
      </c>
      <c r="I1032" s="15">
        <f t="shared" si="159"/>
        <v>-8.1981821422206537E-3</v>
      </c>
      <c r="J1032" s="15">
        <f t="shared" si="160"/>
        <v>-1.5510746731664143E-3</v>
      </c>
      <c r="K1032" s="15">
        <f t="shared" si="161"/>
        <v>-2.2518861124333499E-2</v>
      </c>
      <c r="L1032" s="32">
        <f t="shared" si="134"/>
        <v>301052.35189059452</v>
      </c>
      <c r="M1032" s="15"/>
      <c r="N1032" s="32">
        <f t="shared" si="135"/>
        <v>-3339000</v>
      </c>
      <c r="O1032" s="34">
        <f t="shared" si="136"/>
        <v>-0.34335141483029658</v>
      </c>
      <c r="P1032" s="34">
        <f t="shared" si="137"/>
        <v>0.64869663531459809</v>
      </c>
      <c r="Q1032" s="34">
        <f t="shared" si="138"/>
        <v>0.69042110234077636</v>
      </c>
      <c r="R1032" s="35" cm="1">
        <f t="array" ref="R1032">SQRT(MMULT(O1032:Q1032, MMULT($AU$32:$AW$34,TRANSPOSE(O1032:Q1032))))</f>
        <v>1.3286436786170456E-2</v>
      </c>
      <c r="S1032" s="36" cm="1">
        <f t="array" ref="S1032:U1032">TRANSPOSE(MMULT($AU$32:$AW$34, TRANSPOSE(O1032:Q1032))/MMULT(O1032:Q1032, MMULT($AU$32:$AW$34,TRANSPOSE(O1032:Q1032))))</f>
        <v>0.15444559976470001</v>
      </c>
      <c r="T1032" s="36">
        <v>1.0369575060082021</v>
      </c>
      <c r="U1032" s="36">
        <v>0.55090765446223178</v>
      </c>
      <c r="V1032" s="35">
        <f t="shared" si="143"/>
        <v>4.7812338567497755E-3</v>
      </c>
      <c r="W1032" s="35">
        <f t="shared" si="144"/>
        <v>3.2101505923708473E-2</v>
      </c>
      <c r="X1032" s="35">
        <f t="shared" si="145"/>
        <v>1.7054667361649619E-2</v>
      </c>
      <c r="Y1032" s="32">
        <f t="shared" si="146"/>
        <v>-15964.5398476875</v>
      </c>
      <c r="Z1032" s="32">
        <f t="shared" si="139"/>
        <v>202509.13996912254</v>
      </c>
      <c r="AA1032" s="32">
        <f t="shared" si="140"/>
        <v>114507.75176915951</v>
      </c>
      <c r="AB1032" s="40">
        <f t="shared" si="147"/>
        <v>-5.302911519352347E-2</v>
      </c>
      <c r="AC1032" s="40">
        <f t="shared" si="148"/>
        <v>0.67267084511173791</v>
      </c>
      <c r="AD1032" s="40">
        <f t="shared" si="149"/>
        <v>0.38035827008178563</v>
      </c>
      <c r="AE1032" s="40"/>
      <c r="AF1032" s="40"/>
      <c r="AG1032" s="40"/>
      <c r="AH1032" s="40"/>
      <c r="AI1032" s="40"/>
      <c r="AJ1032" s="40"/>
      <c r="AK1032" s="33">
        <f t="shared" si="141"/>
        <v>6308400</v>
      </c>
      <c r="AL1032" s="33">
        <f t="shared" si="142"/>
        <v>6714159.2000000002</v>
      </c>
      <c r="AM1032" s="34"/>
      <c r="AN1032" s="33"/>
      <c r="AO1032" s="15" cm="1">
        <f t="array" ref="AO1032">SUMPRODUCT(I1032:K1032, TRANSPOSE($AY$5:$AY$7))</f>
        <v>-1.4382876096044366E-2</v>
      </c>
      <c r="AP1032" s="22">
        <f t="shared" si="151"/>
        <v>9724730.5698458236</v>
      </c>
      <c r="AQ1032" s="22">
        <f t="shared" si="152"/>
        <v>-141910.67855994031</v>
      </c>
      <c r="AR1032">
        <f t="shared" si="153"/>
        <v>0</v>
      </c>
      <c r="AS1032">
        <f t="shared" si="154"/>
        <v>0</v>
      </c>
      <c r="BJ1032">
        <f t="shared" si="155"/>
        <v>2.5853093991439199E-5</v>
      </c>
      <c r="BK1032">
        <f t="shared" si="157"/>
        <v>4.4904233465016853E-5</v>
      </c>
      <c r="BO1032">
        <f t="shared" si="158"/>
        <v>6.0282185311642065E-5</v>
      </c>
      <c r="BP1032">
        <f t="shared" si="156"/>
        <v>3.7248644847985819</v>
      </c>
    </row>
    <row r="1033" spans="1:68" x14ac:dyDescent="0.15">
      <c r="A1033" s="5">
        <v>45072</v>
      </c>
      <c r="B1033" s="1"/>
      <c r="C1033">
        <v>112.06</v>
      </c>
      <c r="D1033">
        <v>91.34</v>
      </c>
      <c r="E1033">
        <v>84.268190000000004</v>
      </c>
      <c r="G1033" s="3">
        <v>9.6230528194525197E-3</v>
      </c>
      <c r="I1033" s="15">
        <f t="shared" si="159"/>
        <v>6.8283917340521572E-3</v>
      </c>
      <c r="J1033" s="15">
        <f t="shared" si="160"/>
        <v>1.3537505548157998E-2</v>
      </c>
      <c r="K1033" s="15">
        <f t="shared" si="161"/>
        <v>4.0654383053651821E-3</v>
      </c>
      <c r="L1033" s="32">
        <f t="shared" si="134"/>
        <v>304152.23652977258</v>
      </c>
      <c r="M1033" s="15"/>
      <c r="N1033" s="32">
        <f t="shared" si="135"/>
        <v>-3361800</v>
      </c>
      <c r="O1033" s="34">
        <f t="shared" si="136"/>
        <v>-0.34254379724173795</v>
      </c>
      <c r="P1033" s="34">
        <f t="shared" si="137"/>
        <v>0.65148329192820043</v>
      </c>
      <c r="Q1033" s="34">
        <f t="shared" si="138"/>
        <v>0.68690691389822722</v>
      </c>
      <c r="R1033" s="35" cm="1">
        <f t="array" ref="R1033">SQRT(MMULT(O1033:Q1033, MMULT($AU$32:$AW$34,TRANSPOSE(O1033:Q1033))))</f>
        <v>1.3300847931260453E-2</v>
      </c>
      <c r="S1033" s="36" cm="1">
        <f t="array" ref="S1033:U1033">TRANSPOSE(MMULT($AU$32:$AW$34, TRANSPOSE(O1033:Q1033))/MMULT(O1033:Q1033, MMULT($AU$32:$AW$34,TRANSPOSE(O1033:Q1033))))</f>
        <v>0.15412976573354778</v>
      </c>
      <c r="T1033" s="36">
        <v>1.0378610348128956</v>
      </c>
      <c r="U1033" s="36">
        <v>0.5483233085556618</v>
      </c>
      <c r="V1033" s="35">
        <f t="shared" si="143"/>
        <v>4.7766318213873313E-3</v>
      </c>
      <c r="W1033" s="35">
        <f t="shared" si="144"/>
        <v>3.2164326088936761E-2</v>
      </c>
      <c r="X1033" s="35">
        <f t="shared" si="145"/>
        <v>1.6993074320136196E-2</v>
      </c>
      <c r="Y1033" s="32">
        <f t="shared" si="146"/>
        <v>-16058.08085713993</v>
      </c>
      <c r="Z1033" s="32">
        <f t="shared" si="139"/>
        <v>205652.26814744386</v>
      </c>
      <c r="AA1033" s="32">
        <f t="shared" si="140"/>
        <v>114558.04923946863</v>
      </c>
      <c r="AB1033" s="40">
        <f t="shared" si="147"/>
        <v>-5.2796195222348963E-2</v>
      </c>
      <c r="AC1033" s="40">
        <f t="shared" si="148"/>
        <v>0.67614912352391388</v>
      </c>
      <c r="AD1033" s="40">
        <f t="shared" si="149"/>
        <v>0.37664707169843503</v>
      </c>
      <c r="AE1033" s="40"/>
      <c r="AF1033" s="40"/>
      <c r="AG1033" s="40"/>
      <c r="AH1033" s="40"/>
      <c r="AI1033" s="40"/>
      <c r="AJ1033" s="40"/>
      <c r="AK1033" s="33">
        <f t="shared" si="141"/>
        <v>6393800</v>
      </c>
      <c r="AL1033" s="33">
        <f t="shared" si="142"/>
        <v>6741455.2000000002</v>
      </c>
      <c r="AM1033" s="34"/>
      <c r="AN1033" s="33"/>
      <c r="AO1033" s="15" cm="1">
        <f t="array" ref="AO1033">SUMPRODUCT(I1033:K1033, TRANSPOSE($AY$5:$AY$7))</f>
        <v>9.2021971404622101E-3</v>
      </c>
      <c r="AP1033" s="22">
        <f t="shared" si="151"/>
        <v>9814219.4576874226</v>
      </c>
      <c r="AQ1033" s="22">
        <f t="shared" si="152"/>
        <v>89488.887841599062</v>
      </c>
      <c r="AR1033">
        <f t="shared" si="153"/>
        <v>0</v>
      </c>
      <c r="AS1033">
        <f t="shared" si="154"/>
        <v>0</v>
      </c>
      <c r="BJ1033">
        <f t="shared" si="155"/>
        <v>9.2603145565973088E-5</v>
      </c>
      <c r="BK1033">
        <f t="shared" si="157"/>
        <v>4.3761165096602191E-5</v>
      </c>
      <c r="BO1033">
        <f t="shared" si="158"/>
        <v>5.6905897038166022E-5</v>
      </c>
      <c r="BP1033">
        <f t="shared" si="156"/>
        <v>3.1544656830339051</v>
      </c>
    </row>
    <row r="1034" spans="1:68" x14ac:dyDescent="0.15">
      <c r="A1034" s="5">
        <v>45076</v>
      </c>
      <c r="B1034" s="1"/>
      <c r="C1034">
        <v>108.34</v>
      </c>
      <c r="D1034">
        <v>91.96</v>
      </c>
      <c r="E1034">
        <v>82.476849999999999</v>
      </c>
      <c r="G1034" s="3">
        <v>-1.3275413075796301E-2</v>
      </c>
      <c r="I1034" s="15">
        <f t="shared" si="159"/>
        <v>-3.3196501873996059E-2</v>
      </c>
      <c r="J1034" s="15">
        <f t="shared" si="160"/>
        <v>6.7878257061527291E-3</v>
      </c>
      <c r="K1034" s="15">
        <f t="shared" si="161"/>
        <v>-2.125760622128E-2</v>
      </c>
      <c r="L1034" s="32">
        <f t="shared" si="134"/>
        <v>303667.14212502394</v>
      </c>
      <c r="M1034" s="15"/>
      <c r="N1034" s="32">
        <f t="shared" si="135"/>
        <v>-3250200</v>
      </c>
      <c r="O1034" s="34">
        <f t="shared" si="136"/>
        <v>-0.33054958075163227</v>
      </c>
      <c r="P1034" s="34">
        <f t="shared" si="137"/>
        <v>0.65467163904203041</v>
      </c>
      <c r="Q1034" s="34">
        <f t="shared" si="138"/>
        <v>0.67104026064156697</v>
      </c>
      <c r="R1034" s="35" cm="1">
        <f t="array" ref="R1034">SQRT(MMULT(O1034:Q1034, MMULT($AU$32:$AW$34,TRANSPOSE(O1034:Q1034))))</f>
        <v>1.3254654321368008E-2</v>
      </c>
      <c r="S1034" s="36" cm="1">
        <f t="array" ref="S1034:U1034">TRANSPOSE(MMULT($AU$32:$AW$34, TRANSPOSE(O1034:Q1034))/MMULT(O1034:Q1034, MMULT($AU$32:$AW$34,TRANSPOSE(O1034:Q1034))))</f>
        <v>0.15908436306529672</v>
      </c>
      <c r="T1034" s="36">
        <v>1.0480458063274127</v>
      </c>
      <c r="U1034" s="36">
        <v>0.54610643383083557</v>
      </c>
      <c r="V1034" s="35">
        <f t="shared" si="143"/>
        <v>4.9130572000516438E-3</v>
      </c>
      <c r="W1034" s="35">
        <f t="shared" si="144"/>
        <v>3.2367159760682176E-2</v>
      </c>
      <c r="X1034" s="35">
        <f t="shared" si="145"/>
        <v>1.6865593167229423E-2</v>
      </c>
      <c r="Y1034" s="32">
        <f t="shared" si="146"/>
        <v>-15968.418511607853</v>
      </c>
      <c r="Z1034" s="32">
        <f t="shared" si="139"/>
        <v>208353.88081146331</v>
      </c>
      <c r="AA1034" s="32">
        <f t="shared" si="140"/>
        <v>111281.67982516848</v>
      </c>
      <c r="AB1034" s="40">
        <f t="shared" si="147"/>
        <v>-5.2585269515374289E-2</v>
      </c>
      <c r="AC1034" s="40">
        <f t="shared" si="148"/>
        <v>0.68612586581949375</v>
      </c>
      <c r="AD1034" s="40">
        <f t="shared" si="149"/>
        <v>0.36645940369588054</v>
      </c>
      <c r="AE1034" s="40"/>
      <c r="AF1034" s="40"/>
      <c r="AG1034" s="40"/>
      <c r="AH1034" s="40"/>
      <c r="AI1034" s="40"/>
      <c r="AJ1034" s="40"/>
      <c r="AK1034" s="33">
        <f t="shared" si="141"/>
        <v>6437200</v>
      </c>
      <c r="AL1034" s="33">
        <f t="shared" si="142"/>
        <v>6598148</v>
      </c>
      <c r="AM1034" s="34"/>
      <c r="AN1034" s="33"/>
      <c r="AO1034" s="15" cm="1">
        <f t="array" ref="AO1034">SUMPRODUCT(I1034:K1034, TRANSPOSE($AY$5:$AY$7))</f>
        <v>1.8846210048974951E-3</v>
      </c>
      <c r="AP1034" s="22">
        <f t="shared" si="151"/>
        <v>9832715.541824054</v>
      </c>
      <c r="AQ1034" s="22">
        <f t="shared" si="152"/>
        <v>18496.08413663134</v>
      </c>
      <c r="AR1034">
        <f t="shared" si="153"/>
        <v>0</v>
      </c>
      <c r="AS1034">
        <f t="shared" si="154"/>
        <v>0</v>
      </c>
      <c r="BJ1034">
        <f t="shared" si="155"/>
        <v>1.7623659233302342E-4</v>
      </c>
      <c r="BK1034">
        <f t="shared" si="157"/>
        <v>4.6691683924764448E-5</v>
      </c>
      <c r="BO1034">
        <f t="shared" si="158"/>
        <v>6.3764162977616735E-5</v>
      </c>
      <c r="BP1034">
        <f t="shared" si="156"/>
        <v>2.529280318892523</v>
      </c>
    </row>
    <row r="1035" spans="1:68" x14ac:dyDescent="0.15">
      <c r="A1035" s="5">
        <v>45077</v>
      </c>
      <c r="B1035" s="1"/>
      <c r="C1035">
        <v>107.9</v>
      </c>
      <c r="D1035">
        <v>91.22</v>
      </c>
      <c r="E1035">
        <v>82.609549999999999</v>
      </c>
      <c r="G1035" s="3">
        <v>-5.72165473633412E-3</v>
      </c>
      <c r="I1035" s="15">
        <f t="shared" si="159"/>
        <v>-4.0612885360900653E-3</v>
      </c>
      <c r="J1035" s="15">
        <f t="shared" si="160"/>
        <v>-8.0469769464984221E-3</v>
      </c>
      <c r="K1035" s="15">
        <f t="shared" si="161"/>
        <v>1.6089363257689863E-3</v>
      </c>
      <c r="L1035" s="32">
        <f t="shared" si="134"/>
        <v>302236.53411326755</v>
      </c>
      <c r="M1035" s="15"/>
      <c r="N1035" s="32">
        <f t="shared" si="135"/>
        <v>-3237000</v>
      </c>
      <c r="O1035" s="34">
        <f t="shared" si="136"/>
        <v>-0.33003298187248054</v>
      </c>
      <c r="P1035" s="34">
        <f t="shared" si="137"/>
        <v>0.65103262355530955</v>
      </c>
      <c r="Q1035" s="34">
        <f t="shared" si="138"/>
        <v>0.67380602082530172</v>
      </c>
      <c r="R1035" s="35" cm="1">
        <f t="array" ref="R1035">SQRT(MMULT(O1035:Q1035, MMULT($AU$32:$AW$34,TRANSPOSE(O1035:Q1035))))</f>
        <v>1.3225304596955714E-2</v>
      </c>
      <c r="S1035" s="36" cm="1">
        <f t="array" ref="S1035:U1035">TRANSPOSE(MMULT($AU$32:$AW$34, TRANSPOSE(O1035:Q1035))/MMULT(O1035:Q1035, MMULT($AU$32:$AW$34,TRANSPOSE(O1035:Q1035))))</f>
        <v>0.16026547443880285</v>
      </c>
      <c r="T1035" s="36">
        <v>1.0484033993786925</v>
      </c>
      <c r="U1035" s="36">
        <v>0.54963604558596102</v>
      </c>
      <c r="V1035" s="35">
        <f t="shared" si="143"/>
        <v>4.9385741378810757E-3</v>
      </c>
      <c r="W1035" s="35">
        <f t="shared" si="144"/>
        <v>3.2306508512632157E-2</v>
      </c>
      <c r="X1035" s="35">
        <f t="shared" si="145"/>
        <v>1.6937012600393531E-2</v>
      </c>
      <c r="Y1035" s="32">
        <f t="shared" si="146"/>
        <v>-15986.164484321042</v>
      </c>
      <c r="Z1035" s="32">
        <f t="shared" si="139"/>
        <v>206289.97945656138</v>
      </c>
      <c r="AA1035" s="32">
        <f t="shared" si="140"/>
        <v>111932.71914102716</v>
      </c>
      <c r="AB1035" s="40">
        <f t="shared" si="147"/>
        <v>-5.2892892420245904E-2</v>
      </c>
      <c r="AC1035" s="40">
        <f t="shared" si="148"/>
        <v>0.68254481564181513</v>
      </c>
      <c r="AD1035" s="40">
        <f t="shared" si="149"/>
        <v>0.37034807677843057</v>
      </c>
      <c r="AE1035" s="40"/>
      <c r="AF1035" s="40"/>
      <c r="AG1035" s="40"/>
      <c r="AH1035" s="40"/>
      <c r="AI1035" s="40"/>
      <c r="AJ1035" s="40"/>
      <c r="AK1035" s="33">
        <f t="shared" si="141"/>
        <v>6385400</v>
      </c>
      <c r="AL1035" s="33">
        <f t="shared" si="142"/>
        <v>6608764</v>
      </c>
      <c r="AM1035" s="34"/>
      <c r="AN1035" s="33"/>
      <c r="AO1035" s="15" cm="1">
        <f t="array" ref="AO1035">SUMPRODUCT(I1035:K1035, TRANSPOSE($AY$5:$AY$7))</f>
        <v>-2.502350944074137E-3</v>
      </c>
      <c r="AP1035" s="22">
        <f t="shared" si="151"/>
        <v>9808110.6368051581</v>
      </c>
      <c r="AQ1035" s="22">
        <f t="shared" si="152"/>
        <v>-24604.905018895864</v>
      </c>
      <c r="AR1035">
        <f t="shared" si="153"/>
        <v>0</v>
      </c>
      <c r="AS1035">
        <f t="shared" si="154"/>
        <v>0</v>
      </c>
      <c r="BJ1035">
        <f t="shared" si="155"/>
        <v>3.2737332921814671E-5</v>
      </c>
      <c r="BK1035">
        <f t="shared" si="157"/>
        <v>5.4464378429259994E-5</v>
      </c>
      <c r="BO1035">
        <f t="shared" si="158"/>
        <v>8.105473279521268E-5</v>
      </c>
      <c r="BP1035">
        <f t="shared" si="156"/>
        <v>3.5893085813275918</v>
      </c>
    </row>
    <row r="1036" spans="1:68" x14ac:dyDescent="0.15">
      <c r="A1036" s="5">
        <v>45078</v>
      </c>
      <c r="B1036" s="1"/>
      <c r="C1036">
        <v>108.78</v>
      </c>
      <c r="D1036">
        <v>92.78</v>
      </c>
      <c r="E1036">
        <v>83.462559999999996</v>
      </c>
      <c r="G1036" s="3">
        <v>6.9873763039711703E-3</v>
      </c>
      <c r="I1036" s="15">
        <f t="shared" si="159"/>
        <v>8.1556997219647404E-3</v>
      </c>
      <c r="J1036" s="15">
        <f t="shared" si="160"/>
        <v>1.7101512826134646E-2</v>
      </c>
      <c r="K1036" s="15">
        <f t="shared" si="161"/>
        <v>1.0325803735766598E-2</v>
      </c>
      <c r="L1036" s="32">
        <f t="shared" ref="L1036:L1099" si="162">2.33*R1036*AP1036</f>
        <v>306790.92637521616</v>
      </c>
      <c r="M1036" s="15"/>
      <c r="N1036" s="32">
        <f t="shared" ref="N1036:N1099" si="163">C1036*$AV$5</f>
        <v>-3263400</v>
      </c>
      <c r="O1036" s="34">
        <f t="shared" ref="O1036:O1099" si="164">N1036/AP1036</f>
        <v>-0.3276024801888659</v>
      </c>
      <c r="P1036" s="34">
        <f t="shared" ref="P1036:P1099" si="165">AK1036/AP1036</f>
        <v>0.65197250347325142</v>
      </c>
      <c r="Q1036" s="34">
        <f t="shared" ref="Q1036:Q1099" si="166">AL1036/AP1036</f>
        <v>0.67028354866487794</v>
      </c>
      <c r="R1036" s="35" cm="1">
        <f t="array" ref="R1036">SQRT(MMULT(O1036:Q1036, MMULT($AU$32:$AW$34,TRANSPOSE(O1036:Q1036))))</f>
        <v>1.3217930426699E-2</v>
      </c>
      <c r="S1036" s="36" cm="1">
        <f t="array" ref="S1036:U1036">TRANSPOSE(MMULT($AU$32:$AW$34, TRANSPOSE(O1036:Q1036))/MMULT(O1036:Q1036, MMULT($AU$32:$AW$34,TRANSPOSE(O1036:Q1036))))</f>
        <v>0.1611967810539329</v>
      </c>
      <c r="T1036" s="36">
        <v>1.0505056858452024</v>
      </c>
      <c r="U1036" s="36">
        <v>0.54888359425078381</v>
      </c>
      <c r="V1036" s="35">
        <f t="shared" si="143"/>
        <v>4.9645026601604098E-3</v>
      </c>
      <c r="W1036" s="35">
        <f t="shared" si="144"/>
        <v>3.2353240789263896E-2</v>
      </c>
      <c r="X1036" s="35">
        <f t="shared" si="145"/>
        <v>1.6904395025510593E-2</v>
      </c>
      <c r="Y1036" s="32">
        <f t="shared" si="146"/>
        <v>-16201.157981167482</v>
      </c>
      <c r="Z1036" s="32">
        <f t="shared" ref="Z1036:Z1099" si="167">W1036*AK1036</f>
        <v>210121.3576299533</v>
      </c>
      <c r="AA1036" s="32">
        <f t="shared" ref="AA1036:AA1099" si="168">X1036*AL1036</f>
        <v>112870.72672643035</v>
      </c>
      <c r="AB1036" s="40">
        <f t="shared" si="147"/>
        <v>-5.2808465271730012E-2</v>
      </c>
      <c r="AC1036" s="40">
        <f t="shared" si="148"/>
        <v>0.68490082191338164</v>
      </c>
      <c r="AD1036" s="40">
        <f t="shared" si="149"/>
        <v>0.36790764335834841</v>
      </c>
      <c r="AE1036" s="40"/>
      <c r="AF1036" s="40"/>
      <c r="AG1036" s="40"/>
      <c r="AH1036" s="40"/>
      <c r="AI1036" s="40"/>
      <c r="AJ1036" s="40"/>
      <c r="AK1036" s="33">
        <f t="shared" ref="AK1036:AK1099" si="169">D1036*$AV$6</f>
        <v>6494600</v>
      </c>
      <c r="AL1036" s="33">
        <f t="shared" ref="AL1036:AL1099" si="170">E1036*$AV$7</f>
        <v>6677004.7999999998</v>
      </c>
      <c r="AM1036" s="34"/>
      <c r="AN1036" s="33"/>
      <c r="AO1036" s="15" cm="1">
        <f t="array" ref="AO1036">SUMPRODUCT(I1036:K1036, TRANSPOSE($AY$5:$AY$7))</f>
        <v>1.5635264968562587E-2</v>
      </c>
      <c r="AP1036" s="22">
        <f t="shared" si="151"/>
        <v>9961463.0454525836</v>
      </c>
      <c r="AQ1036" s="22">
        <f t="shared" si="152"/>
        <v>153352.40864742547</v>
      </c>
      <c r="AR1036">
        <f t="shared" si="153"/>
        <v>0</v>
      </c>
      <c r="AS1036">
        <f t="shared" si="154"/>
        <v>0</v>
      </c>
      <c r="BJ1036">
        <f t="shared" si="155"/>
        <v>4.8823427613297815E-5</v>
      </c>
      <c r="BK1036">
        <f t="shared" si="157"/>
        <v>5.3160755698813272E-5</v>
      </c>
      <c r="BO1036">
        <f t="shared" si="158"/>
        <v>7.4179897910388995E-5</v>
      </c>
      <c r="BP1036">
        <f t="shared" si="156"/>
        <v>3.506482153757613</v>
      </c>
    </row>
    <row r="1037" spans="1:68" x14ac:dyDescent="0.15">
      <c r="A1037" s="5">
        <v>45079</v>
      </c>
      <c r="B1037" s="1"/>
      <c r="C1037">
        <v>109.6</v>
      </c>
      <c r="D1037">
        <v>93.2</v>
      </c>
      <c r="E1037">
        <v>84.704170000000005</v>
      </c>
      <c r="G1037" s="3">
        <v>1.3019466269218001E-2</v>
      </c>
      <c r="I1037" s="15">
        <f t="shared" si="159"/>
        <v>7.5381503952931901E-3</v>
      </c>
      <c r="J1037" s="15">
        <f t="shared" si="160"/>
        <v>4.5268376805346162E-3</v>
      </c>
      <c r="K1037" s="15">
        <f t="shared" si="161"/>
        <v>1.4876251099894475E-2</v>
      </c>
      <c r="L1037" s="32">
        <f t="shared" si="162"/>
        <v>309301.63350940321</v>
      </c>
      <c r="M1037" s="15"/>
      <c r="N1037" s="32">
        <f t="shared" si="163"/>
        <v>-3288000</v>
      </c>
      <c r="O1037" s="34">
        <f t="shared" si="164"/>
        <v>-0.32649144856632734</v>
      </c>
      <c r="P1037" s="34">
        <f t="shared" si="165"/>
        <v>0.64781940707017016</v>
      </c>
      <c r="Q1037" s="34">
        <f t="shared" si="166"/>
        <v>0.67287560007076519</v>
      </c>
      <c r="R1037" s="35" cm="1">
        <f t="array" ref="R1037">SQRT(MMULT(O1037:Q1037, MMULT($AU$32:$AW$34,TRANSPOSE(O1037:Q1037))))</f>
        <v>1.3181544329283796E-2</v>
      </c>
      <c r="S1037" s="36" cm="1">
        <f t="array" ref="S1037:U1037">TRANSPOSE(MMULT($AU$32:$AW$34, TRANSPOSE(O1037:Q1037))/MMULT(O1037:Q1037, MMULT($AU$32:$AW$34,TRANSPOSE(O1037:Q1037))))</f>
        <v>0.16281415267885654</v>
      </c>
      <c r="T1037" s="36">
        <v>1.0513393133272946</v>
      </c>
      <c r="U1037" s="36">
        <v>0.55296910443303393</v>
      </c>
      <c r="V1037" s="35">
        <f t="shared" ref="V1037:V1100" si="171">(L1037/AP1037)*S1037</f>
        <v>5.0005107923627281E-3</v>
      </c>
      <c r="W1037" s="35">
        <f t="shared" ref="W1037:W1100" si="172">(L1037/AP1037)*T1037</f>
        <v>3.2289782529520077E-2</v>
      </c>
      <c r="X1037" s="35">
        <f t="shared" ref="X1037:X1100" si="173">(L1037/AP1037)*U1037</f>
        <v>1.6983339157343569E-2</v>
      </c>
      <c r="Y1037" s="32">
        <f t="shared" ref="Y1037:Y1100" si="174">(V1037*N1037)</f>
        <v>-16441.679485288649</v>
      </c>
      <c r="Z1037" s="32">
        <f t="shared" si="167"/>
        <v>210658.54122258897</v>
      </c>
      <c r="AA1037" s="32">
        <f t="shared" si="168"/>
        <v>115084.77177210292</v>
      </c>
      <c r="AB1037" s="40">
        <f t="shared" ref="AB1037:AB1100" si="175">Y1037/L1037</f>
        <v>-5.3157428555219051E-2</v>
      </c>
      <c r="AC1037" s="40">
        <f t="shared" ref="AC1037:AC1100" si="176">Z1037/L1037</f>
        <v>0.68107801058924788</v>
      </c>
      <c r="AD1037" s="40">
        <f t="shared" ref="AD1037:AD1100" si="177">AA1037/L1037</f>
        <v>0.37207941796597133</v>
      </c>
      <c r="AE1037" s="40"/>
      <c r="AF1037" s="40"/>
      <c r="AG1037" s="40"/>
      <c r="AH1037" s="40"/>
      <c r="AI1037" s="40"/>
      <c r="AJ1037" s="40"/>
      <c r="AK1037" s="33">
        <f t="shared" si="169"/>
        <v>6524000</v>
      </c>
      <c r="AL1037" s="33">
        <f t="shared" si="170"/>
        <v>6776333.6000000006</v>
      </c>
      <c r="AM1037" s="34"/>
      <c r="AN1037" s="33"/>
      <c r="AO1037" s="15" cm="1">
        <f t="array" ref="AO1037">SUMPRODUCT(I1037:K1037, TRANSPOSE($AY$5:$AY$7))</f>
        <v>1.0966744776306082E-2</v>
      </c>
      <c r="AP1037" s="22">
        <f t="shared" si="151"/>
        <v>10070707.868270665</v>
      </c>
      <c r="AQ1037" s="22">
        <f t="shared" si="152"/>
        <v>109244.82281808183</v>
      </c>
      <c r="AR1037">
        <f t="shared" si="153"/>
        <v>0</v>
      </c>
      <c r="AS1037">
        <f t="shared" si="154"/>
        <v>0</v>
      </c>
      <c r="BJ1037">
        <f t="shared" si="155"/>
        <v>1.6950650193530529E-4</v>
      </c>
      <c r="BK1037">
        <f t="shared" si="157"/>
        <v>5.2900516013682343E-5</v>
      </c>
      <c r="BO1037">
        <f t="shared" si="158"/>
        <v>7.1078407685368022E-5</v>
      </c>
      <c r="BP1037">
        <f t="shared" si="156"/>
        <v>2.664533982415108</v>
      </c>
    </row>
    <row r="1038" spans="1:68" x14ac:dyDescent="0.15">
      <c r="A1038" s="5">
        <v>45082</v>
      </c>
      <c r="B1038" s="1"/>
      <c r="C1038">
        <v>108.78</v>
      </c>
      <c r="D1038">
        <v>92.28</v>
      </c>
      <c r="E1038">
        <v>85.661439999999999</v>
      </c>
      <c r="G1038" s="3">
        <v>-2.4770993871657803E-3</v>
      </c>
      <c r="I1038" s="15">
        <f t="shared" si="159"/>
        <v>-7.4817518248174565E-3</v>
      </c>
      <c r="J1038" s="15">
        <f t="shared" si="160"/>
        <v>-9.8712446351931511E-3</v>
      </c>
      <c r="K1038" s="15">
        <f t="shared" si="161"/>
        <v>1.1301332626244895E-2</v>
      </c>
      <c r="L1038" s="32">
        <f t="shared" si="162"/>
        <v>308657.86063073436</v>
      </c>
      <c r="M1038" s="15"/>
      <c r="N1038" s="32">
        <f t="shared" si="163"/>
        <v>-3263400</v>
      </c>
      <c r="O1038" s="34">
        <f t="shared" si="164"/>
        <v>-0.32250385281692168</v>
      </c>
      <c r="P1038" s="34">
        <f t="shared" si="165"/>
        <v>0.63836669965563131</v>
      </c>
      <c r="Q1038" s="34">
        <f t="shared" si="166"/>
        <v>0.67723587516934647</v>
      </c>
      <c r="R1038" s="35" cm="1">
        <f t="array" ref="R1038">SQRT(MMULT(O1038:Q1038, MMULT($AU$32:$AW$34,TRANSPOSE(O1038:Q1038))))</f>
        <v>1.3091397772780261E-2</v>
      </c>
      <c r="S1038" s="36" cm="1">
        <f t="array" ref="S1038:U1038">TRANSPOSE(MMULT($AU$32:$AW$34, TRANSPOSE(O1038:Q1038))/MMULT(O1038:Q1038, MMULT($AU$32:$AW$34,TRANSPOSE(O1038:Q1038))))</f>
        <v>0.16726882659373801</v>
      </c>
      <c r="T1038" s="36">
        <v>1.0543036863375979</v>
      </c>
      <c r="U1038" s="36">
        <v>0.56245171042555675</v>
      </c>
      <c r="V1038" s="35">
        <f t="shared" si="171"/>
        <v>5.102193793344853E-3</v>
      </c>
      <c r="W1038" s="35">
        <f t="shared" si="172"/>
        <v>3.2159379809588932E-2</v>
      </c>
      <c r="X1038" s="35">
        <f t="shared" si="173"/>
        <v>1.7156440231146486E-2</v>
      </c>
      <c r="Y1038" s="32">
        <f t="shared" si="174"/>
        <v>-16650.499225201595</v>
      </c>
      <c r="Z1038" s="32">
        <f t="shared" si="167"/>
        <v>207736.72981802066</v>
      </c>
      <c r="AA1038" s="32">
        <f t="shared" si="168"/>
        <v>117571.63003791527</v>
      </c>
      <c r="AB1038" s="40">
        <f t="shared" si="175"/>
        <v>-5.3944841032646081E-2</v>
      </c>
      <c r="AC1038" s="40">
        <f t="shared" si="176"/>
        <v>0.67303236468209826</v>
      </c>
      <c r="AD1038" s="40">
        <f t="shared" si="177"/>
        <v>0.38091247635054776</v>
      </c>
      <c r="AE1038" s="40"/>
      <c r="AF1038" s="40"/>
      <c r="AG1038" s="40"/>
      <c r="AH1038" s="40"/>
      <c r="AI1038" s="40"/>
      <c r="AJ1038" s="40"/>
      <c r="AK1038" s="33">
        <f t="shared" si="169"/>
        <v>6459600</v>
      </c>
      <c r="AL1038" s="33">
        <f t="shared" si="170"/>
        <v>6852915.2000000002</v>
      </c>
      <c r="AM1038" s="34"/>
      <c r="AN1038" s="33"/>
      <c r="AO1038" s="15" cm="1">
        <f t="array" ref="AO1038">SUMPRODUCT(I1038:K1038, TRANSPOSE($AY$5:$AY$7))</f>
        <v>4.7902303951209693E-3</v>
      </c>
      <c r="AP1038" s="22">
        <f t="shared" ref="AP1038:AP1101" si="178">AP1037 * (1 + AO1038)</f>
        <v>10118948.879201639</v>
      </c>
      <c r="AQ1038" s="22">
        <f t="shared" ref="AQ1038:AQ1101" si="179">AP1038 - AP1037</f>
        <v>48241.010930974036</v>
      </c>
      <c r="AR1038">
        <f t="shared" ref="AR1038:AR1101" si="180">IF(-AQ1038 &gt; L1038, 1, 0)</f>
        <v>0</v>
      </c>
      <c r="AS1038">
        <f t="shared" ref="AS1038:AS1101" si="181">IF(-AQ1038 &gt; L1037, 1, 0)</f>
        <v>0</v>
      </c>
      <c r="BJ1038">
        <f t="shared" si="155"/>
        <v>6.1360213738970847E-6</v>
      </c>
      <c r="BK1038">
        <f t="shared" si="157"/>
        <v>5.9896875168979723E-5</v>
      </c>
      <c r="BO1038">
        <f t="shared" si="158"/>
        <v>8.583337067623068E-5</v>
      </c>
      <c r="BP1038">
        <f t="shared" si="156"/>
        <v>3.7268690142505032</v>
      </c>
    </row>
    <row r="1039" spans="1:68" x14ac:dyDescent="0.15">
      <c r="A1039" s="5">
        <v>45083</v>
      </c>
      <c r="B1039" s="1"/>
      <c r="C1039">
        <v>109.16</v>
      </c>
      <c r="D1039">
        <v>92.44</v>
      </c>
      <c r="E1039">
        <v>85.794129999999996</v>
      </c>
      <c r="G1039" s="3">
        <v>4.66632053213755E-3</v>
      </c>
      <c r="I1039" s="15">
        <f t="shared" si="159"/>
        <v>3.4932892075748801E-3</v>
      </c>
      <c r="J1039" s="15">
        <f t="shared" si="160"/>
        <v>1.7338534893801105E-3</v>
      </c>
      <c r="K1039" s="15">
        <f t="shared" si="161"/>
        <v>1.5490050132241141E-3</v>
      </c>
      <c r="L1039" s="32">
        <f t="shared" si="162"/>
        <v>309142.0424539579</v>
      </c>
      <c r="M1039" s="15"/>
      <c r="N1039" s="32">
        <f t="shared" si="163"/>
        <v>-3274800</v>
      </c>
      <c r="O1039" s="34">
        <f t="shared" si="164"/>
        <v>-0.32333818936829167</v>
      </c>
      <c r="P1039" s="34">
        <f t="shared" si="165"/>
        <v>0.63889604121300292</v>
      </c>
      <c r="Q1039" s="34">
        <f t="shared" si="166"/>
        <v>0.67767237456034768</v>
      </c>
      <c r="R1039" s="35" cm="1">
        <f t="array" ref="R1039">SQRT(MMULT(O1039:Q1039, MMULT($AU$32:$AW$34,TRANSPOSE(O1039:Q1039))))</f>
        <v>1.3100092770423526E-2</v>
      </c>
      <c r="S1039" s="36" cm="1">
        <f t="array" ref="S1039:U1039">TRANSPOSE(MMULT($AU$32:$AW$34, TRANSPOSE(O1039:Q1039))/MMULT(O1039:Q1039, MMULT($AU$32:$AW$34,TRANSPOSE(O1039:Q1039))))</f>
        <v>0.16671543030482702</v>
      </c>
      <c r="T1039" s="36">
        <v>1.0535982415225051</v>
      </c>
      <c r="U1039" s="36">
        <v>0.56187286678734294</v>
      </c>
      <c r="V1039" s="35">
        <f t="shared" si="171"/>
        <v>5.0886911155825464E-3</v>
      </c>
      <c r="W1039" s="35">
        <f t="shared" si="172"/>
        <v>3.2159206866610793E-2</v>
      </c>
      <c r="X1039" s="35">
        <f t="shared" si="173"/>
        <v>1.7150166964628368E-2</v>
      </c>
      <c r="Y1039" s="32">
        <f t="shared" si="174"/>
        <v>-16664.445665309722</v>
      </c>
      <c r="Z1039" s="32">
        <f t="shared" si="167"/>
        <v>208095.79579246513</v>
      </c>
      <c r="AA1039" s="32">
        <f t="shared" si="168"/>
        <v>117710.69232680251</v>
      </c>
      <c r="AB1039" s="40">
        <f t="shared" si="175"/>
        <v>-5.3905465374518395E-2</v>
      </c>
      <c r="AC1039" s="40">
        <f t="shared" si="176"/>
        <v>0.67313974553770994</v>
      </c>
      <c r="AD1039" s="40">
        <f t="shared" si="177"/>
        <v>0.38076571983680857</v>
      </c>
      <c r="AE1039" s="40"/>
      <c r="AF1039" s="40"/>
      <c r="AG1039" s="40"/>
      <c r="AH1039" s="40"/>
      <c r="AI1039" s="40"/>
      <c r="AJ1039" s="40"/>
      <c r="AK1039" s="33">
        <f t="shared" si="169"/>
        <v>6470800</v>
      </c>
      <c r="AL1039" s="33">
        <f t="shared" si="170"/>
        <v>6863530.3999999994</v>
      </c>
      <c r="AM1039" s="34"/>
      <c r="AN1039" s="33"/>
      <c r="AO1039" s="15" cm="1">
        <f t="array" ref="AO1039">SUMPRODUCT(I1039:K1039, TRANSPOSE($AY$5:$AY$7))</f>
        <v>9.0389161158990197E-4</v>
      </c>
      <c r="AP1039" s="22">
        <f t="shared" si="178"/>
        <v>10128095.312211657</v>
      </c>
      <c r="AQ1039" s="22">
        <f t="shared" si="179"/>
        <v>9146.4330100174993</v>
      </c>
      <c r="AR1039">
        <f t="shared" si="180"/>
        <v>0</v>
      </c>
      <c r="AS1039">
        <f t="shared" si="181"/>
        <v>0</v>
      </c>
      <c r="BJ1039">
        <f t="shared" si="155"/>
        <v>2.1774547308648467E-5</v>
      </c>
      <c r="BK1039">
        <f t="shared" si="157"/>
        <v>5.6671223941274765E-5</v>
      </c>
      <c r="BO1039">
        <f t="shared" si="158"/>
        <v>7.4139596435003711E-5</v>
      </c>
      <c r="BP1039">
        <f t="shared" si="156"/>
        <v>3.6889935691698765</v>
      </c>
    </row>
    <row r="1040" spans="1:68" x14ac:dyDescent="0.15">
      <c r="A1040" s="5">
        <v>45084</v>
      </c>
      <c r="B1040" s="1"/>
      <c r="C1040">
        <v>107.82</v>
      </c>
      <c r="D1040">
        <v>91.26</v>
      </c>
      <c r="E1040">
        <v>84.827385000000007</v>
      </c>
      <c r="G1040" s="3">
        <v>-1.0477450062497401E-2</v>
      </c>
      <c r="I1040" s="15">
        <f t="shared" si="159"/>
        <v>-1.2275558812751955E-2</v>
      </c>
      <c r="J1040" s="15">
        <f t="shared" si="160"/>
        <v>-1.2765036780614372E-2</v>
      </c>
      <c r="K1040" s="15">
        <f t="shared" si="161"/>
        <v>-1.1268195155076332E-2</v>
      </c>
      <c r="L1040" s="32">
        <f t="shared" si="162"/>
        <v>305363.92548631481</v>
      </c>
      <c r="M1040" s="15"/>
      <c r="N1040" s="32">
        <f t="shared" si="163"/>
        <v>-3234600</v>
      </c>
      <c r="O1040" s="34">
        <f t="shared" si="164"/>
        <v>-0.32320054299410178</v>
      </c>
      <c r="P1040" s="34">
        <f t="shared" si="165"/>
        <v>0.63830758324210746</v>
      </c>
      <c r="Q1040" s="34">
        <f t="shared" si="166"/>
        <v>0.67807473920162564</v>
      </c>
      <c r="R1040" s="35" cm="1">
        <f t="array" ref="R1040">SQRT(MMULT(O1040:Q1040, MMULT($AU$32:$AW$34,TRANSPOSE(O1040:Q1040))))</f>
        <v>1.3095235359943594E-2</v>
      </c>
      <c r="S1040" s="36" cm="1">
        <f t="array" ref="S1040:U1040">TRANSPOSE(MMULT($AU$32:$AW$34, TRANSPOSE(O1040:Q1040))/MMULT(O1040:Q1040, MMULT($AU$32:$AW$34,TRANSPOSE(O1040:Q1040))))</f>
        <v>0.16694143340483258</v>
      </c>
      <c r="T1040" s="36">
        <v>1.053671290263033</v>
      </c>
      <c r="U1040" s="36">
        <v>0.56245892238120931</v>
      </c>
      <c r="V1040" s="35">
        <f t="shared" si="171"/>
        <v>5.0937000529069337E-3</v>
      </c>
      <c r="W1040" s="35">
        <f t="shared" si="172"/>
        <v>3.2149511343562975E-2</v>
      </c>
      <c r="X1040" s="35">
        <f t="shared" si="173"/>
        <v>1.7161689487495482E-2</v>
      </c>
      <c r="Y1040" s="32">
        <f t="shared" si="174"/>
        <v>-16476.082191132769</v>
      </c>
      <c r="Z1040" s="32">
        <f t="shared" si="167"/>
        <v>205377.508364949</v>
      </c>
      <c r="AA1040" s="32">
        <f t="shared" si="168"/>
        <v>116462.49931249856</v>
      </c>
      <c r="AB1040" s="40">
        <f t="shared" si="175"/>
        <v>-5.3955561924655573E-2</v>
      </c>
      <c r="AC1040" s="40">
        <f t="shared" si="176"/>
        <v>0.67256637481938975</v>
      </c>
      <c r="AD1040" s="40">
        <f t="shared" si="177"/>
        <v>0.38138918710526581</v>
      </c>
      <c r="AE1040" s="40"/>
      <c r="AF1040" s="40"/>
      <c r="AG1040" s="40"/>
      <c r="AH1040" s="40"/>
      <c r="AI1040" s="40"/>
      <c r="AJ1040" s="40"/>
      <c r="AK1040" s="33">
        <f t="shared" si="169"/>
        <v>6388200</v>
      </c>
      <c r="AL1040" s="33">
        <f t="shared" si="170"/>
        <v>6786190.8000000007</v>
      </c>
      <c r="AM1040" s="34"/>
      <c r="AN1040" s="33"/>
      <c r="AO1040" s="15" cm="1">
        <f t="array" ref="AO1040">SUMPRODUCT(I1040:K1040, TRANSPOSE($AY$5:$AY$7))</f>
        <v>-1.1854901450085687E-2</v>
      </c>
      <c r="AP1040" s="22">
        <f t="shared" si="178"/>
        <v>10008027.740408313</v>
      </c>
      <c r="AQ1040" s="22">
        <f t="shared" si="179"/>
        <v>-120067.57180334441</v>
      </c>
      <c r="AR1040">
        <f t="shared" si="180"/>
        <v>0</v>
      </c>
      <c r="AS1040">
        <f t="shared" si="181"/>
        <v>0</v>
      </c>
      <c r="BJ1040">
        <f t="shared" si="155"/>
        <v>1.0977695981212678E-4</v>
      </c>
      <c r="BK1040">
        <f t="shared" si="157"/>
        <v>5.4577423343317185E-5</v>
      </c>
      <c r="BO1040">
        <f t="shared" si="158"/>
        <v>6.7194489421663726E-5</v>
      </c>
      <c r="BP1040">
        <f t="shared" si="156"/>
        <v>3.0681612846013206</v>
      </c>
    </row>
    <row r="1041" spans="1:68" x14ac:dyDescent="0.15">
      <c r="A1041" s="5">
        <v>45085</v>
      </c>
      <c r="B1041" s="1"/>
      <c r="C1041">
        <v>107</v>
      </c>
      <c r="D1041">
        <v>89.7</v>
      </c>
      <c r="E1041">
        <v>85.651960000000003</v>
      </c>
      <c r="G1041" s="3">
        <v>-3.45507057023775E-3</v>
      </c>
      <c r="I1041" s="15">
        <f t="shared" si="159"/>
        <v>-7.605268039324738E-3</v>
      </c>
      <c r="J1041" s="15">
        <f t="shared" si="160"/>
        <v>-1.7094017094017117E-2</v>
      </c>
      <c r="K1041" s="15">
        <f t="shared" si="161"/>
        <v>9.7206226503386353E-3</v>
      </c>
      <c r="L1041" s="32">
        <f t="shared" si="162"/>
        <v>303127.8156779398</v>
      </c>
      <c r="M1041" s="15"/>
      <c r="N1041" s="32">
        <f t="shared" si="163"/>
        <v>-3210000</v>
      </c>
      <c r="O1041" s="34">
        <f t="shared" si="164"/>
        <v>-0.32108726038459945</v>
      </c>
      <c r="P1041" s="34">
        <f t="shared" si="165"/>
        <v>0.6280706878364174</v>
      </c>
      <c r="Q1041" s="34">
        <f t="shared" si="166"/>
        <v>0.68540194848526592</v>
      </c>
      <c r="R1041" s="35" cm="1">
        <f t="array" ref="R1041">SQRT(MMULT(O1041:Q1041, MMULT($AU$32:$AW$34,TRANSPOSE(O1041:Q1041))))</f>
        <v>1.3013314064470941E-2</v>
      </c>
      <c r="S1041" s="36" cm="1">
        <f t="array" ref="S1041:U1041">TRANSPOSE(MMULT($AU$32:$AW$34, TRANSPOSE(O1041:Q1041))/MMULT(O1041:Q1041, MMULT($AU$32:$AW$34,TRANSPOSE(O1041:Q1041))))</f>
        <v>0.17076026273838357</v>
      </c>
      <c r="T1041" s="36">
        <v>1.0545206668360982</v>
      </c>
      <c r="U1041" s="36">
        <v>0.57267917789730938</v>
      </c>
      <c r="V1041" s="35">
        <f t="shared" si="171"/>
        <v>5.1776256439785536E-3</v>
      </c>
      <c r="W1041" s="35">
        <f t="shared" si="172"/>
        <v>3.1974144096281396E-2</v>
      </c>
      <c r="X1041" s="35">
        <f t="shared" si="173"/>
        <v>1.7364217820374461E-2</v>
      </c>
      <c r="Y1041" s="32">
        <f t="shared" si="174"/>
        <v>-16620.178317171158</v>
      </c>
      <c r="Z1041" s="32">
        <f t="shared" si="167"/>
        <v>200765.65078055087</v>
      </c>
      <c r="AA1041" s="32">
        <f t="shared" si="168"/>
        <v>118982.34321456004</v>
      </c>
      <c r="AB1041" s="40">
        <f t="shared" si="175"/>
        <v>-5.4828944945221982E-2</v>
      </c>
      <c r="AC1041" s="40">
        <f t="shared" si="176"/>
        <v>0.66231352055746573</v>
      </c>
      <c r="AD1041" s="40">
        <f t="shared" si="177"/>
        <v>0.39251542438775605</v>
      </c>
      <c r="AE1041" s="40"/>
      <c r="AF1041" s="40"/>
      <c r="AG1041" s="40"/>
      <c r="AH1041" s="40"/>
      <c r="AI1041" s="40"/>
      <c r="AJ1041" s="40"/>
      <c r="AK1041" s="33">
        <f t="shared" si="169"/>
        <v>6279000</v>
      </c>
      <c r="AL1041" s="33">
        <f t="shared" si="170"/>
        <v>6852156.7999999998</v>
      </c>
      <c r="AM1041" s="34"/>
      <c r="AN1041" s="33"/>
      <c r="AO1041" s="15" cm="1">
        <f t="array" ref="AO1041">SUMPRODUCT(I1041:K1041, TRANSPOSE($AY$5:$AY$7))</f>
        <v>-1.0736774483365253E-3</v>
      </c>
      <c r="AP1041" s="22">
        <f t="shared" si="178"/>
        <v>9997282.346721109</v>
      </c>
      <c r="AQ1041" s="22">
        <f t="shared" si="179"/>
        <v>-10745.393687203526</v>
      </c>
      <c r="AR1041">
        <f t="shared" si="180"/>
        <v>0</v>
      </c>
      <c r="AS1041">
        <f t="shared" si="181"/>
        <v>0</v>
      </c>
      <c r="BJ1041">
        <f t="shared" si="155"/>
        <v>1.1937512645323011E-5</v>
      </c>
      <c r="BK1041">
        <f t="shared" si="157"/>
        <v>5.7889395531445759E-5</v>
      </c>
      <c r="BO1041">
        <f t="shared" si="158"/>
        <v>7.4280214788630865E-5</v>
      </c>
      <c r="BP1041">
        <f t="shared" si="156"/>
        <v>3.7545398401419838</v>
      </c>
    </row>
    <row r="1042" spans="1:68" x14ac:dyDescent="0.15">
      <c r="A1042" s="5">
        <v>45086</v>
      </c>
      <c r="B1042" s="1"/>
      <c r="C1042">
        <v>107.16</v>
      </c>
      <c r="D1042">
        <v>88.14</v>
      </c>
      <c r="E1042">
        <v>85.462400000000002</v>
      </c>
      <c r="G1042" s="3">
        <v>-4.8172363586999004E-3</v>
      </c>
      <c r="I1042" s="15">
        <f t="shared" si="159"/>
        <v>1.4953271028037064E-3</v>
      </c>
      <c r="J1042" s="15">
        <f t="shared" si="160"/>
        <v>-1.7391304347826111E-2</v>
      </c>
      <c r="K1042" s="15">
        <f t="shared" si="161"/>
        <v>-2.2131425830769101E-3</v>
      </c>
      <c r="L1042" s="32">
        <f t="shared" si="162"/>
        <v>299353.66056878382</v>
      </c>
      <c r="M1042" s="15"/>
      <c r="N1042" s="32">
        <f t="shared" si="163"/>
        <v>-3214800</v>
      </c>
      <c r="O1042" s="34">
        <f t="shared" si="164"/>
        <v>-0.32601827876469097</v>
      </c>
      <c r="P1042" s="34">
        <f t="shared" si="165"/>
        <v>0.62568980226527005</v>
      </c>
      <c r="Q1042" s="34">
        <f t="shared" si="166"/>
        <v>0.69335086592259609</v>
      </c>
      <c r="R1042" s="35" cm="1">
        <f t="array" ref="R1042">SQRT(MMULT(O1042:Q1042, MMULT($AU$32:$AW$34,TRANSPOSE(O1042:Q1042))))</f>
        <v>1.3029166761526283E-2</v>
      </c>
      <c r="S1042" s="36" cm="1">
        <f t="array" ref="S1042:U1042">TRANSPOSE(MMULT($AU$32:$AW$34, TRANSPOSE(O1042:Q1042))/MMULT(O1042:Q1042, MMULT($AU$32:$AW$34,TRANSPOSE(O1042:Q1042))))</f>
        <v>0.16895021099968294</v>
      </c>
      <c r="T1042" s="36">
        <v>1.0495473338810399</v>
      </c>
      <c r="U1042" s="36">
        <v>0.57458613346197795</v>
      </c>
      <c r="V1042" s="35">
        <f t="shared" si="171"/>
        <v>5.1289835032781164E-3</v>
      </c>
      <c r="W1042" s="35">
        <f t="shared" si="172"/>
        <v>3.1862114462795701E-2</v>
      </c>
      <c r="X1042" s="35">
        <f t="shared" si="173"/>
        <v>1.7443262025546528E-2</v>
      </c>
      <c r="Y1042" s="32">
        <f t="shared" si="174"/>
        <v>-16488.656166338489</v>
      </c>
      <c r="Z1042" s="32">
        <f t="shared" si="167"/>
        <v>196582.87381255691</v>
      </c>
      <c r="AA1042" s="32">
        <f t="shared" si="168"/>
        <v>119259.4429225654</v>
      </c>
      <c r="AB1042" s="40">
        <f t="shared" si="175"/>
        <v>-5.5080856987047989E-2</v>
      </c>
      <c r="AC1042" s="40">
        <f t="shared" si="176"/>
        <v>0.65669106380406927</v>
      </c>
      <c r="AD1042" s="40">
        <f t="shared" si="177"/>
        <v>0.39838979318297874</v>
      </c>
      <c r="AE1042" s="40"/>
      <c r="AF1042" s="40"/>
      <c r="AG1042" s="40"/>
      <c r="AH1042" s="40"/>
      <c r="AI1042" s="40"/>
      <c r="AJ1042" s="40"/>
      <c r="AK1042" s="33">
        <f t="shared" si="169"/>
        <v>6169800</v>
      </c>
      <c r="AL1042" s="33">
        <f t="shared" si="170"/>
        <v>6836992</v>
      </c>
      <c r="AM1042" s="34"/>
      <c r="AN1042" s="33"/>
      <c r="AO1042" s="15" cm="1">
        <f t="array" ref="AO1042">SUMPRODUCT(I1042:K1042, TRANSPOSE($AY$5:$AY$7))</f>
        <v>-1.3652264879558867E-2</v>
      </c>
      <c r="AP1042" s="22">
        <f t="shared" si="178"/>
        <v>9860796.8000479341</v>
      </c>
      <c r="AQ1042" s="22">
        <f t="shared" si="179"/>
        <v>-136485.54667317495</v>
      </c>
      <c r="AR1042">
        <f t="shared" si="180"/>
        <v>0</v>
      </c>
      <c r="AS1042">
        <f t="shared" si="181"/>
        <v>0</v>
      </c>
      <c r="BJ1042">
        <f t="shared" si="155"/>
        <v>2.3205766135580275E-5</v>
      </c>
      <c r="BK1042">
        <f t="shared" si="157"/>
        <v>5.513228255827839E-5</v>
      </c>
      <c r="BO1042">
        <f t="shared" si="158"/>
        <v>6.5903795145757013E-5</v>
      </c>
      <c r="BP1042">
        <f t="shared" si="156"/>
        <v>3.7186608418566296</v>
      </c>
    </row>
    <row r="1043" spans="1:68" x14ac:dyDescent="0.15">
      <c r="A1043" s="5">
        <v>45089</v>
      </c>
      <c r="B1043" s="1"/>
      <c r="C1043">
        <v>107.16</v>
      </c>
      <c r="D1043">
        <v>88.38</v>
      </c>
      <c r="E1043">
        <v>86.09742</v>
      </c>
      <c r="G1043" s="3">
        <v>4.1603975689163903E-3</v>
      </c>
      <c r="I1043" s="15">
        <f t="shared" si="159"/>
        <v>0</v>
      </c>
      <c r="J1043" s="15">
        <f t="shared" si="160"/>
        <v>2.7229407760380633E-3</v>
      </c>
      <c r="K1043" s="15">
        <f t="shared" si="161"/>
        <v>7.4304021417605547E-3</v>
      </c>
      <c r="L1043" s="32">
        <f t="shared" si="162"/>
        <v>300776.05128240609</v>
      </c>
      <c r="M1043" s="15"/>
      <c r="N1043" s="32">
        <f t="shared" si="163"/>
        <v>-3214800</v>
      </c>
      <c r="O1043" s="34">
        <f t="shared" si="164"/>
        <v>-0.32366656493555224</v>
      </c>
      <c r="P1043" s="34">
        <f t="shared" si="165"/>
        <v>0.62286785200643502</v>
      </c>
      <c r="Q1043" s="34">
        <f t="shared" si="166"/>
        <v>0.69346413291560305</v>
      </c>
      <c r="R1043" s="35" cm="1">
        <f t="array" ref="R1043">SQRT(MMULT(O1043:Q1043, MMULT($AU$32:$AW$34,TRANSPOSE(O1043:Q1043))))</f>
        <v>1.299664365259386E-2</v>
      </c>
      <c r="S1043" s="36" cm="1">
        <f t="array" ref="S1043:U1043">TRANSPOSE(MMULT($AU$32:$AW$34, TRANSPOSE(O1043:Q1043))/MMULT(O1043:Q1043, MMULT($AU$32:$AW$34,TRANSPOSE(O1043:Q1043))))</f>
        <v>0.17090563091695349</v>
      </c>
      <c r="T1043" s="36">
        <v>1.0512447595578627</v>
      </c>
      <c r="U1043" s="36">
        <v>0.5775783550393836</v>
      </c>
      <c r="V1043" s="35">
        <f t="shared" si="171"/>
        <v>5.1753950289710384E-3</v>
      </c>
      <c r="W1043" s="35">
        <f t="shared" si="172"/>
        <v>3.1833982728698494E-2</v>
      </c>
      <c r="X1043" s="35">
        <f t="shared" si="173"/>
        <v>1.7490331544222824E-2</v>
      </c>
      <c r="Y1043" s="32">
        <f t="shared" si="174"/>
        <v>-16637.859939136095</v>
      </c>
      <c r="Z1043" s="32">
        <f t="shared" si="167"/>
        <v>196944.11754936611</v>
      </c>
      <c r="AA1043" s="32">
        <f t="shared" si="168"/>
        <v>120469.79367217608</v>
      </c>
      <c r="AB1043" s="40">
        <f t="shared" si="175"/>
        <v>-5.5316438487033652E-2</v>
      </c>
      <c r="AC1043" s="40">
        <f t="shared" si="176"/>
        <v>0.65478656531882717</v>
      </c>
      <c r="AD1043" s="40">
        <f t="shared" si="177"/>
        <v>0.40052987316820649</v>
      </c>
      <c r="AE1043" s="40"/>
      <c r="AF1043" s="40"/>
      <c r="AG1043" s="40"/>
      <c r="AH1043" s="40"/>
      <c r="AI1043" s="40"/>
      <c r="AJ1043" s="40"/>
      <c r="AK1043" s="33">
        <f t="shared" si="169"/>
        <v>6186600</v>
      </c>
      <c r="AL1043" s="33">
        <f t="shared" si="170"/>
        <v>6887793.5999999996</v>
      </c>
      <c r="AM1043" s="34"/>
      <c r="AN1043" s="33"/>
      <c r="AO1043" s="15" cm="1">
        <f t="array" ref="AO1043">SUMPRODUCT(I1043:K1043, TRANSPOSE($AY$5:$AY$7))</f>
        <v>7.2658534551043423E-3</v>
      </c>
      <c r="AP1043" s="22">
        <f t="shared" si="178"/>
        <v>9932443.9045476448</v>
      </c>
      <c r="AQ1043" s="22">
        <f t="shared" si="179"/>
        <v>71647.104499710724</v>
      </c>
      <c r="AR1043">
        <f t="shared" si="180"/>
        <v>0</v>
      </c>
      <c r="AS1043">
        <f t="shared" si="181"/>
        <v>0</v>
      </c>
      <c r="BJ1043">
        <f t="shared" si="155"/>
        <v>1.730890793144541E-5</v>
      </c>
      <c r="BK1043">
        <f t="shared" si="157"/>
        <v>5.3216691572916501E-5</v>
      </c>
      <c r="BO1043">
        <f t="shared" si="158"/>
        <v>6.0938335787977398E-5</v>
      </c>
      <c r="BP1043">
        <f t="shared" si="156"/>
        <v>3.7918656529023758</v>
      </c>
    </row>
    <row r="1044" spans="1:68" x14ac:dyDescent="0.15">
      <c r="A1044" s="5">
        <v>45090</v>
      </c>
      <c r="B1044" s="1"/>
      <c r="C1044">
        <v>106.64</v>
      </c>
      <c r="D1044">
        <v>88.46</v>
      </c>
      <c r="E1044">
        <v>85.291799999999995</v>
      </c>
      <c r="G1044" s="3">
        <v>2.3027461560041203E-3</v>
      </c>
      <c r="I1044" s="15">
        <f t="shared" si="159"/>
        <v>-4.8525569242254202E-3</v>
      </c>
      <c r="J1044" s="15">
        <f t="shared" si="160"/>
        <v>9.0518216791127292E-4</v>
      </c>
      <c r="K1044" s="15">
        <f t="shared" si="161"/>
        <v>-9.3570748113010194E-3</v>
      </c>
      <c r="L1044" s="32">
        <f t="shared" si="162"/>
        <v>299910.18847159337</v>
      </c>
      <c r="M1044" s="15"/>
      <c r="N1044" s="32">
        <f t="shared" si="163"/>
        <v>-3199200</v>
      </c>
      <c r="O1044" s="34">
        <f t="shared" si="164"/>
        <v>-0.32351540939039081</v>
      </c>
      <c r="P1044" s="34">
        <f t="shared" si="165"/>
        <v>0.62617908165390657</v>
      </c>
      <c r="Q1044" s="34">
        <f t="shared" si="166"/>
        <v>0.69000279056372427</v>
      </c>
      <c r="R1044" s="35" cm="1">
        <f t="array" ref="R1044">SQRT(MMULT(O1044:Q1044, MMULT($AU$32:$AW$34,TRANSPOSE(O1044:Q1044))))</f>
        <v>1.3016339841899422E-2</v>
      </c>
      <c r="S1044" s="36" cm="1">
        <f t="array" ref="S1044:U1044">TRANSPOSE(MMULT($AU$32:$AW$34, TRANSPOSE(O1044:Q1044))/MMULT(O1044:Q1044, MMULT($AU$32:$AW$34,TRANSPOSE(O1044:Q1044))))</f>
        <v>0.17006397739747939</v>
      </c>
      <c r="T1044" s="36">
        <v>1.0519805567361542</v>
      </c>
      <c r="U1044" s="36">
        <v>0.57433115308378513</v>
      </c>
      <c r="V1044" s="35">
        <f t="shared" si="171"/>
        <v>5.1577125224827169E-3</v>
      </c>
      <c r="W1044" s="35">
        <f t="shared" si="172"/>
        <v>3.1904541890167636E-2</v>
      </c>
      <c r="X1044" s="35">
        <f t="shared" si="173"/>
        <v>1.7418356465865426E-2</v>
      </c>
      <c r="Y1044" s="32">
        <f t="shared" si="174"/>
        <v>-16500.553901926709</v>
      </c>
      <c r="Z1044" s="32">
        <f t="shared" si="167"/>
        <v>197559.30429229603</v>
      </c>
      <c r="AA1044" s="32">
        <f t="shared" si="168"/>
        <v>118851.43808122406</v>
      </c>
      <c r="AB1044" s="40">
        <f t="shared" si="175"/>
        <v>-5.5018317270303721E-2</v>
      </c>
      <c r="AC1044" s="40">
        <f t="shared" si="176"/>
        <v>0.65872821893481048</v>
      </c>
      <c r="AD1044" s="40">
        <f t="shared" si="177"/>
        <v>0.39629009833549328</v>
      </c>
      <c r="AE1044" s="40"/>
      <c r="AF1044" s="40"/>
      <c r="AG1044" s="40"/>
      <c r="AH1044" s="40"/>
      <c r="AI1044" s="40"/>
      <c r="AJ1044" s="40"/>
      <c r="AK1044" s="33">
        <f t="shared" si="169"/>
        <v>6192200</v>
      </c>
      <c r="AL1044" s="33">
        <f t="shared" si="170"/>
        <v>6823344</v>
      </c>
      <c r="AM1044" s="34"/>
      <c r="AN1044" s="33"/>
      <c r="AO1044" s="15" cm="1">
        <f t="array" ref="AO1044">SUMPRODUCT(I1044:K1044, TRANSPOSE($AY$5:$AY$7))</f>
        <v>-4.3875959056526954E-3</v>
      </c>
      <c r="AP1044" s="22">
        <f t="shared" si="178"/>
        <v>9888864.3543389253</v>
      </c>
      <c r="AQ1044" s="22">
        <f t="shared" si="179"/>
        <v>-43579.550208719447</v>
      </c>
      <c r="AR1044">
        <f t="shared" si="180"/>
        <v>0</v>
      </c>
      <c r="AS1044">
        <f t="shared" si="181"/>
        <v>0</v>
      </c>
      <c r="BJ1044">
        <f t="shared" si="155"/>
        <v>5.3026398589917521E-6</v>
      </c>
      <c r="BK1044">
        <f t="shared" si="157"/>
        <v>5.1062224554428234E-5</v>
      </c>
      <c r="BO1044">
        <f t="shared" si="158"/>
        <v>5.6203702982041628E-5</v>
      </c>
      <c r="BP1044">
        <f t="shared" si="156"/>
        <v>3.9271520207572053</v>
      </c>
    </row>
    <row r="1045" spans="1:68" x14ac:dyDescent="0.15">
      <c r="A1045" s="5">
        <v>45091</v>
      </c>
      <c r="B1045" s="1"/>
      <c r="C1045">
        <v>106.52</v>
      </c>
      <c r="D1045">
        <v>88.46</v>
      </c>
      <c r="E1045">
        <v>84.979033999999999</v>
      </c>
      <c r="G1045" s="3">
        <v>-4.3229528675119396E-3</v>
      </c>
      <c r="I1045" s="15">
        <f t="shared" si="159"/>
        <v>-1.1252813203301252E-3</v>
      </c>
      <c r="J1045" s="15">
        <f t="shared" si="160"/>
        <v>0</v>
      </c>
      <c r="K1045" s="15">
        <f t="shared" si="161"/>
        <v>-3.6670113656881009E-3</v>
      </c>
      <c r="L1045" s="32">
        <f t="shared" si="162"/>
        <v>299493.25539440947</v>
      </c>
      <c r="M1045" s="15"/>
      <c r="N1045" s="32">
        <f t="shared" si="163"/>
        <v>-3195600</v>
      </c>
      <c r="O1045" s="34">
        <f t="shared" si="164"/>
        <v>-0.32388295060370298</v>
      </c>
      <c r="P1045" s="34">
        <f t="shared" si="165"/>
        <v>0.62759669756172531</v>
      </c>
      <c r="Q1045" s="34">
        <f t="shared" si="166"/>
        <v>0.68902892155144313</v>
      </c>
      <c r="R1045" s="35" cm="1">
        <f t="array" ref="R1045">SQRT(MMULT(O1045:Q1045, MMULT($AU$32:$AW$34,TRANSPOSE(O1045:Q1045))))</f>
        <v>1.3027671530523154E-2</v>
      </c>
      <c r="S1045" s="36" cm="1">
        <f t="array" ref="S1045:U1045">TRANSPOSE(MMULT($AU$32:$AW$34, TRANSPOSE(O1045:Q1045))/MMULT(O1045:Q1045, MMULT($AU$32:$AW$34,TRANSPOSE(O1045:Q1045))))</f>
        <v>0.16949036568870546</v>
      </c>
      <c r="T1045" s="36">
        <v>1.0518658732911021</v>
      </c>
      <c r="U1045" s="36">
        <v>0.57290409594702452</v>
      </c>
      <c r="V1045" s="35">
        <f t="shared" si="171"/>
        <v>5.1447910114490467E-3</v>
      </c>
      <c r="W1045" s="35">
        <f t="shared" si="172"/>
        <v>3.1928836002969849E-2</v>
      </c>
      <c r="X1045" s="35">
        <f t="shared" si="173"/>
        <v>1.7390202866539736E-2</v>
      </c>
      <c r="Y1045" s="32">
        <f t="shared" si="174"/>
        <v>-16440.694156186575</v>
      </c>
      <c r="Z1045" s="32">
        <f t="shared" si="167"/>
        <v>197709.73829758991</v>
      </c>
      <c r="AA1045" s="32">
        <f t="shared" si="168"/>
        <v>118224.21125300621</v>
      </c>
      <c r="AB1045" s="40">
        <f t="shared" si="175"/>
        <v>-5.4895039738158548E-2</v>
      </c>
      <c r="AC1045" s="40">
        <f t="shared" si="176"/>
        <v>0.66014754835537603</v>
      </c>
      <c r="AD1045" s="40">
        <f t="shared" si="177"/>
        <v>0.39474749138278276</v>
      </c>
      <c r="AE1045" s="40"/>
      <c r="AF1045" s="40"/>
      <c r="AG1045" s="40"/>
      <c r="AH1045" s="40"/>
      <c r="AI1045" s="40"/>
      <c r="AJ1045" s="40"/>
      <c r="AK1045" s="33">
        <f t="shared" si="169"/>
        <v>6192200</v>
      </c>
      <c r="AL1045" s="33">
        <f t="shared" si="170"/>
        <v>6798322.7199999997</v>
      </c>
      <c r="AM1045" s="34"/>
      <c r="AN1045" s="33"/>
      <c r="AO1045" s="15" cm="1">
        <f t="array" ref="AO1045">SUMPRODUCT(I1045:K1045, TRANSPOSE($AY$5:$AY$7))</f>
        <v>-2.2588007765596864E-3</v>
      </c>
      <c r="AP1045" s="22">
        <f t="shared" si="178"/>
        <v>9866527.37985605</v>
      </c>
      <c r="AQ1045" s="22">
        <f t="shared" si="179"/>
        <v>-22336.974482875317</v>
      </c>
      <c r="AR1045">
        <f t="shared" si="180"/>
        <v>0</v>
      </c>
      <c r="AS1045">
        <f t="shared" si="181"/>
        <v>0</v>
      </c>
      <c r="BJ1045">
        <f t="shared" si="155"/>
        <v>1.86879214947297E-5</v>
      </c>
      <c r="BK1045">
        <f t="shared" si="157"/>
        <v>4.8316649472702042E-5</v>
      </c>
      <c r="BO1045">
        <f t="shared" si="158"/>
        <v>5.0780022327296104E-5</v>
      </c>
      <c r="BP1045">
        <f t="shared" si="156"/>
        <v>3.8410566391556231</v>
      </c>
    </row>
    <row r="1046" spans="1:68" x14ac:dyDescent="0.15">
      <c r="A1046" s="5">
        <v>45092</v>
      </c>
      <c r="B1046" s="1"/>
      <c r="C1046">
        <v>107.92</v>
      </c>
      <c r="D1046">
        <v>88.26</v>
      </c>
      <c r="E1046">
        <v>85.651960000000003</v>
      </c>
      <c r="G1046" s="3">
        <v>2.1747413791872701E-3</v>
      </c>
      <c r="I1046" s="15">
        <f t="shared" si="159"/>
        <v>1.3143071723620031E-2</v>
      </c>
      <c r="J1046" s="15">
        <f t="shared" si="160"/>
        <v>-2.2609088853717913E-3</v>
      </c>
      <c r="K1046" s="15">
        <f t="shared" si="161"/>
        <v>7.9187296951387324E-3</v>
      </c>
      <c r="L1046" s="32">
        <f t="shared" si="162"/>
        <v>299769.19561847911</v>
      </c>
      <c r="M1046" s="15"/>
      <c r="N1046" s="32">
        <f t="shared" si="163"/>
        <v>-3237600</v>
      </c>
      <c r="O1046" s="34">
        <f t="shared" si="164"/>
        <v>-0.32841315991671727</v>
      </c>
      <c r="P1046" s="34">
        <f t="shared" si="165"/>
        <v>0.62669946398488463</v>
      </c>
      <c r="Q1046" s="34">
        <f t="shared" si="166"/>
        <v>0.69506377160020427</v>
      </c>
      <c r="R1046" s="35" cm="1">
        <f t="array" ref="R1046">SQRT(MMULT(O1046:Q1046, MMULT($AU$32:$AW$34,TRANSPOSE(O1046:Q1046))))</f>
        <v>1.3050538784459277E-2</v>
      </c>
      <c r="S1046" s="36" cm="1">
        <f t="array" ref="S1046:U1046">TRANSPOSE(MMULT($AU$32:$AW$34, TRANSPOSE(O1046:Q1046))/MMULT(O1046:Q1046, MMULT($AU$32:$AW$34,TRANSPOSE(O1046:Q1046))))</f>
        <v>0.16747915644717798</v>
      </c>
      <c r="T1046" s="36">
        <v>1.0475035139116964</v>
      </c>
      <c r="U1046" s="36">
        <v>0.57337540033304113</v>
      </c>
      <c r="V1046" s="35">
        <f t="shared" si="171"/>
        <v>5.0926652184496365E-3</v>
      </c>
      <c r="W1046" s="35">
        <f t="shared" si="172"/>
        <v>3.185223059792739E-2</v>
      </c>
      <c r="X1046" s="35">
        <f t="shared" si="173"/>
        <v>1.7435058907235835E-2</v>
      </c>
      <c r="Y1046" s="32">
        <f t="shared" si="174"/>
        <v>-16488.012911252543</v>
      </c>
      <c r="Z1046" s="32">
        <f t="shared" si="167"/>
        <v>196789.45108011502</v>
      </c>
      <c r="AA1046" s="32">
        <f t="shared" si="168"/>
        <v>119467.75744961659</v>
      </c>
      <c r="AB1046" s="40">
        <f t="shared" si="175"/>
        <v>-5.500235898900397E-2</v>
      </c>
      <c r="AC1046" s="40">
        <f t="shared" si="176"/>
        <v>0.65646989069074324</v>
      </c>
      <c r="AD1046" s="40">
        <f t="shared" si="177"/>
        <v>0.39853246829826056</v>
      </c>
      <c r="AE1046" s="40"/>
      <c r="AF1046" s="40"/>
      <c r="AG1046" s="40"/>
      <c r="AH1046" s="40"/>
      <c r="AI1046" s="40"/>
      <c r="AJ1046" s="40"/>
      <c r="AK1046" s="33">
        <f t="shared" si="169"/>
        <v>6178200</v>
      </c>
      <c r="AL1046" s="33">
        <f t="shared" si="170"/>
        <v>6852156.7999999998</v>
      </c>
      <c r="AM1046" s="34"/>
      <c r="AN1046" s="33"/>
      <c r="AO1046" s="15" cm="1">
        <f t="array" ref="AO1046">SUMPRODUCT(I1046:K1046, TRANSPOSE($AY$5:$AY$7))</f>
        <v>-8.3246500609627377E-4</v>
      </c>
      <c r="AP1046" s="22">
        <f t="shared" si="178"/>
        <v>9858313.8410806302</v>
      </c>
      <c r="AQ1046" s="22">
        <f t="shared" si="179"/>
        <v>-8213.5387754198164</v>
      </c>
      <c r="AR1046">
        <f t="shared" si="180"/>
        <v>0</v>
      </c>
      <c r="AS1046">
        <f t="shared" si="181"/>
        <v>0</v>
      </c>
      <c r="BJ1046">
        <f t="shared" si="155"/>
        <v>4.7295000663493497E-6</v>
      </c>
      <c r="BK1046">
        <f t="shared" si="157"/>
        <v>4.6538925794023699E-5</v>
      </c>
      <c r="BO1046">
        <f t="shared" si="158"/>
        <v>4.8432136438198169E-5</v>
      </c>
      <c r="BP1046">
        <f t="shared" si="156"/>
        <v>3.999908908652503</v>
      </c>
    </row>
    <row r="1047" spans="1:68" x14ac:dyDescent="0.15">
      <c r="A1047" s="5">
        <v>45093</v>
      </c>
      <c r="B1047" s="1"/>
      <c r="C1047">
        <v>108.06</v>
      </c>
      <c r="D1047">
        <v>88.32</v>
      </c>
      <c r="E1047">
        <v>86.021609999999995</v>
      </c>
      <c r="G1047" s="3">
        <v>7.3813623438627697E-3</v>
      </c>
      <c r="I1047" s="15">
        <f t="shared" si="159"/>
        <v>1.2972572275759874E-3</v>
      </c>
      <c r="J1047" s="15">
        <f t="shared" si="160"/>
        <v>6.7980965329694158E-4</v>
      </c>
      <c r="K1047" s="15">
        <f t="shared" si="161"/>
        <v>4.3157214382483827E-3</v>
      </c>
      <c r="L1047" s="32">
        <f t="shared" si="162"/>
        <v>300397.52265227388</v>
      </c>
      <c r="M1047" s="15"/>
      <c r="N1047" s="32">
        <f t="shared" si="163"/>
        <v>-3241800</v>
      </c>
      <c r="O1047" s="34">
        <f t="shared" si="164"/>
        <v>-0.32781774037567318</v>
      </c>
      <c r="P1047" s="34">
        <f t="shared" si="165"/>
        <v>0.62517749339828543</v>
      </c>
      <c r="Q1047" s="34">
        <f t="shared" si="166"/>
        <v>0.69589511539706117</v>
      </c>
      <c r="R1047" s="35" cm="1">
        <f t="array" ref="R1047">SQRT(MMULT(O1047:Q1047, MMULT($AU$32:$AW$34,TRANSPOSE(O1047:Q1047))))</f>
        <v>1.303727001270138E-2</v>
      </c>
      <c r="S1047" s="36" cm="1">
        <f t="array" ref="S1047:U1047">TRANSPOSE(MMULT($AU$32:$AW$34, TRANSPOSE(O1047:Q1047))/MMULT(O1047:Q1047, MMULT($AU$32:$AW$34,TRANSPOSE(O1047:Q1047))))</f>
        <v>0.16819071645551015</v>
      </c>
      <c r="T1047" s="36">
        <v>1.0477859768214919</v>
      </c>
      <c r="U1047" s="36">
        <v>0.57491952617773212</v>
      </c>
      <c r="V1047" s="35">
        <f t="shared" si="171"/>
        <v>5.1091023368602263E-3</v>
      </c>
      <c r="W1047" s="35">
        <f t="shared" si="172"/>
        <v>3.1828426060151196E-2</v>
      </c>
      <c r="X1047" s="35">
        <f t="shared" si="173"/>
        <v>1.7464237959163499E-2</v>
      </c>
      <c r="Y1047" s="32">
        <f t="shared" si="174"/>
        <v>-16562.687955633482</v>
      </c>
      <c r="Z1047" s="32">
        <f t="shared" si="167"/>
        <v>196776.06127427873</v>
      </c>
      <c r="AA1047" s="32">
        <f t="shared" si="168"/>
        <v>120184.14933362867</v>
      </c>
      <c r="AB1047" s="40">
        <f t="shared" si="175"/>
        <v>-5.5135900620610891E-2</v>
      </c>
      <c r="AC1047" s="40">
        <f t="shared" si="176"/>
        <v>0.65505221060713437</v>
      </c>
      <c r="AD1047" s="40">
        <f t="shared" si="177"/>
        <v>0.4000836900134766</v>
      </c>
      <c r="AE1047" s="40"/>
      <c r="AF1047" s="40"/>
      <c r="AG1047" s="40"/>
      <c r="AH1047" s="40"/>
      <c r="AI1047" s="40"/>
      <c r="AJ1047" s="40"/>
      <c r="AK1047" s="33">
        <f t="shared" si="169"/>
        <v>6182399.9999999991</v>
      </c>
      <c r="AL1047" s="33">
        <f t="shared" si="170"/>
        <v>6881728.7999999998</v>
      </c>
      <c r="AM1047" s="34"/>
      <c r="AN1047" s="33"/>
      <c r="AO1047" s="15" cm="1">
        <f t="array" ref="AO1047">SUMPRODUCT(I1047:K1047, TRANSPOSE($AY$5:$AY$7))</f>
        <v>3.1159262009630186E-3</v>
      </c>
      <c r="AP1047" s="22">
        <f t="shared" si="178"/>
        <v>9889031.6194753703</v>
      </c>
      <c r="AQ1047" s="22">
        <f t="shared" si="179"/>
        <v>30717.778394740075</v>
      </c>
      <c r="AR1047">
        <f t="shared" si="180"/>
        <v>0</v>
      </c>
      <c r="AS1047">
        <f t="shared" si="181"/>
        <v>0</v>
      </c>
      <c r="BJ1047">
        <f t="shared" si="155"/>
        <v>5.448451005139528E-5</v>
      </c>
      <c r="BK1047">
        <f t="shared" si="157"/>
        <v>4.4030360250363236E-5</v>
      </c>
      <c r="BO1047">
        <f t="shared" si="158"/>
        <v>4.4602543461935323E-5</v>
      </c>
      <c r="BP1047">
        <f t="shared" si="156"/>
        <v>3.4791432416085253</v>
      </c>
    </row>
    <row r="1048" spans="1:68" x14ac:dyDescent="0.15">
      <c r="A1048" s="5">
        <v>45097</v>
      </c>
      <c r="B1048" s="1"/>
      <c r="C1048">
        <v>107.36</v>
      </c>
      <c r="D1048">
        <v>87.64</v>
      </c>
      <c r="E1048">
        <v>85.926829999999995</v>
      </c>
      <c r="G1048" s="3">
        <v>-1.4960642039734399E-2</v>
      </c>
      <c r="I1048" s="15">
        <f t="shared" si="159"/>
        <v>-6.4778826577827396E-3</v>
      </c>
      <c r="J1048" s="15">
        <f t="shared" si="160"/>
        <v>-7.6992753623187577E-3</v>
      </c>
      <c r="K1048" s="15">
        <f t="shared" si="161"/>
        <v>-1.1018161599160965E-3</v>
      </c>
      <c r="L1048" s="32">
        <f t="shared" si="162"/>
        <v>298858.50651829701</v>
      </c>
      <c r="M1048" s="15"/>
      <c r="N1048" s="32">
        <f t="shared" si="163"/>
        <v>-3220800</v>
      </c>
      <c r="O1048" s="34">
        <f t="shared" si="164"/>
        <v>-0.32677865822075552</v>
      </c>
      <c r="P1048" s="34">
        <f t="shared" si="165"/>
        <v>0.62242974181963828</v>
      </c>
      <c r="Q1048" s="34">
        <f t="shared" si="166"/>
        <v>0.69744297597026728</v>
      </c>
      <c r="R1048" s="35" cm="1">
        <f t="array" ref="R1048">SQRT(MMULT(O1048:Q1048, MMULT($AU$32:$AW$34,TRANSPOSE(O1048:Q1048))))</f>
        <v>1.3013665167546677E-2</v>
      </c>
      <c r="S1048" s="36" cm="1">
        <f t="array" ref="S1048:U1048">TRANSPOSE(MMULT($AU$32:$AW$34, TRANSPOSE(O1048:Q1048))/MMULT(O1048:Q1048, MMULT($AU$32:$AW$34,TRANSPOSE(O1048:Q1048))))</f>
        <v>0.16946291195786647</v>
      </c>
      <c r="T1048" s="36">
        <v>1.0482417529668808</v>
      </c>
      <c r="U1048" s="36">
        <v>0.57771034078234085</v>
      </c>
      <c r="V1048" s="35">
        <f t="shared" si="171"/>
        <v>5.1384272752714811E-3</v>
      </c>
      <c r="W1048" s="35">
        <f t="shared" si="172"/>
        <v>3.178461854746488E-2</v>
      </c>
      <c r="X1048" s="35">
        <f t="shared" si="173"/>
        <v>1.751724042733566E-2</v>
      </c>
      <c r="Y1048" s="32">
        <f t="shared" si="174"/>
        <v>-16549.846568194385</v>
      </c>
      <c r="Z1048" s="32">
        <f t="shared" si="167"/>
        <v>194992.27786498755</v>
      </c>
      <c r="AA1048" s="32">
        <f t="shared" si="168"/>
        <v>120416.07522150388</v>
      </c>
      <c r="AB1048" s="40">
        <f t="shared" si="175"/>
        <v>-5.5376862987773626E-2</v>
      </c>
      <c r="AC1048" s="40">
        <f t="shared" si="176"/>
        <v>0.65245684366374068</v>
      </c>
      <c r="AD1048" s="40">
        <f t="shared" si="177"/>
        <v>0.40292001932403304</v>
      </c>
      <c r="AE1048" s="40"/>
      <c r="AF1048" s="40"/>
      <c r="AG1048" s="40"/>
      <c r="AH1048" s="40"/>
      <c r="AI1048" s="40"/>
      <c r="AJ1048" s="40"/>
      <c r="AK1048" s="33">
        <f t="shared" si="169"/>
        <v>6134800</v>
      </c>
      <c r="AL1048" s="33">
        <f t="shared" si="170"/>
        <v>6874146.3999999994</v>
      </c>
      <c r="AM1048" s="34"/>
      <c r="AN1048" s="33"/>
      <c r="AO1048" s="15" cm="1">
        <f t="array" ref="AO1048">SUMPRODUCT(I1048:K1048, TRANSPOSE($AY$5:$AY$7))</f>
        <v>-3.3187072444699388E-3</v>
      </c>
      <c r="AP1048" s="22">
        <f t="shared" si="178"/>
        <v>9856212.8185990248</v>
      </c>
      <c r="AQ1048" s="22">
        <f t="shared" si="179"/>
        <v>-32818.800876345485</v>
      </c>
      <c r="AR1048">
        <f t="shared" si="180"/>
        <v>0</v>
      </c>
      <c r="AS1048">
        <f t="shared" si="181"/>
        <v>0</v>
      </c>
      <c r="BJ1048">
        <f t="shared" si="155"/>
        <v>2.2382081024106826E-4</v>
      </c>
      <c r="BK1048">
        <f t="shared" si="157"/>
        <v>4.465760923842516E-5</v>
      </c>
      <c r="BO1048">
        <f t="shared" si="158"/>
        <v>4.8684809761965276E-5</v>
      </c>
      <c r="BP1048">
        <f t="shared" si="156"/>
        <v>1.7474612925323334</v>
      </c>
    </row>
    <row r="1049" spans="1:68" x14ac:dyDescent="0.15">
      <c r="A1049" s="5">
        <v>45098</v>
      </c>
      <c r="B1049" s="1"/>
      <c r="C1049">
        <v>108.1</v>
      </c>
      <c r="D1049">
        <v>87.24</v>
      </c>
      <c r="E1049">
        <v>85.794129999999996</v>
      </c>
      <c r="G1049" s="3">
        <v>-3.7683045188687801E-3</v>
      </c>
      <c r="I1049" s="15">
        <f t="shared" si="159"/>
        <v>6.8926974664679109E-3</v>
      </c>
      <c r="J1049" s="15">
        <f t="shared" si="160"/>
        <v>-4.5641259698768338E-3</v>
      </c>
      <c r="K1049" s="15">
        <f t="shared" si="161"/>
        <v>-1.5443371994521365E-3</v>
      </c>
      <c r="L1049" s="32">
        <f t="shared" si="162"/>
        <v>297669.65682574041</v>
      </c>
      <c r="M1049" s="15"/>
      <c r="N1049" s="32">
        <f t="shared" si="163"/>
        <v>-3243000</v>
      </c>
      <c r="O1049" s="34">
        <f t="shared" si="164"/>
        <v>-0.3313024433410045</v>
      </c>
      <c r="P1049" s="34">
        <f t="shared" si="165"/>
        <v>0.62386609959754746</v>
      </c>
      <c r="Q1049" s="34">
        <f t="shared" si="166"/>
        <v>0.70117310868494043</v>
      </c>
      <c r="R1049" s="35" cm="1">
        <f t="array" ref="R1049">SQRT(MMULT(O1049:Q1049, MMULT($AU$32:$AW$34,TRANSPOSE(O1049:Q1049))))</f>
        <v>1.3051377031922981E-2</v>
      </c>
      <c r="S1049" s="36" cm="1">
        <f t="array" ref="S1049:U1049">TRANSPOSE(MMULT($AU$32:$AW$34, TRANSPOSE(O1049:Q1049))/MMULT(O1049:Q1049, MMULT($AU$32:$AW$34,TRANSPOSE(O1049:Q1049))))</f>
        <v>0.16681391516916827</v>
      </c>
      <c r="T1049" s="36">
        <v>1.0442722247718701</v>
      </c>
      <c r="U1049" s="36">
        <v>0.57586323960660613</v>
      </c>
      <c r="V1049" s="35">
        <f t="shared" si="171"/>
        <v>5.0727625314325939E-3</v>
      </c>
      <c r="W1049" s="35">
        <f t="shared" si="172"/>
        <v>3.1756013933648089E-2</v>
      </c>
      <c r="X1049" s="35">
        <f t="shared" si="173"/>
        <v>1.7511833243307878E-2</v>
      </c>
      <c r="Y1049" s="32">
        <f t="shared" si="174"/>
        <v>-16450.968889435902</v>
      </c>
      <c r="Z1049" s="32">
        <f t="shared" si="167"/>
        <v>193927.62589000215</v>
      </c>
      <c r="AA1049" s="32">
        <f t="shared" si="168"/>
        <v>120192.99982517421</v>
      </c>
      <c r="AB1049" s="40">
        <f t="shared" si="175"/>
        <v>-5.5265857678824512E-2</v>
      </c>
      <c r="AC1049" s="40">
        <f t="shared" si="176"/>
        <v>0.6514860397864799</v>
      </c>
      <c r="AD1049" s="40">
        <f t="shared" si="177"/>
        <v>0.40377981789234468</v>
      </c>
      <c r="AE1049" s="40"/>
      <c r="AF1049" s="40"/>
      <c r="AG1049" s="40"/>
      <c r="AH1049" s="40"/>
      <c r="AI1049" s="40"/>
      <c r="AJ1049" s="40"/>
      <c r="AK1049" s="33">
        <f t="shared" si="169"/>
        <v>6106800</v>
      </c>
      <c r="AL1049" s="33">
        <f t="shared" si="170"/>
        <v>6863530.3999999994</v>
      </c>
      <c r="AM1049" s="34"/>
      <c r="AN1049" s="33"/>
      <c r="AO1049" s="15" cm="1">
        <f t="array" ref="AO1049">SUMPRODUCT(I1049:K1049, TRANSPOSE($AY$5:$AY$7))</f>
        <v>-6.8559672175344056E-3</v>
      </c>
      <c r="AP1049" s="22">
        <f t="shared" si="178"/>
        <v>9788638.9466256667</v>
      </c>
      <c r="AQ1049" s="22">
        <f t="shared" si="179"/>
        <v>-67573.871973358095</v>
      </c>
      <c r="AR1049">
        <f t="shared" si="180"/>
        <v>0</v>
      </c>
      <c r="AS1049">
        <f t="shared" si="181"/>
        <v>0</v>
      </c>
      <c r="BJ1049">
        <f t="shared" si="155"/>
        <v>1.4200118946926869E-5</v>
      </c>
      <c r="BK1049">
        <f t="shared" si="157"/>
        <v>5.5407401298583759E-5</v>
      </c>
      <c r="BO1049">
        <f t="shared" si="158"/>
        <v>7.6003760826532225E-5</v>
      </c>
      <c r="BP1049">
        <f t="shared" si="156"/>
        <v>3.7300081214991128</v>
      </c>
    </row>
    <row r="1050" spans="1:68" x14ac:dyDescent="0.15">
      <c r="A1050" s="5">
        <v>45099</v>
      </c>
      <c r="B1050" s="1"/>
      <c r="C1050">
        <v>108.18</v>
      </c>
      <c r="D1050">
        <v>87.72</v>
      </c>
      <c r="E1050">
        <v>85.358149999999995</v>
      </c>
      <c r="G1050" s="3">
        <v>8.7426876877838501E-4</v>
      </c>
      <c r="I1050" s="15">
        <f t="shared" si="159"/>
        <v>7.4005550416292797E-4</v>
      </c>
      <c r="J1050" s="15">
        <f t="shared" si="160"/>
        <v>5.5020632737276939E-3</v>
      </c>
      <c r="K1050" s="15">
        <f t="shared" si="161"/>
        <v>-5.0816996454186398E-3</v>
      </c>
      <c r="L1050" s="32">
        <f t="shared" si="162"/>
        <v>298116.2907505511</v>
      </c>
      <c r="M1050" s="15"/>
      <c r="N1050" s="32">
        <f t="shared" si="163"/>
        <v>-3245400</v>
      </c>
      <c r="O1050" s="34">
        <f t="shared" si="164"/>
        <v>-0.33168702240549236</v>
      </c>
      <c r="P1050" s="34">
        <f t="shared" si="165"/>
        <v>0.62756239365831179</v>
      </c>
      <c r="Q1050" s="34">
        <f t="shared" si="166"/>
        <v>0.69790326274829295</v>
      </c>
      <c r="R1050" s="35" cm="1">
        <f t="array" ref="R1050">SQRT(MMULT(O1050:Q1050, MMULT($AU$32:$AW$34,TRANSPOSE(O1050:Q1050))))</f>
        <v>1.3076455365893953E-2</v>
      </c>
      <c r="S1050" s="36" cm="1">
        <f t="array" ref="S1050:U1050">TRANSPOSE(MMULT($AU$32:$AW$34, TRANSPOSE(O1050:Q1050))/MMULT(O1050:Q1050, MMULT($AU$32:$AW$34,TRANSPOSE(O1050:Q1050))))</f>
        <v>0.16561806514317606</v>
      </c>
      <c r="T1050" s="36">
        <v>1.0446366583797271</v>
      </c>
      <c r="U1050" s="36">
        <v>0.57222641355085724</v>
      </c>
      <c r="V1050" s="35">
        <f t="shared" si="171"/>
        <v>5.0460745613489693E-3</v>
      </c>
      <c r="W1050" s="35">
        <f t="shared" si="172"/>
        <v>3.1828137003928329E-2</v>
      </c>
      <c r="X1050" s="35">
        <f t="shared" si="173"/>
        <v>1.7434675053441227E-2</v>
      </c>
      <c r="Y1050" s="32">
        <f t="shared" si="174"/>
        <v>-16376.530381401944</v>
      </c>
      <c r="Z1050" s="32">
        <f t="shared" si="167"/>
        <v>195437.49245892151</v>
      </c>
      <c r="AA1050" s="32">
        <f t="shared" si="168"/>
        <v>119055.32867303154</v>
      </c>
      <c r="AB1050" s="40">
        <f t="shared" si="175"/>
        <v>-5.4933362883898926E-2</v>
      </c>
      <c r="AC1050" s="40">
        <f t="shared" si="176"/>
        <v>0.65557468183600165</v>
      </c>
      <c r="AD1050" s="40">
        <f t="shared" si="177"/>
        <v>0.39935868104789729</v>
      </c>
      <c r="AE1050" s="40"/>
      <c r="AF1050" s="40"/>
      <c r="AG1050" s="40"/>
      <c r="AH1050" s="40"/>
      <c r="AI1050" s="40"/>
      <c r="AJ1050" s="40"/>
      <c r="AK1050" s="33">
        <f t="shared" si="169"/>
        <v>6140400</v>
      </c>
      <c r="AL1050" s="33">
        <f t="shared" si="170"/>
        <v>6828652</v>
      </c>
      <c r="AM1050" s="34"/>
      <c r="AN1050" s="33"/>
      <c r="AO1050" s="15" cm="1">
        <f t="array" ref="AO1050">SUMPRODUCT(I1050:K1050, TRANSPOSE($AY$5:$AY$7))</f>
        <v>-4.2026627011137151E-4</v>
      </c>
      <c r="AP1050" s="22">
        <f t="shared" si="178"/>
        <v>9784525.1118461005</v>
      </c>
      <c r="AQ1050" s="22">
        <f t="shared" si="179"/>
        <v>-4113.8347795661539</v>
      </c>
      <c r="AR1050">
        <f t="shared" si="180"/>
        <v>0</v>
      </c>
      <c r="AS1050">
        <f t="shared" si="181"/>
        <v>0</v>
      </c>
      <c r="BJ1050">
        <f t="shared" si="155"/>
        <v>7.6434588006127322E-7</v>
      </c>
      <c r="BK1050">
        <f t="shared" si="157"/>
        <v>5.2934964357484342E-5</v>
      </c>
      <c r="BO1050">
        <f t="shared" si="158"/>
        <v>6.7577948968228427E-5</v>
      </c>
      <c r="BP1050">
        <f t="shared" si="156"/>
        <v>3.8765205896007551</v>
      </c>
    </row>
    <row r="1051" spans="1:68" x14ac:dyDescent="0.15">
      <c r="A1051" s="5">
        <v>45100</v>
      </c>
      <c r="B1051" s="1"/>
      <c r="C1051">
        <v>108.78</v>
      </c>
      <c r="D1051">
        <v>88.5</v>
      </c>
      <c r="E1051">
        <v>85.955259999999996</v>
      </c>
      <c r="G1051" s="3">
        <v>3.3801891460480899E-3</v>
      </c>
      <c r="I1051" s="15">
        <f t="shared" si="159"/>
        <v>5.5463117027176401E-3</v>
      </c>
      <c r="J1051" s="15">
        <f t="shared" si="160"/>
        <v>8.8919288645690972E-3</v>
      </c>
      <c r="K1051" s="15">
        <f t="shared" si="161"/>
        <v>6.9953484230855607E-3</v>
      </c>
      <c r="L1051" s="32">
        <f t="shared" si="162"/>
        <v>300596.22845294559</v>
      </c>
      <c r="M1051" s="15"/>
      <c r="N1051" s="32">
        <f t="shared" si="163"/>
        <v>-3263400</v>
      </c>
      <c r="O1051" s="34">
        <f t="shared" si="164"/>
        <v>-0.33061285439363108</v>
      </c>
      <c r="P1051" s="34">
        <f t="shared" si="165"/>
        <v>0.62761127442806408</v>
      </c>
      <c r="Q1051" s="34">
        <f t="shared" si="166"/>
        <v>0.69664555638283265</v>
      </c>
      <c r="R1051" s="35" cm="1">
        <f t="array" ref="R1051">SQRT(MMULT(O1051:Q1051, MMULT($AU$32:$AW$34,TRANSPOSE(O1051:Q1051))))</f>
        <v>1.307004347460209E-2</v>
      </c>
      <c r="S1051" s="36" cm="1">
        <f t="array" ref="S1051:U1051">TRANSPOSE(MMULT($AU$32:$AW$34, TRANSPOSE(O1051:Q1051))/MMULT(O1051:Q1051, MMULT($AU$32:$AW$34,TRANSPOSE(O1051:Q1051))))</f>
        <v>0.16613804690987638</v>
      </c>
      <c r="T1051" s="36">
        <v>1.045632796819093</v>
      </c>
      <c r="U1051" s="36">
        <v>0.57228017614420523</v>
      </c>
      <c r="V1051" s="35">
        <f t="shared" si="171"/>
        <v>5.0594353854413283E-3</v>
      </c>
      <c r="W1051" s="35">
        <f t="shared" si="172"/>
        <v>3.1842866043046099E-2</v>
      </c>
      <c r="X1051" s="35">
        <f t="shared" si="173"/>
        <v>1.7427763401728451E-2</v>
      </c>
      <c r="Y1051" s="32">
        <f t="shared" si="174"/>
        <v>-16510.961436849229</v>
      </c>
      <c r="Z1051" s="32">
        <f t="shared" si="167"/>
        <v>197266.55513667059</v>
      </c>
      <c r="AA1051" s="32">
        <f t="shared" si="168"/>
        <v>119840.63475312428</v>
      </c>
      <c r="AB1051" s="40">
        <f t="shared" si="175"/>
        <v>-5.4927373912257202E-2</v>
      </c>
      <c r="AC1051" s="40">
        <f t="shared" si="176"/>
        <v>0.65625093219541208</v>
      </c>
      <c r="AD1051" s="40">
        <f t="shared" si="177"/>
        <v>0.3986764417168453</v>
      </c>
      <c r="AE1051" s="40"/>
      <c r="AF1051" s="40"/>
      <c r="AG1051" s="40"/>
      <c r="AH1051" s="40"/>
      <c r="AI1051" s="40"/>
      <c r="AJ1051" s="40"/>
      <c r="AK1051" s="33">
        <f t="shared" si="169"/>
        <v>6195000</v>
      </c>
      <c r="AL1051" s="33">
        <f t="shared" si="170"/>
        <v>6876420.7999999998</v>
      </c>
      <c r="AM1051" s="34"/>
      <c r="AN1051" s="33"/>
      <c r="AO1051" s="15" cm="1">
        <f t="array" ref="AO1051">SUMPRODUCT(I1051:K1051, TRANSPOSE($AY$5:$AY$7))</f>
        <v>8.8133524971755854E-3</v>
      </c>
      <c r="AP1051" s="22">
        <f t="shared" si="178"/>
        <v>9870759.5806742664</v>
      </c>
      <c r="AQ1051" s="22">
        <f t="shared" si="179"/>
        <v>86234.468828165904</v>
      </c>
      <c r="AR1051">
        <f t="shared" si="180"/>
        <v>0</v>
      </c>
      <c r="AS1051">
        <f t="shared" si="181"/>
        <v>0</v>
      </c>
      <c r="BJ1051">
        <f t="shared" si="155"/>
        <v>1.1425678663061316E-5</v>
      </c>
      <c r="BK1051">
        <f t="shared" si="157"/>
        <v>4.9804727248838956E-5</v>
      </c>
      <c r="BO1051">
        <f t="shared" si="158"/>
        <v>5.9055395276253999E-5</v>
      </c>
      <c r="BP1051">
        <f t="shared" si="156"/>
        <v>3.852841833917076</v>
      </c>
    </row>
    <row r="1052" spans="1:68" x14ac:dyDescent="0.15">
      <c r="A1052" s="5">
        <v>45103</v>
      </c>
      <c r="B1052" s="1"/>
      <c r="C1052">
        <v>108</v>
      </c>
      <c r="D1052">
        <v>88.04</v>
      </c>
      <c r="E1052">
        <v>84.277664000000001</v>
      </c>
      <c r="G1052" s="3">
        <v>-7.0684601680663902E-3</v>
      </c>
      <c r="I1052" s="15">
        <f t="shared" si="159"/>
        <v>-7.1704357418643236E-3</v>
      </c>
      <c r="J1052" s="15">
        <f t="shared" si="160"/>
        <v>-5.1977401129942799E-3</v>
      </c>
      <c r="K1052" s="15">
        <f t="shared" si="161"/>
        <v>-1.9517083654915293E-2</v>
      </c>
      <c r="L1052" s="32">
        <f t="shared" si="162"/>
        <v>297355.92101632897</v>
      </c>
      <c r="M1052" s="15"/>
      <c r="N1052" s="32">
        <f t="shared" si="163"/>
        <v>-3240000</v>
      </c>
      <c r="O1052" s="34">
        <f t="shared" si="164"/>
        <v>-0.33323166097683848</v>
      </c>
      <c r="P1052" s="34">
        <f t="shared" si="165"/>
        <v>0.63383953094693213</v>
      </c>
      <c r="Q1052" s="34">
        <f t="shared" si="166"/>
        <v>0.6934317520485902</v>
      </c>
      <c r="R1052" s="35" cm="1">
        <f t="array" ref="R1052">SQRT(MMULT(O1052:Q1052, MMULT($AU$32:$AW$34,TRANSPOSE(O1052:Q1052))))</f>
        <v>1.3125683179882488E-2</v>
      </c>
      <c r="S1052" s="36" cm="1">
        <f t="array" ref="S1052:U1052">TRANSPOSE(MMULT($AU$32:$AW$34, TRANSPOSE(O1052:Q1052))/MMULT(O1052:Q1052, MMULT($AU$32:$AW$34,TRANSPOSE(O1052:Q1052))))</f>
        <v>0.16316958833942768</v>
      </c>
      <c r="T1052" s="36">
        <v>1.0442686667024375</v>
      </c>
      <c r="U1052" s="36">
        <v>0.56598866420310945</v>
      </c>
      <c r="V1052" s="35">
        <f t="shared" si="171"/>
        <v>4.99018970824496E-3</v>
      </c>
      <c r="W1052" s="35">
        <f t="shared" si="172"/>
        <v>3.1936703439987779E-2</v>
      </c>
      <c r="X1052" s="35">
        <f t="shared" si="173"/>
        <v>1.7309541783082343E-2</v>
      </c>
      <c r="Y1052" s="32">
        <f t="shared" si="174"/>
        <v>-16168.214654713671</v>
      </c>
      <c r="Z1052" s="32">
        <f t="shared" si="167"/>
        <v>196819.51595995668</v>
      </c>
      <c r="AA1052" s="32">
        <f t="shared" si="168"/>
        <v>116704.61971108596</v>
      </c>
      <c r="AB1052" s="40">
        <f t="shared" si="175"/>
        <v>-5.4373272943254461E-2</v>
      </c>
      <c r="AC1052" s="40">
        <f t="shared" si="176"/>
        <v>0.66189876188525121</v>
      </c>
      <c r="AD1052" s="40">
        <f t="shared" si="177"/>
        <v>0.39247451105800329</v>
      </c>
      <c r="AE1052" s="40"/>
      <c r="AF1052" s="40"/>
      <c r="AG1052" s="40"/>
      <c r="AH1052" s="40"/>
      <c r="AI1052" s="40"/>
      <c r="AJ1052" s="40"/>
      <c r="AK1052" s="33">
        <f t="shared" si="169"/>
        <v>6162800</v>
      </c>
      <c r="AL1052" s="33">
        <f t="shared" si="170"/>
        <v>6742213.1200000001</v>
      </c>
      <c r="AM1052" s="34"/>
      <c r="AN1052" s="33"/>
      <c r="AO1052" s="15" cm="1">
        <f t="array" ref="AO1052">SUMPRODUCT(I1052:K1052, TRANSPOSE($AY$5:$AY$7))</f>
        <v>-1.4972901423727779E-2</v>
      </c>
      <c r="AP1052" s="22">
        <f t="shared" si="178"/>
        <v>9722965.6704955138</v>
      </c>
      <c r="AQ1052" s="22">
        <f t="shared" si="179"/>
        <v>-147793.91017875262</v>
      </c>
      <c r="AR1052">
        <f t="shared" si="180"/>
        <v>0</v>
      </c>
      <c r="AS1052">
        <f t="shared" si="181"/>
        <v>0</v>
      </c>
      <c r="BJ1052">
        <f t="shared" si="155"/>
        <v>4.9963129147541141E-5</v>
      </c>
      <c r="BK1052">
        <f t="shared" si="157"/>
        <v>4.7501984333692292E-5</v>
      </c>
      <c r="BO1052">
        <f t="shared" si="158"/>
        <v>5.3888873703897821E-5</v>
      </c>
      <c r="BP1052">
        <f t="shared" si="156"/>
        <v>3.5317791741603757</v>
      </c>
    </row>
    <row r="1053" spans="1:68" x14ac:dyDescent="0.15">
      <c r="A1053" s="5">
        <v>45104</v>
      </c>
      <c r="B1053" s="1"/>
      <c r="C1053">
        <v>107.9</v>
      </c>
      <c r="D1053">
        <v>89.42</v>
      </c>
      <c r="E1053">
        <v>84.088104000000001</v>
      </c>
      <c r="G1053" s="3">
        <v>6.73530384214249E-5</v>
      </c>
      <c r="I1053" s="15">
        <f t="shared" si="159"/>
        <v>-9.2592592592587327E-4</v>
      </c>
      <c r="J1053" s="15">
        <f t="shared" si="160"/>
        <v>1.5674693321217577E-2</v>
      </c>
      <c r="K1053" s="15">
        <f t="shared" si="161"/>
        <v>-2.2492317774730937E-3</v>
      </c>
      <c r="L1053" s="32">
        <f t="shared" si="162"/>
        <v>300200.37111093645</v>
      </c>
      <c r="M1053" s="15"/>
      <c r="N1053" s="32">
        <f t="shared" si="163"/>
        <v>-3237000</v>
      </c>
      <c r="O1053" s="34">
        <f t="shared" si="164"/>
        <v>-0.32995001955603004</v>
      </c>
      <c r="P1053" s="34">
        <f t="shared" si="165"/>
        <v>0.63802568810905602</v>
      </c>
      <c r="Q1053" s="34">
        <f t="shared" si="166"/>
        <v>0.68569345836835316</v>
      </c>
      <c r="R1053" s="35" cm="1">
        <f t="array" ref="R1053">SQRT(MMULT(O1053:Q1053, MMULT($AU$32:$AW$34,TRANSPOSE(O1053:Q1053))))</f>
        <v>1.3132903793288832E-2</v>
      </c>
      <c r="S1053" s="36" cm="1">
        <f t="array" ref="S1053:U1053">TRANSPOSE(MMULT($AU$32:$AW$34, TRANSPOSE(O1053:Q1053))/MMULT(O1053:Q1053, MMULT($AU$32:$AW$34,TRANSPOSE(O1053:Q1053))))</f>
        <v>0.16366352860163863</v>
      </c>
      <c r="T1053" s="36">
        <v>1.0477699639043667</v>
      </c>
      <c r="U1053" s="36">
        <v>0.56219966452640002</v>
      </c>
      <c r="V1053" s="35">
        <f t="shared" si="171"/>
        <v>5.0080492851375035E-3</v>
      </c>
      <c r="W1053" s="35">
        <f t="shared" si="172"/>
        <v>3.2061410770947263E-2</v>
      </c>
      <c r="X1053" s="35">
        <f t="shared" si="173"/>
        <v>1.720312186894761E-2</v>
      </c>
      <c r="Y1053" s="32">
        <f t="shared" si="174"/>
        <v>-16211.055535990099</v>
      </c>
      <c r="Z1053" s="32">
        <f t="shared" si="167"/>
        <v>200685.1945796673</v>
      </c>
      <c r="AA1053" s="32">
        <f t="shared" si="168"/>
        <v>115726.23206725929</v>
      </c>
      <c r="AB1053" s="40">
        <f t="shared" si="175"/>
        <v>-5.4000784462719546E-2</v>
      </c>
      <c r="AC1053" s="40">
        <f t="shared" si="176"/>
        <v>0.66850415220008441</v>
      </c>
      <c r="AD1053" s="40">
        <f t="shared" si="177"/>
        <v>0.3854966322626352</v>
      </c>
      <c r="AE1053" s="40"/>
      <c r="AF1053" s="40"/>
      <c r="AG1053" s="40"/>
      <c r="AH1053" s="40"/>
      <c r="AI1053" s="40"/>
      <c r="AJ1053" s="40"/>
      <c r="AK1053" s="33">
        <f t="shared" si="169"/>
        <v>6259400</v>
      </c>
      <c r="AL1053" s="33">
        <f t="shared" si="170"/>
        <v>6727048.3200000003</v>
      </c>
      <c r="AM1053" s="34"/>
      <c r="AN1053" s="33"/>
      <c r="AO1053" s="15" cm="1">
        <f t="array" ref="AO1053">SUMPRODUCT(I1053:K1053, TRANSPOSE($AY$5:$AY$7))</f>
        <v>9.0107392342971462E-3</v>
      </c>
      <c r="AP1053" s="22">
        <f t="shared" si="178"/>
        <v>9810576.7787363715</v>
      </c>
      <c r="AQ1053" s="22">
        <f t="shared" si="179"/>
        <v>87611.10824085772</v>
      </c>
      <c r="AR1053">
        <f t="shared" si="180"/>
        <v>0</v>
      </c>
      <c r="AS1053">
        <f t="shared" si="181"/>
        <v>0</v>
      </c>
      <c r="BJ1053">
        <f t="shared" si="155"/>
        <v>4.5364317845979387E-9</v>
      </c>
      <c r="BK1053">
        <f t="shared" si="157"/>
        <v>4.764965302252322E-5</v>
      </c>
      <c r="BO1053">
        <f t="shared" si="158"/>
        <v>5.5324874588524663E-5</v>
      </c>
      <c r="BP1053">
        <f t="shared" si="156"/>
        <v>3.9821644380962966</v>
      </c>
    </row>
    <row r="1054" spans="1:68" x14ac:dyDescent="0.15">
      <c r="A1054" s="5">
        <v>45105</v>
      </c>
      <c r="B1054" s="1"/>
      <c r="C1054">
        <v>106.98</v>
      </c>
      <c r="D1054">
        <v>89.08</v>
      </c>
      <c r="E1054">
        <v>83.908029999999997</v>
      </c>
      <c r="G1054" s="3">
        <v>3.6699391444212598E-3</v>
      </c>
      <c r="I1054" s="15">
        <f t="shared" si="159"/>
        <v>-8.5264133456904694E-3</v>
      </c>
      <c r="J1054" s="15">
        <f t="shared" si="160"/>
        <v>-3.8022813688213309E-3</v>
      </c>
      <c r="K1054" s="15">
        <f t="shared" si="161"/>
        <v>-2.1414919760826658E-3</v>
      </c>
      <c r="L1054" s="32">
        <f t="shared" si="162"/>
        <v>299328.19209913991</v>
      </c>
      <c r="M1054" s="15"/>
      <c r="N1054" s="32">
        <f t="shared" si="163"/>
        <v>-3209400</v>
      </c>
      <c r="O1054" s="34">
        <f t="shared" si="164"/>
        <v>-0.32737100592619672</v>
      </c>
      <c r="P1054" s="34">
        <f t="shared" si="165"/>
        <v>0.63605491510980006</v>
      </c>
      <c r="Q1054" s="34">
        <f t="shared" si="166"/>
        <v>0.68471505418796019</v>
      </c>
      <c r="R1054" s="35" cm="1">
        <f t="array" ref="R1054">SQRT(MMULT(O1054:Q1054, MMULT($AU$32:$AW$34,TRANSPOSE(O1054:Q1054))))</f>
        <v>1.3104126177310866E-2</v>
      </c>
      <c r="S1054" s="36" cm="1">
        <f t="array" ref="S1054:U1054">TRANSPOSE(MMULT($AU$32:$AW$34, TRANSPOSE(O1054:Q1054))/MMULT(O1054:Q1054, MMULT($AU$32:$AW$34,TRANSPOSE(O1054:Q1054))))</f>
        <v>0.16545852492419191</v>
      </c>
      <c r="T1054" s="36">
        <v>1.0498540030370602</v>
      </c>
      <c r="U1054" s="36">
        <v>0.56432456479627169</v>
      </c>
      <c r="V1054" s="35">
        <f t="shared" si="171"/>
        <v>5.0518812733837456E-3</v>
      </c>
      <c r="W1054" s="35">
        <f t="shared" si="172"/>
        <v>3.2054787023877429E-2</v>
      </c>
      <c r="X1054" s="35">
        <f t="shared" si="173"/>
        <v>1.7230304103768079E-2</v>
      </c>
      <c r="Y1054" s="32">
        <f t="shared" si="174"/>
        <v>-16213.507758797794</v>
      </c>
      <c r="Z1054" s="32">
        <f t="shared" si="167"/>
        <v>199880.8299660901</v>
      </c>
      <c r="AA1054" s="32">
        <f t="shared" si="168"/>
        <v>115660.8698918476</v>
      </c>
      <c r="AB1054" s="40">
        <f t="shared" si="175"/>
        <v>-5.4166323743497405E-2</v>
      </c>
      <c r="AC1054" s="40">
        <f t="shared" si="176"/>
        <v>0.66776479877942119</v>
      </c>
      <c r="AD1054" s="40">
        <f t="shared" si="177"/>
        <v>0.3864015249640762</v>
      </c>
      <c r="AE1054" s="40"/>
      <c r="AF1054" s="40"/>
      <c r="AG1054" s="40"/>
      <c r="AH1054" s="40"/>
      <c r="AI1054" s="40"/>
      <c r="AJ1054" s="40"/>
      <c r="AK1054" s="33">
        <f t="shared" si="169"/>
        <v>6235600</v>
      </c>
      <c r="AL1054" s="33">
        <f t="shared" si="170"/>
        <v>6712642.3999999994</v>
      </c>
      <c r="AM1054" s="34"/>
      <c r="AN1054" s="33"/>
      <c r="AO1054" s="15" cm="1">
        <f t="array" ref="AO1054">SUMPRODUCT(I1054:K1054, TRANSPOSE($AY$5:$AY$7))</f>
        <v>-7.1563032791271942E-4</v>
      </c>
      <c r="AP1054" s="22">
        <f t="shared" si="178"/>
        <v>9803556.032459192</v>
      </c>
      <c r="AQ1054" s="22">
        <f t="shared" si="179"/>
        <v>-7020.746277179569</v>
      </c>
      <c r="AR1054">
        <f t="shared" si="180"/>
        <v>0</v>
      </c>
      <c r="AS1054">
        <f t="shared" si="181"/>
        <v>0</v>
      </c>
      <c r="BJ1054">
        <f t="shared" si="155"/>
        <v>1.3468453323755448E-5</v>
      </c>
      <c r="BK1054">
        <f t="shared" si="157"/>
        <v>4.4790946027078895E-5</v>
      </c>
      <c r="BO1054">
        <f t="shared" si="158"/>
        <v>4.9336131059408331E-5</v>
      </c>
      <c r="BP1054">
        <f t="shared" si="156"/>
        <v>3.9029915450312549</v>
      </c>
    </row>
    <row r="1055" spans="1:68" x14ac:dyDescent="0.15">
      <c r="A1055" s="5">
        <v>45106</v>
      </c>
      <c r="B1055" s="1"/>
      <c r="C1055">
        <v>106.92</v>
      </c>
      <c r="D1055">
        <v>89.72</v>
      </c>
      <c r="E1055">
        <v>84.476699999999994</v>
      </c>
      <c r="G1055" s="3">
        <v>-1.1658845245677799E-3</v>
      </c>
      <c r="I1055" s="15">
        <f t="shared" si="159"/>
        <v>-5.6085249579362754E-4</v>
      </c>
      <c r="J1055" s="15">
        <f t="shared" si="160"/>
        <v>7.1845532105972226E-3</v>
      </c>
      <c r="K1055" s="15">
        <f t="shared" si="161"/>
        <v>6.777301290472406E-3</v>
      </c>
      <c r="L1055" s="32">
        <f t="shared" si="162"/>
        <v>301557.84406672831</v>
      </c>
      <c r="M1055" s="15"/>
      <c r="N1055" s="32">
        <f t="shared" si="163"/>
        <v>-3207600</v>
      </c>
      <c r="O1055" s="34">
        <f t="shared" si="164"/>
        <v>-0.32396768533439657</v>
      </c>
      <c r="P1055" s="34">
        <f t="shared" si="165"/>
        <v>0.63432056708259899</v>
      </c>
      <c r="Q1055" s="34">
        <f t="shared" si="166"/>
        <v>0.682571915792199</v>
      </c>
      <c r="R1055" s="35" cm="1">
        <f t="array" ref="R1055">SQRT(MMULT(O1055:Q1055, MMULT($AU$32:$AW$34,TRANSPOSE(O1055:Q1055))))</f>
        <v>1.3071824151643183E-2</v>
      </c>
      <c r="S1055" s="36" cm="1">
        <f t="array" ref="S1055:U1055">TRANSPOSE(MMULT($AU$32:$AW$34, TRANSPOSE(O1055:Q1055))/MMULT(O1055:Q1055, MMULT($AU$32:$AW$34,TRANSPOSE(O1055:Q1055))))</f>
        <v>0.16760908737010835</v>
      </c>
      <c r="T1055" s="36">
        <v>1.0527246458776218</v>
      </c>
      <c r="U1055" s="36">
        <v>0.56629202693282121</v>
      </c>
      <c r="V1055" s="35">
        <f t="shared" si="171"/>
        <v>5.1049286830243297E-3</v>
      </c>
      <c r="W1055" s="35">
        <f t="shared" si="172"/>
        <v>3.2063203280860555E-2</v>
      </c>
      <c r="X1055" s="35">
        <f t="shared" si="173"/>
        <v>1.7247754621286179E-2</v>
      </c>
      <c r="Y1055" s="32">
        <f t="shared" si="174"/>
        <v>-16374.56924366884</v>
      </c>
      <c r="Z1055" s="32">
        <f t="shared" si="167"/>
        <v>201369.74188511664</v>
      </c>
      <c r="AA1055" s="32">
        <f t="shared" si="168"/>
        <v>116562.67142528048</v>
      </c>
      <c r="AB1055" s="40">
        <f t="shared" si="175"/>
        <v>-5.4299928076304647E-2</v>
      </c>
      <c r="AC1055" s="40">
        <f t="shared" si="176"/>
        <v>0.66776489435492126</v>
      </c>
      <c r="AD1055" s="40">
        <f t="shared" si="177"/>
        <v>0.38653503372138331</v>
      </c>
      <c r="AE1055" s="40"/>
      <c r="AF1055" s="40"/>
      <c r="AG1055" s="40"/>
      <c r="AH1055" s="40"/>
      <c r="AI1055" s="40"/>
      <c r="AJ1055" s="40"/>
      <c r="AK1055" s="33">
        <f t="shared" si="169"/>
        <v>6280400</v>
      </c>
      <c r="AL1055" s="33">
        <f t="shared" si="170"/>
        <v>6758135.9999999991</v>
      </c>
      <c r="AM1055" s="34"/>
      <c r="AN1055" s="33"/>
      <c r="AO1055" s="15" cm="1">
        <f t="array" ref="AO1055">SUMPRODUCT(I1055:K1055, TRANSPOSE($AY$5:$AY$7))</f>
        <v>9.9383793255570889E-3</v>
      </c>
      <c r="AP1055" s="22">
        <f t="shared" si="178"/>
        <v>9900987.4910491258</v>
      </c>
      <c r="AQ1055" s="22">
        <f t="shared" si="179"/>
        <v>97431.458589933813</v>
      </c>
      <c r="AR1055">
        <f t="shared" si="180"/>
        <v>0</v>
      </c>
      <c r="AS1055">
        <f t="shared" si="181"/>
        <v>0</v>
      </c>
      <c r="BJ1055">
        <f t="shared" si="155"/>
        <v>1.3592867246266381E-6</v>
      </c>
      <c r="BK1055">
        <f t="shared" si="157"/>
        <v>4.2911596464879484E-5</v>
      </c>
      <c r="BO1055">
        <f t="shared" si="158"/>
        <v>4.6556221068258391E-5</v>
      </c>
      <c r="BP1055">
        <f t="shared" si="156"/>
        <v>4.0538880909327766</v>
      </c>
    </row>
    <row r="1056" spans="1:68" x14ac:dyDescent="0.15">
      <c r="A1056" s="5">
        <v>45107</v>
      </c>
      <c r="B1056" s="1"/>
      <c r="C1056">
        <v>107.6</v>
      </c>
      <c r="D1056">
        <v>90.04</v>
      </c>
      <c r="E1056">
        <v>85.301280000000006</v>
      </c>
      <c r="G1056" s="3">
        <v>9.8277934809953803E-3</v>
      </c>
      <c r="I1056" s="15">
        <f t="shared" si="159"/>
        <v>6.3598952487840688E-3</v>
      </c>
      <c r="J1056" s="15">
        <f t="shared" si="160"/>
        <v>3.5666518056175589E-3</v>
      </c>
      <c r="K1056" s="15">
        <f t="shared" si="161"/>
        <v>9.7610346995089976E-3</v>
      </c>
      <c r="L1056" s="32">
        <f t="shared" si="162"/>
        <v>303310.56197229854</v>
      </c>
      <c r="M1056" s="15"/>
      <c r="N1056" s="32">
        <f t="shared" si="163"/>
        <v>-3228000</v>
      </c>
      <c r="O1056" s="34">
        <f t="shared" si="164"/>
        <v>-0.32375198210884681</v>
      </c>
      <c r="P1056" s="34">
        <f t="shared" si="165"/>
        <v>0.63213878340633201</v>
      </c>
      <c r="Q1056" s="34">
        <f t="shared" si="166"/>
        <v>0.68442276273659808</v>
      </c>
      <c r="R1056" s="35" cm="1">
        <f t="array" ref="R1056">SQRT(MMULT(O1056:Q1056, MMULT($AU$32:$AW$34,TRANSPOSE(O1056:Q1056))))</f>
        <v>1.3056011459956052E-2</v>
      </c>
      <c r="S1056" s="36" cm="1">
        <f t="array" ref="S1056:U1056">TRANSPOSE(MMULT($AU$32:$AW$34, TRANSPOSE(O1056:Q1056))/MMULT(O1056:Q1056, MMULT($AU$32:$AW$34,TRANSPOSE(O1056:Q1056))))</f>
        <v>0.16830721928298792</v>
      </c>
      <c r="T1056" s="36">
        <v>1.0526646310965877</v>
      </c>
      <c r="U1056" s="36">
        <v>0.56844932371069312</v>
      </c>
      <c r="V1056" s="35">
        <f t="shared" si="171"/>
        <v>5.1199908921422217E-3</v>
      </c>
      <c r="W1056" s="35">
        <f t="shared" si="172"/>
        <v>3.2022591464913784E-2</v>
      </c>
      <c r="X1056" s="35">
        <f t="shared" si="173"/>
        <v>1.729251646151661E-2</v>
      </c>
      <c r="Y1056" s="32">
        <f t="shared" si="174"/>
        <v>-16527.330599835092</v>
      </c>
      <c r="Z1056" s="32">
        <f t="shared" si="167"/>
        <v>201831.98948505858</v>
      </c>
      <c r="AA1056" s="32">
        <f t="shared" si="168"/>
        <v>118005.90308707501</v>
      </c>
      <c r="AB1056" s="40">
        <f t="shared" si="175"/>
        <v>-5.4489795846095652E-2</v>
      </c>
      <c r="AC1056" s="40">
        <f t="shared" si="176"/>
        <v>0.66543013923627214</v>
      </c>
      <c r="AD1056" s="40">
        <f t="shared" si="177"/>
        <v>0.38905965660982333</v>
      </c>
      <c r="AE1056" s="40"/>
      <c r="AF1056" s="40"/>
      <c r="AG1056" s="40"/>
      <c r="AH1056" s="40"/>
      <c r="AI1056" s="40"/>
      <c r="AJ1056" s="40"/>
      <c r="AK1056" s="33">
        <f t="shared" si="169"/>
        <v>6302800</v>
      </c>
      <c r="AL1056" s="33">
        <f t="shared" si="170"/>
        <v>6824102.4000000004</v>
      </c>
      <c r="AM1056" s="34"/>
      <c r="AN1056" s="33"/>
      <c r="AO1056" s="15" cm="1">
        <f t="array" ref="AO1056">SUMPRODUCT(I1056:K1056, TRANSPOSE($AY$5:$AY$7))</f>
        <v>7.0303933073756087E-3</v>
      </c>
      <c r="AP1056" s="22">
        <f t="shared" si="178"/>
        <v>9970595.3272426073</v>
      </c>
      <c r="AQ1056" s="22">
        <f t="shared" si="179"/>
        <v>69607.83619348146</v>
      </c>
      <c r="AR1056">
        <f t="shared" si="180"/>
        <v>0</v>
      </c>
      <c r="AS1056">
        <f t="shared" si="181"/>
        <v>0</v>
      </c>
      <c r="BJ1056">
        <f t="shared" si="155"/>
        <v>9.6585524705095288E-5</v>
      </c>
      <c r="BK1056">
        <f t="shared" si="157"/>
        <v>4.0418457880464316E-5</v>
      </c>
      <c r="BO1056">
        <f t="shared" si="158"/>
        <v>4.265112875896029E-5</v>
      </c>
      <c r="BP1056">
        <f t="shared" si="156"/>
        <v>2.98001591865189</v>
      </c>
    </row>
    <row r="1057" spans="1:68" x14ac:dyDescent="0.15">
      <c r="A1057" s="5">
        <v>45110</v>
      </c>
      <c r="B1057" s="1"/>
      <c r="C1057">
        <v>107.84</v>
      </c>
      <c r="D1057">
        <v>90.46</v>
      </c>
      <c r="E1057">
        <v>83.917500000000004</v>
      </c>
      <c r="G1057" s="3">
        <v>-5.4197514616011102E-3</v>
      </c>
      <c r="I1057" s="15">
        <f t="shared" si="159"/>
        <v>2.2304832713755493E-3</v>
      </c>
      <c r="J1057" s="15">
        <f t="shared" si="160"/>
        <v>4.6645935139936409E-3</v>
      </c>
      <c r="K1057" s="15">
        <f t="shared" si="161"/>
        <v>-1.6222265363427156E-2</v>
      </c>
      <c r="L1057" s="32">
        <f t="shared" si="162"/>
        <v>302312.64883917943</v>
      </c>
      <c r="M1057" s="15"/>
      <c r="N1057" s="32">
        <f t="shared" si="163"/>
        <v>-3235200</v>
      </c>
      <c r="O1057" s="34">
        <f t="shared" si="164"/>
        <v>-0.32767507224000342</v>
      </c>
      <c r="P1057" s="34">
        <f t="shared" si="165"/>
        <v>0.64135264973978412</v>
      </c>
      <c r="Q1057" s="34">
        <f t="shared" si="166"/>
        <v>0.67996223725767768</v>
      </c>
      <c r="R1057" s="35" cm="1">
        <f t="array" ref="R1057">SQRT(MMULT(O1057:Q1057, MMULT($AU$32:$AW$34,TRANSPOSE(O1057:Q1057))))</f>
        <v>1.3141431252924498E-2</v>
      </c>
      <c r="S1057" s="36" cm="1">
        <f t="array" ref="S1057:U1057">TRANSPOSE(MMULT($AU$32:$AW$34, TRANSPOSE(O1057:Q1057))/MMULT(O1057:Q1057, MMULT($AU$32:$AW$34,TRANSPOSE(O1057:Q1057))))</f>
        <v>0.16389020194734835</v>
      </c>
      <c r="T1057" s="36">
        <v>1.0501402351467841</v>
      </c>
      <c r="U1057" s="36">
        <v>0.55913768518397711</v>
      </c>
      <c r="V1057" s="35">
        <f t="shared" si="171"/>
        <v>5.0182417450712483E-3</v>
      </c>
      <c r="W1057" s="35">
        <f t="shared" si="172"/>
        <v>3.2154805495239629E-2</v>
      </c>
      <c r="X1057" s="35">
        <f t="shared" si="173"/>
        <v>1.712053582028146E-2</v>
      </c>
      <c r="Y1057" s="32">
        <f t="shared" si="174"/>
        <v>-16235.015693654503</v>
      </c>
      <c r="Z1057" s="32">
        <f t="shared" si="167"/>
        <v>203610.65935695637</v>
      </c>
      <c r="AA1057" s="32">
        <f t="shared" si="168"/>
        <v>114937.00517587755</v>
      </c>
      <c r="AB1057" s="40">
        <f t="shared" si="175"/>
        <v>-5.3702733762526114E-2</v>
      </c>
      <c r="AC1057" s="40">
        <f t="shared" si="176"/>
        <v>0.67351022240975</v>
      </c>
      <c r="AD1057" s="40">
        <f t="shared" si="177"/>
        <v>0.38019251135277615</v>
      </c>
      <c r="AE1057" s="40"/>
      <c r="AF1057" s="40"/>
      <c r="AG1057" s="40"/>
      <c r="AH1057" s="40"/>
      <c r="AI1057" s="40"/>
      <c r="AJ1057" s="40"/>
      <c r="AK1057" s="33">
        <f t="shared" si="169"/>
        <v>6332200</v>
      </c>
      <c r="AL1057" s="33">
        <f t="shared" si="170"/>
        <v>6713400</v>
      </c>
      <c r="AM1057" s="34"/>
      <c r="AN1057" s="33"/>
      <c r="AO1057" s="15" cm="1">
        <f t="array" ref="AO1057">SUMPRODUCT(I1057:K1057, TRANSPOSE($AY$5:$AY$7))</f>
        <v>-9.7687221951497268E-3</v>
      </c>
      <c r="AP1057" s="22">
        <f t="shared" si="178"/>
        <v>9873195.3513705172</v>
      </c>
      <c r="AQ1057" s="22">
        <f t="shared" si="179"/>
        <v>-97399.975872090086</v>
      </c>
      <c r="AR1057">
        <f t="shared" si="180"/>
        <v>0</v>
      </c>
      <c r="AS1057">
        <f t="shared" si="181"/>
        <v>0</v>
      </c>
      <c r="BJ1057">
        <f t="shared" si="155"/>
        <v>2.9373705905527369E-5</v>
      </c>
      <c r="BK1057">
        <f t="shared" si="157"/>
        <v>4.3788481889942177E-5</v>
      </c>
      <c r="BO1057">
        <f t="shared" si="158"/>
        <v>5.3150195857747912E-5</v>
      </c>
      <c r="BP1057">
        <f t="shared" si="156"/>
        <v>3.7259284975113487</v>
      </c>
    </row>
    <row r="1058" spans="1:68" x14ac:dyDescent="0.15">
      <c r="A1058" s="5">
        <v>45112</v>
      </c>
      <c r="B1058" s="1"/>
      <c r="C1058">
        <v>106.9</v>
      </c>
      <c r="D1058">
        <v>88.48</v>
      </c>
      <c r="E1058">
        <v>84.315574999999995</v>
      </c>
      <c r="G1058" s="3">
        <v>-2.2494834034740797E-3</v>
      </c>
      <c r="I1058" s="15">
        <f t="shared" si="159"/>
        <v>-8.7166172106824709E-3</v>
      </c>
      <c r="J1058" s="15">
        <f t="shared" si="160"/>
        <v>-2.1888127349104464E-2</v>
      </c>
      <c r="K1058" s="15">
        <f t="shared" si="161"/>
        <v>4.7436470342895288E-3</v>
      </c>
      <c r="L1058" s="32">
        <f t="shared" si="162"/>
        <v>298558.77683878079</v>
      </c>
      <c r="M1058" s="15"/>
      <c r="N1058" s="32">
        <f t="shared" si="163"/>
        <v>-3207000</v>
      </c>
      <c r="O1058" s="34">
        <f t="shared" si="164"/>
        <v>-0.32725844864939868</v>
      </c>
      <c r="P1058" s="34">
        <f t="shared" si="165"/>
        <v>0.63202617011378726</v>
      </c>
      <c r="Q1058" s="34">
        <f t="shared" si="166"/>
        <v>0.68831890917323413</v>
      </c>
      <c r="R1058" s="35" cm="1">
        <f t="array" ref="R1058">SQRT(MMULT(O1058:Q1058, MMULT($AU$32:$AW$34,TRANSPOSE(O1058:Q1058))))</f>
        <v>1.3075726534220532E-2</v>
      </c>
      <c r="S1058" s="36" cm="1">
        <f t="array" ref="S1058:U1058">TRANSPOSE(MMULT($AU$32:$AW$34, TRANSPOSE(O1058:Q1058))/MMULT(O1058:Q1058, MMULT($AU$32:$AW$34,TRANSPOSE(O1058:Q1058))))</f>
        <v>0.1665691810530926</v>
      </c>
      <c r="T1058" s="36">
        <v>1.0495945213472559</v>
      </c>
      <c r="U1058" s="36">
        <v>0.56825398964344753</v>
      </c>
      <c r="V1058" s="35">
        <f t="shared" si="171"/>
        <v>5.074770430916785E-3</v>
      </c>
      <c r="W1058" s="35">
        <f t="shared" si="172"/>
        <v>3.1977411473780054E-2</v>
      </c>
      <c r="X1058" s="35">
        <f t="shared" si="173"/>
        <v>1.731267768539899E-2</v>
      </c>
      <c r="Y1058" s="32">
        <f t="shared" si="174"/>
        <v>-16274.78877195013</v>
      </c>
      <c r="Z1058" s="32">
        <f t="shared" si="167"/>
        <v>198055.29570400415</v>
      </c>
      <c r="AA1058" s="32">
        <f t="shared" si="168"/>
        <v>116778.2699067268</v>
      </c>
      <c r="AB1058" s="40">
        <f t="shared" si="175"/>
        <v>-5.4511171784235903E-2</v>
      </c>
      <c r="AC1058" s="40">
        <f t="shared" si="176"/>
        <v>0.66337120549951989</v>
      </c>
      <c r="AD1058" s="40">
        <f t="shared" si="177"/>
        <v>0.39113996628471609</v>
      </c>
      <c r="AE1058" s="40"/>
      <c r="AF1058" s="40"/>
      <c r="AG1058" s="40"/>
      <c r="AH1058" s="40"/>
      <c r="AI1058" s="40"/>
      <c r="AJ1058" s="40"/>
      <c r="AK1058" s="33">
        <f t="shared" si="169"/>
        <v>6193600</v>
      </c>
      <c r="AL1058" s="33">
        <f t="shared" si="170"/>
        <v>6745246</v>
      </c>
      <c r="AM1058" s="34"/>
      <c r="AN1058" s="33"/>
      <c r="AO1058" s="15" cm="1">
        <f t="array" ref="AO1058">SUMPRODUCT(I1058:K1058, TRANSPOSE($AY$5:$AY$7))</f>
        <v>-7.4546420227266557E-3</v>
      </c>
      <c r="AP1058" s="22">
        <f t="shared" si="178"/>
        <v>9799594.2144056018</v>
      </c>
      <c r="AQ1058" s="22">
        <f t="shared" si="179"/>
        <v>-73601.13696491532</v>
      </c>
      <c r="AR1058">
        <f t="shared" si="180"/>
        <v>0</v>
      </c>
      <c r="AS1058">
        <f t="shared" si="181"/>
        <v>0</v>
      </c>
      <c r="BJ1058">
        <f t="shared" si="155"/>
        <v>5.0601755825053288E-6</v>
      </c>
      <c r="BK1058">
        <f t="shared" si="157"/>
        <v>4.292359533087729E-5</v>
      </c>
      <c r="BO1058">
        <f t="shared" si="158"/>
        <v>5.1813121786321276E-5</v>
      </c>
      <c r="BP1058">
        <f t="shared" si="156"/>
        <v>3.9661640050578608</v>
      </c>
    </row>
    <row r="1059" spans="1:68" x14ac:dyDescent="0.15">
      <c r="A1059" s="5">
        <v>45113</v>
      </c>
      <c r="B1059" s="1"/>
      <c r="C1059">
        <v>106.08</v>
      </c>
      <c r="D1059">
        <v>86.8</v>
      </c>
      <c r="E1059">
        <v>83.092926000000006</v>
      </c>
      <c r="G1059" s="3">
        <v>-1.8503861564168202E-2</v>
      </c>
      <c r="I1059" s="15">
        <f t="shared" si="159"/>
        <v>-7.6707202993452515E-3</v>
      </c>
      <c r="J1059" s="15">
        <f t="shared" si="160"/>
        <v>-1.8987341772151976E-2</v>
      </c>
      <c r="K1059" s="15">
        <f t="shared" si="161"/>
        <v>-1.4500867722244555E-2</v>
      </c>
      <c r="L1059" s="32">
        <f t="shared" si="162"/>
        <v>293230.83436257986</v>
      </c>
      <c r="M1059" s="15"/>
      <c r="N1059" s="32">
        <f t="shared" si="163"/>
        <v>-3182400</v>
      </c>
      <c r="O1059" s="34">
        <f t="shared" si="164"/>
        <v>-0.33142401240727931</v>
      </c>
      <c r="P1059" s="34">
        <f t="shared" si="165"/>
        <v>0.63277158728840777</v>
      </c>
      <c r="Q1059" s="34">
        <f t="shared" si="166"/>
        <v>0.69228232623381447</v>
      </c>
      <c r="R1059" s="35" cm="1">
        <f t="array" ref="R1059">SQRT(MMULT(O1059:Q1059, MMULT($AU$32:$AW$34,TRANSPOSE(O1059:Q1059))))</f>
        <v>1.3106384967911026E-2</v>
      </c>
      <c r="S1059" s="36" cm="1">
        <f t="array" ref="S1059:U1059">TRANSPOSE(MMULT($AU$32:$AW$34, TRANSPOSE(O1059:Q1059))/MMULT(O1059:Q1059, MMULT($AU$32:$AW$34,TRANSPOSE(O1059:Q1059))))</f>
        <v>0.16431317607965423</v>
      </c>
      <c r="T1059" s="36">
        <v>1.0459001805895527</v>
      </c>
      <c r="U1059" s="36">
        <v>0.5671694911336026</v>
      </c>
      <c r="V1059" s="35">
        <f t="shared" si="171"/>
        <v>5.0177755565302285E-3</v>
      </c>
      <c r="W1059" s="35">
        <f t="shared" si="172"/>
        <v>3.1939571043217423E-2</v>
      </c>
      <c r="X1059" s="35">
        <f t="shared" si="173"/>
        <v>1.7320152144343286E-2</v>
      </c>
      <c r="Y1059" s="32">
        <f t="shared" si="174"/>
        <v>-15968.5689311018</v>
      </c>
      <c r="Z1059" s="32">
        <f t="shared" si="167"/>
        <v>194064.83365858905</v>
      </c>
      <c r="AA1059" s="32">
        <f t="shared" si="168"/>
        <v>115134.56963509264</v>
      </c>
      <c r="AB1059" s="40">
        <f t="shared" si="175"/>
        <v>-5.4457332107702795E-2</v>
      </c>
      <c r="AC1059" s="40">
        <f t="shared" si="176"/>
        <v>0.66181591741688373</v>
      </c>
      <c r="AD1059" s="40">
        <f t="shared" si="177"/>
        <v>0.39264141469081926</v>
      </c>
      <c r="AE1059" s="40"/>
      <c r="AF1059" s="40"/>
      <c r="AG1059" s="40"/>
      <c r="AH1059" s="40"/>
      <c r="AI1059" s="40"/>
      <c r="AJ1059" s="40"/>
      <c r="AK1059" s="33">
        <f t="shared" si="169"/>
        <v>6076000</v>
      </c>
      <c r="AL1059" s="33">
        <f t="shared" si="170"/>
        <v>6647434.0800000001</v>
      </c>
      <c r="AM1059" s="34"/>
      <c r="AN1059" s="33"/>
      <c r="AO1059" s="15" cm="1">
        <f t="array" ref="AO1059">SUMPRODUCT(I1059:K1059, TRANSPOSE($AY$5:$AY$7))</f>
        <v>-2.0142993667169564E-2</v>
      </c>
      <c r="AP1059" s="22">
        <f t="shared" si="178"/>
        <v>9602201.0502039976</v>
      </c>
      <c r="AQ1059" s="22">
        <f t="shared" si="179"/>
        <v>-197393.1642016042</v>
      </c>
      <c r="AR1059">
        <f t="shared" si="180"/>
        <v>0</v>
      </c>
      <c r="AS1059">
        <f t="shared" si="181"/>
        <v>0</v>
      </c>
      <c r="BJ1059">
        <f t="shared" si="155"/>
        <v>3.4239289278590126E-4</v>
      </c>
      <c r="BK1059">
        <f t="shared" si="157"/>
        <v>4.065179014597497E-5</v>
      </c>
      <c r="BO1059">
        <f t="shared" si="158"/>
        <v>4.7301611625988727E-5</v>
      </c>
      <c r="BP1059">
        <f t="shared" si="156"/>
        <v>0.44129269080142208</v>
      </c>
    </row>
    <row r="1060" spans="1:68" x14ac:dyDescent="0.15">
      <c r="A1060" s="5">
        <v>45114</v>
      </c>
      <c r="B1060" s="1"/>
      <c r="C1060">
        <v>104.66</v>
      </c>
      <c r="D1060">
        <v>88.84</v>
      </c>
      <c r="E1060">
        <v>80.477019999999996</v>
      </c>
      <c r="G1060" s="3">
        <v>-1.0183183486358801E-2</v>
      </c>
      <c r="I1060" s="15">
        <f t="shared" si="159"/>
        <v>-1.3386123680241344E-2</v>
      </c>
      <c r="J1060" s="15">
        <f t="shared" si="160"/>
        <v>2.350230414746551E-2</v>
      </c>
      <c r="K1060" s="15">
        <f t="shared" si="161"/>
        <v>-3.1481693158813655E-2</v>
      </c>
      <c r="L1060" s="32">
        <f t="shared" si="162"/>
        <v>294445.01226109616</v>
      </c>
      <c r="M1060" s="15"/>
      <c r="N1060" s="32">
        <f t="shared" si="163"/>
        <v>-3139800</v>
      </c>
      <c r="O1060" s="34">
        <f t="shared" si="164"/>
        <v>-0.32779870370180481</v>
      </c>
      <c r="P1060" s="34">
        <f t="shared" si="165"/>
        <v>0.64924981800776604</v>
      </c>
      <c r="Q1060" s="34">
        <f t="shared" si="166"/>
        <v>0.67215141942249113</v>
      </c>
      <c r="R1060" s="35" cm="1">
        <f t="array" ref="R1060">SQRT(MMULT(O1060:Q1060, MMULT($AU$32:$AW$34,TRANSPOSE(O1060:Q1060))))</f>
        <v>1.3193302726787133E-2</v>
      </c>
      <c r="S1060" s="36" cm="1">
        <f t="array" ref="S1060:U1060">TRANSPOSE(MMULT($AU$32:$AW$34, TRANSPOSE(O1060:Q1060))/MMULT(O1060:Q1060, MMULT($AU$32:$AW$34,TRANSPOSE(O1060:Q1060))))</f>
        <v>0.16165314381643703</v>
      </c>
      <c r="T1060" s="36">
        <v>1.0509959634901189</v>
      </c>
      <c r="U1060" s="36">
        <v>0.55140961137586686</v>
      </c>
      <c r="V1060" s="35">
        <f t="shared" si="171"/>
        <v>4.9692815510395689E-3</v>
      </c>
      <c r="W1060" s="35">
        <f t="shared" si="172"/>
        <v>3.2308031432528542E-2</v>
      </c>
      <c r="X1060" s="35">
        <f t="shared" si="173"/>
        <v>1.6950549455366528E-2</v>
      </c>
      <c r="Y1060" s="32">
        <f t="shared" si="174"/>
        <v>-15602.550213954039</v>
      </c>
      <c r="Z1060" s="32">
        <f t="shared" si="167"/>
        <v>200917.1858726085</v>
      </c>
      <c r="AA1060" s="32">
        <f t="shared" si="168"/>
        <v>109130.37660244168</v>
      </c>
      <c r="AB1060" s="40">
        <f t="shared" si="175"/>
        <v>-5.2989690992349479E-2</v>
      </c>
      <c r="AC1060" s="40">
        <f t="shared" si="176"/>
        <v>0.68235893802285641</v>
      </c>
      <c r="AD1060" s="40">
        <f t="shared" si="177"/>
        <v>0.37063075296949305</v>
      </c>
      <c r="AE1060" s="40"/>
      <c r="AF1060" s="40"/>
      <c r="AG1060" s="40"/>
      <c r="AH1060" s="40"/>
      <c r="AI1060" s="40"/>
      <c r="AJ1060" s="40"/>
      <c r="AK1060" s="33">
        <f t="shared" si="169"/>
        <v>6218800</v>
      </c>
      <c r="AL1060" s="33">
        <f t="shared" si="170"/>
        <v>6438161.5999999996</v>
      </c>
      <c r="AM1060" s="34"/>
      <c r="AN1060" s="33"/>
      <c r="AO1060" s="15" cm="1">
        <f t="array" ref="AO1060">SUMPRODUCT(I1060:K1060, TRANSPOSE($AY$5:$AY$7))</f>
        <v>-2.4746105034909663E-3</v>
      </c>
      <c r="AP1060" s="22">
        <f t="shared" si="178"/>
        <v>9578439.3426285312</v>
      </c>
      <c r="AQ1060" s="22">
        <f t="shared" si="179"/>
        <v>-23761.707575466484</v>
      </c>
      <c r="AR1060">
        <f t="shared" si="180"/>
        <v>0</v>
      </c>
      <c r="AS1060">
        <f t="shared" si="181"/>
        <v>0</v>
      </c>
      <c r="BJ1060">
        <f t="shared" si="155"/>
        <v>1.0369722591685058E-4</v>
      </c>
      <c r="BK1060">
        <f t="shared" si="157"/>
        <v>5.8756256304370568E-5</v>
      </c>
      <c r="BO1060">
        <f t="shared" si="158"/>
        <v>9.1805867889516255E-5</v>
      </c>
      <c r="BP1060">
        <f t="shared" si="156"/>
        <v>3.1642150322694933</v>
      </c>
    </row>
    <row r="1061" spans="1:68" x14ac:dyDescent="0.15">
      <c r="A1061" s="5">
        <v>45117</v>
      </c>
      <c r="B1061" s="1"/>
      <c r="C1061">
        <v>105.58</v>
      </c>
      <c r="D1061">
        <v>88.6</v>
      </c>
      <c r="E1061">
        <v>81.301599999999993</v>
      </c>
      <c r="G1061" s="3">
        <v>4.3313626593122203E-3</v>
      </c>
      <c r="I1061" s="15">
        <f t="shared" si="159"/>
        <v>8.7903688133002273E-3</v>
      </c>
      <c r="J1061" s="15">
        <f t="shared" si="160"/>
        <v>-2.7014858171995619E-3</v>
      </c>
      <c r="K1061" s="15">
        <f t="shared" si="161"/>
        <v>1.0246154740819149E-2</v>
      </c>
      <c r="L1061" s="32">
        <f t="shared" si="162"/>
        <v>294886.70094033104</v>
      </c>
      <c r="M1061" s="15"/>
      <c r="N1061" s="32">
        <f t="shared" si="163"/>
        <v>-3167400</v>
      </c>
      <c r="O1061" s="34">
        <f t="shared" si="164"/>
        <v>-0.32991825293704563</v>
      </c>
      <c r="P1061" s="34">
        <f t="shared" si="165"/>
        <v>0.64600397951491983</v>
      </c>
      <c r="Q1061" s="34">
        <f t="shared" si="166"/>
        <v>0.67747381026675524</v>
      </c>
      <c r="R1061" s="35" cm="1">
        <f t="array" ref="R1061">SQRT(MMULT(O1061:Q1061, MMULT($AU$32:$AW$34,TRANSPOSE(O1061:Q1061))))</f>
        <v>1.3182649257091363E-2</v>
      </c>
      <c r="S1061" s="36" cm="1">
        <f t="array" ref="S1061:U1061">TRANSPOSE(MMULT($AU$32:$AW$34, TRANSPOSE(O1061:Q1061))/MMULT(O1061:Q1061, MMULT($AU$32:$AW$34,TRANSPOSE(O1061:Q1061))))</f>
        <v>0.1614655031269101</v>
      </c>
      <c r="T1061" s="36">
        <v>1.0490259085209341</v>
      </c>
      <c r="U1061" s="36">
        <v>0.55440594085041162</v>
      </c>
      <c r="V1061" s="35">
        <f t="shared" si="171"/>
        <v>4.9595054109814983E-3</v>
      </c>
      <c r="W1061" s="35">
        <f t="shared" si="172"/>
        <v>3.2221431629765089E-2</v>
      </c>
      <c r="X1061" s="35">
        <f t="shared" si="173"/>
        <v>1.7028896019769414E-2</v>
      </c>
      <c r="Y1061" s="32">
        <f t="shared" si="174"/>
        <v>-15708.737438742797</v>
      </c>
      <c r="Z1061" s="32">
        <f t="shared" si="167"/>
        <v>199837.31896780309</v>
      </c>
      <c r="AA1061" s="32">
        <f t="shared" si="168"/>
        <v>110758.11941127077</v>
      </c>
      <c r="AB1061" s="40">
        <f t="shared" si="175"/>
        <v>-5.3270416701231255E-2</v>
      </c>
      <c r="AC1061" s="40">
        <f t="shared" si="176"/>
        <v>0.67767491151877768</v>
      </c>
      <c r="AD1061" s="40">
        <f t="shared" si="177"/>
        <v>0.37559550518245366</v>
      </c>
      <c r="AE1061" s="40"/>
      <c r="AF1061" s="40"/>
      <c r="AG1061" s="40"/>
      <c r="AH1061" s="40"/>
      <c r="AI1061" s="40"/>
      <c r="AJ1061" s="40"/>
      <c r="AK1061" s="33">
        <f t="shared" si="169"/>
        <v>6202000</v>
      </c>
      <c r="AL1061" s="33">
        <f t="shared" si="170"/>
        <v>6504127.9999999991</v>
      </c>
      <c r="AM1061" s="34"/>
      <c r="AN1061" s="33"/>
      <c r="AO1061" s="15" cm="1">
        <f t="array" ref="AO1061">SUMPRODUCT(I1061:K1061, TRANSPOSE($AY$5:$AY$7))</f>
        <v>2.3094274416066082E-3</v>
      </c>
      <c r="AP1061" s="22">
        <f t="shared" si="178"/>
        <v>9600560.0532941632</v>
      </c>
      <c r="AQ1061" s="22">
        <f t="shared" si="179"/>
        <v>22120.710665632039</v>
      </c>
      <c r="AR1061">
        <f t="shared" si="180"/>
        <v>0</v>
      </c>
      <c r="AS1061">
        <f t="shared" si="181"/>
        <v>0</v>
      </c>
      <c r="BJ1061">
        <f t="shared" si="155"/>
        <v>1.8760702486484229E-5</v>
      </c>
      <c r="BK1061">
        <f t="shared" si="157"/>
        <v>6.1452714481119376E-5</v>
      </c>
      <c r="BO1061">
        <f t="shared" si="158"/>
        <v>9.2718981917330393E-5</v>
      </c>
      <c r="BP1061">
        <f t="shared" si="156"/>
        <v>3.6228604400685858</v>
      </c>
    </row>
    <row r="1062" spans="1:68" x14ac:dyDescent="0.15">
      <c r="A1062" s="5">
        <v>45118</v>
      </c>
      <c r="B1062" s="1"/>
      <c r="C1062">
        <v>105.08</v>
      </c>
      <c r="D1062">
        <v>89.16</v>
      </c>
      <c r="E1062">
        <v>81.102559999999997</v>
      </c>
      <c r="G1062" s="3">
        <v>3.7155868982092699E-3</v>
      </c>
      <c r="I1062" s="15">
        <f t="shared" si="159"/>
        <v>-4.735745406326956E-3</v>
      </c>
      <c r="J1062" s="15">
        <f t="shared" si="160"/>
        <v>6.3205417607223738E-3</v>
      </c>
      <c r="K1062" s="15">
        <f t="shared" si="161"/>
        <v>-2.4481683017307972E-3</v>
      </c>
      <c r="L1062" s="32">
        <f t="shared" si="162"/>
        <v>295954.80463515804</v>
      </c>
      <c r="M1062" s="15"/>
      <c r="N1062" s="32">
        <f t="shared" si="163"/>
        <v>-3152400</v>
      </c>
      <c r="O1062" s="34">
        <f t="shared" si="164"/>
        <v>-0.32697677060465868</v>
      </c>
      <c r="P1062" s="34">
        <f t="shared" si="165"/>
        <v>0.64735675063373799</v>
      </c>
      <c r="Q1062" s="34">
        <f t="shared" si="166"/>
        <v>0.67297685970233634</v>
      </c>
      <c r="R1062" s="35" cm="1">
        <f t="array" ref="R1062">SQRT(MMULT(O1062:Q1062, MMULT($AU$32:$AW$34,TRANSPOSE(O1062:Q1062))))</f>
        <v>1.317483106604201E-2</v>
      </c>
      <c r="S1062" s="36" cm="1">
        <f t="array" ref="S1062:U1062">TRANSPOSE(MMULT($AU$32:$AW$34, TRANSPOSE(O1062:Q1062))/MMULT(O1062:Q1062, MMULT($AU$32:$AW$34,TRANSPOSE(O1062:Q1062))))</f>
        <v>0.16254269149948408</v>
      </c>
      <c r="T1062" s="36">
        <v>1.0516502656194879</v>
      </c>
      <c r="U1062" s="36">
        <v>0.55329508025290397</v>
      </c>
      <c r="V1062" s="35">
        <f t="shared" si="171"/>
        <v>4.9896309285543811E-3</v>
      </c>
      <c r="W1062" s="35">
        <f t="shared" si="172"/>
        <v>3.2282882994921262E-2</v>
      </c>
      <c r="X1062" s="35">
        <f t="shared" si="173"/>
        <v>1.6984696263969708E-2</v>
      </c>
      <c r="Y1062" s="32">
        <f t="shared" si="174"/>
        <v>-15729.312539174831</v>
      </c>
      <c r="Z1062" s="32">
        <f t="shared" si="167"/>
        <v>201483.92934790259</v>
      </c>
      <c r="AA1062" s="32">
        <f t="shared" si="168"/>
        <v>110200.18782643032</v>
      </c>
      <c r="AB1062" s="40">
        <f t="shared" si="175"/>
        <v>-5.3147684351890608E-2</v>
      </c>
      <c r="AC1062" s="40">
        <f t="shared" si="176"/>
        <v>0.6807928987545393</v>
      </c>
      <c r="AD1062" s="40">
        <f t="shared" si="177"/>
        <v>0.37235478559735152</v>
      </c>
      <c r="AE1062" s="40"/>
      <c r="AF1062" s="40"/>
      <c r="AG1062" s="40"/>
      <c r="AH1062" s="40"/>
      <c r="AI1062" s="40"/>
      <c r="AJ1062" s="40"/>
      <c r="AK1062" s="33">
        <f t="shared" si="169"/>
        <v>6241200</v>
      </c>
      <c r="AL1062" s="33">
        <f t="shared" si="170"/>
        <v>6488204.7999999998</v>
      </c>
      <c r="AM1062" s="34"/>
      <c r="AN1062" s="33"/>
      <c r="AO1062" s="15" cm="1">
        <f t="array" ref="AO1062">SUMPRODUCT(I1062:K1062, TRANSPOSE($AY$5:$AY$7))</f>
        <v>4.2176497095702519E-3</v>
      </c>
      <c r="AP1062" s="22">
        <f t="shared" si="178"/>
        <v>9641051.8526146505</v>
      </c>
      <c r="AQ1062" s="22">
        <f t="shared" si="179"/>
        <v>40491.799320487306</v>
      </c>
      <c r="AR1062">
        <f t="shared" si="180"/>
        <v>0</v>
      </c>
      <c r="AS1062">
        <f t="shared" si="181"/>
        <v>0</v>
      </c>
      <c r="BJ1062">
        <f t="shared" si="155"/>
        <v>1.3805585998144383E-5</v>
      </c>
      <c r="BK1062">
        <f t="shared" si="157"/>
        <v>5.8891193761441268E-5</v>
      </c>
      <c r="BO1062">
        <f t="shared" si="158"/>
        <v>8.1338533516476399E-5</v>
      </c>
      <c r="BP1062">
        <f t="shared" si="156"/>
        <v>3.7046418304064401</v>
      </c>
    </row>
    <row r="1063" spans="1:68" x14ac:dyDescent="0.15">
      <c r="A1063" s="5">
        <v>45119</v>
      </c>
      <c r="B1063" s="1"/>
      <c r="C1063">
        <v>104.7</v>
      </c>
      <c r="D1063">
        <v>90.48</v>
      </c>
      <c r="E1063">
        <v>80.600234999999998</v>
      </c>
      <c r="G1063" s="3">
        <v>5.1489161254323302E-3</v>
      </c>
      <c r="I1063" s="15">
        <f t="shared" si="159"/>
        <v>-3.6162923486866717E-3</v>
      </c>
      <c r="J1063" s="15">
        <f t="shared" si="160"/>
        <v>1.4804845222072762E-2</v>
      </c>
      <c r="K1063" s="15">
        <f t="shared" si="161"/>
        <v>-6.1937009140031959E-3</v>
      </c>
      <c r="L1063" s="32">
        <f t="shared" si="162"/>
        <v>298321.14850013261</v>
      </c>
      <c r="M1063" s="15"/>
      <c r="N1063" s="32">
        <f t="shared" si="163"/>
        <v>-3141000</v>
      </c>
      <c r="O1063" s="34">
        <f t="shared" si="164"/>
        <v>-0.32366050010602665</v>
      </c>
      <c r="P1063" s="34">
        <f t="shared" si="165"/>
        <v>0.65263805904856109</v>
      </c>
      <c r="Q1063" s="34">
        <f t="shared" si="166"/>
        <v>0.66442820423465832</v>
      </c>
      <c r="R1063" s="35" cm="1">
        <f t="array" ref="R1063">SQRT(MMULT(O1063:Q1063, MMULT($AU$32:$AW$34,TRANSPOSE(O1063:Q1063))))</f>
        <v>1.3193192091274772E-2</v>
      </c>
      <c r="S1063" s="36" cm="1">
        <f t="array" ref="S1063:U1063">TRANSPOSE(MMULT($AU$32:$AW$34, TRANSPOSE(O1063:Q1063))/MMULT(O1063:Q1063, MMULT($AU$32:$AW$34,TRANSPOSE(O1063:Q1063))))</f>
        <v>0.16276250873040571</v>
      </c>
      <c r="T1063" s="36">
        <v>1.0546856903677038</v>
      </c>
      <c r="U1063" s="36">
        <v>0.54836891448040559</v>
      </c>
      <c r="V1063" s="35">
        <f t="shared" si="171"/>
        <v>5.0033419100456097E-3</v>
      </c>
      <c r="W1063" s="35">
        <f t="shared" si="172"/>
        <v>3.2421183217829878E-2</v>
      </c>
      <c r="X1063" s="35">
        <f t="shared" si="173"/>
        <v>1.6856935871703498E-2</v>
      </c>
      <c r="Y1063" s="32">
        <f t="shared" si="174"/>
        <v>-15715.49693945326</v>
      </c>
      <c r="Z1063" s="32">
        <f t="shared" si="167"/>
        <v>205342.80602844732</v>
      </c>
      <c r="AA1063" s="32">
        <f t="shared" si="168"/>
        <v>108693.83941113854</v>
      </c>
      <c r="AB1063" s="40">
        <f t="shared" si="175"/>
        <v>-5.2679794974194644E-2</v>
      </c>
      <c r="AC1063" s="40">
        <f t="shared" si="176"/>
        <v>0.68832802186786979</v>
      </c>
      <c r="AD1063" s="40">
        <f t="shared" si="177"/>
        <v>0.36435177310632477</v>
      </c>
      <c r="AE1063" s="40"/>
      <c r="AF1063" s="40"/>
      <c r="AG1063" s="40"/>
      <c r="AH1063" s="40"/>
      <c r="AI1063" s="40"/>
      <c r="AJ1063" s="40"/>
      <c r="AK1063" s="33">
        <f t="shared" si="169"/>
        <v>6333600</v>
      </c>
      <c r="AL1063" s="33">
        <f t="shared" si="170"/>
        <v>6448018.7999999998</v>
      </c>
      <c r="AM1063" s="34"/>
      <c r="AN1063" s="33"/>
      <c r="AO1063" s="15" cm="1">
        <f t="array" ref="AO1063">SUMPRODUCT(I1063:K1063, TRANSPOSE($AY$5:$AY$7))</f>
        <v>6.5927936964722622E-3</v>
      </c>
      <c r="AP1063" s="22">
        <f t="shared" si="178"/>
        <v>9704613.3184959311</v>
      </c>
      <c r="AQ1063" s="22">
        <f t="shared" si="179"/>
        <v>63561.465881280601</v>
      </c>
      <c r="AR1063">
        <f t="shared" si="180"/>
        <v>0</v>
      </c>
      <c r="AS1063">
        <f t="shared" si="181"/>
        <v>0</v>
      </c>
      <c r="BJ1063">
        <f t="shared" si="155"/>
        <v>2.6511337266737081E-5</v>
      </c>
      <c r="BK1063">
        <f t="shared" si="157"/>
        <v>5.6186057295643457E-5</v>
      </c>
      <c r="BO1063">
        <f t="shared" si="158"/>
        <v>7.1706242213645294E-5</v>
      </c>
      <c r="BP1063">
        <f t="shared" si="156"/>
        <v>3.6676671088765587</v>
      </c>
    </row>
    <row r="1064" spans="1:68" x14ac:dyDescent="0.15">
      <c r="A1064" s="5">
        <v>45120</v>
      </c>
      <c r="B1064" s="1"/>
      <c r="C1064">
        <v>105.1</v>
      </c>
      <c r="D1064">
        <v>90.62</v>
      </c>
      <c r="E1064">
        <v>80.183205000000001</v>
      </c>
      <c r="G1064" s="3">
        <v>2.3810064905260798E-4</v>
      </c>
      <c r="I1064" s="15">
        <f t="shared" si="159"/>
        <v>3.8204393505252288E-3</v>
      </c>
      <c r="J1064" s="15">
        <f t="shared" si="160"/>
        <v>1.5473032714412088E-3</v>
      </c>
      <c r="K1064" s="15">
        <f t="shared" si="161"/>
        <v>-5.1740543932656882E-3</v>
      </c>
      <c r="L1064" s="32">
        <f t="shared" si="162"/>
        <v>298018.00774509576</v>
      </c>
      <c r="M1064" s="15"/>
      <c r="N1064" s="32">
        <f t="shared" si="163"/>
        <v>-3153000</v>
      </c>
      <c r="O1064" s="34">
        <f t="shared" si="164"/>
        <v>-0.32630091664348893</v>
      </c>
      <c r="P1064" s="34">
        <f t="shared" si="165"/>
        <v>0.65647232306892089</v>
      </c>
      <c r="Q1064" s="34">
        <f t="shared" si="166"/>
        <v>0.66384657890041954</v>
      </c>
      <c r="R1064" s="35" cm="1">
        <f t="array" ref="R1064">SQRT(MMULT(O1064:Q1064, MMULT($AU$32:$AW$34,TRANSPOSE(O1064:Q1064))))</f>
        <v>1.3236736060825118E-2</v>
      </c>
      <c r="S1064" s="36" cm="1">
        <f t="array" ref="S1064:U1064">TRANSPOSE(MMULT($AU$32:$AW$34, TRANSPOSE(O1064:Q1064))/MMULT(O1064:Q1064, MMULT($AU$32:$AW$34,TRANSPOSE(O1064:Q1064))))</f>
        <v>0.16049440816532679</v>
      </c>
      <c r="T1064" s="36">
        <v>1.0524370613089218</v>
      </c>
      <c r="U1064" s="36">
        <v>0.54451387032519027</v>
      </c>
      <c r="V1064" s="35">
        <f t="shared" si="171"/>
        <v>4.9499035398860459E-3</v>
      </c>
      <c r="W1064" s="35">
        <f t="shared" si="172"/>
        <v>3.2458837630741526E-2</v>
      </c>
      <c r="X1064" s="35">
        <f t="shared" si="173"/>
        <v>1.6793676272280254E-2</v>
      </c>
      <c r="Y1064" s="32">
        <f t="shared" si="174"/>
        <v>-15607.045861260704</v>
      </c>
      <c r="Z1064" s="32">
        <f t="shared" si="167"/>
        <v>205899.39062684579</v>
      </c>
      <c r="AA1064" s="32">
        <f t="shared" si="168"/>
        <v>107725.66297951069</v>
      </c>
      <c r="AB1064" s="40">
        <f t="shared" si="175"/>
        <v>-5.2369472500500384E-2</v>
      </c>
      <c r="AC1064" s="40">
        <f t="shared" si="176"/>
        <v>0.69089580252129612</v>
      </c>
      <c r="AD1064" s="40">
        <f t="shared" si="177"/>
        <v>0.36147366997920427</v>
      </c>
      <c r="AE1064" s="40"/>
      <c r="AF1064" s="40"/>
      <c r="AG1064" s="40"/>
      <c r="AH1064" s="40"/>
      <c r="AI1064" s="40"/>
      <c r="AJ1064" s="40"/>
      <c r="AK1064" s="33">
        <f t="shared" si="169"/>
        <v>6343400</v>
      </c>
      <c r="AL1064" s="33">
        <f t="shared" si="170"/>
        <v>6414656.4000000004</v>
      </c>
      <c r="AM1064" s="34"/>
      <c r="AN1064" s="33"/>
      <c r="AO1064" s="15" cm="1">
        <f t="array" ref="AO1064">SUMPRODUCT(I1064:K1064, TRANSPOSE($AY$5:$AY$7))</f>
        <v>-4.3024434043510001E-3</v>
      </c>
      <c r="AP1064" s="22">
        <f t="shared" si="178"/>
        <v>9662859.7689319905</v>
      </c>
      <c r="AQ1064" s="22">
        <f t="shared" si="179"/>
        <v>-41753.549563940614</v>
      </c>
      <c r="AR1064">
        <f t="shared" si="180"/>
        <v>0</v>
      </c>
      <c r="AS1064">
        <f t="shared" si="181"/>
        <v>0</v>
      </c>
      <c r="BJ1064">
        <f t="shared" si="155"/>
        <v>5.6691919079273191E-8</v>
      </c>
      <c r="BK1064">
        <f t="shared" si="157"/>
        <v>5.4405574093909074E-5</v>
      </c>
      <c r="BO1064">
        <f t="shared" si="158"/>
        <v>6.5960432431343567E-5</v>
      </c>
      <c r="BP1064">
        <f t="shared" si="156"/>
        <v>3.8938594770914259</v>
      </c>
    </row>
    <row r="1065" spans="1:68" x14ac:dyDescent="0.15">
      <c r="A1065" s="5">
        <v>45121</v>
      </c>
      <c r="B1065" s="1"/>
      <c r="C1065">
        <v>105.2</v>
      </c>
      <c r="D1065">
        <v>90.14</v>
      </c>
      <c r="E1065">
        <v>80.524410000000003</v>
      </c>
      <c r="G1065" s="3">
        <v>8.0327579318259998E-3</v>
      </c>
      <c r="I1065" s="15">
        <f t="shared" si="159"/>
        <v>9.5147478591825431E-4</v>
      </c>
      <c r="J1065" s="15">
        <f t="shared" si="160"/>
        <v>-5.2968439638049428E-3</v>
      </c>
      <c r="K1065" s="15">
        <f t="shared" si="161"/>
        <v>4.2553175568375221E-3</v>
      </c>
      <c r="L1065" s="32">
        <f t="shared" si="162"/>
        <v>297372.82932205428</v>
      </c>
      <c r="M1065" s="15"/>
      <c r="N1065" s="32">
        <f t="shared" si="163"/>
        <v>-3156000</v>
      </c>
      <c r="O1065" s="34">
        <f t="shared" si="164"/>
        <v>-0.32684698152989655</v>
      </c>
      <c r="P1065" s="34">
        <f t="shared" si="165"/>
        <v>0.65346612295859985</v>
      </c>
      <c r="Q1065" s="34">
        <f t="shared" si="166"/>
        <v>0.66715235356085723</v>
      </c>
      <c r="R1065" s="35" cm="1">
        <f t="array" ref="R1065">SQRT(MMULT(O1065:Q1065, MMULT($AU$32:$AW$34,TRANSPOSE(O1065:Q1065))))</f>
        <v>1.3217607398526759E-2</v>
      </c>
      <c r="S1065" s="36" cm="1">
        <f t="array" ref="S1065:U1065">TRANSPOSE(MMULT($AU$32:$AW$34, TRANSPOSE(O1065:Q1065))/MMULT(O1065:Q1065, MMULT($AU$32:$AW$34,TRANSPOSE(O1065:Q1065))))</f>
        <v>0.16100347495014791</v>
      </c>
      <c r="T1065" s="36">
        <v>1.0519849283932452</v>
      </c>
      <c r="U1065" s="36">
        <v>0.54738169667860415</v>
      </c>
      <c r="V1065" s="35">
        <f t="shared" si="171"/>
        <v>4.9584280815367513E-3</v>
      </c>
      <c r="W1065" s="35">
        <f t="shared" si="172"/>
        <v>3.2398006390319235E-2</v>
      </c>
      <c r="X1065" s="35">
        <f t="shared" si="173"/>
        <v>1.685772792774079E-2</v>
      </c>
      <c r="Y1065" s="32">
        <f t="shared" si="174"/>
        <v>-15648.799025329987</v>
      </c>
      <c r="Z1065" s="32">
        <f t="shared" si="167"/>
        <v>204424.94072163632</v>
      </c>
      <c r="AA1065" s="32">
        <f t="shared" si="168"/>
        <v>108596.68762574797</v>
      </c>
      <c r="AB1065" s="40">
        <f t="shared" si="175"/>
        <v>-5.2623499803280155E-2</v>
      </c>
      <c r="AC1065" s="40">
        <f t="shared" si="176"/>
        <v>0.68743651256801419</v>
      </c>
      <c r="AD1065" s="40">
        <f t="shared" si="177"/>
        <v>0.36518698723526599</v>
      </c>
      <c r="AE1065" s="40"/>
      <c r="AF1065" s="40"/>
      <c r="AG1065" s="40"/>
      <c r="AH1065" s="40"/>
      <c r="AI1065" s="40"/>
      <c r="AJ1065" s="40"/>
      <c r="AK1065" s="33">
        <f t="shared" si="169"/>
        <v>6309800</v>
      </c>
      <c r="AL1065" s="33">
        <f t="shared" si="170"/>
        <v>6441952.7999999998</v>
      </c>
      <c r="AM1065" s="34"/>
      <c r="AN1065" s="33"/>
      <c r="AO1065" s="15" cm="1">
        <f t="array" ref="AO1065">SUMPRODUCT(I1065:K1065, TRANSPOSE($AY$5:$AY$7))</f>
        <v>-7.2081984816441905E-4</v>
      </c>
      <c r="AP1065" s="22">
        <f t="shared" si="178"/>
        <v>9655894.587820515</v>
      </c>
      <c r="AQ1065" s="22">
        <f t="shared" si="179"/>
        <v>-6965.1811114754528</v>
      </c>
      <c r="AR1065">
        <f t="shared" si="180"/>
        <v>0</v>
      </c>
      <c r="AS1065">
        <f t="shared" si="181"/>
        <v>0</v>
      </c>
      <c r="BJ1065">
        <f t="shared" si="155"/>
        <v>6.4525199991313518E-5</v>
      </c>
      <c r="BK1065">
        <f t="shared" si="157"/>
        <v>5.1144641163419283E-5</v>
      </c>
      <c r="BO1065">
        <f t="shared" si="158"/>
        <v>5.7685865354513992E-5</v>
      </c>
      <c r="BP1065">
        <f t="shared" si="156"/>
        <v>3.402029804709751</v>
      </c>
    </row>
    <row r="1066" spans="1:68" x14ac:dyDescent="0.15">
      <c r="A1066" s="5">
        <v>45124</v>
      </c>
      <c r="B1066" s="1"/>
      <c r="C1066">
        <v>104.74</v>
      </c>
      <c r="D1066">
        <v>90.38</v>
      </c>
      <c r="E1066">
        <v>80.486496000000002</v>
      </c>
      <c r="G1066" s="3">
        <v>-1.20600043500417E-2</v>
      </c>
      <c r="I1066" s="15">
        <f t="shared" si="159"/>
        <v>-4.3726235741445626E-3</v>
      </c>
      <c r="J1066" s="15">
        <f t="shared" si="160"/>
        <v>2.6625249611714544E-3</v>
      </c>
      <c r="K1066" s="15">
        <f t="shared" si="161"/>
        <v>-4.7083859416046227E-4</v>
      </c>
      <c r="L1066" s="32">
        <f t="shared" si="162"/>
        <v>297934.84803462331</v>
      </c>
      <c r="M1066" s="15"/>
      <c r="N1066" s="32">
        <f t="shared" si="163"/>
        <v>-3142200</v>
      </c>
      <c r="O1066" s="34">
        <f t="shared" si="164"/>
        <v>-0.32440331937429073</v>
      </c>
      <c r="P1066" s="34">
        <f t="shared" si="165"/>
        <v>0.65316340155094765</v>
      </c>
      <c r="Q1066" s="34">
        <f t="shared" si="166"/>
        <v>0.66475937794425755</v>
      </c>
      <c r="R1066" s="35" cm="1">
        <f t="array" ref="R1066">SQRT(MMULT(O1066:Q1066, MMULT($AU$32:$AW$34,TRANSPOSE(O1066:Q1066))))</f>
        <v>1.3201304471308432E-2</v>
      </c>
      <c r="S1066" s="36" cm="1">
        <f t="array" ref="S1066:U1066">TRANSPOSE(MMULT($AU$32:$AW$34, TRANSPOSE(O1066:Q1066))/MMULT(O1066:Q1066, MMULT($AU$32:$AW$34,TRANSPOSE(O1066:Q1066))))</f>
        <v>0.16226465594543288</v>
      </c>
      <c r="T1066" s="36">
        <v>1.0540592404202955</v>
      </c>
      <c r="U1066" s="36">
        <v>0.5478166780028999</v>
      </c>
      <c r="V1066" s="35">
        <f t="shared" si="171"/>
        <v>4.991104948397899E-3</v>
      </c>
      <c r="W1066" s="35">
        <f t="shared" si="172"/>
        <v>3.2421849725151691E-2</v>
      </c>
      <c r="X1066" s="35">
        <f t="shared" si="173"/>
        <v>1.6850314792610444E-2</v>
      </c>
      <c r="Y1066" s="32">
        <f t="shared" si="174"/>
        <v>-15683.049968855878</v>
      </c>
      <c r="Z1066" s="32">
        <f t="shared" si="167"/>
        <v>205120.0744711447</v>
      </c>
      <c r="AA1066" s="32">
        <f t="shared" si="168"/>
        <v>108497.82353233451</v>
      </c>
      <c r="AB1066" s="40">
        <f t="shared" si="175"/>
        <v>-5.2639193005825674E-2</v>
      </c>
      <c r="AC1066" s="40">
        <f t="shared" si="176"/>
        <v>0.68847291890912843</v>
      </c>
      <c r="AD1066" s="40">
        <f t="shared" si="177"/>
        <v>0.36416627409669738</v>
      </c>
      <c r="AE1066" s="40"/>
      <c r="AF1066" s="40"/>
      <c r="AG1066" s="40"/>
      <c r="AH1066" s="40"/>
      <c r="AI1066" s="40"/>
      <c r="AJ1066" s="40"/>
      <c r="AK1066" s="33">
        <f t="shared" si="169"/>
        <v>6326600</v>
      </c>
      <c r="AL1066" s="33">
        <f t="shared" si="170"/>
        <v>6438919.6800000006</v>
      </c>
      <c r="AM1066" s="34"/>
      <c r="AN1066" s="33"/>
      <c r="AO1066" s="15" cm="1">
        <f t="array" ref="AO1066">SUMPRODUCT(I1066:K1066, TRANSPOSE($AY$5:$AY$7))</f>
        <v>3.1272286023058069E-3</v>
      </c>
      <c r="AP1066" s="22">
        <f t="shared" si="178"/>
        <v>9686090.777556397</v>
      </c>
      <c r="AQ1066" s="22">
        <f t="shared" si="179"/>
        <v>30196.189735881984</v>
      </c>
      <c r="AR1066">
        <f t="shared" si="180"/>
        <v>0</v>
      </c>
      <c r="AS1066">
        <f t="shared" si="181"/>
        <v>0</v>
      </c>
      <c r="BJ1066">
        <f t="shared" si="155"/>
        <v>1.4544370492302472E-4</v>
      </c>
      <c r="BK1066">
        <f t="shared" si="157"/>
        <v>5.1947474693092941E-5</v>
      </c>
      <c r="BO1066">
        <f t="shared" si="158"/>
        <v>6.0377087294409224E-5</v>
      </c>
      <c r="BP1066">
        <f t="shared" si="156"/>
        <v>2.7340508125525949</v>
      </c>
    </row>
    <row r="1067" spans="1:68" x14ac:dyDescent="0.15">
      <c r="A1067" s="5">
        <v>45125</v>
      </c>
      <c r="B1067" s="1"/>
      <c r="C1067">
        <v>104.38</v>
      </c>
      <c r="D1067">
        <v>91</v>
      </c>
      <c r="E1067">
        <v>84.220794999999995</v>
      </c>
      <c r="G1067" s="3">
        <v>1.1602001542066101E-2</v>
      </c>
      <c r="I1067" s="15">
        <f t="shared" si="159"/>
        <v>-3.4370822990261547E-3</v>
      </c>
      <c r="J1067" s="15">
        <f t="shared" si="160"/>
        <v>6.8599247621155632E-3</v>
      </c>
      <c r="K1067" s="15">
        <f t="shared" si="161"/>
        <v>4.639659055352581E-2</v>
      </c>
      <c r="L1067" s="32">
        <f t="shared" si="162"/>
        <v>304479.65083221137</v>
      </c>
      <c r="M1067" s="15"/>
      <c r="N1067" s="32">
        <f t="shared" si="163"/>
        <v>-3131400</v>
      </c>
      <c r="O1067" s="34">
        <f t="shared" si="164"/>
        <v>-0.3108369809667556</v>
      </c>
      <c r="P1067" s="34">
        <f t="shared" si="165"/>
        <v>0.63231512063557294</v>
      </c>
      <c r="Q1067" s="34">
        <f t="shared" si="166"/>
        <v>0.66881107881254453</v>
      </c>
      <c r="R1067" s="35" cm="1">
        <f t="array" ref="R1067">SQRT(MMULT(O1067:Q1067, MMULT($AU$32:$AW$34,TRANSPOSE(O1067:Q1067))))</f>
        <v>1.297168777646336E-2</v>
      </c>
      <c r="S1067" s="36" cm="1">
        <f t="array" ref="S1067:U1067">TRANSPOSE(MMULT($AU$32:$AW$34, TRANSPOSE(O1067:Q1067))/MMULT(O1067:Q1067, MMULT($AU$32:$AW$34,TRANSPOSE(O1067:Q1067))))</f>
        <v>0.17457723108751577</v>
      </c>
      <c r="T1067" s="36">
        <v>1.0652788095340624</v>
      </c>
      <c r="U1067" s="36">
        <v>0.56917890949354999</v>
      </c>
      <c r="V1067" s="35">
        <f t="shared" si="171"/>
        <v>5.2764279094939231E-3</v>
      </c>
      <c r="W1067" s="35">
        <f t="shared" si="172"/>
        <v>3.2197021381329162E-2</v>
      </c>
      <c r="X1067" s="35">
        <f t="shared" si="173"/>
        <v>1.7202881869752874E-2</v>
      </c>
      <c r="Y1067" s="32">
        <f t="shared" si="174"/>
        <v>-16522.60635578927</v>
      </c>
      <c r="Z1067" s="32">
        <f t="shared" si="167"/>
        <v>205095.02619906675</v>
      </c>
      <c r="AA1067" s="32">
        <f t="shared" si="168"/>
        <v>115907.23098893386</v>
      </c>
      <c r="AB1067" s="40">
        <f t="shared" si="175"/>
        <v>-5.4265059456779036E-2</v>
      </c>
      <c r="AC1067" s="40">
        <f t="shared" si="176"/>
        <v>0.67359189896105021</v>
      </c>
      <c r="AD1067" s="40">
        <f t="shared" si="177"/>
        <v>0.3806731604957288</v>
      </c>
      <c r="AE1067" s="40"/>
      <c r="AF1067" s="40"/>
      <c r="AG1067" s="40"/>
      <c r="AH1067" s="40"/>
      <c r="AI1067" s="40"/>
      <c r="AJ1067" s="40"/>
      <c r="AK1067" s="33">
        <f t="shared" si="169"/>
        <v>6370000</v>
      </c>
      <c r="AL1067" s="33">
        <f t="shared" si="170"/>
        <v>6737663.5999999996</v>
      </c>
      <c r="AM1067" s="34"/>
      <c r="AN1067" s="33"/>
      <c r="AO1067" s="15" cm="1">
        <f t="array" ref="AO1067">SUMPRODUCT(I1067:K1067, TRANSPOSE($AY$5:$AY$7))</f>
        <v>4.0057452179733284E-2</v>
      </c>
      <c r="AP1067" s="22">
        <f t="shared" si="178"/>
        <v>10074090.895686917</v>
      </c>
      <c r="AQ1067" s="22">
        <f t="shared" si="179"/>
        <v>388000.11813051999</v>
      </c>
      <c r="AR1067">
        <f t="shared" si="180"/>
        <v>0</v>
      </c>
      <c r="AS1067">
        <f t="shared" si="181"/>
        <v>0</v>
      </c>
      <c r="BJ1067">
        <f t="shared" si="155"/>
        <v>1.3460643978210418E-4</v>
      </c>
      <c r="BK1067">
        <f t="shared" si="157"/>
        <v>5.7557248506888852E-5</v>
      </c>
      <c r="BO1067">
        <f t="shared" si="158"/>
        <v>7.4012453531885247E-5</v>
      </c>
      <c r="BP1067">
        <f t="shared" si="156"/>
        <v>2.9273501246527451</v>
      </c>
    </row>
    <row r="1068" spans="1:68" x14ac:dyDescent="0.15">
      <c r="A1068" s="5">
        <v>45126</v>
      </c>
      <c r="B1068" s="1"/>
      <c r="C1068">
        <v>104.76</v>
      </c>
      <c r="D1068">
        <v>91</v>
      </c>
      <c r="E1068">
        <v>84.306089999999998</v>
      </c>
      <c r="G1068" s="3">
        <v>1.4951479751863499E-3</v>
      </c>
      <c r="I1068" s="15">
        <f t="shared" si="159"/>
        <v>3.6405441655490483E-3</v>
      </c>
      <c r="J1068" s="15">
        <f t="shared" si="160"/>
        <v>0</v>
      </c>
      <c r="K1068" s="15">
        <f t="shared" si="161"/>
        <v>1.0127546290675852E-3</v>
      </c>
      <c r="L1068" s="32">
        <f t="shared" si="162"/>
        <v>304536.99312245462</v>
      </c>
      <c r="M1068" s="15"/>
      <c r="N1068" s="32">
        <f t="shared" si="163"/>
        <v>-3142800</v>
      </c>
      <c r="O1068" s="34">
        <f t="shared" si="164"/>
        <v>-0.31218371247530563</v>
      </c>
      <c r="P1068" s="34">
        <f t="shared" si="165"/>
        <v>0.63275112907843223</v>
      </c>
      <c r="Q1068" s="34">
        <f t="shared" si="166"/>
        <v>0.66995006135871815</v>
      </c>
      <c r="R1068" s="35" cm="1">
        <f t="array" ref="R1068">SQRT(MMULT(O1068:Q1068, MMULT($AU$32:$AW$34,TRANSPOSE(O1068:Q1068))))</f>
        <v>1.2983076939542511E-2</v>
      </c>
      <c r="S1068" s="36" cm="1">
        <f t="array" ref="S1068:U1068">TRANSPOSE(MMULT($AU$32:$AW$34, TRANSPOSE(O1068:Q1068))/MMULT(O1068:Q1068, MMULT($AU$32:$AW$34,TRANSPOSE(O1068:Q1068))))</f>
        <v>0.17378112226230258</v>
      </c>
      <c r="T1068" s="36">
        <v>1.0640573160476856</v>
      </c>
      <c r="U1068" s="36">
        <v>0.5686515902394188</v>
      </c>
      <c r="V1068" s="35">
        <f t="shared" si="171"/>
        <v>5.2569778766636379E-3</v>
      </c>
      <c r="W1068" s="35">
        <f t="shared" si="172"/>
        <v>3.2188339545429379E-2</v>
      </c>
      <c r="X1068" s="35">
        <f t="shared" si="173"/>
        <v>1.7202034320540772E-2</v>
      </c>
      <c r="Y1068" s="32">
        <f t="shared" si="174"/>
        <v>-16521.630070778479</v>
      </c>
      <c r="Z1068" s="32">
        <f t="shared" si="167"/>
        <v>205039.72290438515</v>
      </c>
      <c r="AA1068" s="32">
        <f t="shared" si="168"/>
        <v>116018.90028884794</v>
      </c>
      <c r="AB1068" s="40">
        <f t="shared" si="175"/>
        <v>-5.4251635905970597E-2</v>
      </c>
      <c r="AC1068" s="40">
        <f t="shared" si="176"/>
        <v>0.67328346813333939</v>
      </c>
      <c r="AD1068" s="40">
        <f t="shared" si="177"/>
        <v>0.38096816777263126</v>
      </c>
      <c r="AE1068" s="40"/>
      <c r="AF1068" s="40"/>
      <c r="AG1068" s="40"/>
      <c r="AH1068" s="40"/>
      <c r="AI1068" s="40"/>
      <c r="AJ1068" s="40"/>
      <c r="AK1068" s="33">
        <f t="shared" si="169"/>
        <v>6370000</v>
      </c>
      <c r="AL1068" s="33">
        <f t="shared" si="170"/>
        <v>6744487.2000000002</v>
      </c>
      <c r="AM1068" s="34"/>
      <c r="AN1068" s="33"/>
      <c r="AO1068" s="15" cm="1">
        <f t="array" ref="AO1068">SUMPRODUCT(I1068:K1068, TRANSPOSE($AY$5:$AY$7))</f>
        <v>-6.8906782275411226E-4</v>
      </c>
      <c r="AP1068" s="22">
        <f t="shared" si="178"/>
        <v>10067149.163807198</v>
      </c>
      <c r="AQ1068" s="22">
        <f t="shared" si="179"/>
        <v>-6941.7318797186017</v>
      </c>
      <c r="AR1068">
        <f t="shared" si="180"/>
        <v>0</v>
      </c>
      <c r="AS1068">
        <f t="shared" si="181"/>
        <v>0</v>
      </c>
      <c r="BJ1068">
        <f t="shared" si="155"/>
        <v>2.2354674677038419E-6</v>
      </c>
      <c r="BK1068">
        <f t="shared" si="157"/>
        <v>6.2180199983401778E-5</v>
      </c>
      <c r="BO1068">
        <f t="shared" si="158"/>
        <v>8.3164300651106935E-5</v>
      </c>
      <c r="BP1068">
        <f t="shared" si="156"/>
        <v>3.7649675907283515</v>
      </c>
    </row>
    <row r="1069" spans="1:68" x14ac:dyDescent="0.15">
      <c r="A1069" s="5">
        <v>45127</v>
      </c>
      <c r="B1069" s="1"/>
      <c r="C1069">
        <v>104.06</v>
      </c>
      <c r="D1069">
        <v>92.54</v>
      </c>
      <c r="E1069">
        <v>86.201674999999994</v>
      </c>
      <c r="G1069" s="3">
        <v>7.3203632646248098E-3</v>
      </c>
      <c r="I1069" s="15">
        <f t="shared" si="159"/>
        <v>-6.6819396716304201E-3</v>
      </c>
      <c r="J1069" s="15">
        <f t="shared" si="160"/>
        <v>1.6923076923076992E-2</v>
      </c>
      <c r="K1069" s="15">
        <f t="shared" si="161"/>
        <v>2.2484555979289243E-2</v>
      </c>
      <c r="L1069" s="32">
        <f t="shared" si="162"/>
        <v>310734.95890896546</v>
      </c>
      <c r="M1069" s="15"/>
      <c r="N1069" s="32">
        <f t="shared" si="163"/>
        <v>-3121800</v>
      </c>
      <c r="O1069" s="34">
        <f t="shared" si="164"/>
        <v>-0.3009696015667338</v>
      </c>
      <c r="P1069" s="34">
        <f t="shared" si="165"/>
        <v>0.62451818983566798</v>
      </c>
      <c r="Q1069" s="34">
        <f t="shared" si="166"/>
        <v>0.66484935048075033</v>
      </c>
      <c r="R1069" s="35" cm="1">
        <f t="array" ref="R1069">SQRT(MMULT(O1069:Q1069, MMULT($AU$32:$AW$34,TRANSPOSE(O1069:Q1069))))</f>
        <v>1.2857358453605744E-2</v>
      </c>
      <c r="S1069" s="36" cm="1">
        <f t="array" ref="S1069:U1069">TRANSPOSE(MMULT($AU$32:$AW$34, TRANSPOSE(O1069:Q1069))/MMULT(O1069:Q1069, MMULT($AU$32:$AW$34,TRANSPOSE(O1069:Q1069))))</f>
        <v>0.18181966791327145</v>
      </c>
      <c r="T1069" s="36">
        <v>1.0738243220985537</v>
      </c>
      <c r="U1069" s="36">
        <v>0.57772391729436146</v>
      </c>
      <c r="V1069" s="35">
        <f t="shared" si="171"/>
        <v>5.446889101164221E-3</v>
      </c>
      <c r="W1069" s="35">
        <f t="shared" si="172"/>
        <v>3.2169248045231622E-2</v>
      </c>
      <c r="X1069" s="35">
        <f t="shared" si="173"/>
        <v>1.730724813606848E-2</v>
      </c>
      <c r="Y1069" s="32">
        <f t="shared" si="174"/>
        <v>-17004.098396014466</v>
      </c>
      <c r="Z1069" s="32">
        <f t="shared" si="167"/>
        <v>208385.9549874014</v>
      </c>
      <c r="AA1069" s="32">
        <f t="shared" si="168"/>
        <v>119353.10231757848</v>
      </c>
      <c r="AB1069" s="40">
        <f t="shared" si="175"/>
        <v>-5.4722193008853164E-2</v>
      </c>
      <c r="AC1069" s="40">
        <f t="shared" si="176"/>
        <v>0.67062282183850208</v>
      </c>
      <c r="AD1069" s="40">
        <f t="shared" si="177"/>
        <v>0.38409937117035098</v>
      </c>
      <c r="AE1069" s="40"/>
      <c r="AF1069" s="40"/>
      <c r="AG1069" s="40"/>
      <c r="AH1069" s="40"/>
      <c r="AI1069" s="40"/>
      <c r="AJ1069" s="40"/>
      <c r="AK1069" s="33">
        <f t="shared" si="169"/>
        <v>6477800</v>
      </c>
      <c r="AL1069" s="33">
        <f t="shared" si="170"/>
        <v>6896134</v>
      </c>
      <c r="AM1069" s="34"/>
      <c r="AN1069" s="33"/>
      <c r="AO1069" s="15" cm="1">
        <f t="array" ref="AO1069">SUMPRODUCT(I1069:K1069, TRANSPOSE($AY$5:$AY$7))</f>
        <v>3.0329036978580866E-2</v>
      </c>
      <c r="AP1069" s="22">
        <f t="shared" si="178"/>
        <v>10372476.103065196</v>
      </c>
      <c r="AQ1069" s="22">
        <f t="shared" si="179"/>
        <v>305326.93925799802</v>
      </c>
      <c r="AR1069">
        <f t="shared" si="180"/>
        <v>0</v>
      </c>
      <c r="AS1069">
        <f t="shared" si="181"/>
        <v>0</v>
      </c>
      <c r="BJ1069">
        <f t="shared" si="155"/>
        <v>5.35877183260684E-5</v>
      </c>
      <c r="BK1069">
        <f t="shared" si="157"/>
        <v>5.8583516032459898E-5</v>
      </c>
      <c r="BO1069">
        <f t="shared" si="158"/>
        <v>7.1490516816941803E-5</v>
      </c>
      <c r="BP1069">
        <f t="shared" si="156"/>
        <v>3.4792453433091599</v>
      </c>
    </row>
    <row r="1070" spans="1:68" x14ac:dyDescent="0.15">
      <c r="A1070" s="5">
        <v>45128</v>
      </c>
      <c r="B1070" s="1"/>
      <c r="C1070">
        <v>104.66</v>
      </c>
      <c r="D1070">
        <v>93.16</v>
      </c>
      <c r="E1070">
        <v>86.504974000000004</v>
      </c>
      <c r="G1070" s="3">
        <v>5.2012093472542098E-4</v>
      </c>
      <c r="I1070" s="15">
        <f t="shared" si="159"/>
        <v>5.7659042859887983E-3</v>
      </c>
      <c r="J1070" s="15">
        <f t="shared" si="160"/>
        <v>6.6998054895179415E-3</v>
      </c>
      <c r="K1070" s="15">
        <f t="shared" si="161"/>
        <v>3.5184815144254423E-3</v>
      </c>
      <c r="L1070" s="32">
        <f t="shared" si="162"/>
        <v>312453.25071416755</v>
      </c>
      <c r="M1070" s="15"/>
      <c r="N1070" s="32">
        <f t="shared" si="163"/>
        <v>-3139800</v>
      </c>
      <c r="O1070" s="34">
        <f t="shared" si="164"/>
        <v>-0.30128186349514535</v>
      </c>
      <c r="P1070" s="34">
        <f t="shared" si="165"/>
        <v>0.62574663616298543</v>
      </c>
      <c r="Q1070" s="34">
        <f t="shared" si="166"/>
        <v>0.66405197192990884</v>
      </c>
      <c r="R1070" s="35" cm="1">
        <f t="array" ref="R1070">SQRT(MMULT(O1070:Q1070, MMULT($AU$32:$AW$34,TRANSPOSE(O1070:Q1070))))</f>
        <v>1.2867676384936938E-2</v>
      </c>
      <c r="S1070" s="36" cm="1">
        <f t="array" ref="S1070:U1070">TRANSPOSE(MMULT($AU$32:$AW$34, TRANSPOSE(O1070:Q1070))/MMULT(O1070:Q1070, MMULT($AU$32:$AW$34,TRANSPOSE(O1070:Q1070))))</f>
        <v>0.18130384914684736</v>
      </c>
      <c r="T1070" s="36">
        <v>1.0736417233080482</v>
      </c>
      <c r="U1070" s="36">
        <v>0.57645467660167937</v>
      </c>
      <c r="V1070" s="35">
        <f t="shared" si="171"/>
        <v>5.4357950715245825E-3</v>
      </c>
      <c r="W1070" s="35">
        <f t="shared" si="172"/>
        <v>3.2189588999922948E-2</v>
      </c>
      <c r="X1070" s="35">
        <f t="shared" si="173"/>
        <v>1.7283083093788763E-2</v>
      </c>
      <c r="Y1070" s="32">
        <f t="shared" si="174"/>
        <v>-17067.309365572884</v>
      </c>
      <c r="Z1070" s="32">
        <f t="shared" si="167"/>
        <v>209914.74778629752</v>
      </c>
      <c r="AA1070" s="32">
        <f t="shared" si="168"/>
        <v>119605.81229344291</v>
      </c>
      <c r="AB1070" s="40">
        <f t="shared" si="175"/>
        <v>-5.4623561529804888E-2</v>
      </c>
      <c r="AC1070" s="40">
        <f t="shared" si="176"/>
        <v>0.67182769680424181</v>
      </c>
      <c r="AD1070" s="40">
        <f t="shared" si="177"/>
        <v>0.38279586472556304</v>
      </c>
      <c r="AE1070" s="40"/>
      <c r="AF1070" s="40"/>
      <c r="AG1070" s="40"/>
      <c r="AH1070" s="40"/>
      <c r="AI1070" s="40"/>
      <c r="AJ1070" s="40"/>
      <c r="AK1070" s="33">
        <f t="shared" si="169"/>
        <v>6521200</v>
      </c>
      <c r="AL1070" s="33">
        <f t="shared" si="170"/>
        <v>6920397.9199999999</v>
      </c>
      <c r="AM1070" s="34"/>
      <c r="AN1070" s="33"/>
      <c r="AO1070" s="15" cm="1">
        <f t="array" ref="AO1070">SUMPRODUCT(I1070:K1070, TRANSPOSE($AY$5:$AY$7))</f>
        <v>4.7234837527397686E-3</v>
      </c>
      <c r="AP1070" s="22">
        <f t="shared" si="178"/>
        <v>10421470.325413706</v>
      </c>
      <c r="AQ1070" s="22">
        <f t="shared" si="179"/>
        <v>48994.222348509356</v>
      </c>
      <c r="AR1070">
        <f t="shared" si="180"/>
        <v>0</v>
      </c>
      <c r="AS1070">
        <f t="shared" si="181"/>
        <v>0</v>
      </c>
      <c r="BJ1070">
        <f t="shared" si="155"/>
        <v>2.7052578673964562E-7</v>
      </c>
      <c r="BK1070">
        <f t="shared" si="157"/>
        <v>5.8283768170076408E-5</v>
      </c>
      <c r="BO1070">
        <f t="shared" si="158"/>
        <v>6.9647445302146305E-5</v>
      </c>
      <c r="BP1070">
        <f t="shared" si="156"/>
        <v>3.8651516270713517</v>
      </c>
    </row>
    <row r="1071" spans="1:68" x14ac:dyDescent="0.15">
      <c r="A1071" s="5">
        <v>45131</v>
      </c>
      <c r="B1071" s="1"/>
      <c r="C1071">
        <v>104.4</v>
      </c>
      <c r="D1071">
        <v>93.28</v>
      </c>
      <c r="E1071">
        <v>86.059520000000006</v>
      </c>
      <c r="G1071" s="3">
        <v>-2.6500966993928598E-3</v>
      </c>
      <c r="I1071" s="15">
        <f t="shared" si="159"/>
        <v>-2.4842346646282336E-3</v>
      </c>
      <c r="J1071" s="15">
        <f t="shared" si="160"/>
        <v>1.288106483469349E-3</v>
      </c>
      <c r="K1071" s="15">
        <f t="shared" si="161"/>
        <v>-5.1494611165364664E-3</v>
      </c>
      <c r="L1071" s="32">
        <f t="shared" si="162"/>
        <v>312151.06988816371</v>
      </c>
      <c r="M1071" s="15"/>
      <c r="N1071" s="32">
        <f t="shared" si="163"/>
        <v>-3132000</v>
      </c>
      <c r="O1071" s="34">
        <f t="shared" si="164"/>
        <v>-0.30112626733699754</v>
      </c>
      <c r="P1071" s="34">
        <f t="shared" si="165"/>
        <v>0.62778865747243262</v>
      </c>
      <c r="Q1071" s="34">
        <f t="shared" si="166"/>
        <v>0.66193568394415547</v>
      </c>
      <c r="R1071" s="35" cm="1">
        <f t="array" ref="R1071">SQRT(MMULT(O1071:Q1071, MMULT($AU$32:$AW$34,TRANSPOSE(O1071:Q1071))))</f>
        <v>1.2880591118219376E-2</v>
      </c>
      <c r="S1071" s="36" cm="1">
        <f t="array" ref="S1071:U1071">TRANSPOSE(MMULT($AU$32:$AW$34, TRANSPOSE(O1071:Q1071))/MMULT(O1071:Q1071, MMULT($AU$32:$AW$34,TRANSPOSE(O1071:Q1071))))</f>
        <v>0.18079111010595059</v>
      </c>
      <c r="T1071" s="36">
        <v>1.0739770660738577</v>
      </c>
      <c r="U1071" s="36">
        <v>0.57439165301036166</v>
      </c>
      <c r="V1071" s="35">
        <f t="shared" si="171"/>
        <v>5.4258625353050868E-3</v>
      </c>
      <c r="W1071" s="35">
        <f t="shared" si="172"/>
        <v>3.2231960538170408E-2</v>
      </c>
      <c r="X1071" s="35">
        <f t="shared" si="173"/>
        <v>1.7238514376256939E-2</v>
      </c>
      <c r="Y1071" s="32">
        <f t="shared" si="174"/>
        <v>-16993.801460575531</v>
      </c>
      <c r="Z1071" s="32">
        <f t="shared" si="167"/>
        <v>210461.80953003748</v>
      </c>
      <c r="AA1071" s="32">
        <f t="shared" si="168"/>
        <v>118683.06181870174</v>
      </c>
      <c r="AB1071" s="40">
        <f t="shared" si="175"/>
        <v>-5.4440952153917026E-2</v>
      </c>
      <c r="AC1071" s="40">
        <f t="shared" si="176"/>
        <v>0.67423062046668925</v>
      </c>
      <c r="AD1071" s="40">
        <f t="shared" si="177"/>
        <v>0.38021033168722779</v>
      </c>
      <c r="AE1071" s="40"/>
      <c r="AF1071" s="40"/>
      <c r="AG1071" s="40"/>
      <c r="AH1071" s="40"/>
      <c r="AI1071" s="40"/>
      <c r="AJ1071" s="40"/>
      <c r="AK1071" s="33">
        <f t="shared" si="169"/>
        <v>6529600</v>
      </c>
      <c r="AL1071" s="33">
        <f t="shared" si="170"/>
        <v>6884761.6000000006</v>
      </c>
      <c r="AM1071" s="34"/>
      <c r="AN1071" s="33"/>
      <c r="AO1071" s="15" cm="1">
        <f t="array" ref="AO1071">SUMPRODUCT(I1071:K1071, TRANSPOSE($AY$5:$AY$7))</f>
        <v>-1.9688043033030253E-3</v>
      </c>
      <c r="AP1071" s="22">
        <f t="shared" si="178"/>
        <v>10400952.489790287</v>
      </c>
      <c r="AQ1071" s="22">
        <f t="shared" si="179"/>
        <v>-20517.835623418912</v>
      </c>
      <c r="AR1071">
        <f t="shared" si="180"/>
        <v>0</v>
      </c>
      <c r="AS1071">
        <f t="shared" si="181"/>
        <v>0</v>
      </c>
      <c r="BJ1071">
        <f t="shared" si="155"/>
        <v>7.0230125161329296E-6</v>
      </c>
      <c r="BK1071">
        <f t="shared" si="157"/>
        <v>5.48029736270762E-5</v>
      </c>
      <c r="BO1071">
        <f t="shared" si="158"/>
        <v>6.0608334415766251E-5</v>
      </c>
      <c r="BP1071">
        <f t="shared" si="156"/>
        <v>3.8786628586011425</v>
      </c>
    </row>
    <row r="1072" spans="1:68" x14ac:dyDescent="0.15">
      <c r="A1072" s="5">
        <v>45132</v>
      </c>
      <c r="B1072" s="1"/>
      <c r="C1072">
        <v>104.6</v>
      </c>
      <c r="D1072">
        <v>93.54</v>
      </c>
      <c r="E1072">
        <v>86.031075000000001</v>
      </c>
      <c r="G1072" s="3">
        <v>4.8069802067631697E-3</v>
      </c>
      <c r="I1072" s="15">
        <f t="shared" si="159"/>
        <v>1.9157088122604274E-3</v>
      </c>
      <c r="J1072" s="15">
        <f t="shared" si="160"/>
        <v>2.7873070325901061E-3</v>
      </c>
      <c r="K1072" s="15">
        <f t="shared" si="161"/>
        <v>-3.3052705848237286E-4</v>
      </c>
      <c r="L1072" s="32">
        <f t="shared" si="162"/>
        <v>312666.14937247109</v>
      </c>
      <c r="M1072" s="15"/>
      <c r="N1072" s="32">
        <f t="shared" si="163"/>
        <v>-3138000</v>
      </c>
      <c r="O1072" s="34">
        <f t="shared" si="164"/>
        <v>-0.30145196477661074</v>
      </c>
      <c r="P1072" s="34">
        <f t="shared" si="165"/>
        <v>0.62901439610079413</v>
      </c>
      <c r="Q1072" s="34">
        <f t="shared" si="166"/>
        <v>0.66116600613368914</v>
      </c>
      <c r="R1072" s="35" cm="1">
        <f t="array" ref="R1072">SQRT(MMULT(O1072:Q1072, MMULT($AU$32:$AW$34,TRANSPOSE(O1072:Q1072))))</f>
        <v>1.2891104342924838E-2</v>
      </c>
      <c r="S1072" s="36" cm="1">
        <f t="array" ref="S1072:U1072">TRANSPOSE(MMULT($AU$32:$AW$34, TRANSPOSE(O1072:Q1072))/MMULT(O1072:Q1072, MMULT($AU$32:$AW$34,TRANSPOSE(O1072:Q1072))))</f>
        <v>0.18027219068654768</v>
      </c>
      <c r="T1072" s="36">
        <v>1.0737600953652209</v>
      </c>
      <c r="U1072" s="36">
        <v>0.57312814727068273</v>
      </c>
      <c r="V1072" s="35">
        <f t="shared" si="171"/>
        <v>5.4147047552242757E-3</v>
      </c>
      <c r="W1072" s="35">
        <f t="shared" si="172"/>
        <v>3.225175148868923E-2</v>
      </c>
      <c r="X1072" s="35">
        <f t="shared" si="173"/>
        <v>1.7214633563617205E-2</v>
      </c>
      <c r="Y1072" s="32">
        <f t="shared" si="174"/>
        <v>-16991.343521893778</v>
      </c>
      <c r="Z1072" s="32">
        <f t="shared" si="167"/>
        <v>211178.01839763933</v>
      </c>
      <c r="AA1072" s="32">
        <f t="shared" si="168"/>
        <v>118479.47449672552</v>
      </c>
      <c r="AB1072" s="40">
        <f t="shared" si="175"/>
        <v>-5.4343406077043632E-2</v>
      </c>
      <c r="AC1072" s="40">
        <f t="shared" si="176"/>
        <v>0.67541055794328542</v>
      </c>
      <c r="AD1072" s="40">
        <f t="shared" si="177"/>
        <v>0.37893284813375816</v>
      </c>
      <c r="AE1072" s="40"/>
      <c r="AF1072" s="40"/>
      <c r="AG1072" s="40"/>
      <c r="AH1072" s="40"/>
      <c r="AI1072" s="40"/>
      <c r="AJ1072" s="40"/>
      <c r="AK1072" s="33">
        <f t="shared" si="169"/>
        <v>6547800</v>
      </c>
      <c r="AL1072" s="33">
        <f t="shared" si="170"/>
        <v>6882486</v>
      </c>
      <c r="AM1072" s="34"/>
      <c r="AN1072" s="33"/>
      <c r="AO1072" s="15" cm="1">
        <f t="array" ref="AO1072">SUMPRODUCT(I1072:K1072, TRANSPOSE($AY$5:$AY$7))</f>
        <v>8.3321004231465701E-4</v>
      </c>
      <c r="AP1072" s="22">
        <f t="shared" si="178"/>
        <v>10409618.667854419</v>
      </c>
      <c r="AQ1072" s="22">
        <f t="shared" si="179"/>
        <v>8666.1780641321093</v>
      </c>
      <c r="AR1072">
        <f t="shared" si="180"/>
        <v>0</v>
      </c>
      <c r="AS1072">
        <f t="shared" si="181"/>
        <v>0</v>
      </c>
      <c r="BJ1072">
        <f t="shared" si="155"/>
        <v>2.3107058708212886E-5</v>
      </c>
      <c r="BK1072">
        <f t="shared" si="157"/>
        <v>5.1936175960419601E-5</v>
      </c>
      <c r="BO1072">
        <f t="shared" si="158"/>
        <v>5.4479937728310629E-5</v>
      </c>
      <c r="BP1072">
        <f t="shared" si="156"/>
        <v>3.7778310561166437</v>
      </c>
    </row>
    <row r="1073" spans="1:68" x14ac:dyDescent="0.15">
      <c r="A1073" s="5">
        <v>45133</v>
      </c>
      <c r="B1073" s="1"/>
      <c r="C1073">
        <v>105.24</v>
      </c>
      <c r="D1073">
        <v>93.44</v>
      </c>
      <c r="E1073">
        <v>85.054850000000002</v>
      </c>
      <c r="G1073" s="3">
        <v>-4.2613924121829199E-3</v>
      </c>
      <c r="I1073" s="15">
        <f t="shared" si="159"/>
        <v>6.118546845124289E-3</v>
      </c>
      <c r="J1073" s="15">
        <f t="shared" si="160"/>
        <v>-1.0690613641223918E-3</v>
      </c>
      <c r="K1073" s="15">
        <f t="shared" si="161"/>
        <v>-1.1347353267409472E-2</v>
      </c>
      <c r="L1073" s="32">
        <f t="shared" si="162"/>
        <v>310996.86999974767</v>
      </c>
      <c r="M1073" s="15"/>
      <c r="N1073" s="32">
        <f t="shared" si="163"/>
        <v>-3157200</v>
      </c>
      <c r="O1073" s="34">
        <f t="shared" si="164"/>
        <v>-0.30681804512052413</v>
      </c>
      <c r="P1073" s="34">
        <f t="shared" si="165"/>
        <v>0.63563773898527942</v>
      </c>
      <c r="Q1073" s="34">
        <f t="shared" si="166"/>
        <v>0.66125333346051973</v>
      </c>
      <c r="R1073" s="35" cm="1">
        <f t="array" ref="R1073">SQRT(MMULT(O1073:Q1073, MMULT($AU$32:$AW$34,TRANSPOSE(O1073:Q1073))))</f>
        <v>1.2971162540927551E-2</v>
      </c>
      <c r="S1073" s="36" cm="1">
        <f t="array" ref="S1073:U1073">TRANSPOSE(MMULT($AU$32:$AW$34, TRANSPOSE(O1073:Q1073))/MMULT(O1073:Q1073, MMULT($AU$32:$AW$34,TRANSPOSE(O1073:Q1073))))</f>
        <v>0.17569013414631293</v>
      </c>
      <c r="T1073" s="36">
        <v>1.0690851353771307</v>
      </c>
      <c r="U1073" s="36">
        <v>0.56612802738210266</v>
      </c>
      <c r="V1073" s="35">
        <f t="shared" si="171"/>
        <v>5.3098493183586139E-3</v>
      </c>
      <c r="W1073" s="35">
        <f t="shared" si="172"/>
        <v>3.2310755552284472E-2</v>
      </c>
      <c r="X1073" s="35">
        <f t="shared" si="173"/>
        <v>1.7109979082804691E-2</v>
      </c>
      <c r="Y1073" s="32">
        <f t="shared" si="174"/>
        <v>-16764.256267921817</v>
      </c>
      <c r="Z1073" s="32">
        <f t="shared" si="167"/>
        <v>211338.18991638228</v>
      </c>
      <c r="AA1073" s="32">
        <f t="shared" si="168"/>
        <v>116422.93635128725</v>
      </c>
      <c r="AB1073" s="40">
        <f t="shared" si="175"/>
        <v>-5.3904903505734382E-2</v>
      </c>
      <c r="AC1073" s="40">
        <f t="shared" si="176"/>
        <v>0.67955085823389072</v>
      </c>
      <c r="AD1073" s="40">
        <f t="shared" si="177"/>
        <v>0.37435404527184379</v>
      </c>
      <c r="AE1073" s="40"/>
      <c r="AF1073" s="40"/>
      <c r="AG1073" s="40"/>
      <c r="AH1073" s="40"/>
      <c r="AI1073" s="40"/>
      <c r="AJ1073" s="40"/>
      <c r="AK1073" s="33">
        <f t="shared" si="169"/>
        <v>6540800</v>
      </c>
      <c r="AL1073" s="33">
        <f t="shared" si="170"/>
        <v>6804388</v>
      </c>
      <c r="AM1073" s="34"/>
      <c r="AN1073" s="33"/>
      <c r="AO1073" s="15" cm="1">
        <f t="array" ref="AO1073">SUMPRODUCT(I1073:K1073, TRANSPOSE($AY$5:$AY$7))</f>
        <v>-1.1477918042563574E-2</v>
      </c>
      <c r="AP1073" s="22">
        <f t="shared" si="178"/>
        <v>10290137.917930447</v>
      </c>
      <c r="AQ1073" s="22">
        <f t="shared" si="179"/>
        <v>-119480.74992397241</v>
      </c>
      <c r="AR1073">
        <f t="shared" si="180"/>
        <v>0</v>
      </c>
      <c r="AS1073">
        <f t="shared" si="181"/>
        <v>0</v>
      </c>
      <c r="BJ1073">
        <f t="shared" si="155"/>
        <v>1.8159465290610166E-5</v>
      </c>
      <c r="BK1073">
        <f t="shared" si="157"/>
        <v>5.0206428925287195E-5</v>
      </c>
      <c r="BO1073">
        <f t="shared" si="158"/>
        <v>5.1963646067368126E-5</v>
      </c>
      <c r="BP1073">
        <f t="shared" si="156"/>
        <v>3.83881216471605</v>
      </c>
    </row>
    <row r="1074" spans="1:68" x14ac:dyDescent="0.15">
      <c r="A1074" s="5">
        <v>45134</v>
      </c>
      <c r="B1074" s="1"/>
      <c r="C1074">
        <v>108</v>
      </c>
      <c r="D1074">
        <v>93.38</v>
      </c>
      <c r="E1074">
        <v>86.012119999999996</v>
      </c>
      <c r="G1074" s="3">
        <v>1.6959006380262199E-2</v>
      </c>
      <c r="I1074" s="15">
        <f t="shared" si="159"/>
        <v>2.6225769669327301E-2</v>
      </c>
      <c r="J1074" s="15">
        <f t="shared" si="160"/>
        <v>-6.4212328767125724E-4</v>
      </c>
      <c r="K1074" s="15">
        <f t="shared" si="161"/>
        <v>1.1254737384170262E-2</v>
      </c>
      <c r="L1074" s="32">
        <f t="shared" si="162"/>
        <v>311738.06185775762</v>
      </c>
      <c r="M1074" s="15"/>
      <c r="N1074" s="32">
        <f t="shared" si="163"/>
        <v>-3240000</v>
      </c>
      <c r="O1074" s="34">
        <f t="shared" si="164"/>
        <v>-0.31564367937903764</v>
      </c>
      <c r="P1074" s="34">
        <f t="shared" si="165"/>
        <v>0.63680138105833872</v>
      </c>
      <c r="Q1074" s="34">
        <f t="shared" si="166"/>
        <v>0.67035017353064963</v>
      </c>
      <c r="R1074" s="35" cm="1">
        <f t="array" ref="R1074">SQRT(MMULT(O1074:Q1074, MMULT($AU$32:$AW$34,TRANSPOSE(O1074:Q1074))))</f>
        <v>1.3034248509414592E-2</v>
      </c>
      <c r="S1074" s="36" cm="1">
        <f t="array" ref="S1074:U1074">TRANSPOSE(MMULT($AU$32:$AW$34, TRANSPOSE(O1074:Q1074))/MMULT(O1074:Q1074, MMULT($AU$32:$AW$34,TRANSPOSE(O1074:Q1074))))</f>
        <v>0.17098106368931015</v>
      </c>
      <c r="T1074" s="36">
        <v>1.0609478020159397</v>
      </c>
      <c r="U1074" s="36">
        <v>0.56441555687189959</v>
      </c>
      <c r="V1074" s="35">
        <f t="shared" si="171"/>
        <v>5.1926605416560941E-3</v>
      </c>
      <c r="W1074" s="35">
        <f t="shared" si="172"/>
        <v>3.2220771525293575E-2</v>
      </c>
      <c r="X1074" s="35">
        <f t="shared" si="173"/>
        <v>1.7141187029875757E-2</v>
      </c>
      <c r="Y1074" s="32">
        <f t="shared" si="174"/>
        <v>-16824.220154965744</v>
      </c>
      <c r="Z1074" s="32">
        <f t="shared" si="167"/>
        <v>210614.29515223397</v>
      </c>
      <c r="AA1074" s="32">
        <f t="shared" si="168"/>
        <v>117947.98686048937</v>
      </c>
      <c r="AB1074" s="40">
        <f t="shared" si="175"/>
        <v>-5.396909204703542E-2</v>
      </c>
      <c r="AC1074" s="40">
        <f t="shared" si="176"/>
        <v>0.67561302555455927</v>
      </c>
      <c r="AD1074" s="40">
        <f t="shared" si="177"/>
        <v>0.37835606649247611</v>
      </c>
      <c r="AE1074" s="40"/>
      <c r="AF1074" s="40"/>
      <c r="AG1074" s="40"/>
      <c r="AH1074" s="40"/>
      <c r="AI1074" s="40"/>
      <c r="AJ1074" s="40"/>
      <c r="AK1074" s="33">
        <f t="shared" si="169"/>
        <v>6536600</v>
      </c>
      <c r="AL1074" s="33">
        <f t="shared" si="170"/>
        <v>6880969.5999999996</v>
      </c>
      <c r="AM1074" s="34"/>
      <c r="AN1074" s="33"/>
      <c r="AO1074" s="15" cm="1">
        <f t="array" ref="AO1074">SUMPRODUCT(I1074:K1074, TRANSPOSE($AY$5:$AY$7))</f>
        <v>-2.4682733337860543E-3</v>
      </c>
      <c r="AP1074" s="22">
        <f t="shared" si="178"/>
        <v>10264739.044906639</v>
      </c>
      <c r="AQ1074" s="22">
        <f t="shared" si="179"/>
        <v>-25398.873023808002</v>
      </c>
      <c r="AR1074">
        <f t="shared" si="180"/>
        <v>0</v>
      </c>
      <c r="AS1074">
        <f t="shared" si="181"/>
        <v>0</v>
      </c>
      <c r="BJ1074">
        <f t="shared" si="155"/>
        <v>2.8760789740577399E-4</v>
      </c>
      <c r="BK1074">
        <f t="shared" si="157"/>
        <v>4.8283611107206571E-5</v>
      </c>
      <c r="BO1074">
        <f t="shared" si="158"/>
        <v>4.9285282997275638E-5</v>
      </c>
      <c r="BP1074">
        <f t="shared" si="156"/>
        <v>1.1222171762587307</v>
      </c>
    </row>
    <row r="1075" spans="1:68" x14ac:dyDescent="0.15">
      <c r="A1075" s="5">
        <v>45135</v>
      </c>
      <c r="B1075" s="1"/>
      <c r="C1075">
        <v>107.36</v>
      </c>
      <c r="D1075">
        <v>93.4</v>
      </c>
      <c r="E1075">
        <v>85.538229999999999</v>
      </c>
      <c r="G1075" s="3">
        <v>-4.8775716193617501E-3</v>
      </c>
      <c r="I1075" s="15">
        <f t="shared" si="159"/>
        <v>-5.9259259259259308E-3</v>
      </c>
      <c r="J1075" s="15">
        <f t="shared" si="160"/>
        <v>2.1417862497333725E-4</v>
      </c>
      <c r="K1075" s="15">
        <f t="shared" si="161"/>
        <v>-5.5095723718936035E-3</v>
      </c>
      <c r="L1075" s="32">
        <f t="shared" si="162"/>
        <v>311233.7720615702</v>
      </c>
      <c r="M1075" s="15"/>
      <c r="N1075" s="32">
        <f t="shared" si="163"/>
        <v>-3220800</v>
      </c>
      <c r="O1075" s="34">
        <f t="shared" si="164"/>
        <v>-0.31427071248557897</v>
      </c>
      <c r="P1075" s="34">
        <f t="shared" si="165"/>
        <v>0.63794768946557234</v>
      </c>
      <c r="Q1075" s="34">
        <f t="shared" si="166"/>
        <v>0.66771387200336119</v>
      </c>
      <c r="R1075" s="35" cm="1">
        <f t="array" ref="R1075">SQRT(MMULT(O1075:Q1075, MMULT($AU$32:$AW$34,TRANSPOSE(O1075:Q1075))))</f>
        <v>1.3033796856826008E-2</v>
      </c>
      <c r="S1075" s="36" cm="1">
        <f t="array" ref="S1075:U1075">TRANSPOSE(MMULT($AU$32:$AW$34, TRANSPOSE(O1075:Q1075))/MMULT(O1075:Q1075, MMULT($AU$32:$AW$34,TRANSPOSE(O1075:Q1075))))</f>
        <v>0.17134742535425784</v>
      </c>
      <c r="T1075" s="36">
        <v>1.0622804085008979</v>
      </c>
      <c r="U1075" s="36">
        <v>0.56337027138933904</v>
      </c>
      <c r="V1075" s="35">
        <f t="shared" si="171"/>
        <v>5.2036065542376041E-3</v>
      </c>
      <c r="W1075" s="35">
        <f t="shared" si="172"/>
        <v>3.2260124625071371E-2</v>
      </c>
      <c r="X1075" s="35">
        <f t="shared" si="173"/>
        <v>1.710884905684015E-2</v>
      </c>
      <c r="Y1075" s="32">
        <f t="shared" si="174"/>
        <v>-16759.775989888476</v>
      </c>
      <c r="Z1075" s="32">
        <f t="shared" si="167"/>
        <v>210916.69479871663</v>
      </c>
      <c r="AA1075" s="32">
        <f t="shared" si="168"/>
        <v>117076.85325274205</v>
      </c>
      <c r="AB1075" s="40">
        <f t="shared" si="175"/>
        <v>-5.3849477448652178E-2</v>
      </c>
      <c r="AC1075" s="40">
        <f t="shared" si="176"/>
        <v>0.67767933216769216</v>
      </c>
      <c r="AD1075" s="40">
        <f t="shared" si="177"/>
        <v>0.37617014528095999</v>
      </c>
      <c r="AE1075" s="40"/>
      <c r="AF1075" s="40"/>
      <c r="AG1075" s="40"/>
      <c r="AH1075" s="40"/>
      <c r="AI1075" s="40"/>
      <c r="AJ1075" s="40"/>
      <c r="AK1075" s="33">
        <f t="shared" si="169"/>
        <v>6538000</v>
      </c>
      <c r="AL1075" s="33">
        <f t="shared" si="170"/>
        <v>6843058.3999999994</v>
      </c>
      <c r="AM1075" s="34"/>
      <c r="AN1075" s="33"/>
      <c r="AO1075" s="15" cm="1">
        <f t="array" ref="AO1075">SUMPRODUCT(I1075:K1075, TRANSPOSE($AY$5:$AY$7))</f>
        <v>-1.5830751952460574E-3</v>
      </c>
      <c r="AP1075" s="22">
        <f t="shared" si="178"/>
        <v>10248489.191138973</v>
      </c>
      <c r="AQ1075" s="22">
        <f t="shared" si="179"/>
        <v>-16249.853767665103</v>
      </c>
      <c r="AR1075">
        <f t="shared" si="180"/>
        <v>0</v>
      </c>
      <c r="AS1075">
        <f t="shared" si="181"/>
        <v>0</v>
      </c>
      <c r="BJ1075">
        <f t="shared" si="155"/>
        <v>2.3790704902003204E-5</v>
      </c>
      <c r="BK1075">
        <f t="shared" si="157"/>
        <v>6.264306828512063E-5</v>
      </c>
      <c r="BO1075">
        <f t="shared" si="158"/>
        <v>8.5559328311234941E-5</v>
      </c>
      <c r="BP1075">
        <f t="shared" si="156"/>
        <v>3.6251812726921449</v>
      </c>
    </row>
    <row r="1076" spans="1:68" x14ac:dyDescent="0.15">
      <c r="A1076" s="5">
        <v>45138</v>
      </c>
      <c r="B1076" s="1"/>
      <c r="C1076">
        <v>106.88</v>
      </c>
      <c r="D1076">
        <v>90.9</v>
      </c>
      <c r="E1076">
        <v>86.315414000000004</v>
      </c>
      <c r="G1076" s="3">
        <v>-7.4981341837443395E-4</v>
      </c>
      <c r="I1076" s="15">
        <f t="shared" si="159"/>
        <v>-4.4709388971684427E-3</v>
      </c>
      <c r="J1076" s="15">
        <f t="shared" si="160"/>
        <v>-2.6766595289079226E-2</v>
      </c>
      <c r="K1076" s="15">
        <f t="shared" si="161"/>
        <v>9.0858087664428579E-3</v>
      </c>
      <c r="L1076" s="32">
        <f t="shared" si="162"/>
        <v>306755.71880162321</v>
      </c>
      <c r="M1076" s="15"/>
      <c r="N1076" s="32">
        <f t="shared" si="163"/>
        <v>-3206400</v>
      </c>
      <c r="O1076" s="34">
        <f t="shared" si="164"/>
        <v>-0.31575011040739165</v>
      </c>
      <c r="P1076" s="34">
        <f t="shared" si="165"/>
        <v>0.62659616782754279</v>
      </c>
      <c r="Q1076" s="34">
        <f t="shared" si="166"/>
        <v>0.67999255240418466</v>
      </c>
      <c r="R1076" s="35" cm="1">
        <f t="array" ref="R1076">SQRT(MMULT(O1076:Q1076, MMULT($AU$32:$AW$34,TRANSPOSE(O1076:Q1076))))</f>
        <v>1.2964702579780264E-2</v>
      </c>
      <c r="S1076" s="36" cm="1">
        <f t="array" ref="S1076:U1076">TRANSPOSE(MMULT($AU$32:$AW$34, TRANSPOSE(O1076:Q1076))/MMULT(O1076:Q1076, MMULT($AU$32:$AW$34,TRANSPOSE(O1076:Q1076))))</f>
        <v>0.1737209099977034</v>
      </c>
      <c r="T1076" s="36">
        <v>1.0599825711152069</v>
      </c>
      <c r="U1076" s="36">
        <v>0.57452302691524104</v>
      </c>
      <c r="V1076" s="35">
        <f t="shared" si="171"/>
        <v>5.2477190369209703E-3</v>
      </c>
      <c r="W1076" s="35">
        <f t="shared" si="172"/>
        <v>3.2019695944024491E-2</v>
      </c>
      <c r="X1076" s="35">
        <f t="shared" si="173"/>
        <v>1.7355051994215474E-2</v>
      </c>
      <c r="Y1076" s="32">
        <f t="shared" si="174"/>
        <v>-16826.286319983399</v>
      </c>
      <c r="Z1076" s="32">
        <f t="shared" si="167"/>
        <v>203741.32529182784</v>
      </c>
      <c r="AA1076" s="32">
        <f t="shared" si="168"/>
        <v>119840.67982977873</v>
      </c>
      <c r="AB1076" s="40">
        <f t="shared" si="175"/>
        <v>-5.4852396511847402E-2</v>
      </c>
      <c r="AC1076" s="40">
        <f t="shared" si="176"/>
        <v>0.6641810170247745</v>
      </c>
      <c r="AD1076" s="40">
        <f t="shared" si="177"/>
        <v>0.39067137948707281</v>
      </c>
      <c r="AE1076" s="40"/>
      <c r="AF1076" s="40"/>
      <c r="AG1076" s="40"/>
      <c r="AH1076" s="40"/>
      <c r="AI1076" s="40"/>
      <c r="AJ1076" s="40"/>
      <c r="AK1076" s="33">
        <f t="shared" si="169"/>
        <v>6363000</v>
      </c>
      <c r="AL1076" s="33">
        <f t="shared" si="170"/>
        <v>6905233.1200000001</v>
      </c>
      <c r="AM1076" s="34"/>
      <c r="AN1076" s="33"/>
      <c r="AO1076" s="15" cm="1">
        <f t="array" ref="AO1076">SUMPRODUCT(I1076:K1076, TRANSPOSE($AY$5:$AY$7))</f>
        <v>-9.1353351255638333E-3</v>
      </c>
      <c r="AP1076" s="22">
        <f t="shared" si="178"/>
        <v>10154865.8078472</v>
      </c>
      <c r="AQ1076" s="22">
        <f t="shared" si="179"/>
        <v>-93623.383291773498</v>
      </c>
      <c r="AR1076">
        <f t="shared" si="180"/>
        <v>0</v>
      </c>
      <c r="AS1076">
        <f t="shared" si="181"/>
        <v>0</v>
      </c>
      <c r="BJ1076">
        <f t="shared" si="155"/>
        <v>5.6222016237435391E-7</v>
      </c>
      <c r="BK1076">
        <f t="shared" si="157"/>
        <v>6.0311926482133578E-5</v>
      </c>
      <c r="BO1076">
        <f t="shared" si="158"/>
        <v>7.6439026769796684E-5</v>
      </c>
      <c r="BP1076">
        <f t="shared" si="156"/>
        <v>3.8168924793657277</v>
      </c>
    </row>
    <row r="1077" spans="1:68" x14ac:dyDescent="0.15">
      <c r="A1077" s="5">
        <v>45140</v>
      </c>
      <c r="B1077" s="1"/>
      <c r="C1077">
        <v>107.3</v>
      </c>
      <c r="D1077">
        <v>88.62</v>
      </c>
      <c r="E1077">
        <v>86.021609999999995</v>
      </c>
      <c r="G1077" s="3">
        <v>-8.5371241202734007E-3</v>
      </c>
      <c r="I1077" s="15">
        <f t="shared" si="159"/>
        <v>3.9296407185628905E-3</v>
      </c>
      <c r="J1077" s="15">
        <f t="shared" si="160"/>
        <v>-2.5082508250825093E-2</v>
      </c>
      <c r="K1077" s="15">
        <f t="shared" si="161"/>
        <v>-3.403841635979509E-3</v>
      </c>
      <c r="L1077" s="32">
        <f t="shared" si="162"/>
        <v>301183.35693998338</v>
      </c>
      <c r="M1077" s="15"/>
      <c r="N1077" s="32">
        <f t="shared" si="163"/>
        <v>-3219000</v>
      </c>
      <c r="O1077" s="34">
        <f t="shared" si="164"/>
        <v>-0.32364014266016633</v>
      </c>
      <c r="P1077" s="34">
        <f t="shared" si="165"/>
        <v>0.62369346411248083</v>
      </c>
      <c r="Q1077" s="34">
        <f t="shared" si="166"/>
        <v>0.69189303839098337</v>
      </c>
      <c r="R1077" s="35" cm="1">
        <f t="array" ref="R1077">SQRT(MMULT(O1077:Q1077, MMULT($AU$32:$AW$34,TRANSPOSE(O1077:Q1077))))</f>
        <v>1.2996202084314835E-2</v>
      </c>
      <c r="S1077" s="36" cm="1">
        <f t="array" ref="S1077:U1077">TRANSPOSE(MMULT($AU$32:$AW$34, TRANSPOSE(O1077:Q1077))/MMULT(O1077:Q1077, MMULT($AU$32:$AW$34,TRANSPOSE(O1077:Q1077))))</f>
        <v>0.17056419738279044</v>
      </c>
      <c r="T1077" s="36">
        <v>1.0520804580194967</v>
      </c>
      <c r="U1077" s="36">
        <v>0.57671589920084054</v>
      </c>
      <c r="V1077" s="35">
        <f t="shared" si="171"/>
        <v>5.164880191658199E-3</v>
      </c>
      <c r="W1077" s="35">
        <f t="shared" si="172"/>
        <v>3.1858207062415142E-2</v>
      </c>
      <c r="X1077" s="35">
        <f t="shared" si="173"/>
        <v>1.7463621145015921E-2</v>
      </c>
      <c r="Y1077" s="32">
        <f t="shared" si="174"/>
        <v>-16625.749336947742</v>
      </c>
      <c r="Z1077" s="32">
        <f t="shared" si="167"/>
        <v>197629.20169098608</v>
      </c>
      <c r="AA1077" s="32">
        <f t="shared" si="168"/>
        <v>120179.90458594504</v>
      </c>
      <c r="AB1077" s="40">
        <f t="shared" si="175"/>
        <v>-5.5201421173683062E-2</v>
      </c>
      <c r="AC1077" s="40">
        <f t="shared" si="176"/>
        <v>0.65617570538722536</v>
      </c>
      <c r="AD1077" s="40">
        <f t="shared" si="177"/>
        <v>0.39902571578645768</v>
      </c>
      <c r="AE1077" s="40"/>
      <c r="AF1077" s="40"/>
      <c r="AG1077" s="40"/>
      <c r="AH1077" s="40"/>
      <c r="AI1077" s="40"/>
      <c r="AJ1077" s="40"/>
      <c r="AK1077" s="33">
        <f t="shared" si="169"/>
        <v>6203400</v>
      </c>
      <c r="AL1077" s="33">
        <f t="shared" si="170"/>
        <v>6881728.7999999998</v>
      </c>
      <c r="AM1077" s="34"/>
      <c r="AN1077" s="33"/>
      <c r="AO1077" s="15" cm="1">
        <f t="array" ref="AO1077">SUMPRODUCT(I1077:K1077, TRANSPOSE($AY$5:$AY$7))</f>
        <v>-2.0545188576959205E-2</v>
      </c>
      <c r="AP1077" s="22">
        <f t="shared" si="178"/>
        <v>9946232.1748512648</v>
      </c>
      <c r="AQ1077" s="22">
        <f t="shared" si="179"/>
        <v>-208633.63299593516</v>
      </c>
      <c r="AR1077">
        <f t="shared" si="180"/>
        <v>0</v>
      </c>
      <c r="AS1077">
        <f t="shared" si="181"/>
        <v>0</v>
      </c>
      <c r="BJ1077">
        <f t="shared" si="155"/>
        <v>7.2882488244953891E-5</v>
      </c>
      <c r="BK1077">
        <f t="shared" si="157"/>
        <v>5.6726944102948026E-5</v>
      </c>
      <c r="BO1077">
        <f t="shared" si="158"/>
        <v>6.5977050234940253E-5</v>
      </c>
      <c r="BP1077">
        <f t="shared" si="156"/>
        <v>3.3418311454178573</v>
      </c>
    </row>
    <row r="1078" spans="1:68" x14ac:dyDescent="0.15">
      <c r="A1078" s="5">
        <v>45141</v>
      </c>
      <c r="B1078" s="1"/>
      <c r="C1078">
        <v>105.36</v>
      </c>
      <c r="D1078">
        <v>89.1</v>
      </c>
      <c r="E1078">
        <v>84.410354999999996</v>
      </c>
      <c r="G1078" s="3">
        <v>-1.11944839045714E-2</v>
      </c>
      <c r="I1078" s="15">
        <f t="shared" si="159"/>
        <v>-1.8080149114631853E-2</v>
      </c>
      <c r="J1078" s="15">
        <f t="shared" si="160"/>
        <v>5.416384563303879E-3</v>
      </c>
      <c r="K1078" s="15">
        <f t="shared" si="161"/>
        <v>-1.8730816593644319E-2</v>
      </c>
      <c r="L1078" s="32">
        <f t="shared" si="162"/>
        <v>300316.28466340341</v>
      </c>
      <c r="M1078" s="15"/>
      <c r="N1078" s="32">
        <f t="shared" si="163"/>
        <v>-3160800</v>
      </c>
      <c r="O1078" s="34">
        <f t="shared" si="164"/>
        <v>-0.31878166946048669</v>
      </c>
      <c r="P1078" s="34">
        <f t="shared" si="165"/>
        <v>0.62903102772242969</v>
      </c>
      <c r="Q1078" s="34">
        <f t="shared" si="166"/>
        <v>0.68105476807523002</v>
      </c>
      <c r="R1078" s="35" cm="1">
        <f t="array" ref="R1078">SQRT(MMULT(O1078:Q1078, MMULT($AU$32:$AW$34,TRANSPOSE(O1078:Q1078))))</f>
        <v>1.2999279612915197E-2</v>
      </c>
      <c r="S1078" s="36" cm="1">
        <f t="array" ref="S1078:U1078">TRANSPOSE(MMULT($AU$32:$AW$34, TRANSPOSE(O1078:Q1078))/MMULT(O1078:Q1078, MMULT($AU$32:$AW$34,TRANSPOSE(O1078:Q1078))))</f>
        <v>0.17151098183382874</v>
      </c>
      <c r="T1078" s="36">
        <v>1.0575143736886174</v>
      </c>
      <c r="U1078" s="36">
        <v>0.57185592416876196</v>
      </c>
      <c r="V1078" s="35">
        <f t="shared" si="171"/>
        <v>5.1947797582364928E-3</v>
      </c>
      <c r="W1078" s="35">
        <f t="shared" si="172"/>
        <v>3.2030335339134686E-2</v>
      </c>
      <c r="X1078" s="35">
        <f t="shared" si="173"/>
        <v>1.7320556081812218E-2</v>
      </c>
      <c r="Y1078" s="32">
        <f t="shared" si="174"/>
        <v>-16419.659859833908</v>
      </c>
      <c r="Z1078" s="32">
        <f t="shared" si="167"/>
        <v>199773.20151018305</v>
      </c>
      <c r="AA1078" s="32">
        <f t="shared" si="168"/>
        <v>116962.74301305426</v>
      </c>
      <c r="AB1078" s="40">
        <f t="shared" si="175"/>
        <v>-5.4674557119795145E-2</v>
      </c>
      <c r="AC1078" s="40">
        <f t="shared" si="176"/>
        <v>0.66520935331259257</v>
      </c>
      <c r="AD1078" s="40">
        <f t="shared" si="177"/>
        <v>0.38946520380720256</v>
      </c>
      <c r="AE1078" s="40"/>
      <c r="AF1078" s="40"/>
      <c r="AG1078" s="40"/>
      <c r="AH1078" s="40"/>
      <c r="AI1078" s="40"/>
      <c r="AJ1078" s="40"/>
      <c r="AK1078" s="33">
        <f t="shared" si="169"/>
        <v>6237000</v>
      </c>
      <c r="AL1078" s="33">
        <f t="shared" si="170"/>
        <v>6752828.3999999994</v>
      </c>
      <c r="AM1078" s="34"/>
      <c r="AN1078" s="33"/>
      <c r="AO1078" s="15" cm="1">
        <f t="array" ref="AO1078">SUMPRODUCT(I1078:K1078, TRANSPOSE($AY$5:$AY$7))</f>
        <v>-3.1149496166999382E-3</v>
      </c>
      <c r="AP1078" s="22">
        <f t="shared" si="178"/>
        <v>9915250.1627506036</v>
      </c>
      <c r="AQ1078" s="22">
        <f t="shared" si="179"/>
        <v>-30982.012100661173</v>
      </c>
      <c r="AR1078">
        <f t="shared" si="180"/>
        <v>0</v>
      </c>
      <c r="AS1078">
        <f t="shared" si="181"/>
        <v>0</v>
      </c>
      <c r="BJ1078">
        <f t="shared" si="155"/>
        <v>1.2531646988970813E-4</v>
      </c>
      <c r="BK1078">
        <f t="shared" si="157"/>
        <v>5.7696276751468379E-5</v>
      </c>
      <c r="BO1078">
        <f t="shared" si="158"/>
        <v>6.8070763670504414E-5</v>
      </c>
      <c r="BP1078">
        <f t="shared" si="156"/>
        <v>2.9580561084395454</v>
      </c>
    </row>
    <row r="1079" spans="1:68" x14ac:dyDescent="0.15">
      <c r="A1079" s="5">
        <v>45142</v>
      </c>
      <c r="B1079" s="1"/>
      <c r="C1079">
        <v>104.16</v>
      </c>
      <c r="D1079">
        <v>87.68</v>
      </c>
      <c r="E1079">
        <v>84.419830000000005</v>
      </c>
      <c r="G1079" s="3">
        <v>1.01903784728585E-3</v>
      </c>
      <c r="I1079" s="15">
        <f t="shared" si="159"/>
        <v>-1.1389521640091143E-2</v>
      </c>
      <c r="J1079" s="15">
        <f t="shared" si="160"/>
        <v>-1.5937149270482464E-2</v>
      </c>
      <c r="K1079" s="15">
        <f t="shared" si="161"/>
        <v>1.1224926136146454E-4</v>
      </c>
      <c r="L1079" s="32">
        <f t="shared" si="162"/>
        <v>297338.96074020962</v>
      </c>
      <c r="M1079" s="15"/>
      <c r="N1079" s="32">
        <f t="shared" si="163"/>
        <v>-3124800</v>
      </c>
      <c r="O1079" s="34">
        <f t="shared" si="164"/>
        <v>-0.31702204547972368</v>
      </c>
      <c r="P1079" s="34">
        <f t="shared" si="165"/>
        <v>0.62268129363042513</v>
      </c>
      <c r="Q1079" s="34">
        <f t="shared" si="166"/>
        <v>0.68517529917180087</v>
      </c>
      <c r="R1079" s="35" cm="1">
        <f t="array" ref="R1079">SQRT(MMULT(O1079:Q1079, MMULT($AU$32:$AW$34,TRANSPOSE(O1079:Q1079))))</f>
        <v>1.2946820772965727E-2</v>
      </c>
      <c r="S1079" s="36" cm="1">
        <f t="array" ref="S1079:U1079">TRANSPOSE(MMULT($AU$32:$AW$34, TRANSPOSE(O1079:Q1079))/MMULT(O1079:Q1079, MMULT($AU$32:$AW$34,TRANSPOSE(O1079:Q1079))))</f>
        <v>0.17416031789031031</v>
      </c>
      <c r="T1079" s="36">
        <v>1.0582817433052225</v>
      </c>
      <c r="U1079" s="36">
        <v>0.57830516621247074</v>
      </c>
      <c r="V1079" s="35">
        <f t="shared" si="171"/>
        <v>5.2537362420684011E-3</v>
      </c>
      <c r="W1079" s="35">
        <f t="shared" si="172"/>
        <v>3.1924224854847444E-2</v>
      </c>
      <c r="X1079" s="35">
        <f t="shared" si="173"/>
        <v>1.7445207079946925E-2</v>
      </c>
      <c r="Y1079" s="32">
        <f t="shared" si="174"/>
        <v>-16416.875009215339</v>
      </c>
      <c r="Z1079" s="32">
        <f t="shared" si="167"/>
        <v>195938.12246911169</v>
      </c>
      <c r="AA1079" s="32">
        <f t="shared" si="168"/>
        <v>117817.71328031327</v>
      </c>
      <c r="AB1079" s="40">
        <f t="shared" si="175"/>
        <v>-5.5212660218985084E-2</v>
      </c>
      <c r="AC1079" s="40">
        <f t="shared" si="176"/>
        <v>0.65897224494675744</v>
      </c>
      <c r="AD1079" s="40">
        <f t="shared" si="177"/>
        <v>0.3962404152722277</v>
      </c>
      <c r="AE1079" s="40"/>
      <c r="AF1079" s="40"/>
      <c r="AG1079" s="40"/>
      <c r="AH1079" s="40"/>
      <c r="AI1079" s="40"/>
      <c r="AJ1079" s="40"/>
      <c r="AK1079" s="33">
        <f t="shared" si="169"/>
        <v>6137600.0000000009</v>
      </c>
      <c r="AL1079" s="33">
        <f t="shared" si="170"/>
        <v>6753586.4000000004</v>
      </c>
      <c r="AM1079" s="34"/>
      <c r="AN1079" s="33"/>
      <c r="AO1079" s="15" cm="1">
        <f t="array" ref="AO1079">SUMPRODUCT(I1079:K1079, TRANSPOSE($AY$5:$AY$7))</f>
        <v>-5.90226064307322E-3</v>
      </c>
      <c r="AP1079" s="22">
        <f t="shared" si="178"/>
        <v>9856727.7719487753</v>
      </c>
      <c r="AQ1079" s="22">
        <f t="shared" si="179"/>
        <v>-58522.390801828355</v>
      </c>
      <c r="AR1079">
        <f t="shared" si="180"/>
        <v>0</v>
      </c>
      <c r="AS1079">
        <f t="shared" si="181"/>
        <v>0</v>
      </c>
      <c r="BJ1079">
        <f t="shared" si="155"/>
        <v>1.0384381342009792E-6</v>
      </c>
      <c r="BK1079">
        <f t="shared" si="157"/>
        <v>6.1753488339762769E-5</v>
      </c>
      <c r="BO1079">
        <f t="shared" si="158"/>
        <v>7.7180685708340399E-5</v>
      </c>
      <c r="BP1079">
        <f t="shared" si="156"/>
        <v>3.8090148068161573</v>
      </c>
    </row>
    <row r="1080" spans="1:68" x14ac:dyDescent="0.15">
      <c r="A1080" s="5">
        <v>45145</v>
      </c>
      <c r="B1080" s="1"/>
      <c r="C1080">
        <v>104.36</v>
      </c>
      <c r="D1080">
        <v>87.44</v>
      </c>
      <c r="E1080">
        <v>85.159109999999998</v>
      </c>
      <c r="G1080" s="3">
        <v>8.0961475033514098E-4</v>
      </c>
      <c r="I1080" s="15">
        <f t="shared" si="159"/>
        <v>1.9201228878648507E-3</v>
      </c>
      <c r="J1080" s="15">
        <f t="shared" si="160"/>
        <v>-2.7372262773723661E-3</v>
      </c>
      <c r="K1080" s="15">
        <f t="shared" si="161"/>
        <v>8.7571841829105039E-3</v>
      </c>
      <c r="L1080" s="32">
        <f t="shared" si="162"/>
        <v>297805.9184774516</v>
      </c>
      <c r="M1080" s="15"/>
      <c r="N1080" s="32">
        <f t="shared" si="163"/>
        <v>-3130800</v>
      </c>
      <c r="O1080" s="34">
        <f t="shared" si="164"/>
        <v>-0.3163976093451617</v>
      </c>
      <c r="P1080" s="34">
        <f t="shared" si="165"/>
        <v>0.61856601740126027</v>
      </c>
      <c r="Q1080" s="34">
        <f t="shared" si="166"/>
        <v>0.68849211237924235</v>
      </c>
      <c r="R1080" s="35" cm="1">
        <f t="array" ref="R1080">SQRT(MMULT(O1080:Q1080, MMULT($AU$32:$AW$34,TRANSPOSE(O1080:Q1080))))</f>
        <v>1.291681000990653E-2</v>
      </c>
      <c r="S1080" s="36" cm="1">
        <f t="array" ref="S1080:U1080">TRANSPOSE(MMULT($AU$32:$AW$34, TRANSPOSE(O1080:Q1080))/MMULT(O1080:Q1080, MMULT($AU$32:$AW$34,TRANSPOSE(O1080:Q1080))))</f>
        <v>0.17563490021082498</v>
      </c>
      <c r="T1080" s="36">
        <v>1.0581758611112568</v>
      </c>
      <c r="U1080" s="36">
        <v>0.58245959135352976</v>
      </c>
      <c r="V1080" s="35">
        <f t="shared" si="171"/>
        <v>5.2859373445178362E-3</v>
      </c>
      <c r="W1080" s="35">
        <f t="shared" si="172"/>
        <v>3.1847037773250993E-2</v>
      </c>
      <c r="X1080" s="35">
        <f t="shared" si="173"/>
        <v>1.7529801320309922E-2</v>
      </c>
      <c r="Y1080" s="32">
        <f t="shared" si="174"/>
        <v>-16549.212638216442</v>
      </c>
      <c r="Z1080" s="32">
        <f t="shared" si="167"/>
        <v>194929.34880251467</v>
      </c>
      <c r="AA1080" s="32">
        <f t="shared" si="168"/>
        <v>119425.78231315342</v>
      </c>
      <c r="AB1080" s="40">
        <f t="shared" si="175"/>
        <v>-5.5570462544281059E-2</v>
      </c>
      <c r="AC1080" s="40">
        <f t="shared" si="176"/>
        <v>0.65455162811773926</v>
      </c>
      <c r="AD1080" s="40">
        <f t="shared" si="177"/>
        <v>0.40101883442654196</v>
      </c>
      <c r="AE1080" s="40"/>
      <c r="AF1080" s="40"/>
      <c r="AG1080" s="40"/>
      <c r="AH1080" s="40"/>
      <c r="AI1080" s="40"/>
      <c r="AJ1080" s="40"/>
      <c r="AK1080" s="33">
        <f t="shared" si="169"/>
        <v>6120800</v>
      </c>
      <c r="AL1080" s="33">
        <f t="shared" si="170"/>
        <v>6812728.7999999998</v>
      </c>
      <c r="AM1080" s="34"/>
      <c r="AN1080" s="33"/>
      <c r="AO1080" s="15" cm="1">
        <f t="array" ref="AO1080">SUMPRODUCT(I1080:K1080, TRANSPOSE($AY$5:$AY$7))</f>
        <v>3.89749284957464E-3</v>
      </c>
      <c r="AP1080" s="22">
        <f t="shared" si="178"/>
        <v>9895144.297960151</v>
      </c>
      <c r="AQ1080" s="22">
        <f t="shared" si="179"/>
        <v>38416.52601137571</v>
      </c>
      <c r="AR1080">
        <f t="shared" si="180"/>
        <v>0</v>
      </c>
      <c r="AS1080">
        <f t="shared" si="181"/>
        <v>0</v>
      </c>
      <c r="BJ1080">
        <f t="shared" si="155"/>
        <v>6.5547604396023269E-7</v>
      </c>
      <c r="BK1080">
        <f t="shared" si="157"/>
        <v>5.8110585327429054E-5</v>
      </c>
      <c r="BO1080">
        <f t="shared" si="158"/>
        <v>6.6626614850759264E-5</v>
      </c>
      <c r="BP1080">
        <f t="shared" si="156"/>
        <v>3.8843456601579867</v>
      </c>
    </row>
    <row r="1081" spans="1:68" x14ac:dyDescent="0.15">
      <c r="A1081" s="5">
        <v>45146</v>
      </c>
      <c r="B1081" s="1"/>
      <c r="C1081">
        <v>104.04</v>
      </c>
      <c r="D1081">
        <v>87.48</v>
      </c>
      <c r="E1081">
        <v>85.282325999999998</v>
      </c>
      <c r="G1081" s="3">
        <v>-4.5144107968355602E-3</v>
      </c>
      <c r="I1081" s="15">
        <f t="shared" si="159"/>
        <v>-3.0663089306246952E-3</v>
      </c>
      <c r="J1081" s="15">
        <f t="shared" si="160"/>
        <v>4.5745654162861681E-4</v>
      </c>
      <c r="K1081" s="15">
        <f t="shared" si="161"/>
        <v>1.4468915891676102E-3</v>
      </c>
      <c r="L1081" s="32">
        <f t="shared" si="162"/>
        <v>298118.85797906591</v>
      </c>
      <c r="M1081" s="15"/>
      <c r="N1081" s="32">
        <f t="shared" si="163"/>
        <v>-3121200</v>
      </c>
      <c r="O1081" s="34">
        <f t="shared" si="164"/>
        <v>-0.31461697039477915</v>
      </c>
      <c r="P1081" s="34">
        <f t="shared" si="165"/>
        <v>0.61725890039390918</v>
      </c>
      <c r="Q1081" s="34">
        <f t="shared" si="166"/>
        <v>0.68771669958579784</v>
      </c>
      <c r="R1081" s="35" cm="1">
        <f t="array" ref="R1081">SQRT(MMULT(O1081:Q1081, MMULT($AU$32:$AW$34,TRANSPOSE(O1081:Q1081))))</f>
        <v>1.2897159603922166E-2</v>
      </c>
      <c r="S1081" s="36" cm="1">
        <f t="array" ref="S1081:U1081">TRANSPOSE(MMULT($AU$32:$AW$34, TRANSPOSE(O1081:Q1081))/MMULT(O1081:Q1081, MMULT($AU$32:$AW$34,TRANSPOSE(O1081:Q1081))))</f>
        <v>0.17691319639853142</v>
      </c>
      <c r="T1081" s="36">
        <v>1.0596550724670657</v>
      </c>
      <c r="U1081" s="36">
        <v>0.58392993697517948</v>
      </c>
      <c r="V1081" s="35">
        <f t="shared" si="171"/>
        <v>5.3163091108810985E-3</v>
      </c>
      <c r="W1081" s="35">
        <f t="shared" si="172"/>
        <v>3.1843039585682353E-2</v>
      </c>
      <c r="X1081" s="35">
        <f t="shared" si="173"/>
        <v>1.7547317595597647E-2</v>
      </c>
      <c r="Y1081" s="32">
        <f t="shared" si="174"/>
        <v>-16593.263996882084</v>
      </c>
      <c r="Z1081" s="32">
        <f t="shared" si="167"/>
        <v>194994.03720688447</v>
      </c>
      <c r="AA1081" s="32">
        <f t="shared" si="168"/>
        <v>119718.08476906359</v>
      </c>
      <c r="AB1081" s="40">
        <f t="shared" si="175"/>
        <v>-5.5659893873762502E-2</v>
      </c>
      <c r="AC1081" s="40">
        <f t="shared" si="176"/>
        <v>0.65408152482784931</v>
      </c>
      <c r="AD1081" s="40">
        <f t="shared" si="177"/>
        <v>0.40157836904591343</v>
      </c>
      <c r="AE1081" s="40"/>
      <c r="AF1081" s="40"/>
      <c r="AG1081" s="40"/>
      <c r="AH1081" s="40"/>
      <c r="AI1081" s="40"/>
      <c r="AJ1081" s="40"/>
      <c r="AK1081" s="33">
        <f t="shared" si="169"/>
        <v>6123600</v>
      </c>
      <c r="AL1081" s="33">
        <f t="shared" si="170"/>
        <v>6822586.0800000001</v>
      </c>
      <c r="AM1081" s="34"/>
      <c r="AN1081" s="33"/>
      <c r="AO1081" s="15" cm="1">
        <f t="array" ref="AO1081">SUMPRODUCT(I1081:K1081, TRANSPOSE($AY$5:$AY$7))</f>
        <v>2.5760407463151077E-3</v>
      </c>
      <c r="AP1081" s="22">
        <f t="shared" si="178"/>
        <v>9920634.5928623639</v>
      </c>
      <c r="AQ1081" s="22">
        <f t="shared" si="179"/>
        <v>25490.294902212918</v>
      </c>
      <c r="AR1081">
        <f t="shared" si="180"/>
        <v>0</v>
      </c>
      <c r="AS1081">
        <f t="shared" si="181"/>
        <v>0</v>
      </c>
      <c r="BJ1081">
        <f t="shared" si="155"/>
        <v>2.0379904842585478E-5</v>
      </c>
      <c r="BK1081">
        <f t="shared" si="157"/>
        <v>5.466327877042092E-5</v>
      </c>
      <c r="BO1081">
        <f t="shared" si="158"/>
        <v>5.8293683682052329E-5</v>
      </c>
      <c r="BP1081">
        <f t="shared" si="156"/>
        <v>3.7812661586693315</v>
      </c>
    </row>
    <row r="1082" spans="1:68" x14ac:dyDescent="0.15">
      <c r="A1082" s="5">
        <v>45147</v>
      </c>
      <c r="B1082" s="1"/>
      <c r="C1082">
        <v>104.3</v>
      </c>
      <c r="D1082">
        <v>87.32</v>
      </c>
      <c r="E1082">
        <v>85.936295000000001</v>
      </c>
      <c r="G1082" s="3">
        <v>2.1901399028347803E-3</v>
      </c>
      <c r="I1082" s="15">
        <f t="shared" si="159"/>
        <v>2.4990388312186745E-3</v>
      </c>
      <c r="J1082" s="15">
        <f t="shared" si="160"/>
        <v>-1.8289894833105943E-3</v>
      </c>
      <c r="K1082" s="15">
        <f t="shared" si="161"/>
        <v>7.6682828749300713E-3</v>
      </c>
      <c r="L1082" s="32">
        <f t="shared" si="162"/>
        <v>298640.84886932385</v>
      </c>
      <c r="M1082" s="15"/>
      <c r="N1082" s="32">
        <f t="shared" si="163"/>
        <v>-3129000</v>
      </c>
      <c r="O1082" s="34">
        <f t="shared" si="164"/>
        <v>-0.31431450667603622</v>
      </c>
      <c r="P1082" s="34">
        <f t="shared" si="165"/>
        <v>0.61400319290719185</v>
      </c>
      <c r="Q1082" s="34">
        <f t="shared" si="166"/>
        <v>0.69059825294960231</v>
      </c>
      <c r="R1082" s="35" cm="1">
        <f t="array" ref="R1082">SQRT(MMULT(O1082:Q1082, MMULT($AU$32:$AW$34,TRANSPOSE(O1082:Q1082))))</f>
        <v>1.2875145713664941E-2</v>
      </c>
      <c r="S1082" s="36" cm="1">
        <f t="array" ref="S1082:U1082">TRANSPOSE(MMULT($AU$32:$AW$34, TRANSPOSE(O1082:Q1082))/MMULT(O1082:Q1082, MMULT($AU$32:$AW$34,TRANSPOSE(O1082:Q1082))))</f>
        <v>0.17799686851983412</v>
      </c>
      <c r="T1082" s="36">
        <v>1.0593059330646932</v>
      </c>
      <c r="U1082" s="36">
        <v>0.58721517324926042</v>
      </c>
      <c r="V1082" s="35">
        <f t="shared" si="171"/>
        <v>5.3397439917315936E-3</v>
      </c>
      <c r="W1082" s="35">
        <f t="shared" si="172"/>
        <v>3.1778213507489501E-2</v>
      </c>
      <c r="X1082" s="35">
        <f t="shared" si="173"/>
        <v>1.7615920545602008E-2</v>
      </c>
      <c r="Y1082" s="32">
        <f t="shared" si="174"/>
        <v>-16708.058950128157</v>
      </c>
      <c r="Z1082" s="32">
        <f t="shared" si="167"/>
        <v>194241.1522431788</v>
      </c>
      <c r="AA1082" s="32">
        <f t="shared" si="168"/>
        <v>121107.75557627322</v>
      </c>
      <c r="AB1082" s="40">
        <f t="shared" si="175"/>
        <v>-5.5946997918690941E-2</v>
      </c>
      <c r="AC1082" s="40">
        <f t="shared" si="176"/>
        <v>0.65041722516725375</v>
      </c>
      <c r="AD1082" s="40">
        <f t="shared" si="177"/>
        <v>0.40552977275143726</v>
      </c>
      <c r="AE1082" s="40"/>
      <c r="AF1082" s="40"/>
      <c r="AG1082" s="40"/>
      <c r="AH1082" s="40"/>
      <c r="AI1082" s="40"/>
      <c r="AJ1082" s="40"/>
      <c r="AK1082" s="33">
        <f t="shared" si="169"/>
        <v>6112399.9999999991</v>
      </c>
      <c r="AL1082" s="33">
        <f t="shared" si="170"/>
        <v>6874903.6000000006</v>
      </c>
      <c r="AM1082" s="34"/>
      <c r="AN1082" s="33"/>
      <c r="AO1082" s="15" cm="1">
        <f t="array" ref="AO1082">SUMPRODUCT(I1082:K1082, TRANSPOSE($AY$5:$AY$7))</f>
        <v>3.4637400488867418E-3</v>
      </c>
      <c r="AP1082" s="22">
        <f t="shared" si="178"/>
        <v>9954997.0922120325</v>
      </c>
      <c r="AQ1082" s="22">
        <f t="shared" si="179"/>
        <v>34362.499349668622</v>
      </c>
      <c r="AR1082">
        <f t="shared" si="180"/>
        <v>0</v>
      </c>
      <c r="AS1082">
        <f t="shared" si="181"/>
        <v>0</v>
      </c>
      <c r="BJ1082">
        <f t="shared" si="155"/>
        <v>4.7967127939891408E-6</v>
      </c>
      <c r="BK1082">
        <f t="shared" si="157"/>
        <v>5.2606276334750794E-5</v>
      </c>
      <c r="BO1082">
        <f t="shared" si="158"/>
        <v>5.4566665846294339E-5</v>
      </c>
      <c r="BP1082">
        <f t="shared" si="156"/>
        <v>3.945152380246749</v>
      </c>
    </row>
    <row r="1083" spans="1:68" x14ac:dyDescent="0.15">
      <c r="A1083" s="5">
        <v>45148</v>
      </c>
      <c r="B1083" s="1"/>
      <c r="C1083">
        <v>105.04</v>
      </c>
      <c r="D1083">
        <v>87.56</v>
      </c>
      <c r="E1083">
        <v>85.850999999999999</v>
      </c>
      <c r="G1083" s="3">
        <v>6.1591498534441201E-3</v>
      </c>
      <c r="I1083" s="15">
        <f t="shared" si="159"/>
        <v>7.0949185043145645E-3</v>
      </c>
      <c r="J1083" s="15">
        <f t="shared" si="160"/>
        <v>2.7485112230875987E-3</v>
      </c>
      <c r="K1083" s="15">
        <f t="shared" si="161"/>
        <v>-9.9253755354477549E-4</v>
      </c>
      <c r="L1083" s="32">
        <f t="shared" si="162"/>
        <v>298936.87709519133</v>
      </c>
      <c r="M1083" s="15"/>
      <c r="N1083" s="32">
        <f t="shared" si="163"/>
        <v>-3151200</v>
      </c>
      <c r="O1083" s="34">
        <f t="shared" si="164"/>
        <v>-0.31709066847967277</v>
      </c>
      <c r="P1083" s="34">
        <f t="shared" si="165"/>
        <v>0.61675302273597687</v>
      </c>
      <c r="Q1083" s="34">
        <f t="shared" si="166"/>
        <v>0.69110309671613068</v>
      </c>
      <c r="R1083" s="35" cm="1">
        <f t="array" ref="R1083">SQRT(MMULT(O1083:Q1083, MMULT($AU$32:$AW$34,TRANSPOSE(O1083:Q1083))))</f>
        <v>1.2910143392658099E-2</v>
      </c>
      <c r="S1083" s="36" cm="1">
        <f t="array" ref="S1083:U1083">TRANSPOSE(MMULT($AU$32:$AW$34, TRANSPOSE(O1083:Q1083))/MMULT(O1083:Q1083, MMULT($AU$32:$AW$34,TRANSPOSE(O1083:Q1083))))</f>
        <v>0.17579662954476089</v>
      </c>
      <c r="T1083" s="36">
        <v>1.0571492461982619</v>
      </c>
      <c r="U1083" s="36">
        <v>0.5842015172865318</v>
      </c>
      <c r="V1083" s="35">
        <f t="shared" si="171"/>
        <v>5.2880740902094409E-3</v>
      </c>
      <c r="W1083" s="35">
        <f t="shared" si="172"/>
        <v>3.1799719669153764E-2</v>
      </c>
      <c r="X1083" s="35">
        <f t="shared" si="173"/>
        <v>1.7573152085019705E-2</v>
      </c>
      <c r="Y1083" s="32">
        <f t="shared" si="174"/>
        <v>-16663.779073067992</v>
      </c>
      <c r="Z1083" s="32">
        <f t="shared" si="167"/>
        <v>194906.84179617726</v>
      </c>
      <c r="AA1083" s="32">
        <f t="shared" si="168"/>
        <v>120693.81437208214</v>
      </c>
      <c r="AB1083" s="40">
        <f t="shared" si="175"/>
        <v>-5.5743470778821635E-2</v>
      </c>
      <c r="AC1083" s="40">
        <f t="shared" si="176"/>
        <v>0.65199999307583756</v>
      </c>
      <c r="AD1083" s="40">
        <f t="shared" si="177"/>
        <v>0.4037434777029843</v>
      </c>
      <c r="AE1083" s="40"/>
      <c r="AF1083" s="40"/>
      <c r="AG1083" s="40"/>
      <c r="AH1083" s="40"/>
      <c r="AI1083" s="40"/>
      <c r="AJ1083" s="40"/>
      <c r="AK1083" s="33">
        <f t="shared" si="169"/>
        <v>6129200</v>
      </c>
      <c r="AL1083" s="33">
        <f t="shared" si="170"/>
        <v>6868080</v>
      </c>
      <c r="AM1083" s="34"/>
      <c r="AN1083" s="33"/>
      <c r="AO1083" s="15" cm="1">
        <f t="array" ref="AO1083">SUMPRODUCT(I1083:K1083, TRANSPOSE($AY$5:$AY$7))</f>
        <v>-1.7223023202315225E-3</v>
      </c>
      <c r="AP1083" s="22">
        <f t="shared" si="178"/>
        <v>9937851.5776222181</v>
      </c>
      <c r="AQ1083" s="22">
        <f t="shared" si="179"/>
        <v>-17145.514589814469</v>
      </c>
      <c r="AR1083">
        <f t="shared" si="180"/>
        <v>0</v>
      </c>
      <c r="AS1083">
        <f t="shared" si="181"/>
        <v>0</v>
      </c>
      <c r="BJ1083">
        <f t="shared" si="155"/>
        <v>3.7935126917180726E-5</v>
      </c>
      <c r="BK1083">
        <f t="shared" si="157"/>
        <v>4.9737702522305095E-5</v>
      </c>
      <c r="BO1083">
        <f t="shared" si="158"/>
        <v>4.9423910843886159E-5</v>
      </c>
      <c r="BP1083">
        <f t="shared" si="156"/>
        <v>3.6548265609807857</v>
      </c>
    </row>
    <row r="1084" spans="1:68" x14ac:dyDescent="0.15">
      <c r="A1084" s="5">
        <v>45149</v>
      </c>
      <c r="B1084" s="1"/>
      <c r="C1084">
        <v>104.08</v>
      </c>
      <c r="D1084">
        <v>85.18</v>
      </c>
      <c r="E1084">
        <v>86.040559999999999</v>
      </c>
      <c r="G1084" s="3">
        <v>-6.1136249780249195E-3</v>
      </c>
      <c r="I1084" s="15">
        <f t="shared" si="159"/>
        <v>-9.1393754760092146E-3</v>
      </c>
      <c r="J1084" s="15">
        <f t="shared" si="160"/>
        <v>-2.718136135221557E-2</v>
      </c>
      <c r="K1084" s="15">
        <f t="shared" si="161"/>
        <v>2.2080115549032646E-3</v>
      </c>
      <c r="L1084" s="32">
        <f t="shared" si="162"/>
        <v>294077.28986253327</v>
      </c>
      <c r="M1084" s="15"/>
      <c r="N1084" s="32">
        <f t="shared" si="163"/>
        <v>-3122400</v>
      </c>
      <c r="O1084" s="34">
        <f t="shared" si="164"/>
        <v>-0.31821360268512311</v>
      </c>
      <c r="P1084" s="34">
        <f t="shared" si="165"/>
        <v>0.60766731596538415</v>
      </c>
      <c r="Q1084" s="34">
        <f t="shared" si="166"/>
        <v>0.70149312258891872</v>
      </c>
      <c r="R1084" s="35" cm="1">
        <f t="array" ref="R1084">SQRT(MMULT(O1084:Q1084, MMULT($AU$32:$AW$34,TRANSPOSE(O1084:Q1084))))</f>
        <v>1.2862807452371559E-2</v>
      </c>
      <c r="S1084" s="36" cm="1">
        <f t="array" ref="S1084:U1084">TRANSPOSE(MMULT($AU$32:$AW$34, TRANSPOSE(O1084:Q1084))/MMULT(O1084:Q1084, MMULT($AU$32:$AW$34,TRANSPOSE(O1084:Q1084))))</f>
        <v>0.17779467315344982</v>
      </c>
      <c r="T1084" s="36">
        <v>1.0540323941003524</v>
      </c>
      <c r="U1084" s="36">
        <v>0.59312861982636722</v>
      </c>
      <c r="V1084" s="35">
        <f t="shared" si="171"/>
        <v>5.3285670471142728E-3</v>
      </c>
      <c r="W1084" s="35">
        <f t="shared" si="172"/>
        <v>3.1589710659928869E-2</v>
      </c>
      <c r="X1084" s="35">
        <f t="shared" si="173"/>
        <v>1.7776267208969666E-2</v>
      </c>
      <c r="Y1084" s="32">
        <f t="shared" si="174"/>
        <v>-16637.917747909607</v>
      </c>
      <c r="Z1084" s="32">
        <f t="shared" si="167"/>
        <v>188356.80878089191</v>
      </c>
      <c r="AA1084" s="32">
        <f t="shared" si="168"/>
        <v>122358.39882955096</v>
      </c>
      <c r="AB1084" s="40">
        <f t="shared" si="175"/>
        <v>-5.6576683482383212E-2</v>
      </c>
      <c r="AC1084" s="40">
        <f t="shared" si="176"/>
        <v>0.64050103586352924</v>
      </c>
      <c r="AD1084" s="40">
        <f t="shared" si="177"/>
        <v>0.41607564761885396</v>
      </c>
      <c r="AE1084" s="40"/>
      <c r="AF1084" s="40"/>
      <c r="AG1084" s="40"/>
      <c r="AH1084" s="40"/>
      <c r="AI1084" s="40"/>
      <c r="AJ1084" s="40"/>
      <c r="AK1084" s="33">
        <f t="shared" si="169"/>
        <v>5962600.0000000009</v>
      </c>
      <c r="AL1084" s="33">
        <f t="shared" si="170"/>
        <v>6883244.7999999998</v>
      </c>
      <c r="AM1084" s="34"/>
      <c r="AN1084" s="33"/>
      <c r="AO1084" s="15" cm="1">
        <f t="array" ref="AO1084">SUMPRODUCT(I1084:K1084, TRANSPOSE($AY$5:$AY$7))</f>
        <v>-1.2635993089847751E-2</v>
      </c>
      <c r="AP1084" s="22">
        <f t="shared" si="178"/>
        <v>9812276.9537594505</v>
      </c>
      <c r="AQ1084" s="22">
        <f t="shared" si="179"/>
        <v>-125574.62386276759</v>
      </c>
      <c r="AR1084">
        <f t="shared" si="180"/>
        <v>0</v>
      </c>
      <c r="AS1084">
        <f t="shared" si="181"/>
        <v>0</v>
      </c>
      <c r="BJ1084">
        <f t="shared" si="155"/>
        <v>3.7376410371930199E-5</v>
      </c>
      <c r="BK1084">
        <f t="shared" si="157"/>
        <v>4.9029547985997631E-5</v>
      </c>
      <c r="BO1084">
        <f t="shared" si="158"/>
        <v>5.0109621944625464E-5</v>
      </c>
      <c r="BP1084">
        <f t="shared" si="156"/>
        <v>3.6587637821243879</v>
      </c>
    </row>
    <row r="1085" spans="1:68" x14ac:dyDescent="0.15">
      <c r="A1085" s="5">
        <v>45152</v>
      </c>
      <c r="B1085" s="1"/>
      <c r="C1085">
        <v>104.5</v>
      </c>
      <c r="D1085">
        <v>85.56</v>
      </c>
      <c r="E1085">
        <v>86.173249999999996</v>
      </c>
      <c r="G1085" s="3">
        <v>2.5704123702949798E-3</v>
      </c>
      <c r="I1085" s="15">
        <f t="shared" si="159"/>
        <v>4.0353574173712693E-3</v>
      </c>
      <c r="J1085" s="15">
        <f t="shared" si="160"/>
        <v>4.4611411129372551E-3</v>
      </c>
      <c r="K1085" s="15">
        <f t="shared" si="161"/>
        <v>1.5421796417875086E-3</v>
      </c>
      <c r="L1085" s="32">
        <f t="shared" si="162"/>
        <v>295039.36104510538</v>
      </c>
      <c r="M1085" s="15"/>
      <c r="N1085" s="32">
        <f t="shared" si="163"/>
        <v>-3135000</v>
      </c>
      <c r="O1085" s="34">
        <f t="shared" si="164"/>
        <v>-0.31870800518371284</v>
      </c>
      <c r="P1085" s="34">
        <f t="shared" si="165"/>
        <v>0.60886953258254961</v>
      </c>
      <c r="Q1085" s="34">
        <f t="shared" si="166"/>
        <v>0.70083839509275625</v>
      </c>
      <c r="R1085" s="35" cm="1">
        <f t="array" ref="R1085">SQRT(MMULT(O1085:Q1085, MMULT($AU$32:$AW$34,TRANSPOSE(O1085:Q1085))))</f>
        <v>1.2872990972662625E-2</v>
      </c>
      <c r="S1085" s="36" cm="1">
        <f t="array" ref="S1085:U1085">TRANSPOSE(MMULT($AU$32:$AW$34, TRANSPOSE(O1085:Q1085))/MMULT(O1085:Q1085, MMULT($AU$32:$AW$34,TRANSPOSE(O1085:Q1085))))</f>
        <v>0.17719541020706808</v>
      </c>
      <c r="T1085" s="36">
        <v>1.0538592778996778</v>
      </c>
      <c r="U1085" s="36">
        <v>0.591877946009713</v>
      </c>
      <c r="V1085" s="35">
        <f t="shared" si="171"/>
        <v>5.3148113542633123E-3</v>
      </c>
      <c r="W1085" s="35">
        <f t="shared" si="172"/>
        <v>3.160952786210218E-2</v>
      </c>
      <c r="X1085" s="35">
        <f t="shared" si="173"/>
        <v>1.7752827932249637E-2</v>
      </c>
      <c r="Y1085" s="32">
        <f t="shared" si="174"/>
        <v>-16661.933595615483</v>
      </c>
      <c r="Z1085" s="32">
        <f t="shared" si="167"/>
        <v>189315.78427170237</v>
      </c>
      <c r="AA1085" s="32">
        <f t="shared" si="168"/>
        <v>122385.51036901849</v>
      </c>
      <c r="AB1085" s="40">
        <f t="shared" si="175"/>
        <v>-5.647359571480437E-2</v>
      </c>
      <c r="AC1085" s="40">
        <f t="shared" si="176"/>
        <v>0.64166280594256009</v>
      </c>
      <c r="AD1085" s="40">
        <f t="shared" si="177"/>
        <v>0.41481078977224428</v>
      </c>
      <c r="AE1085" s="40"/>
      <c r="AF1085" s="40"/>
      <c r="AG1085" s="40"/>
      <c r="AH1085" s="40"/>
      <c r="AI1085" s="40"/>
      <c r="AJ1085" s="40"/>
      <c r="AK1085" s="33">
        <f t="shared" si="169"/>
        <v>5989200</v>
      </c>
      <c r="AL1085" s="33">
        <f t="shared" si="170"/>
        <v>6893860</v>
      </c>
      <c r="AM1085" s="34"/>
      <c r="AN1085" s="33"/>
      <c r="AO1085" s="15" cm="1">
        <f t="array" ref="AO1085">SUMPRODUCT(I1085:K1085, TRANSPOSE($AY$5:$AY$7))</f>
        <v>2.4778264444875282E-3</v>
      </c>
      <c r="AP1085" s="22">
        <f t="shared" si="178"/>
        <v>9836590.0730761122</v>
      </c>
      <c r="AQ1085" s="22">
        <f t="shared" si="179"/>
        <v>24313.11931666173</v>
      </c>
      <c r="AR1085">
        <f t="shared" si="180"/>
        <v>0</v>
      </c>
      <c r="AS1085">
        <f t="shared" si="181"/>
        <v>0</v>
      </c>
      <c r="BJ1085">
        <f t="shared" si="155"/>
        <v>6.6070197533654562E-6</v>
      </c>
      <c r="BK1085">
        <f t="shared" si="157"/>
        <v>4.8330359729153583E-5</v>
      </c>
      <c r="BO1085">
        <f t="shared" si="158"/>
        <v>5.056790669217254E-5</v>
      </c>
      <c r="BP1085">
        <f t="shared" si="156"/>
        <v>3.961829994596564</v>
      </c>
    </row>
    <row r="1086" spans="1:68" x14ac:dyDescent="0.15">
      <c r="A1086" s="5">
        <v>45153</v>
      </c>
      <c r="B1086" s="1"/>
      <c r="C1086">
        <v>103</v>
      </c>
      <c r="D1086">
        <v>84.82</v>
      </c>
      <c r="E1086">
        <v>85.519270000000006</v>
      </c>
      <c r="G1086" s="3">
        <v>-1.12411769641026E-2</v>
      </c>
      <c r="I1086" s="15">
        <f t="shared" si="159"/>
        <v>-1.4354066985645933E-2</v>
      </c>
      <c r="J1086" s="15">
        <f t="shared" si="160"/>
        <v>-8.6489013557738328E-3</v>
      </c>
      <c r="K1086" s="15">
        <f t="shared" si="161"/>
        <v>-7.5891300374535025E-3</v>
      </c>
      <c r="L1086" s="32">
        <f t="shared" si="162"/>
        <v>292712.86293274362</v>
      </c>
      <c r="M1086" s="15"/>
      <c r="N1086" s="32">
        <f t="shared" si="163"/>
        <v>-3090000</v>
      </c>
      <c r="O1086" s="34">
        <f t="shared" si="164"/>
        <v>-0.31590813796538036</v>
      </c>
      <c r="P1086" s="34">
        <f t="shared" si="165"/>
        <v>0.6070139088529608</v>
      </c>
      <c r="Q1086" s="34">
        <f t="shared" si="166"/>
        <v>0.69944940701252079</v>
      </c>
      <c r="R1086" s="35" cm="1">
        <f t="array" ref="R1086">SQRT(MMULT(O1086:Q1086, MMULT($AU$32:$AW$34,TRANSPOSE(O1086:Q1086))))</f>
        <v>1.2843642858396689E-2</v>
      </c>
      <c r="S1086" s="36" cm="1">
        <f t="array" ref="S1086:U1086">TRANSPOSE(MMULT($AU$32:$AW$34, TRANSPOSE(O1086:Q1086))/MMULT(O1086:Q1086, MMULT($AU$32:$AW$34,TRANSPOSE(O1086:Q1086))))</f>
        <v>0.17917130879819435</v>
      </c>
      <c r="T1086" s="36">
        <v>1.0561618962003483</v>
      </c>
      <c r="U1086" s="36">
        <v>0.59403397783950329</v>
      </c>
      <c r="V1086" s="35">
        <f t="shared" si="171"/>
        <v>5.3618246605739535E-3</v>
      </c>
      <c r="W1086" s="35">
        <f t="shared" si="172"/>
        <v>3.1606371235385233E-2</v>
      </c>
      <c r="X1086" s="35">
        <f t="shared" si="173"/>
        <v>1.7776875399097319E-2</v>
      </c>
      <c r="Y1086" s="32">
        <f t="shared" si="174"/>
        <v>-16568.038201173516</v>
      </c>
      <c r="Z1086" s="32">
        <f t="shared" si="167"/>
        <v>187659.66857297625</v>
      </c>
      <c r="AA1086" s="32">
        <f t="shared" si="168"/>
        <v>121621.23256094092</v>
      </c>
      <c r="AB1086" s="40">
        <f t="shared" si="175"/>
        <v>-5.6601674539257747E-2</v>
      </c>
      <c r="AC1086" s="40">
        <f t="shared" si="176"/>
        <v>0.64110496099412839</v>
      </c>
      <c r="AD1086" s="40">
        <f t="shared" si="177"/>
        <v>0.41549671354512946</v>
      </c>
      <c r="AE1086" s="40"/>
      <c r="AF1086" s="40"/>
      <c r="AG1086" s="40"/>
      <c r="AH1086" s="40"/>
      <c r="AI1086" s="40"/>
      <c r="AJ1086" s="40"/>
      <c r="AK1086" s="33">
        <f t="shared" si="169"/>
        <v>5937399.9999999991</v>
      </c>
      <c r="AL1086" s="33">
        <f t="shared" si="170"/>
        <v>6841541.6000000006</v>
      </c>
      <c r="AM1086" s="34"/>
      <c r="AN1086" s="33"/>
      <c r="AO1086" s="15" cm="1">
        <f t="array" ref="AO1086">SUMPRODUCT(I1086:K1086, TRANSPOSE($AY$5:$AY$7))</f>
        <v>-5.6183701007746613E-3</v>
      </c>
      <c r="AP1086" s="22">
        <f t="shared" si="178"/>
        <v>9781324.4695159644</v>
      </c>
      <c r="AQ1086" s="22">
        <f t="shared" si="179"/>
        <v>-55265.603560147807</v>
      </c>
      <c r="AR1086">
        <f t="shared" si="180"/>
        <v>0</v>
      </c>
      <c r="AS1086">
        <f t="shared" si="181"/>
        <v>0</v>
      </c>
      <c r="BJ1086">
        <f t="shared" si="155"/>
        <v>1.2636405953827095E-4</v>
      </c>
      <c r="BK1086">
        <f t="shared" si="157"/>
        <v>4.5826959330606298E-5</v>
      </c>
      <c r="BO1086">
        <f t="shared" si="158"/>
        <v>4.654519311983954E-5</v>
      </c>
      <c r="BP1086">
        <f t="shared" si="156"/>
        <v>2.7111708330086532</v>
      </c>
    </row>
    <row r="1087" spans="1:68" x14ac:dyDescent="0.15">
      <c r="A1087" s="5">
        <v>45154</v>
      </c>
      <c r="B1087" s="1"/>
      <c r="C1087">
        <v>104.22</v>
      </c>
      <c r="D1087">
        <v>84.4</v>
      </c>
      <c r="E1087">
        <v>85.386570000000006</v>
      </c>
      <c r="G1087" s="3">
        <v>6.4560008379266299E-4</v>
      </c>
      <c r="I1087" s="15">
        <f t="shared" si="159"/>
        <v>1.1844660194174746E-2</v>
      </c>
      <c r="J1087" s="15">
        <f t="shared" si="160"/>
        <v>-4.9516623437866961E-3</v>
      </c>
      <c r="K1087" s="15">
        <f t="shared" si="161"/>
        <v>-1.5516970619604191E-3</v>
      </c>
      <c r="L1087" s="32">
        <f t="shared" si="162"/>
        <v>291401.07959977404</v>
      </c>
      <c r="M1087" s="15"/>
      <c r="N1087" s="32">
        <f t="shared" si="163"/>
        <v>-3126600</v>
      </c>
      <c r="O1087" s="34">
        <f t="shared" si="164"/>
        <v>-0.32257528525007911</v>
      </c>
      <c r="P1087" s="34">
        <f t="shared" si="165"/>
        <v>0.6095358489277386</v>
      </c>
      <c r="Q1087" s="34">
        <f t="shared" si="166"/>
        <v>0.70475525297194019</v>
      </c>
      <c r="R1087" s="35" cm="1">
        <f t="array" ref="R1087">SQRT(MMULT(O1087:Q1087, MMULT($AU$32:$AW$34,TRANSPOSE(O1087:Q1087))))</f>
        <v>1.290309818012877E-2</v>
      </c>
      <c r="S1087" s="36" cm="1">
        <f t="array" ref="S1087:U1087">TRANSPOSE(MMULT($AU$32:$AW$34, TRANSPOSE(O1087:Q1087))/MMULT(O1087:Q1087, MMULT($AU$32:$AW$34,TRANSPOSE(O1087:Q1087))))</f>
        <v>0.17503688083197588</v>
      </c>
      <c r="T1087" s="36">
        <v>1.0501396146759687</v>
      </c>
      <c r="U1087" s="36">
        <v>0.59079351091558507</v>
      </c>
      <c r="V1087" s="35">
        <f t="shared" si="171"/>
        <v>5.262347076348069E-3</v>
      </c>
      <c r="W1087" s="35">
        <f t="shared" si="172"/>
        <v>3.1571627103845423E-2</v>
      </c>
      <c r="X1087" s="35">
        <f t="shared" si="173"/>
        <v>1.7761745353977381E-2</v>
      </c>
      <c r="Y1087" s="32">
        <f t="shared" si="174"/>
        <v>-16453.254368909871</v>
      </c>
      <c r="Z1087" s="32">
        <f t="shared" si="167"/>
        <v>186525.17292951877</v>
      </c>
      <c r="AA1087" s="32">
        <f t="shared" si="168"/>
        <v>121329.16103916516</v>
      </c>
      <c r="AB1087" s="40">
        <f t="shared" si="175"/>
        <v>-5.646257176365873E-2</v>
      </c>
      <c r="AC1087" s="40">
        <f t="shared" si="176"/>
        <v>0.64009774152416488</v>
      </c>
      <c r="AD1087" s="40">
        <f t="shared" si="177"/>
        <v>0.41636483023949389</v>
      </c>
      <c r="AE1087" s="40"/>
      <c r="AF1087" s="40"/>
      <c r="AG1087" s="40"/>
      <c r="AH1087" s="40"/>
      <c r="AI1087" s="40"/>
      <c r="AJ1087" s="40"/>
      <c r="AK1087" s="33">
        <f t="shared" si="169"/>
        <v>5908000</v>
      </c>
      <c r="AL1087" s="33">
        <f t="shared" si="170"/>
        <v>6830925.6000000006</v>
      </c>
      <c r="AM1087" s="34"/>
      <c r="AN1087" s="33"/>
      <c r="AO1087" s="15" cm="1">
        <f t="array" ref="AO1087">SUMPRODUCT(I1087:K1087, TRANSPOSE($AY$5:$AY$7))</f>
        <v>-9.0686511697774235E-3</v>
      </c>
      <c r="AP1087" s="22">
        <f t="shared" si="178"/>
        <v>9692621.0499235168</v>
      </c>
      <c r="AQ1087" s="22">
        <f t="shared" si="179"/>
        <v>-88703.419592447579</v>
      </c>
      <c r="AR1087">
        <f t="shared" si="180"/>
        <v>0</v>
      </c>
      <c r="AS1087">
        <f t="shared" si="181"/>
        <v>0</v>
      </c>
      <c r="BJ1087">
        <f t="shared" si="155"/>
        <v>4.167994681930935E-7</v>
      </c>
      <c r="BK1087">
        <f t="shared" si="157"/>
        <v>5.0659185343066182E-5</v>
      </c>
      <c r="BO1087">
        <f t="shared" si="158"/>
        <v>6.0445682015833425E-5</v>
      </c>
      <c r="BP1087">
        <f t="shared" si="156"/>
        <v>3.9344964547309833</v>
      </c>
    </row>
    <row r="1088" spans="1:68" x14ac:dyDescent="0.15">
      <c r="A1088" s="5">
        <v>45155</v>
      </c>
      <c r="B1088" s="1"/>
      <c r="C1088">
        <v>103.3</v>
      </c>
      <c r="D1088">
        <v>84.36</v>
      </c>
      <c r="E1088">
        <v>85.168589999999995</v>
      </c>
      <c r="G1088" s="3">
        <v>-9.7727444316864E-3</v>
      </c>
      <c r="I1088" s="15">
        <f t="shared" si="159"/>
        <v>-8.8274803300710195E-3</v>
      </c>
      <c r="J1088" s="15">
        <f t="shared" si="160"/>
        <v>-4.7393364928917359E-4</v>
      </c>
      <c r="K1088" s="15">
        <f t="shared" si="161"/>
        <v>-2.5528604791129491E-3</v>
      </c>
      <c r="L1088" s="32">
        <f t="shared" si="162"/>
        <v>291148.77734688757</v>
      </c>
      <c r="M1088" s="15"/>
      <c r="N1088" s="32">
        <f t="shared" si="163"/>
        <v>-3099000</v>
      </c>
      <c r="O1088" s="34">
        <f t="shared" si="164"/>
        <v>-0.31931657508217265</v>
      </c>
      <c r="P1088" s="34">
        <f t="shared" si="165"/>
        <v>0.60846345246055045</v>
      </c>
      <c r="Q1088" s="34">
        <f t="shared" si="166"/>
        <v>0.70205208037115907</v>
      </c>
      <c r="R1088" s="35" cm="1">
        <f t="array" ref="R1088">SQRT(MMULT(O1088:Q1088, MMULT($AU$32:$AW$34,TRANSPOSE(O1088:Q1088))))</f>
        <v>1.2875346806012485E-2</v>
      </c>
      <c r="S1088" s="36" cm="1">
        <f t="array" ref="S1088:U1088">TRANSPOSE(MMULT($AU$32:$AW$34, TRANSPOSE(O1088:Q1088))/MMULT(O1088:Q1088, MMULT($AU$32:$AW$34,TRANSPOSE(O1088:Q1088))))</f>
        <v>0.17701320372112167</v>
      </c>
      <c r="T1088" s="36">
        <v>1.0530701211496227</v>
      </c>
      <c r="U1088" s="36">
        <v>0.59221898201483059</v>
      </c>
      <c r="V1088" s="35">
        <f t="shared" si="171"/>
        <v>5.3103178820659812E-3</v>
      </c>
      <c r="W1088" s="35">
        <f t="shared" si="172"/>
        <v>3.1591638238582777E-2</v>
      </c>
      <c r="X1088" s="35">
        <f t="shared" si="173"/>
        <v>1.7766307734008956E-2</v>
      </c>
      <c r="Y1088" s="32">
        <f t="shared" si="174"/>
        <v>-16456.675116522474</v>
      </c>
      <c r="Z1088" s="32">
        <f t="shared" si="167"/>
        <v>186554.942126479</v>
      </c>
      <c r="AA1088" s="32">
        <f t="shared" si="168"/>
        <v>121050.51033693101</v>
      </c>
      <c r="AB1088" s="40">
        <f t="shared" si="175"/>
        <v>-5.6523249956551461E-2</v>
      </c>
      <c r="AC1088" s="40">
        <f t="shared" si="176"/>
        <v>0.64075468159774951</v>
      </c>
      <c r="AD1088" s="40">
        <f t="shared" si="177"/>
        <v>0.41576856835880188</v>
      </c>
      <c r="AE1088" s="40"/>
      <c r="AF1088" s="40"/>
      <c r="AG1088" s="40"/>
      <c r="AH1088" s="40"/>
      <c r="AI1088" s="40"/>
      <c r="AJ1088" s="40"/>
      <c r="AK1088" s="33">
        <f t="shared" si="169"/>
        <v>5905200</v>
      </c>
      <c r="AL1088" s="33">
        <f t="shared" si="170"/>
        <v>6813487.1999999993</v>
      </c>
      <c r="AM1088" s="34"/>
      <c r="AN1088" s="33"/>
      <c r="AO1088" s="15" cm="1">
        <f t="array" ref="AO1088">SUMPRODUCT(I1088:K1088, TRANSPOSE($AY$5:$AY$7))</f>
        <v>1.2876975844070368E-3</v>
      </c>
      <c r="AP1088" s="22">
        <f t="shared" si="178"/>
        <v>9705102.2146360744</v>
      </c>
      <c r="AQ1088" s="22">
        <f t="shared" si="179"/>
        <v>12481.164712557569</v>
      </c>
      <c r="AR1088">
        <f t="shared" si="180"/>
        <v>0</v>
      </c>
      <c r="AS1088">
        <f t="shared" si="181"/>
        <v>0</v>
      </c>
      <c r="BJ1088">
        <f t="shared" si="155"/>
        <v>9.5506533727057535E-5</v>
      </c>
      <c r="BK1088">
        <f t="shared" si="157"/>
        <v>4.7644642190573797E-5</v>
      </c>
      <c r="BO1088">
        <f t="shared" si="158"/>
        <v>5.3411498521340603E-5</v>
      </c>
      <c r="BP1088">
        <f t="shared" si="156"/>
        <v>3.105740303543052</v>
      </c>
    </row>
    <row r="1089" spans="1:68" x14ac:dyDescent="0.15">
      <c r="A1089" s="5">
        <v>45156</v>
      </c>
      <c r="B1089" s="1"/>
      <c r="C1089">
        <v>103.86</v>
      </c>
      <c r="D1089">
        <v>83.88</v>
      </c>
      <c r="E1089">
        <v>84.723129999999998</v>
      </c>
      <c r="G1089" s="3">
        <v>-4.2097536921040703E-3</v>
      </c>
      <c r="I1089" s="15">
        <f t="shared" si="159"/>
        <v>5.4211035818006034E-3</v>
      </c>
      <c r="J1089" s="15">
        <f t="shared" si="160"/>
        <v>-5.6899004267425791E-3</v>
      </c>
      <c r="K1089" s="15">
        <f t="shared" si="161"/>
        <v>-5.2303319803697242E-3</v>
      </c>
      <c r="L1089" s="32">
        <f t="shared" si="162"/>
        <v>289366.23519683955</v>
      </c>
      <c r="M1089" s="15"/>
      <c r="N1089" s="32">
        <f t="shared" si="163"/>
        <v>-3115800</v>
      </c>
      <c r="O1089" s="34">
        <f t="shared" si="164"/>
        <v>-0.32420283103104208</v>
      </c>
      <c r="P1089" s="34">
        <f t="shared" si="165"/>
        <v>0.61094721826878062</v>
      </c>
      <c r="Q1089" s="34">
        <f t="shared" si="166"/>
        <v>0.70524368957727745</v>
      </c>
      <c r="R1089" s="35" cm="1">
        <f t="array" ref="R1089">SQRT(MMULT(O1089:Q1089, MMULT($AU$32:$AW$34,TRANSPOSE(O1089:Q1089))))</f>
        <v>1.2922280468288824E-2</v>
      </c>
      <c r="S1089" s="36" cm="1">
        <f t="array" ref="S1089:U1089">TRANSPOSE(MMULT($AU$32:$AW$34, TRANSPOSE(O1089:Q1089))/MMULT(O1089:Q1089, MMULT($AU$32:$AW$34,TRANSPOSE(O1089:Q1089))))</f>
        <v>0.17381455447461061</v>
      </c>
      <c r="T1089" s="36">
        <v>1.048874667844909</v>
      </c>
      <c r="U1089" s="36">
        <v>0.58922060011867161</v>
      </c>
      <c r="V1089" s="35">
        <f t="shared" si="171"/>
        <v>5.2333673841723919E-3</v>
      </c>
      <c r="W1089" s="35">
        <f t="shared" si="172"/>
        <v>3.1580476637162208E-2</v>
      </c>
      <c r="X1089" s="35">
        <f t="shared" si="173"/>
        <v>1.7740792076154747E-2</v>
      </c>
      <c r="Y1089" s="32">
        <f t="shared" si="174"/>
        <v>-16306.126095604339</v>
      </c>
      <c r="Z1089" s="32">
        <f t="shared" si="167"/>
        <v>185427.92662276162</v>
      </c>
      <c r="AA1089" s="32">
        <f t="shared" si="168"/>
        <v>120244.43466968228</v>
      </c>
      <c r="AB1089" s="40">
        <f t="shared" si="175"/>
        <v>-5.6351170635068046E-2</v>
      </c>
      <c r="AC1089" s="40">
        <f t="shared" si="176"/>
        <v>0.64080706063243853</v>
      </c>
      <c r="AD1089" s="40">
        <f t="shared" si="177"/>
        <v>0.41554411000262959</v>
      </c>
      <c r="AE1089" s="40"/>
      <c r="AF1089" s="40"/>
      <c r="AG1089" s="40"/>
      <c r="AH1089" s="40"/>
      <c r="AI1089" s="40"/>
      <c r="AJ1089" s="40"/>
      <c r="AK1089" s="33">
        <f t="shared" si="169"/>
        <v>5871600</v>
      </c>
      <c r="AL1089" s="33">
        <f t="shared" si="170"/>
        <v>6777850.3999999994</v>
      </c>
      <c r="AM1089" s="34"/>
      <c r="AN1089" s="33"/>
      <c r="AO1089" s="15" cm="1">
        <f t="array" ref="AO1089">SUMPRODUCT(I1089:K1089, TRANSPOSE($AY$5:$AY$7))</f>
        <v>-9.7322028617976598E-3</v>
      </c>
      <c r="AP1089" s="22">
        <f t="shared" si="178"/>
        <v>9610650.1910887547</v>
      </c>
      <c r="AQ1089" s="22">
        <f t="shared" si="179"/>
        <v>-94452.023547319695</v>
      </c>
      <c r="AR1089">
        <f t="shared" si="180"/>
        <v>0</v>
      </c>
      <c r="AS1089">
        <f t="shared" si="181"/>
        <v>0</v>
      </c>
      <c r="BJ1089">
        <f t="shared" si="155"/>
        <v>1.7722026148183852E-5</v>
      </c>
      <c r="BK1089">
        <f t="shared" si="157"/>
        <v>5.0516355682762827E-5</v>
      </c>
      <c r="BO1089">
        <f t="shared" si="158"/>
        <v>6.1436731885761088E-5</v>
      </c>
      <c r="BP1089">
        <f t="shared" si="156"/>
        <v>3.7855829081730499</v>
      </c>
    </row>
    <row r="1090" spans="1:68" x14ac:dyDescent="0.15">
      <c r="A1090" s="5">
        <v>45159</v>
      </c>
      <c r="B1090" s="1"/>
      <c r="C1090">
        <v>104.16</v>
      </c>
      <c r="D1090">
        <v>83.66</v>
      </c>
      <c r="E1090">
        <v>85.301280000000006</v>
      </c>
      <c r="G1090" s="3">
        <v>8.5554392358422294E-4</v>
      </c>
      <c r="I1090" s="15">
        <f t="shared" si="159"/>
        <v>2.8885037550548543E-3</v>
      </c>
      <c r="J1090" s="15">
        <f t="shared" si="160"/>
        <v>-2.6227944682880172E-3</v>
      </c>
      <c r="K1090" s="15">
        <f t="shared" si="161"/>
        <v>6.8239924563694467E-3</v>
      </c>
      <c r="L1090" s="32">
        <f t="shared" si="162"/>
        <v>289655.30053644697</v>
      </c>
      <c r="M1090" s="15"/>
      <c r="N1090" s="32">
        <f t="shared" si="163"/>
        <v>-3124800</v>
      </c>
      <c r="O1090" s="34">
        <f t="shared" si="164"/>
        <v>-0.32443650638141086</v>
      </c>
      <c r="P1090" s="34">
        <f t="shared" si="165"/>
        <v>0.60802773574974978</v>
      </c>
      <c r="Q1090" s="34">
        <f t="shared" si="166"/>
        <v>0.70852148676555338</v>
      </c>
      <c r="R1090" s="35" cm="1">
        <f t="array" ref="R1090">SQRT(MMULT(O1090:Q1090, MMULT($AU$32:$AW$34,TRANSPOSE(O1090:Q1090))))</f>
        <v>1.2907230012715999E-2</v>
      </c>
      <c r="S1090" s="36" cm="1">
        <f t="array" ref="S1090:U1090">TRANSPOSE(MMULT($AU$32:$AW$34, TRANSPOSE(O1090:Q1090))/MMULT(O1090:Q1090, MMULT($AU$32:$AW$34,TRANSPOSE(O1090:Q1090))))</f>
        <v>0.17451918121106641</v>
      </c>
      <c r="T1090" s="36">
        <v>1.0478544559639891</v>
      </c>
      <c r="U1090" s="36">
        <v>0.59207212347026805</v>
      </c>
      <c r="V1090" s="35">
        <f t="shared" si="171"/>
        <v>5.2484629675064905E-3</v>
      </c>
      <c r="W1090" s="35">
        <f t="shared" si="172"/>
        <v>3.1513013465335471E-2</v>
      </c>
      <c r="X1090" s="35">
        <f t="shared" si="173"/>
        <v>1.7805885820472694E-2</v>
      </c>
      <c r="Y1090" s="32">
        <f t="shared" si="174"/>
        <v>-16400.397080864281</v>
      </c>
      <c r="Z1090" s="32">
        <f t="shared" si="167"/>
        <v>184546.50945569758</v>
      </c>
      <c r="AA1090" s="32">
        <f t="shared" si="168"/>
        <v>121509.18816161368</v>
      </c>
      <c r="AB1090" s="40">
        <f t="shared" si="175"/>
        <v>-5.6620393448662744E-2</v>
      </c>
      <c r="AC1090" s="40">
        <f t="shared" si="176"/>
        <v>0.63712457225507024</v>
      </c>
      <c r="AD1090" s="40">
        <f t="shared" si="177"/>
        <v>0.41949582119359258</v>
      </c>
      <c r="AE1090" s="40"/>
      <c r="AF1090" s="40"/>
      <c r="AG1090" s="40"/>
      <c r="AH1090" s="40"/>
      <c r="AI1090" s="40"/>
      <c r="AJ1090" s="40"/>
      <c r="AK1090" s="33">
        <f t="shared" si="169"/>
        <v>5856200</v>
      </c>
      <c r="AL1090" s="33">
        <f t="shared" si="170"/>
        <v>6824102.4000000004</v>
      </c>
      <c r="AM1090" s="34"/>
      <c r="AN1090" s="33"/>
      <c r="AO1090" s="15" cm="1">
        <f t="array" ref="AO1090">SUMPRODUCT(I1090:K1090, TRANSPOSE($AY$5:$AY$7))</f>
        <v>2.1661734442350389E-3</v>
      </c>
      <c r="AP1090" s="22">
        <f t="shared" si="178"/>
        <v>9631468.5263145249</v>
      </c>
      <c r="AQ1090" s="22">
        <f t="shared" si="179"/>
        <v>20818.33522577025</v>
      </c>
      <c r="AR1090">
        <f t="shared" si="180"/>
        <v>0</v>
      </c>
      <c r="AS1090">
        <f t="shared" si="181"/>
        <v>0</v>
      </c>
      <c r="BJ1090">
        <f t="shared" ref="BJ1090:BJ1153" si="182">G1090^2</f>
        <v>7.3195540518188673E-7</v>
      </c>
      <c r="BK1090">
        <f t="shared" si="157"/>
        <v>4.8548695910688081E-5</v>
      </c>
      <c r="BO1090">
        <f t="shared" si="158"/>
        <v>5.6653470699071531E-5</v>
      </c>
      <c r="BP1090">
        <f t="shared" ref="BP1090:BP1153" si="183" xml:space="preserve"> -0.5 * (LN(2 * PI()) + LN(BO1090) + (BJ1090) / BO1090)</f>
        <v>3.9638801857830517</v>
      </c>
    </row>
    <row r="1091" spans="1:68" x14ac:dyDescent="0.15">
      <c r="A1091" s="5">
        <v>45160</v>
      </c>
      <c r="B1091" s="1"/>
      <c r="C1091">
        <v>104.16</v>
      </c>
      <c r="D1091">
        <v>83.18</v>
      </c>
      <c r="E1091">
        <v>85.907870000000003</v>
      </c>
      <c r="G1091" s="3">
        <v>2.5206429249575702E-3</v>
      </c>
      <c r="I1091" s="15">
        <f t="shared" si="159"/>
        <v>0</v>
      </c>
      <c r="J1091" s="15">
        <f t="shared" si="160"/>
        <v>-5.7375089648576353E-3</v>
      </c>
      <c r="K1091" s="15">
        <f t="shared" si="161"/>
        <v>7.1111476873500258E-3</v>
      </c>
      <c r="L1091" s="32">
        <f t="shared" si="162"/>
        <v>289464.33139325446</v>
      </c>
      <c r="M1091" s="15"/>
      <c r="N1091" s="32">
        <f t="shared" si="163"/>
        <v>-3124800</v>
      </c>
      <c r="O1091" s="34">
        <f t="shared" si="164"/>
        <v>-0.32396049353677281</v>
      </c>
      <c r="P1091" s="34">
        <f t="shared" si="165"/>
        <v>0.6036521920337985</v>
      </c>
      <c r="Q1091" s="34">
        <f t="shared" si="166"/>
        <v>0.71251295350468302</v>
      </c>
      <c r="R1091" s="35" cm="1">
        <f t="array" ref="R1091">SQRT(MMULT(O1091:Q1091, MMULT($AU$32:$AW$34,TRANSPOSE(O1091:Q1091))))</f>
        <v>1.2879795315923486E-2</v>
      </c>
      <c r="S1091" s="36" cm="1">
        <f t="array" ref="S1091:U1091">TRANSPOSE(MMULT($AU$32:$AW$34, TRANSPOSE(O1091:Q1091))/MMULT(O1091:Q1091, MMULT($AU$32:$AW$34,TRANSPOSE(O1091:Q1091))))</f>
        <v>0.17600440557451913</v>
      </c>
      <c r="T1091" s="36">
        <v>1.0470379825915681</v>
      </c>
      <c r="U1091" s="36">
        <v>0.59644066633481663</v>
      </c>
      <c r="V1091" s="35">
        <f t="shared" si="171"/>
        <v>5.2818786741063726E-3</v>
      </c>
      <c r="W1091" s="35">
        <f t="shared" si="172"/>
        <v>3.1421529325800071E-2</v>
      </c>
      <c r="X1091" s="35">
        <f t="shared" si="173"/>
        <v>1.7899138522131108E-2</v>
      </c>
      <c r="Y1091" s="32">
        <f t="shared" si="174"/>
        <v>-16504.814480847592</v>
      </c>
      <c r="Z1091" s="32">
        <f t="shared" si="167"/>
        <v>182954.99665240353</v>
      </c>
      <c r="AA1091" s="32">
        <f t="shared" si="168"/>
        <v>123014.14922169852</v>
      </c>
      <c r="AB1091" s="40">
        <f t="shared" si="175"/>
        <v>-5.7018474094567534E-2</v>
      </c>
      <c r="AC1091" s="40">
        <f t="shared" si="176"/>
        <v>0.63204677333404613</v>
      </c>
      <c r="AD1091" s="40">
        <f t="shared" si="177"/>
        <v>0.42497170076052138</v>
      </c>
      <c r="AE1091" s="40"/>
      <c r="AF1091" s="40"/>
      <c r="AG1091" s="40"/>
      <c r="AH1091" s="40"/>
      <c r="AI1091" s="40"/>
      <c r="AJ1091" s="40"/>
      <c r="AK1091" s="33">
        <f t="shared" si="169"/>
        <v>5822600.0000000009</v>
      </c>
      <c r="AL1091" s="33">
        <f t="shared" si="170"/>
        <v>6872629.6000000006</v>
      </c>
      <c r="AM1091" s="34"/>
      <c r="AN1091" s="33"/>
      <c r="AO1091" s="15" cm="1">
        <f t="array" ref="AO1091">SUMPRODUCT(I1091:K1091, TRANSPOSE($AY$5:$AY$7))</f>
        <v>1.4693546100060257E-3</v>
      </c>
      <c r="AP1091" s="22">
        <f t="shared" si="178"/>
        <v>9645620.5689947922</v>
      </c>
      <c r="AQ1091" s="22">
        <f t="shared" si="179"/>
        <v>14152.042680267245</v>
      </c>
      <c r="AR1091">
        <f t="shared" si="180"/>
        <v>0</v>
      </c>
      <c r="AS1091">
        <f t="shared" si="181"/>
        <v>0</v>
      </c>
      <c r="BJ1091">
        <f t="shared" si="182"/>
        <v>6.3536407551386552E-6</v>
      </c>
      <c r="BK1091">
        <f t="shared" ref="BK1091:BK1154" si="184">$BM$2 * BK1090 + (1 - $BM$2) * BJ1090</f>
        <v>4.5679691480357708E-5</v>
      </c>
      <c r="BO1091">
        <f t="shared" ref="BO1091:BO1154" si="185" xml:space="preserve"> $BR$2 + $BS$2 * BJ1090 + $BT$2 * BO1090</f>
        <v>5.0481852855136007E-5</v>
      </c>
      <c r="BP1091">
        <f t="shared" si="183"/>
        <v>3.9650798365805948</v>
      </c>
    </row>
    <row r="1092" spans="1:68" x14ac:dyDescent="0.15">
      <c r="A1092" s="5">
        <v>45161</v>
      </c>
      <c r="B1092" s="1"/>
      <c r="C1092">
        <v>104.72</v>
      </c>
      <c r="D1092">
        <v>84.2</v>
      </c>
      <c r="E1092">
        <v>85.651960000000003</v>
      </c>
      <c r="G1092" s="3">
        <v>9.00702498906902E-3</v>
      </c>
      <c r="I1092" s="15">
        <f t="shared" ref="I1092:I1155" si="186">(C1092-C1091)/C1091</f>
        <v>5.3763440860215275E-3</v>
      </c>
      <c r="J1092" s="15">
        <f t="shared" ref="J1092:J1155" si="187">(D1092-D1091)/D1091</f>
        <v>1.2262563116133636E-2</v>
      </c>
      <c r="K1092" s="15">
        <f t="shared" ref="K1092:K1155" si="188">(E1092-E1091)/E1091</f>
        <v>-2.9788888957437785E-3</v>
      </c>
      <c r="L1092" s="32">
        <f t="shared" si="162"/>
        <v>291257.97671187867</v>
      </c>
      <c r="M1092" s="15"/>
      <c r="N1092" s="32">
        <f t="shared" si="163"/>
        <v>-3141600</v>
      </c>
      <c r="O1092" s="34">
        <f t="shared" si="164"/>
        <v>-0.32448694796593508</v>
      </c>
      <c r="P1092" s="34">
        <f t="shared" si="165"/>
        <v>0.60877453250293523</v>
      </c>
      <c r="Q1092" s="34">
        <f t="shared" si="166"/>
        <v>0.70773982907309274</v>
      </c>
      <c r="R1092" s="35" cm="1">
        <f t="array" ref="R1092">SQRT(MMULT(O1092:Q1092, MMULT($AU$32:$AW$34,TRANSPOSE(O1092:Q1092))))</f>
        <v>1.2911248844793406E-2</v>
      </c>
      <c r="S1092" s="36" cm="1">
        <f t="array" ref="S1092:U1092">TRANSPOSE(MMULT($AU$32:$AW$34, TRANSPOSE(O1092:Q1092))/MMULT(O1092:Q1092, MMULT($AU$32:$AW$34,TRANSPOSE(O1092:Q1092))))</f>
        <v>0.17427060728526697</v>
      </c>
      <c r="T1092" s="36">
        <v>1.0480774107771784</v>
      </c>
      <c r="U1092" s="36">
        <v>0.59132704493049082</v>
      </c>
      <c r="V1092" s="35">
        <f t="shared" si="171"/>
        <v>5.2426192423945016E-3</v>
      </c>
      <c r="W1092" s="35">
        <f t="shared" si="172"/>
        <v>3.1529532643821613E-2</v>
      </c>
      <c r="X1092" s="35">
        <f t="shared" si="173"/>
        <v>1.778901555800658E-2</v>
      </c>
      <c r="Y1092" s="32">
        <f t="shared" si="174"/>
        <v>-16470.212611906565</v>
      </c>
      <c r="Z1092" s="32">
        <f t="shared" si="167"/>
        <v>185835.06540268459</v>
      </c>
      <c r="AA1092" s="32">
        <f t="shared" si="168"/>
        <v>121893.12392110057</v>
      </c>
      <c r="AB1092" s="40">
        <f t="shared" si="175"/>
        <v>-5.6548537478166322E-2</v>
      </c>
      <c r="AC1092" s="40">
        <f t="shared" si="176"/>
        <v>0.63804283577276355</v>
      </c>
      <c r="AD1092" s="40">
        <f t="shared" si="177"/>
        <v>0.41850570170540252</v>
      </c>
      <c r="AE1092" s="40"/>
      <c r="AF1092" s="40"/>
      <c r="AG1092" s="40"/>
      <c r="AH1092" s="40"/>
      <c r="AI1092" s="40"/>
      <c r="AJ1092" s="40"/>
      <c r="AK1092" s="33">
        <f t="shared" si="169"/>
        <v>5894000</v>
      </c>
      <c r="AL1092" s="33">
        <f t="shared" si="170"/>
        <v>6852156.7999999998</v>
      </c>
      <c r="AM1092" s="34"/>
      <c r="AN1092" s="33"/>
      <c r="AO1092" s="15" cm="1">
        <f t="array" ref="AO1092">SUMPRODUCT(I1092:K1092, TRANSPOSE($AY$5:$AY$7))</f>
        <v>3.7452004217325761E-3</v>
      </c>
      <c r="AP1092" s="22">
        <f t="shared" si="178"/>
        <v>9681745.3512176648</v>
      </c>
      <c r="AQ1092" s="22">
        <f t="shared" si="179"/>
        <v>36124.7822228726</v>
      </c>
      <c r="AR1092">
        <f t="shared" si="180"/>
        <v>0</v>
      </c>
      <c r="AS1092">
        <f t="shared" si="181"/>
        <v>0</v>
      </c>
      <c r="BJ1092">
        <f t="shared" si="182"/>
        <v>8.1126499153713787E-5</v>
      </c>
      <c r="BK1092">
        <f t="shared" si="184"/>
        <v>4.332012843684456E-5</v>
      </c>
      <c r="BO1092">
        <f t="shared" si="185"/>
        <v>4.6441608028002084E-5</v>
      </c>
      <c r="BP1092">
        <f t="shared" si="183"/>
        <v>3.1962941112581138</v>
      </c>
    </row>
    <row r="1093" spans="1:68" x14ac:dyDescent="0.15">
      <c r="A1093" s="5">
        <v>45162</v>
      </c>
      <c r="B1093" s="1"/>
      <c r="C1093">
        <v>105.7</v>
      </c>
      <c r="D1093">
        <v>84.5</v>
      </c>
      <c r="E1093">
        <v>85.168589999999995</v>
      </c>
      <c r="G1093" s="3">
        <v>2.9094184363454001E-4</v>
      </c>
      <c r="I1093" s="15">
        <f t="shared" si="186"/>
        <v>9.3582887700535133E-3</v>
      </c>
      <c r="J1093" s="15">
        <f t="shared" si="187"/>
        <v>3.5629453681709877E-3</v>
      </c>
      <c r="K1093" s="15">
        <f t="shared" si="188"/>
        <v>-5.6434201855977122E-3</v>
      </c>
      <c r="L1093" s="32">
        <f t="shared" si="162"/>
        <v>291081.88791972678</v>
      </c>
      <c r="M1093" s="15"/>
      <c r="N1093" s="32">
        <f t="shared" si="163"/>
        <v>-3171000</v>
      </c>
      <c r="O1093" s="34">
        <f t="shared" si="164"/>
        <v>-0.32933724056940478</v>
      </c>
      <c r="P1093" s="34">
        <f t="shared" si="165"/>
        <v>0.61432664079723409</v>
      </c>
      <c r="Q1093" s="34">
        <f t="shared" si="166"/>
        <v>0.70764272251748972</v>
      </c>
      <c r="R1093" s="35" cm="1">
        <f t="array" ref="R1093">SQRT(MMULT(O1093:Q1093, MMULT($AU$32:$AW$34,TRANSPOSE(O1093:Q1093))))</f>
        <v>1.2974895308910765E-2</v>
      </c>
      <c r="S1093" s="36" cm="1">
        <f t="array" ref="S1093:U1093">TRANSPOSE(MMULT($AU$32:$AW$34, TRANSPOSE(O1093:Q1093))/MMULT(O1093:Q1093, MMULT($AU$32:$AW$34,TRANSPOSE(O1093:Q1093))))</f>
        <v>0.17025278339736097</v>
      </c>
      <c r="T1093" s="36">
        <v>1.0448323490912006</v>
      </c>
      <c r="U1093" s="36">
        <v>0.58532677789197496</v>
      </c>
      <c r="V1093" s="35">
        <f t="shared" si="171"/>
        <v>5.1469980546712075E-3</v>
      </c>
      <c r="W1093" s="35">
        <f t="shared" si="172"/>
        <v>3.1586855503434409E-2</v>
      </c>
      <c r="X1093" s="35">
        <f t="shared" si="173"/>
        <v>1.7695310038635524E-2</v>
      </c>
      <c r="Y1093" s="32">
        <f t="shared" si="174"/>
        <v>-16321.130831362399</v>
      </c>
      <c r="Z1093" s="32">
        <f t="shared" si="167"/>
        <v>186836.25030281453</v>
      </c>
      <c r="AA1093" s="32">
        <f t="shared" si="168"/>
        <v>120566.76844827464</v>
      </c>
      <c r="AB1093" s="40">
        <f t="shared" si="175"/>
        <v>-5.6070581883347431E-2</v>
      </c>
      <c r="AC1093" s="40">
        <f t="shared" si="176"/>
        <v>0.64186834721348029</v>
      </c>
      <c r="AD1093" s="40">
        <f t="shared" si="177"/>
        <v>0.41420223466986716</v>
      </c>
      <c r="AE1093" s="40"/>
      <c r="AF1093" s="40"/>
      <c r="AG1093" s="40"/>
      <c r="AH1093" s="40"/>
      <c r="AI1093" s="40"/>
      <c r="AJ1093" s="40"/>
      <c r="AK1093" s="33">
        <f t="shared" si="169"/>
        <v>5915000</v>
      </c>
      <c r="AL1093" s="33">
        <f t="shared" si="170"/>
        <v>6813487.1999999993</v>
      </c>
      <c r="AM1093" s="34"/>
      <c r="AN1093" s="33"/>
      <c r="AO1093" s="15" cm="1">
        <f t="array" ref="AO1093">SUMPRODUCT(I1093:K1093, TRANSPOSE($AY$5:$AY$7))</f>
        <v>-5.5069692062624919E-3</v>
      </c>
      <c r="AP1093" s="22">
        <f t="shared" si="178"/>
        <v>9628428.277705634</v>
      </c>
      <c r="AQ1093" s="22">
        <f t="shared" si="179"/>
        <v>-53317.073512030765</v>
      </c>
      <c r="AR1093">
        <f t="shared" si="180"/>
        <v>0</v>
      </c>
      <c r="AS1093">
        <f t="shared" si="181"/>
        <v>0</v>
      </c>
      <c r="BJ1093">
        <f t="shared" si="182"/>
        <v>8.4647156377465132E-8</v>
      </c>
      <c r="BK1093">
        <f t="shared" si="184"/>
        <v>4.5588510679856717E-5</v>
      </c>
      <c r="BO1093">
        <f t="shared" si="185"/>
        <v>5.3921690172640488E-5</v>
      </c>
      <c r="BP1093">
        <f t="shared" si="183"/>
        <v>3.994265431528965</v>
      </c>
    </row>
    <row r="1094" spans="1:68" x14ac:dyDescent="0.15">
      <c r="A1094" s="5">
        <v>45163</v>
      </c>
      <c r="B1094" s="1"/>
      <c r="C1094">
        <v>106.24</v>
      </c>
      <c r="D1094">
        <v>84.6</v>
      </c>
      <c r="E1094">
        <v>85.035899999999998</v>
      </c>
      <c r="G1094" s="3">
        <v>-1.8161672194084699E-3</v>
      </c>
      <c r="I1094" s="15">
        <f t="shared" si="186"/>
        <v>5.1087984862818545E-3</v>
      </c>
      <c r="J1094" s="15">
        <f t="shared" si="187"/>
        <v>1.1834319526626547E-3</v>
      </c>
      <c r="K1094" s="15">
        <f t="shared" si="188"/>
        <v>-1.5579687300212044E-3</v>
      </c>
      <c r="L1094" s="32">
        <f t="shared" si="162"/>
        <v>291032.37104170729</v>
      </c>
      <c r="M1094" s="15"/>
      <c r="N1094" s="32">
        <f t="shared" si="163"/>
        <v>-3187200</v>
      </c>
      <c r="O1094" s="34">
        <f t="shared" si="164"/>
        <v>-0.33181101250031869</v>
      </c>
      <c r="P1094" s="34">
        <f t="shared" si="165"/>
        <v>0.61652385041004243</v>
      </c>
      <c r="Q1094" s="34">
        <f t="shared" si="166"/>
        <v>0.70822911842057856</v>
      </c>
      <c r="R1094" s="35" cm="1">
        <f t="array" ref="R1094">SQRT(MMULT(O1094:Q1094, MMULT($AU$32:$AW$34,TRANSPOSE(O1094:Q1094))))</f>
        <v>1.3003697421892144E-2</v>
      </c>
      <c r="S1094" s="36" cm="1">
        <f t="array" ref="S1094:U1094">TRANSPOSE(MMULT($AU$32:$AW$34, TRANSPOSE(O1094:Q1094))/MMULT(O1094:Q1094, MMULT($AU$32:$AW$34,TRANSPOSE(O1094:Q1094))))</f>
        <v>0.16839951707407813</v>
      </c>
      <c r="T1094" s="36">
        <v>1.0430171449128636</v>
      </c>
      <c r="U1094" s="36">
        <v>0.58290722211507318</v>
      </c>
      <c r="V1094" s="35">
        <f t="shared" si="171"/>
        <v>5.1022721328360882E-3</v>
      </c>
      <c r="W1094" s="35">
        <f t="shared" si="172"/>
        <v>3.1601974904822014E-2</v>
      </c>
      <c r="X1094" s="35">
        <f t="shared" si="173"/>
        <v>1.7661281499508807E-2</v>
      </c>
      <c r="Y1094" s="32">
        <f t="shared" si="174"/>
        <v>-16261.96174177518</v>
      </c>
      <c r="Z1094" s="32">
        <f t="shared" si="167"/>
        <v>187146.89538635596</v>
      </c>
      <c r="AA1094" s="32">
        <f t="shared" si="168"/>
        <v>120147.43739712647</v>
      </c>
      <c r="AB1094" s="40">
        <f t="shared" si="175"/>
        <v>-5.5876814264914566E-2</v>
      </c>
      <c r="AC1094" s="40">
        <f t="shared" si="176"/>
        <v>0.64304494622536779</v>
      </c>
      <c r="AD1094" s="40">
        <f t="shared" si="177"/>
        <v>0.41283186803954663</v>
      </c>
      <c r="AE1094" s="40"/>
      <c r="AF1094" s="40"/>
      <c r="AG1094" s="40"/>
      <c r="AH1094" s="40"/>
      <c r="AI1094" s="40"/>
      <c r="AJ1094" s="40"/>
      <c r="AK1094" s="33">
        <f t="shared" si="169"/>
        <v>5922000</v>
      </c>
      <c r="AL1094" s="33">
        <f t="shared" si="170"/>
        <v>6802872</v>
      </c>
      <c r="AM1094" s="34"/>
      <c r="AN1094" s="33"/>
      <c r="AO1094" s="15" cm="1">
        <f t="array" ref="AO1094">SUMPRODUCT(I1094:K1094, TRANSPOSE($AY$5:$AY$7))</f>
        <v>-2.3846536281428819E-3</v>
      </c>
      <c r="AP1094" s="22">
        <f t="shared" si="178"/>
        <v>9605467.8112798892</v>
      </c>
      <c r="AQ1094" s="22">
        <f t="shared" si="179"/>
        <v>-22960.466425744817</v>
      </c>
      <c r="AR1094">
        <f t="shared" si="180"/>
        <v>0</v>
      </c>
      <c r="AS1094">
        <f t="shared" si="181"/>
        <v>0</v>
      </c>
      <c r="BJ1094">
        <f t="shared" si="182"/>
        <v>3.2984633688538934E-6</v>
      </c>
      <c r="BK1094">
        <f t="shared" si="184"/>
        <v>4.2858278868447962E-5</v>
      </c>
      <c r="BO1094">
        <f t="shared" si="185"/>
        <v>4.8246912308880634E-5</v>
      </c>
      <c r="BP1094">
        <f t="shared" si="183"/>
        <v>4.0164676746519863</v>
      </c>
    </row>
    <row r="1095" spans="1:68" x14ac:dyDescent="0.15">
      <c r="A1095" s="5">
        <v>45166</v>
      </c>
      <c r="B1095" s="1"/>
      <c r="C1095">
        <v>106.56</v>
      </c>
      <c r="D1095">
        <v>85.24</v>
      </c>
      <c r="E1095">
        <v>85.737269999999995</v>
      </c>
      <c r="G1095" s="3">
        <v>6.9234276169514095E-3</v>
      </c>
      <c r="I1095" s="15">
        <f t="shared" si="186"/>
        <v>3.0120481927711539E-3</v>
      </c>
      <c r="J1095" s="15">
        <f t="shared" si="187"/>
        <v>7.5650118203309767E-3</v>
      </c>
      <c r="K1095" s="15">
        <f t="shared" si="188"/>
        <v>8.2479282279601576E-3</v>
      </c>
      <c r="L1095" s="32">
        <f t="shared" si="162"/>
        <v>293390.43699604418</v>
      </c>
      <c r="M1095" s="15"/>
      <c r="N1095" s="32">
        <f t="shared" si="163"/>
        <v>-3196800</v>
      </c>
      <c r="O1095" s="34">
        <f t="shared" si="164"/>
        <v>-0.32955982806763207</v>
      </c>
      <c r="P1095" s="34">
        <f t="shared" si="165"/>
        <v>0.61512061502563409</v>
      </c>
      <c r="Q1095" s="34">
        <f t="shared" si="166"/>
        <v>0.70709609509980353</v>
      </c>
      <c r="R1095" s="35" cm="1">
        <f t="array" ref="R1095">SQRT(MMULT(O1095:Q1095, MMULT($AU$32:$AW$34,TRANSPOSE(O1095:Q1095))))</f>
        <v>1.2981020448171315E-2</v>
      </c>
      <c r="S1095" s="36" cm="1">
        <f t="array" ref="S1095:U1095">TRANSPOSE(MMULT($AU$32:$AW$34, TRANSPOSE(O1095:Q1095))/MMULT(O1095:Q1095, MMULT($AU$32:$AW$34,TRANSPOSE(O1095:Q1095))))</f>
        <v>0.16992219634683142</v>
      </c>
      <c r="T1095" s="36">
        <v>1.0448091362844629</v>
      </c>
      <c r="U1095" s="36">
        <v>0.58452577263759042</v>
      </c>
      <c r="V1095" s="35">
        <f t="shared" si="171"/>
        <v>5.1394289675270113E-3</v>
      </c>
      <c r="W1095" s="35">
        <f t="shared" si="172"/>
        <v>3.1601064816729439E-2</v>
      </c>
      <c r="X1095" s="35">
        <f t="shared" si="173"/>
        <v>1.7679436546523656E-2</v>
      </c>
      <c r="Y1095" s="32">
        <f t="shared" si="174"/>
        <v>-16429.726523390349</v>
      </c>
      <c r="Z1095" s="32">
        <f t="shared" si="167"/>
        <v>188557.23354846123</v>
      </c>
      <c r="AA1095" s="32">
        <f t="shared" si="168"/>
        <v>121262.92997097329</v>
      </c>
      <c r="AB1095" s="40">
        <f t="shared" si="175"/>
        <v>-5.5999529812936176E-2</v>
      </c>
      <c r="AC1095" s="40">
        <f t="shared" si="176"/>
        <v>0.64268363849570043</v>
      </c>
      <c r="AD1095" s="40">
        <f t="shared" si="177"/>
        <v>0.41331589131723573</v>
      </c>
      <c r="AE1095" s="40"/>
      <c r="AF1095" s="40"/>
      <c r="AG1095" s="40"/>
      <c r="AH1095" s="40"/>
      <c r="AI1095" s="40"/>
      <c r="AJ1095" s="40"/>
      <c r="AK1095" s="33">
        <f t="shared" si="169"/>
        <v>5966800</v>
      </c>
      <c r="AL1095" s="33">
        <f t="shared" si="170"/>
        <v>6858981.5999999996</v>
      </c>
      <c r="AM1095" s="34"/>
      <c r="AN1095" s="33"/>
      <c r="AO1095" s="15" cm="1">
        <f t="array" ref="AO1095">SUMPRODUCT(I1095:K1095, TRANSPOSE($AY$5:$AY$7))</f>
        <v>9.8635055500837475E-3</v>
      </c>
      <c r="AP1095" s="22">
        <f t="shared" si="178"/>
        <v>9700211.3963475991</v>
      </c>
      <c r="AQ1095" s="22">
        <f t="shared" si="179"/>
        <v>94743.585067709908</v>
      </c>
      <c r="AR1095">
        <f t="shared" si="180"/>
        <v>0</v>
      </c>
      <c r="AS1095">
        <f t="shared" si="181"/>
        <v>0</v>
      </c>
      <c r="BJ1095">
        <f t="shared" si="182"/>
        <v>4.7933849967165474E-5</v>
      </c>
      <c r="BK1095">
        <f t="shared" si="184"/>
        <v>4.0484689938472314E-5</v>
      </c>
      <c r="BO1095">
        <f t="shared" si="185"/>
        <v>4.4253449061471864E-5</v>
      </c>
      <c r="BP1095">
        <f t="shared" si="183"/>
        <v>3.5522668794102565</v>
      </c>
    </row>
    <row r="1096" spans="1:68" x14ac:dyDescent="0.15">
      <c r="A1096" s="5">
        <v>45167</v>
      </c>
      <c r="B1096" s="1"/>
      <c r="C1096">
        <v>106.96</v>
      </c>
      <c r="D1096">
        <v>85.9</v>
      </c>
      <c r="E1096">
        <v>85.841520000000003</v>
      </c>
      <c r="G1096" s="3">
        <v>6.6607356963399502E-3</v>
      </c>
      <c r="I1096" s="15">
        <f t="shared" si="186"/>
        <v>3.7537537537536735E-3</v>
      </c>
      <c r="J1096" s="15">
        <f t="shared" si="187"/>
        <v>7.7428437353356501E-3</v>
      </c>
      <c r="K1096" s="15">
        <f t="shared" si="188"/>
        <v>1.2159239499928971E-3</v>
      </c>
      <c r="L1096" s="32">
        <f t="shared" si="162"/>
        <v>294937.11622311844</v>
      </c>
      <c r="M1096" s="15"/>
      <c r="N1096" s="32">
        <f t="shared" si="163"/>
        <v>-3208800</v>
      </c>
      <c r="O1096" s="34">
        <f t="shared" si="164"/>
        <v>-0.32931317906395552</v>
      </c>
      <c r="P1096" s="34">
        <f t="shared" si="165"/>
        <v>0.61710301225117326</v>
      </c>
      <c r="Q1096" s="34">
        <f t="shared" si="166"/>
        <v>0.70478044993473254</v>
      </c>
      <c r="R1096" s="35" cm="1">
        <f t="array" ref="R1096">SQRT(MMULT(O1096:Q1096, MMULT($AU$32:$AW$34,TRANSPOSE(O1096:Q1096))))</f>
        <v>1.299092187570427E-2</v>
      </c>
      <c r="S1096" s="36" cm="1">
        <f t="array" ref="S1096:U1096">TRANSPOSE(MMULT($AU$32:$AW$34, TRANSPOSE(O1096:Q1096))/MMULT(O1096:Q1096, MMULT($AU$32:$AW$34,TRANSPOSE(O1096:Q1096))))</f>
        <v>0.1694962978625803</v>
      </c>
      <c r="T1096" s="36">
        <v>1.0455370423862216</v>
      </c>
      <c r="U1096" s="36">
        <v>0.58261165792837033</v>
      </c>
      <c r="V1096" s="35">
        <f t="shared" si="171"/>
        <v>5.1304576715465429E-3</v>
      </c>
      <c r="W1096" s="35">
        <f t="shared" si="172"/>
        <v>3.1647201783400733E-2</v>
      </c>
      <c r="X1096" s="35">
        <f t="shared" si="173"/>
        <v>1.7634983699611258E-2</v>
      </c>
      <c r="Y1096" s="32">
        <f t="shared" si="174"/>
        <v>-16462.612576458549</v>
      </c>
      <c r="Z1096" s="32">
        <f t="shared" si="167"/>
        <v>190294.62432358862</v>
      </c>
      <c r="AA1096" s="32">
        <f t="shared" si="168"/>
        <v>121105.10447598831</v>
      </c>
      <c r="AB1096" s="40">
        <f t="shared" si="175"/>
        <v>-5.5817364688697454E-2</v>
      </c>
      <c r="AC1096" s="40">
        <f t="shared" si="176"/>
        <v>0.64520405827671989</v>
      </c>
      <c r="AD1096" s="40">
        <f t="shared" si="177"/>
        <v>0.41061330641197735</v>
      </c>
      <c r="AE1096" s="40"/>
      <c r="AF1096" s="40"/>
      <c r="AG1096" s="40"/>
      <c r="AH1096" s="40"/>
      <c r="AI1096" s="40"/>
      <c r="AJ1096" s="40"/>
      <c r="AK1096" s="33">
        <f t="shared" si="169"/>
        <v>6013000</v>
      </c>
      <c r="AL1096" s="33">
        <f t="shared" si="170"/>
        <v>6867321.6000000006</v>
      </c>
      <c r="AM1096" s="34"/>
      <c r="AN1096" s="33"/>
      <c r="AO1096" s="15" cm="1">
        <f t="array" ref="AO1096">SUMPRODUCT(I1096:K1096, TRANSPOSE($AY$5:$AY$7))</f>
        <v>4.5055452976076101E-3</v>
      </c>
      <c r="AP1096" s="22">
        <f t="shared" si="178"/>
        <v>9743916.1381902136</v>
      </c>
      <c r="AQ1096" s="22">
        <f t="shared" si="179"/>
        <v>43704.741842614487</v>
      </c>
      <c r="AR1096">
        <f t="shared" si="180"/>
        <v>0</v>
      </c>
      <c r="AS1096">
        <f t="shared" si="181"/>
        <v>0</v>
      </c>
      <c r="BJ1096">
        <f t="shared" si="182"/>
        <v>4.4365400016497241E-5</v>
      </c>
      <c r="BK1096">
        <f t="shared" si="184"/>
        <v>4.0931639540193906E-5</v>
      </c>
      <c r="BO1096">
        <f t="shared" si="185"/>
        <v>4.7478041262376933E-5</v>
      </c>
      <c r="BP1096">
        <f t="shared" si="183"/>
        <v>3.5914628867487237</v>
      </c>
    </row>
    <row r="1097" spans="1:68" x14ac:dyDescent="0.15">
      <c r="A1097" s="5">
        <v>45168</v>
      </c>
      <c r="B1097" s="1"/>
      <c r="C1097">
        <v>106.32</v>
      </c>
      <c r="D1097">
        <v>85.74</v>
      </c>
      <c r="E1097">
        <v>85.234930000000006</v>
      </c>
      <c r="G1097" s="3">
        <v>-1.4429347718795098E-3</v>
      </c>
      <c r="I1097" s="15">
        <f t="shared" si="186"/>
        <v>-5.9835452505609633E-3</v>
      </c>
      <c r="J1097" s="15">
        <f t="shared" si="187"/>
        <v>-1.8626309662399393E-3</v>
      </c>
      <c r="K1097" s="15">
        <f t="shared" si="188"/>
        <v>-7.0663939781121891E-3</v>
      </c>
      <c r="L1097" s="32">
        <f t="shared" si="162"/>
        <v>293825.98662632413</v>
      </c>
      <c r="M1097" s="15"/>
      <c r="N1097" s="32">
        <f t="shared" si="163"/>
        <v>-3189600</v>
      </c>
      <c r="O1097" s="34">
        <f t="shared" si="164"/>
        <v>-0.3286813788685114</v>
      </c>
      <c r="P1097" s="34">
        <f t="shared" si="165"/>
        <v>0.61847250429302481</v>
      </c>
      <c r="Q1097" s="34">
        <f t="shared" si="166"/>
        <v>0.70266200953501512</v>
      </c>
      <c r="R1097" s="35" cm="1">
        <f t="array" ref="R1097">SQRT(MMULT(O1097:Q1097, MMULT($AU$32:$AW$34,TRANSPOSE(O1097:Q1097))))</f>
        <v>1.2994906519113758E-2</v>
      </c>
      <c r="S1097" s="36" cm="1">
        <f t="array" ref="S1097:U1097">TRANSPOSE(MMULT($AU$32:$AW$34, TRANSPOSE(O1097:Q1097))/MMULT(O1097:Q1097, MMULT($AU$32:$AW$34,TRANSPOSE(O1097:Q1097))))</f>
        <v>0.16943504360512834</v>
      </c>
      <c r="T1097" s="36">
        <v>1.0464602409796255</v>
      </c>
      <c r="U1097" s="36">
        <v>0.58133676267675471</v>
      </c>
      <c r="V1097" s="35">
        <f t="shared" si="171"/>
        <v>5.1301766478157118E-3</v>
      </c>
      <c r="W1097" s="35">
        <f t="shared" si="172"/>
        <v>3.1684861507473808E-2</v>
      </c>
      <c r="X1097" s="35">
        <f t="shared" si="173"/>
        <v>1.7601791346963148E-2</v>
      </c>
      <c r="Y1097" s="32">
        <f t="shared" si="174"/>
        <v>-16363.211435872994</v>
      </c>
      <c r="Z1097" s="32">
        <f t="shared" si="167"/>
        <v>190166.20179555629</v>
      </c>
      <c r="AA1097" s="32">
        <f t="shared" si="168"/>
        <v>120022.99626664078</v>
      </c>
      <c r="AB1097" s="40">
        <f t="shared" si="175"/>
        <v>-5.5690143760779937E-2</v>
      </c>
      <c r="AC1097" s="40">
        <f t="shared" si="176"/>
        <v>0.64720688588175113</v>
      </c>
      <c r="AD1097" s="40">
        <f t="shared" si="177"/>
        <v>0.40848325787902867</v>
      </c>
      <c r="AE1097" s="40"/>
      <c r="AF1097" s="40"/>
      <c r="AG1097" s="40"/>
      <c r="AH1097" s="40"/>
      <c r="AI1097" s="40"/>
      <c r="AJ1097" s="40"/>
      <c r="AK1097" s="33">
        <f t="shared" si="169"/>
        <v>6001800</v>
      </c>
      <c r="AL1097" s="33">
        <f t="shared" si="170"/>
        <v>6818794.4000000004</v>
      </c>
      <c r="AM1097" s="34"/>
      <c r="AN1097" s="33"/>
      <c r="AO1097" s="15" cm="1">
        <f t="array" ref="AO1097">SUMPRODUCT(I1097:K1097, TRANSPOSE($AY$5:$AY$7))</f>
        <v>-4.0728200596561945E-3</v>
      </c>
      <c r="AP1097" s="22">
        <f t="shared" si="178"/>
        <v>9704230.9210829847</v>
      </c>
      <c r="AQ1097" s="22">
        <f t="shared" si="179"/>
        <v>-39685.217107228935</v>
      </c>
      <c r="AR1097">
        <f t="shared" si="180"/>
        <v>0</v>
      </c>
      <c r="AS1097">
        <f t="shared" si="181"/>
        <v>0</v>
      </c>
      <c r="BJ1097">
        <f t="shared" si="182"/>
        <v>2.082060755898973E-6</v>
      </c>
      <c r="BK1097">
        <f t="shared" si="184"/>
        <v>4.1137665168772109E-5</v>
      </c>
      <c r="BO1097">
        <f t="shared" si="185"/>
        <v>4.9499123769135404E-5</v>
      </c>
      <c r="BP1097">
        <f t="shared" si="183"/>
        <v>4.0168079728708683</v>
      </c>
    </row>
    <row r="1098" spans="1:68" x14ac:dyDescent="0.15">
      <c r="A1098" s="5">
        <v>45169</v>
      </c>
      <c r="B1098" s="1"/>
      <c r="C1098">
        <v>106.4</v>
      </c>
      <c r="D1098">
        <v>85.9</v>
      </c>
      <c r="E1098">
        <v>84.647300000000001</v>
      </c>
      <c r="G1098" s="3">
        <v>3.2224131860238902E-3</v>
      </c>
      <c r="I1098" s="15">
        <f t="shared" si="186"/>
        <v>7.524454477051591E-4</v>
      </c>
      <c r="J1098" s="15">
        <f t="shared" si="187"/>
        <v>1.8661068346164079E-3</v>
      </c>
      <c r="K1098" s="15">
        <f t="shared" si="188"/>
        <v>-6.8942392514430911E-3</v>
      </c>
      <c r="L1098" s="32">
        <f t="shared" si="162"/>
        <v>293343.13937145082</v>
      </c>
      <c r="M1098" s="15"/>
      <c r="N1098" s="32">
        <f t="shared" si="163"/>
        <v>-3192000</v>
      </c>
      <c r="O1098" s="34">
        <f t="shared" si="164"/>
        <v>-0.33029974481341862</v>
      </c>
      <c r="P1098" s="34">
        <f t="shared" si="165"/>
        <v>0.62220938770773382</v>
      </c>
      <c r="Q1098" s="34">
        <f t="shared" si="166"/>
        <v>0.70072635561766639</v>
      </c>
      <c r="R1098" s="35" cm="1">
        <f t="array" ref="R1098">SQRT(MMULT(O1098:Q1098, MMULT($AU$32:$AW$34,TRANSPOSE(O1098:Q1098))))</f>
        <v>1.3027628631282779E-2</v>
      </c>
      <c r="S1098" s="36" cm="1">
        <f t="array" ref="S1098:U1098">TRANSPOSE(MMULT($AU$32:$AW$34, TRANSPOSE(O1098:Q1098))/MMULT(O1098:Q1098, MMULT($AU$32:$AW$34,TRANSPOSE(O1098:Q1098))))</f>
        <v>0.16759466457217725</v>
      </c>
      <c r="T1098" s="36">
        <v>1.0457526799509325</v>
      </c>
      <c r="U1098" s="36">
        <v>0.57751408522029701</v>
      </c>
      <c r="V1098" s="35">
        <f t="shared" si="171"/>
        <v>5.0872312479696017E-3</v>
      </c>
      <c r="W1098" s="35">
        <f t="shared" si="172"/>
        <v>3.1743168702146857E-2</v>
      </c>
      <c r="X1098" s="35">
        <f t="shared" si="173"/>
        <v>1.7530078943593107E-2</v>
      </c>
      <c r="Y1098" s="32">
        <f t="shared" si="174"/>
        <v>-16238.442143518969</v>
      </c>
      <c r="Z1098" s="32">
        <f t="shared" si="167"/>
        <v>190871.67340600904</v>
      </c>
      <c r="AA1098" s="32">
        <f t="shared" si="168"/>
        <v>118709.90810896071</v>
      </c>
      <c r="AB1098" s="40">
        <f t="shared" si="175"/>
        <v>-5.5356474940280641E-2</v>
      </c>
      <c r="AC1098" s="40">
        <f t="shared" si="176"/>
        <v>0.65067713468599131</v>
      </c>
      <c r="AD1098" s="40">
        <f t="shared" si="177"/>
        <v>0.40467934025428914</v>
      </c>
      <c r="AE1098" s="40"/>
      <c r="AF1098" s="40"/>
      <c r="AG1098" s="40"/>
      <c r="AH1098" s="40"/>
      <c r="AI1098" s="40"/>
      <c r="AJ1098" s="40"/>
      <c r="AK1098" s="33">
        <f t="shared" si="169"/>
        <v>6013000</v>
      </c>
      <c r="AL1098" s="33">
        <f t="shared" si="170"/>
        <v>6771784</v>
      </c>
      <c r="AM1098" s="34"/>
      <c r="AN1098" s="33"/>
      <c r="AO1098" s="15" cm="1">
        <f t="array" ref="AO1098">SUMPRODUCT(I1098:K1098, TRANSPOSE($AY$5:$AY$7))</f>
        <v>-4.1509300541745561E-3</v>
      </c>
      <c r="AP1098" s="22">
        <f t="shared" si="178"/>
        <v>9663949.3373000119</v>
      </c>
      <c r="AQ1098" s="22">
        <f t="shared" si="179"/>
        <v>-40281.583782972768</v>
      </c>
      <c r="AR1098">
        <f t="shared" si="180"/>
        <v>0</v>
      </c>
      <c r="AS1098">
        <f t="shared" si="181"/>
        <v>0</v>
      </c>
      <c r="BJ1098">
        <f t="shared" si="182"/>
        <v>1.0383946741460639E-5</v>
      </c>
      <c r="BK1098">
        <f t="shared" si="184"/>
        <v>3.879432890399972E-5</v>
      </c>
      <c r="BO1098">
        <f t="shared" si="185"/>
        <v>4.5062416918071881E-5</v>
      </c>
      <c r="BP1098">
        <f t="shared" si="183"/>
        <v>3.9695750855012695</v>
      </c>
    </row>
    <row r="1099" spans="1:68" x14ac:dyDescent="0.15">
      <c r="A1099" s="5">
        <v>45170</v>
      </c>
      <c r="B1099" s="1"/>
      <c r="C1099">
        <v>105.46</v>
      </c>
      <c r="D1099">
        <v>85.64</v>
      </c>
      <c r="E1099">
        <v>84.685209999999998</v>
      </c>
      <c r="G1099" s="3">
        <v>-4.5665161132965003E-3</v>
      </c>
      <c r="I1099" s="15">
        <f t="shared" si="186"/>
        <v>-8.8345864661655248E-3</v>
      </c>
      <c r="J1099" s="15">
        <f t="shared" si="187"/>
        <v>-3.0267753201397565E-3</v>
      </c>
      <c r="K1099" s="15">
        <f t="shared" si="188"/>
        <v>4.478583487009811E-4</v>
      </c>
      <c r="L1099" s="32">
        <f t="shared" si="162"/>
        <v>292963.15599375253</v>
      </c>
      <c r="M1099" s="15"/>
      <c r="N1099" s="32">
        <f t="shared" si="163"/>
        <v>-3163800</v>
      </c>
      <c r="O1099" s="34">
        <f t="shared" si="164"/>
        <v>-0.32678565268321119</v>
      </c>
      <c r="P1099" s="34">
        <f t="shared" si="165"/>
        <v>0.61919673516193019</v>
      </c>
      <c r="Q1099" s="34">
        <f t="shared" si="166"/>
        <v>0.6997638693334548</v>
      </c>
      <c r="R1099" s="35" cm="1">
        <f t="array" ref="R1099">SQRT(MMULT(O1099:Q1099, MMULT($AU$32:$AW$34,TRANSPOSE(O1099:Q1099))))</f>
        <v>1.2987065880133798E-2</v>
      </c>
      <c r="S1099" s="36" cm="1">
        <f t="array" ref="S1099:U1099">TRANSPOSE(MMULT($AU$32:$AW$34, TRANSPOSE(O1099:Q1099))/MMULT(O1099:Q1099, MMULT($AU$32:$AW$34,TRANSPOSE(O1099:Q1099))))</f>
        <v>0.17018924697840856</v>
      </c>
      <c r="T1099" s="36">
        <v>1.0484189515277829</v>
      </c>
      <c r="U1099" s="36">
        <v>0.58082137431981173</v>
      </c>
      <c r="V1099" s="35">
        <f t="shared" si="171"/>
        <v>5.1499033828555632E-3</v>
      </c>
      <c r="W1099" s="35">
        <f t="shared" si="172"/>
        <v>3.1725014364790041E-2</v>
      </c>
      <c r="X1099" s="35">
        <f t="shared" si="173"/>
        <v>1.7575575505213308E-2</v>
      </c>
      <c r="Y1099" s="32">
        <f t="shared" si="174"/>
        <v>-16293.264322678431</v>
      </c>
      <c r="Z1099" s="32">
        <f t="shared" si="167"/>
        <v>190185.11611404334</v>
      </c>
      <c r="AA1099" s="32">
        <f t="shared" si="168"/>
        <v>119071.3042023876</v>
      </c>
      <c r="AB1099" s="40">
        <f t="shared" si="175"/>
        <v>-5.5615404153503474E-2</v>
      </c>
      <c r="AC1099" s="40">
        <f t="shared" si="176"/>
        <v>0.64917759186789703</v>
      </c>
      <c r="AD1099" s="40">
        <f t="shared" si="177"/>
        <v>0.40643781228560638</v>
      </c>
      <c r="AE1099" s="40"/>
      <c r="AF1099" s="40"/>
      <c r="AG1099" s="40"/>
      <c r="AH1099" s="40"/>
      <c r="AI1099" s="40"/>
      <c r="AJ1099" s="40"/>
      <c r="AK1099" s="33">
        <f t="shared" si="169"/>
        <v>5994800</v>
      </c>
      <c r="AL1099" s="33">
        <f t="shared" si="170"/>
        <v>6774816.7999999998</v>
      </c>
      <c r="AM1099" s="34"/>
      <c r="AN1099" s="33"/>
      <c r="AO1099" s="15" cm="1">
        <f t="array" ref="AO1099">SUMPRODUCT(I1099:K1099, TRANSPOSE($AY$5:$AY$7))</f>
        <v>1.8239187369670073E-3</v>
      </c>
      <c r="AP1099" s="22">
        <f t="shared" si="178"/>
        <v>9681575.5955694132</v>
      </c>
      <c r="AQ1099" s="22">
        <f t="shared" si="179"/>
        <v>17626.258269401267</v>
      </c>
      <c r="AR1099">
        <f t="shared" si="180"/>
        <v>0</v>
      </c>
      <c r="AS1099">
        <f t="shared" si="181"/>
        <v>0</v>
      </c>
      <c r="BJ1099">
        <f t="shared" si="182"/>
        <v>2.0853069412996576E-5</v>
      </c>
      <c r="BK1099">
        <f t="shared" si="184"/>
        <v>3.7089705974247374E-5</v>
      </c>
      <c r="BO1099">
        <f t="shared" si="185"/>
        <v>4.276471420726148E-5</v>
      </c>
      <c r="BP1099">
        <f t="shared" si="183"/>
        <v>3.8671484510235112</v>
      </c>
    </row>
    <row r="1100" spans="1:68" x14ac:dyDescent="0.15">
      <c r="A1100" s="5">
        <v>45174</v>
      </c>
      <c r="B1100" s="1"/>
      <c r="C1100">
        <v>103.74</v>
      </c>
      <c r="D1100">
        <v>85.8</v>
      </c>
      <c r="E1100">
        <v>83.206659999999999</v>
      </c>
      <c r="G1100" s="3">
        <v>-1.0496390306437099E-2</v>
      </c>
      <c r="I1100" s="15">
        <f t="shared" si="186"/>
        <v>-1.630950123269485E-2</v>
      </c>
      <c r="J1100" s="15">
        <f t="shared" si="187"/>
        <v>1.8682858477346636E-3</v>
      </c>
      <c r="K1100" s="15">
        <f t="shared" si="188"/>
        <v>-1.74593651004703E-2</v>
      </c>
      <c r="L1100" s="32">
        <f t="shared" ref="L1100:L1163" si="189">2.33*R1100*AP1100</f>
        <v>291513.44161359908</v>
      </c>
      <c r="M1100" s="15"/>
      <c r="N1100" s="32">
        <f t="shared" ref="N1100:N1163" si="190">C1100*$AV$5</f>
        <v>-3112200</v>
      </c>
      <c r="O1100" s="34">
        <f t="shared" ref="O1100:O1163" si="191">N1100/AP1100</f>
        <v>-0.32313894984293151</v>
      </c>
      <c r="P1100" s="34">
        <f t="shared" ref="P1100:P1163" si="192">AK1100/AP1100</f>
        <v>0.62360148215302569</v>
      </c>
      <c r="Q1100" s="34">
        <f t="shared" ref="Q1100:Q1163" si="193">AL1100/AP1100</f>
        <v>0.69114614053949885</v>
      </c>
      <c r="R1100" s="35" cm="1">
        <f t="array" ref="R1100">SQRT(MMULT(O1100:Q1100, MMULT($AU$32:$AW$34,TRANSPOSE(O1100:Q1100))))</f>
        <v>1.2990458344071514E-2</v>
      </c>
      <c r="S1100" s="36" cm="1">
        <f t="array" ref="S1100:U1100">TRANSPOSE(MMULT($AU$32:$AW$34, TRANSPOSE(O1100:Q1100))/MMULT(O1100:Q1100, MMULT($AU$32:$AW$34,TRANSPOSE(O1100:Q1100))))</f>
        <v>0.17079496820937762</v>
      </c>
      <c r="T1100" s="36">
        <v>1.0527784450294366</v>
      </c>
      <c r="U1100" s="36">
        <v>0.57683358783617</v>
      </c>
      <c r="V1100" s="35">
        <f t="shared" si="171"/>
        <v>5.1695824633691875E-3</v>
      </c>
      <c r="W1100" s="35">
        <f t="shared" si="172"/>
        <v>3.1865253668160683E-2</v>
      </c>
      <c r="X1100" s="35">
        <f t="shared" si="173"/>
        <v>1.7459465177595706E-2</v>
      </c>
      <c r="Y1100" s="32">
        <f t="shared" si="174"/>
        <v>-16088.774542497586</v>
      </c>
      <c r="Z1100" s="32">
        <f t="shared" ref="Z1100:Z1163" si="194">W1100*AK1100</f>
        <v>191382.71353097307</v>
      </c>
      <c r="AA1100" s="32">
        <f t="shared" ref="AA1100:AA1163" si="195">X1100*AL1100</f>
        <v>116219.50262512364</v>
      </c>
      <c r="AB1100" s="40">
        <f t="shared" si="175"/>
        <v>-5.5190506665635158E-2</v>
      </c>
      <c r="AC1100" s="40">
        <f t="shared" si="176"/>
        <v>0.65651419869911443</v>
      </c>
      <c r="AD1100" s="40">
        <f t="shared" si="177"/>
        <v>0.39867630796652093</v>
      </c>
      <c r="AE1100" s="40"/>
      <c r="AF1100" s="40"/>
      <c r="AG1100" s="40"/>
      <c r="AH1100" s="40"/>
      <c r="AI1100" s="40"/>
      <c r="AJ1100" s="40"/>
      <c r="AK1100" s="33">
        <f t="shared" ref="AK1100:AK1163" si="196">D1100*$AV$6</f>
        <v>6006000</v>
      </c>
      <c r="AL1100" s="33">
        <f t="shared" ref="AL1100:AL1163" si="197">E1100*$AV$7</f>
        <v>6656532.7999999998</v>
      </c>
      <c r="AM1100" s="34"/>
      <c r="AN1100" s="33"/>
      <c r="AO1100" s="15" cm="1">
        <f t="array" ref="AO1100">SUMPRODUCT(I1100:K1100, TRANSPOSE($AY$5:$AY$7))</f>
        <v>-5.2083110556686851E-3</v>
      </c>
      <c r="AP1100" s="22">
        <f t="shared" si="178"/>
        <v>9631150.9383587167</v>
      </c>
      <c r="AQ1100" s="22">
        <f t="shared" si="179"/>
        <v>-50424.657210696489</v>
      </c>
      <c r="AR1100">
        <f t="shared" si="180"/>
        <v>0</v>
      </c>
      <c r="AS1100">
        <f t="shared" si="181"/>
        <v>0</v>
      </c>
      <c r="BJ1100">
        <f t="shared" si="182"/>
        <v>1.101742094650667E-4</v>
      </c>
      <c r="BK1100">
        <f t="shared" si="184"/>
        <v>3.6115507780572326E-5</v>
      </c>
      <c r="BO1100">
        <f t="shared" si="185"/>
        <v>4.2453459295948132E-5</v>
      </c>
      <c r="BP1100">
        <f t="shared" si="183"/>
        <v>2.8170244185227973</v>
      </c>
    </row>
    <row r="1101" spans="1:68" x14ac:dyDescent="0.15">
      <c r="A1101" s="5">
        <v>45175</v>
      </c>
      <c r="B1101" s="1"/>
      <c r="C1101">
        <v>104.2</v>
      </c>
      <c r="D1101">
        <v>86.8</v>
      </c>
      <c r="E1101">
        <v>82.656940000000006</v>
      </c>
      <c r="G1101" s="3">
        <v>-3.1465223079211102E-3</v>
      </c>
      <c r="I1101" s="15">
        <f t="shared" si="186"/>
        <v>4.4341623288992483E-3</v>
      </c>
      <c r="J1101" s="15">
        <f t="shared" si="187"/>
        <v>1.1655011655011656E-2</v>
      </c>
      <c r="K1101" s="15">
        <f t="shared" si="188"/>
        <v>-6.606682686217588E-3</v>
      </c>
      <c r="L1101" s="32">
        <f t="shared" si="189"/>
        <v>292912.45344451268</v>
      </c>
      <c r="M1101" s="15"/>
      <c r="N1101" s="32">
        <f t="shared" si="190"/>
        <v>-3126000</v>
      </c>
      <c r="O1101" s="34">
        <f t="shared" si="191"/>
        <v>-0.32423338122883549</v>
      </c>
      <c r="P1101" s="34">
        <f t="shared" si="192"/>
        <v>0.63021178002124256</v>
      </c>
      <c r="Q1101" s="34">
        <f t="shared" si="193"/>
        <v>0.68586408543132393</v>
      </c>
      <c r="R1101" s="35" cm="1">
        <f t="array" ref="R1101">SQRT(MMULT(O1101:Q1101, MMULT($AU$32:$AW$34,TRANSPOSE(O1101:Q1101))))</f>
        <v>1.3039191604176546E-2</v>
      </c>
      <c r="S1101" s="36" cm="1">
        <f t="array" ref="S1101:U1101">TRANSPOSE(MMULT($AU$32:$AW$34, TRANSPOSE(O1101:Q1101))/MMULT(O1101:Q1101, MMULT($AU$32:$AW$34,TRANSPOSE(O1101:Q1101))))</f>
        <v>0.16842130839322869</v>
      </c>
      <c r="T1101" s="36">
        <v>1.0528415108244891</v>
      </c>
      <c r="U1101" s="36">
        <v>0.57022185004542869</v>
      </c>
      <c r="V1101" s="35">
        <f t="shared" ref="V1101:V1164" si="198">(L1101/AP1101)*S1101</f>
        <v>5.1168610651514202E-3</v>
      </c>
      <c r="W1101" s="35">
        <f t="shared" ref="W1101:W1164" si="199">(L1101/AP1101)*T1101</f>
        <v>3.1986711099137956E-2</v>
      </c>
      <c r="X1101" s="35">
        <f t="shared" ref="X1101:X1164" si="200">(L1101/AP1101)*U1101</f>
        <v>1.7324090465938764E-2</v>
      </c>
      <c r="Y1101" s="32">
        <f t="shared" ref="Y1101:Y1164" si="201">(V1101*N1101)</f>
        <v>-15995.307689663339</v>
      </c>
      <c r="Z1101" s="32">
        <f t="shared" si="194"/>
        <v>194351.25663836222</v>
      </c>
      <c r="AA1101" s="32">
        <f t="shared" si="195"/>
        <v>114556.5044958138</v>
      </c>
      <c r="AB1101" s="40">
        <f t="shared" ref="AB1101:AB1164" si="202">Y1101/L1101</f>
        <v>-5.4607810291320988E-2</v>
      </c>
      <c r="AC1101" s="40">
        <f t="shared" ref="AC1101:AC1164" si="203">Z1101/L1101</f>
        <v>0.6635131226169555</v>
      </c>
      <c r="AD1101" s="40">
        <f t="shared" ref="AD1101:AD1164" si="204">AA1101/L1101</f>
        <v>0.39109468767436545</v>
      </c>
      <c r="AE1101" s="40"/>
      <c r="AF1101" s="40"/>
      <c r="AG1101" s="40"/>
      <c r="AH1101" s="40"/>
      <c r="AI1101" s="40"/>
      <c r="AJ1101" s="40"/>
      <c r="AK1101" s="33">
        <f t="shared" si="196"/>
        <v>6076000</v>
      </c>
      <c r="AL1101" s="33">
        <f t="shared" si="197"/>
        <v>6612555.2000000002</v>
      </c>
      <c r="AM1101" s="34"/>
      <c r="AN1101" s="33"/>
      <c r="AO1101" s="15" cm="1">
        <f t="array" ref="AO1101">SUMPRODUCT(I1101:K1101, TRANSPOSE($AY$5:$AY$7))</f>
        <v>1.043751791401119E-3</v>
      </c>
      <c r="AP1101" s="22">
        <f t="shared" si="178"/>
        <v>9641203.4694038816</v>
      </c>
      <c r="AQ1101" s="22">
        <f t="shared" si="179"/>
        <v>10052.531045164913</v>
      </c>
      <c r="AR1101">
        <f t="shared" si="180"/>
        <v>0</v>
      </c>
      <c r="AS1101">
        <f t="shared" si="181"/>
        <v>0</v>
      </c>
      <c r="BJ1101">
        <f t="shared" si="182"/>
        <v>9.9006026342451895E-6</v>
      </c>
      <c r="BK1101">
        <f t="shared" si="184"/>
        <v>4.0559029881641997E-5</v>
      </c>
      <c r="BO1101">
        <f t="shared" si="185"/>
        <v>5.4930451166955518E-5</v>
      </c>
      <c r="BP1101">
        <f t="shared" si="183"/>
        <v>3.8956633786674302</v>
      </c>
    </row>
    <row r="1102" spans="1:68" x14ac:dyDescent="0.15">
      <c r="A1102" s="5">
        <v>45176</v>
      </c>
      <c r="B1102" s="1"/>
      <c r="C1102">
        <v>105.2</v>
      </c>
      <c r="D1102">
        <v>88.48</v>
      </c>
      <c r="E1102">
        <v>84.002799999999993</v>
      </c>
      <c r="G1102" s="3">
        <v>6.31746820948442E-3</v>
      </c>
      <c r="I1102" s="15">
        <f t="shared" si="186"/>
        <v>9.5969289827255271E-3</v>
      </c>
      <c r="J1102" s="15">
        <f t="shared" si="187"/>
        <v>1.93548387096775E-2</v>
      </c>
      <c r="K1102" s="15">
        <f t="shared" si="188"/>
        <v>1.6282480333774604E-2</v>
      </c>
      <c r="L1102" s="32">
        <f t="shared" si="189"/>
        <v>298386.63116188068</v>
      </c>
      <c r="M1102" s="15"/>
      <c r="N1102" s="32">
        <f t="shared" si="190"/>
        <v>-3156000</v>
      </c>
      <c r="O1102" s="34">
        <f t="shared" si="191"/>
        <v>-0.32063161945291552</v>
      </c>
      <c r="P1102" s="34">
        <f t="shared" si="192"/>
        <v>0.62923447346120964</v>
      </c>
      <c r="Q1102" s="34">
        <f t="shared" si="193"/>
        <v>0.68273647154827288</v>
      </c>
      <c r="R1102" s="35" cm="1">
        <f t="array" ref="R1102">SQRT(MMULT(O1102:Q1102, MMULT($AU$32:$AW$34,TRANSPOSE(O1102:Q1102))))</f>
        <v>1.3010464266243136E-2</v>
      </c>
      <c r="S1102" s="36" cm="1">
        <f t="array" ref="S1102:U1102">TRANSPOSE(MMULT($AU$32:$AW$34, TRANSPOSE(O1102:Q1102))/MMULT(O1102:Q1102, MMULT($AU$32:$AW$34,TRANSPOSE(O1102:Q1102))))</f>
        <v>0.1704886399579659</v>
      </c>
      <c r="T1102" s="36">
        <v>1.0560296041999018</v>
      </c>
      <c r="U1102" s="36">
        <v>0.57148524068892614</v>
      </c>
      <c r="V1102" s="35">
        <f t="shared" si="198"/>
        <v>5.1682577140782721E-3</v>
      </c>
      <c r="W1102" s="35">
        <f t="shared" si="199"/>
        <v>3.2012884550822858E-2</v>
      </c>
      <c r="X1102" s="35">
        <f t="shared" si="200"/>
        <v>1.7324221745217912E-2</v>
      </c>
      <c r="Y1102" s="32">
        <f t="shared" si="201"/>
        <v>-16311.021345631027</v>
      </c>
      <c r="Z1102" s="32">
        <f t="shared" si="194"/>
        <v>198275.00175397645</v>
      </c>
      <c r="AA1102" s="32">
        <f t="shared" si="195"/>
        <v>116422.65075353529</v>
      </c>
      <c r="AB1102" s="40">
        <f t="shared" si="202"/>
        <v>-5.466404872804765E-2</v>
      </c>
      <c r="AC1102" s="40">
        <f t="shared" si="203"/>
        <v>0.6644902319581748</v>
      </c>
      <c r="AD1102" s="40">
        <f t="shared" si="204"/>
        <v>0.39017381676987295</v>
      </c>
      <c r="AE1102" s="40"/>
      <c r="AF1102" s="40"/>
      <c r="AG1102" s="40"/>
      <c r="AH1102" s="40"/>
      <c r="AI1102" s="40"/>
      <c r="AJ1102" s="40"/>
      <c r="AK1102" s="33">
        <f t="shared" si="196"/>
        <v>6193600</v>
      </c>
      <c r="AL1102" s="33">
        <f t="shared" si="197"/>
        <v>6720223.9999999991</v>
      </c>
      <c r="AM1102" s="34"/>
      <c r="AN1102" s="33"/>
      <c r="AO1102" s="15" cm="1">
        <f t="array" ref="AO1102">SUMPRODUCT(I1102:K1102, TRANSPOSE($AY$5:$AY$7))</f>
        <v>2.0938067558205785E-2</v>
      </c>
      <c r="AP1102" s="22">
        <f t="shared" ref="AP1102:AP1165" si="205">AP1101 * (1 + AO1102)</f>
        <v>9843071.6389886681</v>
      </c>
      <c r="AQ1102" s="22">
        <f t="shared" ref="AQ1102:AQ1165" si="206">AP1102 - AP1101</f>
        <v>201868.16958478652</v>
      </c>
      <c r="AR1102">
        <f t="shared" ref="AR1102:AR1165" si="207">IF(-AQ1102 &gt; L1102, 1, 0)</f>
        <v>0</v>
      </c>
      <c r="AS1102">
        <f t="shared" ref="AS1102:AS1165" si="208">IF(-AQ1102 &gt; L1101, 1, 0)</f>
        <v>0</v>
      </c>
      <c r="BJ1102">
        <f t="shared" si="182"/>
        <v>3.9910404577846284E-5</v>
      </c>
      <c r="BK1102">
        <f t="shared" si="184"/>
        <v>3.8719524246798187E-5</v>
      </c>
      <c r="BO1102">
        <f t="shared" si="185"/>
        <v>5.043615329880139E-5</v>
      </c>
      <c r="BP1102">
        <f t="shared" si="183"/>
        <v>3.6328098823216446</v>
      </c>
    </row>
    <row r="1103" spans="1:68" x14ac:dyDescent="0.15">
      <c r="A1103" s="5">
        <v>45177</v>
      </c>
      <c r="B1103" s="1"/>
      <c r="C1103">
        <v>105.22</v>
      </c>
      <c r="D1103">
        <v>88.92</v>
      </c>
      <c r="E1103">
        <v>83.51943</v>
      </c>
      <c r="G1103" s="3">
        <v>-4.07917643555943E-3</v>
      </c>
      <c r="I1103" s="15">
        <f t="shared" si="186"/>
        <v>1.9011406844102682E-4</v>
      </c>
      <c r="J1103" s="15">
        <f t="shared" si="187"/>
        <v>4.9728752260397571E-3</v>
      </c>
      <c r="K1103" s="15">
        <f t="shared" si="188"/>
        <v>-5.7542129548061932E-3</v>
      </c>
      <c r="L1103" s="32">
        <f t="shared" si="189"/>
        <v>298702.21839023533</v>
      </c>
      <c r="M1103" s="15"/>
      <c r="N1103" s="32">
        <f t="shared" si="190"/>
        <v>-3156600</v>
      </c>
      <c r="O1103" s="34">
        <f t="shared" si="191"/>
        <v>-0.32102866041537792</v>
      </c>
      <c r="P1103" s="34">
        <f t="shared" si="192"/>
        <v>0.63302629217812778</v>
      </c>
      <c r="Q1103" s="34">
        <f t="shared" si="193"/>
        <v>0.67951924809113418</v>
      </c>
      <c r="R1103" s="35" cm="1">
        <f t="array" ref="R1103">SQRT(MMULT(O1103:Q1103, MMULT($AU$32:$AW$34,TRANSPOSE(O1103:Q1103))))</f>
        <v>1.3037874052148643E-2</v>
      </c>
      <c r="S1103" s="36" cm="1">
        <f t="array" ref="S1103:U1103">TRANSPOSE(MMULT($AU$32:$AW$34, TRANSPOSE(O1103:Q1103))/MMULT(O1103:Q1103, MMULT($AU$32:$AW$34,TRANSPOSE(O1103:Q1103))))</f>
        <v>0.16924690610898149</v>
      </c>
      <c r="T1103" s="36">
        <v>1.0561396352210806</v>
      </c>
      <c r="U1103" s="36">
        <v>0.5677086430221544</v>
      </c>
      <c r="V1103" s="35">
        <f t="shared" si="198"/>
        <v>5.1414242401658147E-3</v>
      </c>
      <c r="W1103" s="35">
        <f t="shared" si="199"/>
        <v>3.2083670221002558E-2</v>
      </c>
      <c r="X1103" s="35">
        <f t="shared" si="200"/>
        <v>1.7245993121471018E-2</v>
      </c>
      <c r="Y1103" s="32">
        <f t="shared" si="201"/>
        <v>-16229.41975650741</v>
      </c>
      <c r="Z1103" s="32">
        <f t="shared" si="194"/>
        <v>199701.59692360833</v>
      </c>
      <c r="AA1103" s="32">
        <f t="shared" si="195"/>
        <v>115230.04122313442</v>
      </c>
      <c r="AB1103" s="40">
        <f t="shared" si="202"/>
        <v>-5.4333107547613564E-2</v>
      </c>
      <c r="AC1103" s="40">
        <f t="shared" si="203"/>
        <v>0.6685641573063611</v>
      </c>
      <c r="AD1103" s="40">
        <f t="shared" si="204"/>
        <v>0.38576895024125246</v>
      </c>
      <c r="AE1103" s="40"/>
      <c r="AF1103" s="40"/>
      <c r="AG1103" s="40"/>
      <c r="AH1103" s="40"/>
      <c r="AI1103" s="40"/>
      <c r="AJ1103" s="40"/>
      <c r="AK1103" s="33">
        <f t="shared" si="196"/>
        <v>6224400</v>
      </c>
      <c r="AL1103" s="33">
        <f t="shared" si="197"/>
        <v>6681554.4000000004</v>
      </c>
      <c r="AM1103" s="34"/>
      <c r="AN1103" s="33"/>
      <c r="AO1103" s="15" cm="1">
        <f t="array" ref="AO1103">SUMPRODUCT(I1103:K1103, TRANSPOSE($AY$5:$AY$7))</f>
        <v>-1.0468983684588226E-3</v>
      </c>
      <c r="AP1103" s="22">
        <f t="shared" si="205"/>
        <v>9832766.9433491882</v>
      </c>
      <c r="AQ1103" s="22">
        <f t="shared" si="206"/>
        <v>-10304.695639479905</v>
      </c>
      <c r="AR1103">
        <f t="shared" si="207"/>
        <v>0</v>
      </c>
      <c r="AS1103">
        <f t="shared" si="208"/>
        <v>0</v>
      </c>
      <c r="BJ1103">
        <f t="shared" si="182"/>
        <v>1.6639680392423335E-5</v>
      </c>
      <c r="BK1103">
        <f t="shared" si="184"/>
        <v>3.8790977066661072E-5</v>
      </c>
      <c r="BO1103">
        <f t="shared" si="185"/>
        <v>5.1184922903391144E-5</v>
      </c>
      <c r="BP1103">
        <f t="shared" si="183"/>
        <v>3.8585494945878511</v>
      </c>
    </row>
    <row r="1104" spans="1:68" x14ac:dyDescent="0.15">
      <c r="A1104" s="5">
        <v>45180</v>
      </c>
      <c r="B1104" s="1"/>
      <c r="C1104">
        <v>106.1</v>
      </c>
      <c r="D1104">
        <v>90.34</v>
      </c>
      <c r="E1104">
        <v>83.699510000000004</v>
      </c>
      <c r="G1104" s="3">
        <v>2.1577364633866801E-3</v>
      </c>
      <c r="I1104" s="15">
        <f t="shared" si="186"/>
        <v>8.363429005892372E-3</v>
      </c>
      <c r="J1104" s="15">
        <f t="shared" si="187"/>
        <v>1.596941070625283E-2</v>
      </c>
      <c r="K1104" s="15">
        <f t="shared" si="188"/>
        <v>2.1561449832692078E-3</v>
      </c>
      <c r="L1104" s="32">
        <f t="shared" si="189"/>
        <v>302008.18647811218</v>
      </c>
      <c r="M1104" s="15"/>
      <c r="N1104" s="32">
        <f t="shared" si="190"/>
        <v>-3183000</v>
      </c>
      <c r="O1104" s="34">
        <f t="shared" si="191"/>
        <v>-0.32089342699698364</v>
      </c>
      <c r="P1104" s="34">
        <f t="shared" si="192"/>
        <v>0.63753247051320305</v>
      </c>
      <c r="Q1104" s="34">
        <f t="shared" si="193"/>
        <v>0.67505177761528889</v>
      </c>
      <c r="R1104" s="35" cm="1">
        <f t="array" ref="R1104">SQRT(MMULT(O1104:Q1104, MMULT($AU$32:$AW$34,TRANSPOSE(O1104:Q1104))))</f>
        <v>1.3067333559872866E-2</v>
      </c>
      <c r="S1104" s="36" cm="1">
        <f t="array" ref="S1104:U1104">TRANSPOSE(MMULT($AU$32:$AW$34, TRANSPOSE(O1104:Q1104))/MMULT(O1104:Q1104, MMULT($AU$32:$AW$34,TRANSPOSE(O1104:Q1104))))</f>
        <v>0.16808242298814444</v>
      </c>
      <c r="T1104" s="36">
        <v>1.0567232920524507</v>
      </c>
      <c r="U1104" s="36">
        <v>0.56327699045965218</v>
      </c>
      <c r="V1104" s="35">
        <f t="shared" si="198"/>
        <v>5.1175865720989025E-3</v>
      </c>
      <c r="W1104" s="35">
        <f t="shared" si="199"/>
        <v>3.2173934868925634E-2</v>
      </c>
      <c r="X1104" s="35">
        <f t="shared" si="200"/>
        <v>1.7150030987784611E-2</v>
      </c>
      <c r="Y1104" s="32">
        <f t="shared" si="201"/>
        <v>-16289.278058990807</v>
      </c>
      <c r="Z1104" s="32">
        <f t="shared" si="194"/>
        <v>203461.52932411194</v>
      </c>
      <c r="AA1104" s="32">
        <f t="shared" si="195"/>
        <v>114835.93521299105</v>
      </c>
      <c r="AB1104" s="40">
        <f t="shared" si="202"/>
        <v>-5.393654473062226E-2</v>
      </c>
      <c r="AC1104" s="40">
        <f t="shared" si="203"/>
        <v>0.67369541103104391</v>
      </c>
      <c r="AD1104" s="40">
        <f t="shared" si="204"/>
        <v>0.3802411336995784</v>
      </c>
      <c r="AE1104" s="40"/>
      <c r="AF1104" s="40"/>
      <c r="AG1104" s="40"/>
      <c r="AH1104" s="40"/>
      <c r="AI1104" s="40"/>
      <c r="AJ1104" s="40"/>
      <c r="AK1104" s="33">
        <f t="shared" si="196"/>
        <v>6323800</v>
      </c>
      <c r="AL1104" s="33">
        <f t="shared" si="197"/>
        <v>6695960.8000000007</v>
      </c>
      <c r="AM1104" s="34"/>
      <c r="AN1104" s="33"/>
      <c r="AO1104" s="15" cm="1">
        <f t="array" ref="AO1104">SUMPRODUCT(I1104:K1104, TRANSPOSE($AY$5:$AY$7))</f>
        <v>8.7883814106965979E-3</v>
      </c>
      <c r="AP1104" s="22">
        <f t="shared" si="205"/>
        <v>9919181.0495698303</v>
      </c>
      <c r="AQ1104" s="22">
        <f t="shared" si="206"/>
        <v>86414.106220642105</v>
      </c>
      <c r="AR1104">
        <f t="shared" si="207"/>
        <v>0</v>
      </c>
      <c r="AS1104">
        <f t="shared" si="208"/>
        <v>0</v>
      </c>
      <c r="BJ1104">
        <f t="shared" si="182"/>
        <v>4.6558266454284576E-6</v>
      </c>
      <c r="BK1104">
        <f t="shared" si="184"/>
        <v>3.7461899266206807E-5</v>
      </c>
      <c r="BO1104">
        <f t="shared" si="185"/>
        <v>4.8458020989395961E-5</v>
      </c>
      <c r="BP1104">
        <f t="shared" si="183"/>
        <v>4.0004280139919057</v>
      </c>
    </row>
    <row r="1105" spans="1:68" x14ac:dyDescent="0.15">
      <c r="A1105" s="5">
        <v>45181</v>
      </c>
      <c r="B1105" s="1"/>
      <c r="C1105">
        <v>105.14</v>
      </c>
      <c r="D1105">
        <v>91.04</v>
      </c>
      <c r="E1105">
        <v>84.988510000000005</v>
      </c>
      <c r="G1105" s="3">
        <v>1.3598362504207901E-3</v>
      </c>
      <c r="I1105" s="15">
        <f t="shared" si="186"/>
        <v>-9.048067860508895E-3</v>
      </c>
      <c r="J1105" s="15">
        <f t="shared" si="187"/>
        <v>7.7485056453398581E-3</v>
      </c>
      <c r="K1105" s="15">
        <f t="shared" si="188"/>
        <v>1.5400329105869335E-2</v>
      </c>
      <c r="L1105" s="32">
        <f t="shared" si="189"/>
        <v>305507.65716738929</v>
      </c>
      <c r="M1105" s="15"/>
      <c r="N1105" s="32">
        <f t="shared" si="190"/>
        <v>-3154200</v>
      </c>
      <c r="O1105" s="34">
        <f t="shared" si="191"/>
        <v>-0.31175166336762078</v>
      </c>
      <c r="P1105" s="34">
        <f t="shared" si="192"/>
        <v>0.629868429493746</v>
      </c>
      <c r="Q1105" s="34">
        <f t="shared" si="193"/>
        <v>0.6720007446486761</v>
      </c>
      <c r="R1105" s="35" cm="1">
        <f t="array" ref="R1105">SQRT(MMULT(O1105:Q1105, MMULT($AU$32:$AW$34,TRANSPOSE(O1105:Q1105))))</f>
        <v>1.2959424941889381E-2</v>
      </c>
      <c r="S1105" s="36" cm="1">
        <f t="array" ref="S1105:U1105">TRANSPOSE(MMULT($AU$32:$AW$34, TRANSPOSE(O1105:Q1105))/MMULT(O1105:Q1105, MMULT($AU$32:$AW$34,TRANSPOSE(O1105:Q1105))))</f>
        <v>0.17477228856962182</v>
      </c>
      <c r="T1105" s="36">
        <v>1.0643615908181097</v>
      </c>
      <c r="U1105" s="36">
        <v>0.57154369412324768</v>
      </c>
      <c r="V1105" s="35">
        <f t="shared" si="198"/>
        <v>5.277329668641772E-3</v>
      </c>
      <c r="W1105" s="35">
        <f t="shared" si="199"/>
        <v>3.2138887963062843E-2</v>
      </c>
      <c r="X1105" s="35">
        <f t="shared" si="200"/>
        <v>1.7258024819650958E-2</v>
      </c>
      <c r="Y1105" s="32">
        <f t="shared" si="201"/>
        <v>-16645.753240829876</v>
      </c>
      <c r="Z1105" s="32">
        <f t="shared" si="194"/>
        <v>204814.70521100689</v>
      </c>
      <c r="AA1105" s="32">
        <f t="shared" si="195"/>
        <v>117338.7051972123</v>
      </c>
      <c r="AB1105" s="40">
        <f t="shared" si="202"/>
        <v>-5.4485551672145416E-2</v>
      </c>
      <c r="AC1105" s="40">
        <f t="shared" si="203"/>
        <v>0.670407763622068</v>
      </c>
      <c r="AD1105" s="40">
        <f t="shared" si="204"/>
        <v>0.38407778805007753</v>
      </c>
      <c r="AE1105" s="40"/>
      <c r="AF1105" s="40"/>
      <c r="AG1105" s="40"/>
      <c r="AH1105" s="40"/>
      <c r="AI1105" s="40"/>
      <c r="AJ1105" s="40"/>
      <c r="AK1105" s="33">
        <f t="shared" si="196"/>
        <v>6372800</v>
      </c>
      <c r="AL1105" s="33">
        <f t="shared" si="197"/>
        <v>6799080.8000000007</v>
      </c>
      <c r="AM1105" s="34"/>
      <c r="AN1105" s="33"/>
      <c r="AO1105" s="15" cm="1">
        <f t="array" ref="AO1105">SUMPRODUCT(I1105:K1105, TRANSPOSE($AY$5:$AY$7))</f>
        <v>2.0010472625920237E-2</v>
      </c>
      <c r="AP1105" s="22">
        <f t="shared" si="205"/>
        <v>10117668.550433794</v>
      </c>
      <c r="AQ1105" s="22">
        <f t="shared" si="206"/>
        <v>198487.50086396374</v>
      </c>
      <c r="AR1105">
        <f t="shared" si="207"/>
        <v>0</v>
      </c>
      <c r="AS1105">
        <f t="shared" si="208"/>
        <v>0</v>
      </c>
      <c r="BJ1105">
        <f t="shared" si="182"/>
        <v>1.8491546279584738E-6</v>
      </c>
      <c r="BK1105">
        <f t="shared" si="184"/>
        <v>3.5493534908960103E-5</v>
      </c>
      <c r="BO1105">
        <f t="shared" si="185"/>
        <v>4.4612354173117963E-5</v>
      </c>
      <c r="BP1105">
        <f t="shared" si="183"/>
        <v>4.0690866434228683</v>
      </c>
    </row>
    <row r="1106" spans="1:68" x14ac:dyDescent="0.15">
      <c r="A1106" s="5">
        <v>45182</v>
      </c>
      <c r="B1106" s="1"/>
      <c r="C1106">
        <v>104.3</v>
      </c>
      <c r="D1106">
        <v>91.74</v>
      </c>
      <c r="E1106">
        <v>85.130679999999998</v>
      </c>
      <c r="G1106" s="3">
        <v>-9.7819927091780091E-4</v>
      </c>
      <c r="I1106" s="15">
        <f t="shared" si="186"/>
        <v>-7.9893475366178759E-3</v>
      </c>
      <c r="J1106" s="15">
        <f t="shared" si="187"/>
        <v>7.6889279437608584E-3</v>
      </c>
      <c r="K1106" s="15">
        <f t="shared" si="188"/>
        <v>1.6728143604352284E-3</v>
      </c>
      <c r="L1106" s="32">
        <f t="shared" si="189"/>
        <v>307413.78522255638</v>
      </c>
      <c r="M1106" s="15"/>
      <c r="N1106" s="32">
        <f t="shared" si="190"/>
        <v>-3129000</v>
      </c>
      <c r="O1106" s="34">
        <f t="shared" si="191"/>
        <v>-0.30636974570705366</v>
      </c>
      <c r="P1106" s="34">
        <f t="shared" si="192"/>
        <v>0.62877763917595308</v>
      </c>
      <c r="Q1106" s="34">
        <f t="shared" si="193"/>
        <v>0.66683195355624303</v>
      </c>
      <c r="R1106" s="35" cm="1">
        <f t="array" ref="R1106">SQRT(MMULT(O1106:Q1106, MMULT($AU$32:$AW$34,TRANSPOSE(O1106:Q1106))))</f>
        <v>1.2918370333935125E-2</v>
      </c>
      <c r="S1106" s="36" cm="1">
        <f t="array" ref="S1106:U1106">TRANSPOSE(MMULT($AU$32:$AW$34, TRANSPOSE(O1106:Q1106))/MMULT(O1106:Q1106, MMULT($AU$32:$AW$34,TRANSPOSE(O1106:Q1106))))</f>
        <v>0.17779888868799038</v>
      </c>
      <c r="T1106" s="36">
        <v>1.0693210244570153</v>
      </c>
      <c r="U1106" s="36">
        <v>0.57301850788230768</v>
      </c>
      <c r="V1106" s="35">
        <f t="shared" si="198"/>
        <v>5.351711501448214E-3</v>
      </c>
      <c r="W1106" s="35">
        <f t="shared" si="199"/>
        <v>3.2186352049530791E-2</v>
      </c>
      <c r="X1106" s="35">
        <f t="shared" si="200"/>
        <v>1.7247744132742597E-2</v>
      </c>
      <c r="Y1106" s="32">
        <f t="shared" si="201"/>
        <v>-16745.505288031462</v>
      </c>
      <c r="Z1106" s="32">
        <f t="shared" si="194"/>
        <v>206694.31559167683</v>
      </c>
      <c r="AA1106" s="32">
        <f t="shared" si="195"/>
        <v>117464.974918911</v>
      </c>
      <c r="AB1106" s="40">
        <f t="shared" si="202"/>
        <v>-5.4472200314336347E-2</v>
      </c>
      <c r="AC1106" s="40">
        <f t="shared" si="203"/>
        <v>0.67236514927929358</v>
      </c>
      <c r="AD1106" s="40">
        <f t="shared" si="204"/>
        <v>0.38210705103504267</v>
      </c>
      <c r="AE1106" s="40"/>
      <c r="AF1106" s="40"/>
      <c r="AG1106" s="40"/>
      <c r="AH1106" s="40"/>
      <c r="AI1106" s="40"/>
      <c r="AJ1106" s="40"/>
      <c r="AK1106" s="33">
        <f t="shared" si="196"/>
        <v>6421800</v>
      </c>
      <c r="AL1106" s="33">
        <f t="shared" si="197"/>
        <v>6810454.3999999994</v>
      </c>
      <c r="AM1106" s="34"/>
      <c r="AN1106" s="33"/>
      <c r="AO1106" s="15" cm="1">
        <f t="array" ref="AO1106">SUMPRODUCT(I1106:K1106, TRANSPOSE($AY$5:$AY$7))</f>
        <v>9.4370456525724507E-3</v>
      </c>
      <c r="AP1106" s="22">
        <f t="shared" si="205"/>
        <v>10213149.450441835</v>
      </c>
      <c r="AQ1106" s="22">
        <f t="shared" si="206"/>
        <v>95480.900008041412</v>
      </c>
      <c r="AR1106">
        <f t="shared" si="207"/>
        <v>0</v>
      </c>
      <c r="AS1106">
        <f t="shared" si="208"/>
        <v>0</v>
      </c>
      <c r="BJ1106">
        <f t="shared" si="182"/>
        <v>9.5687381362411725E-7</v>
      </c>
      <c r="BK1106">
        <f t="shared" si="184"/>
        <v>3.3474872092100004E-5</v>
      </c>
      <c r="BO1106">
        <f t="shared" si="185"/>
        <v>4.1196167818630483E-5</v>
      </c>
      <c r="BP1106">
        <f t="shared" si="183"/>
        <v>4.1180305003052284</v>
      </c>
    </row>
    <row r="1107" spans="1:68" x14ac:dyDescent="0.15">
      <c r="A1107" s="5">
        <v>45183</v>
      </c>
      <c r="B1107" s="1"/>
      <c r="C1107">
        <v>104.96</v>
      </c>
      <c r="D1107">
        <v>93.06</v>
      </c>
      <c r="E1107">
        <v>86.467063999999993</v>
      </c>
      <c r="G1107" s="3">
        <v>1.11090505627562E-2</v>
      </c>
      <c r="I1107" s="15">
        <f t="shared" si="186"/>
        <v>6.3279002876317986E-3</v>
      </c>
      <c r="J1107" s="15">
        <f t="shared" si="187"/>
        <v>1.4388489208633174E-2</v>
      </c>
      <c r="K1107" s="15">
        <f t="shared" si="188"/>
        <v>1.569803036930981E-2</v>
      </c>
      <c r="L1107" s="32">
        <f t="shared" si="189"/>
        <v>312126.71760289866</v>
      </c>
      <c r="M1107" s="15"/>
      <c r="N1107" s="32">
        <f t="shared" si="190"/>
        <v>-3148800</v>
      </c>
      <c r="O1107" s="34">
        <f t="shared" si="191"/>
        <v>-0.30269886164125642</v>
      </c>
      <c r="P1107" s="34">
        <f t="shared" si="192"/>
        <v>0.62621980580013736</v>
      </c>
      <c r="Q1107" s="34">
        <f t="shared" si="193"/>
        <v>0.6649766728216886</v>
      </c>
      <c r="R1107" s="35" cm="1">
        <f t="array" ref="R1107">SQRT(MMULT(O1107:Q1107, MMULT($AU$32:$AW$34,TRANSPOSE(O1107:Q1107))))</f>
        <v>1.2877772103961035E-2</v>
      </c>
      <c r="S1107" s="36" cm="1">
        <f t="array" ref="S1107:U1107">TRANSPOSE(MMULT($AU$32:$AW$34, TRANSPOSE(O1107:Q1107))/MMULT(O1107:Q1107, MMULT($AU$32:$AW$34,TRANSPOSE(O1107:Q1107))))</f>
        <v>0.18039581640572794</v>
      </c>
      <c r="T1107" s="36">
        <v>1.0725889449313526</v>
      </c>
      <c r="U1107" s="36">
        <v>0.57585353460249045</v>
      </c>
      <c r="V1107" s="35">
        <f t="shared" si="198"/>
        <v>5.412814174381636E-3</v>
      </c>
      <c r="W1107" s="35">
        <f t="shared" si="199"/>
        <v>3.2183255466145755E-2</v>
      </c>
      <c r="X1107" s="35">
        <f t="shared" si="200"/>
        <v>1.7278605660420158E-2</v>
      </c>
      <c r="Y1107" s="32">
        <f t="shared" si="201"/>
        <v>-17043.869272292897</v>
      </c>
      <c r="Z1107" s="32">
        <f t="shared" si="194"/>
        <v>209648.16275756666</v>
      </c>
      <c r="AA1107" s="32">
        <f t="shared" si="195"/>
        <v>119522.42411762495</v>
      </c>
      <c r="AB1107" s="40">
        <f t="shared" si="202"/>
        <v>-5.4605608270858946E-2</v>
      </c>
      <c r="AC1107" s="40">
        <f t="shared" si="203"/>
        <v>0.67167644079828592</v>
      </c>
      <c r="AD1107" s="40">
        <f t="shared" si="204"/>
        <v>0.38292916747257322</v>
      </c>
      <c r="AE1107" s="40"/>
      <c r="AF1107" s="40"/>
      <c r="AG1107" s="40"/>
      <c r="AH1107" s="40"/>
      <c r="AI1107" s="40"/>
      <c r="AJ1107" s="40"/>
      <c r="AK1107" s="33">
        <f t="shared" si="196"/>
        <v>6514200</v>
      </c>
      <c r="AL1107" s="33">
        <f t="shared" si="197"/>
        <v>6917365.1199999992</v>
      </c>
      <c r="AM1107" s="34"/>
      <c r="AN1107" s="33"/>
      <c r="AO1107" s="15" cm="1">
        <f t="array" ref="AO1107">SUMPRODUCT(I1107:K1107, TRANSPOSE($AY$5:$AY$7))</f>
        <v>1.8531821485429863E-2</v>
      </c>
      <c r="AP1107" s="22">
        <f t="shared" si="205"/>
        <v>10402417.712861439</v>
      </c>
      <c r="AQ1107" s="22">
        <f t="shared" si="206"/>
        <v>189268.26241960377</v>
      </c>
      <c r="AR1107">
        <f t="shared" si="207"/>
        <v>0</v>
      </c>
      <c r="AS1107">
        <f t="shared" si="208"/>
        <v>0</v>
      </c>
      <c r="BJ1107">
        <f t="shared" si="182"/>
        <v>1.2341100440587383E-4</v>
      </c>
      <c r="BK1107">
        <f t="shared" si="184"/>
        <v>3.1523792195391449E-5</v>
      </c>
      <c r="BO1107">
        <f t="shared" si="185"/>
        <v>3.8389504798173214E-5</v>
      </c>
      <c r="BP1107">
        <f t="shared" si="183"/>
        <v>2.5575712612038726</v>
      </c>
    </row>
    <row r="1108" spans="1:68" x14ac:dyDescent="0.15">
      <c r="A1108" s="5">
        <v>45184</v>
      </c>
      <c r="B1108" s="1"/>
      <c r="C1108">
        <v>105.42</v>
      </c>
      <c r="D1108">
        <v>94.02</v>
      </c>
      <c r="E1108">
        <v>87.443290000000005</v>
      </c>
      <c r="G1108" s="3">
        <v>8.956195159370621E-3</v>
      </c>
      <c r="I1108" s="15">
        <f t="shared" si="186"/>
        <v>4.3826219512195881E-3</v>
      </c>
      <c r="J1108" s="15">
        <f t="shared" si="187"/>
        <v>1.0315925209542163E-2</v>
      </c>
      <c r="K1108" s="15">
        <f t="shared" si="188"/>
        <v>1.1290148581892537E-2</v>
      </c>
      <c r="L1108" s="32">
        <f t="shared" si="189"/>
        <v>315564.65666783368</v>
      </c>
      <c r="M1108" s="15"/>
      <c r="N1108" s="32">
        <f t="shared" si="190"/>
        <v>-3162600</v>
      </c>
      <c r="O1108" s="34">
        <f t="shared" si="191"/>
        <v>-0.30001328970033714</v>
      </c>
      <c r="P1108" s="34">
        <f t="shared" si="192"/>
        <v>0.62433044483456623</v>
      </c>
      <c r="Q1108" s="34">
        <f t="shared" si="193"/>
        <v>0.66360966534169596</v>
      </c>
      <c r="R1108" s="35" cm="1">
        <f t="array" ref="R1108">SQRT(MMULT(O1108:Q1108, MMULT($AU$32:$AW$34,TRANSPOSE(O1108:Q1108))))</f>
        <v>1.2847796871655583E-2</v>
      </c>
      <c r="S1108" s="36" cm="1">
        <f t="array" ref="S1108:U1108">TRANSPOSE(MMULT($AU$32:$AW$34, TRANSPOSE(O1108:Q1108))/MMULT(O1108:Q1108, MMULT($AU$32:$AW$34,TRANSPOSE(O1108:Q1108))))</f>
        <v>0.18231361909503865</v>
      </c>
      <c r="T1108" s="36">
        <v>1.0750077543489236</v>
      </c>
      <c r="U1108" s="36">
        <v>0.57795487193683415</v>
      </c>
      <c r="V1108" s="35">
        <f t="shared" si="198"/>
        <v>5.4576250440118079E-3</v>
      </c>
      <c r="W1108" s="35">
        <f t="shared" si="199"/>
        <v>3.2180751343557953E-2</v>
      </c>
      <c r="X1108" s="35">
        <f t="shared" si="200"/>
        <v>1.7301291033813615E-2</v>
      </c>
      <c r="Y1108" s="32">
        <f t="shared" si="201"/>
        <v>-17260.284964191742</v>
      </c>
      <c r="Z1108" s="32">
        <f t="shared" si="194"/>
        <v>211794.39689249231</v>
      </c>
      <c r="AA1108" s="32">
        <f t="shared" si="195"/>
        <v>121030.5447395331</v>
      </c>
      <c r="AB1108" s="40">
        <f t="shared" si="202"/>
        <v>-5.4696508621876749E-2</v>
      </c>
      <c r="AC1108" s="40">
        <f t="shared" si="203"/>
        <v>0.67116006947327145</v>
      </c>
      <c r="AD1108" s="40">
        <f t="shared" si="204"/>
        <v>0.38353643914860525</v>
      </c>
      <c r="AE1108" s="40"/>
      <c r="AF1108" s="40"/>
      <c r="AG1108" s="40"/>
      <c r="AH1108" s="40"/>
      <c r="AI1108" s="40"/>
      <c r="AJ1108" s="40"/>
      <c r="AK1108" s="33">
        <f t="shared" si="196"/>
        <v>6581400</v>
      </c>
      <c r="AL1108" s="33">
        <f t="shared" si="197"/>
        <v>6995463.2000000002</v>
      </c>
      <c r="AM1108" s="34"/>
      <c r="AN1108" s="33"/>
      <c r="AO1108" s="15" cm="1">
        <f t="array" ref="AO1108">SUMPRODUCT(I1108:K1108, TRANSPOSE($AY$5:$AY$7))</f>
        <v>1.3373362961903723E-2</v>
      </c>
      <c r="AP1108" s="22">
        <f t="shared" si="205"/>
        <v>10541533.020616872</v>
      </c>
      <c r="AQ1108" s="22">
        <f t="shared" si="206"/>
        <v>139115.30775543302</v>
      </c>
      <c r="AR1108">
        <f t="shared" si="207"/>
        <v>0</v>
      </c>
      <c r="AS1108">
        <f t="shared" si="208"/>
        <v>0</v>
      </c>
      <c r="BJ1108">
        <f t="shared" si="182"/>
        <v>8.0213431732733737E-5</v>
      </c>
      <c r="BK1108">
        <f t="shared" si="184"/>
        <v>3.7037024928020393E-5</v>
      </c>
      <c r="BO1108">
        <f t="shared" si="185"/>
        <v>5.362795817197493E-5</v>
      </c>
      <c r="BP1108">
        <f t="shared" si="183"/>
        <v>3.2499119460135053</v>
      </c>
    </row>
    <row r="1109" spans="1:68" x14ac:dyDescent="0.15">
      <c r="A1109" s="5">
        <v>45187</v>
      </c>
      <c r="B1109" s="1"/>
      <c r="C1109">
        <v>105.72</v>
      </c>
      <c r="D1109">
        <v>93.68</v>
      </c>
      <c r="E1109">
        <v>87.215810000000005</v>
      </c>
      <c r="G1109" s="3">
        <v>-9.5651274496280012E-3</v>
      </c>
      <c r="I1109" s="15">
        <f t="shared" si="186"/>
        <v>2.8457598178713447E-3</v>
      </c>
      <c r="J1109" s="15">
        <f t="shared" si="187"/>
        <v>-3.6162518613059905E-3</v>
      </c>
      <c r="K1109" s="15">
        <f t="shared" si="188"/>
        <v>-2.6014574703216208E-3</v>
      </c>
      <c r="L1109" s="32">
        <f t="shared" si="189"/>
        <v>314435.1400176324</v>
      </c>
      <c r="M1109" s="15"/>
      <c r="N1109" s="32">
        <f t="shared" si="190"/>
        <v>-3171600</v>
      </c>
      <c r="O1109" s="34">
        <f t="shared" si="191"/>
        <v>-0.30250551659117103</v>
      </c>
      <c r="P1109" s="34">
        <f t="shared" si="192"/>
        <v>0.62546039084319072</v>
      </c>
      <c r="Q1109" s="34">
        <f t="shared" si="193"/>
        <v>0.66548779566067406</v>
      </c>
      <c r="R1109" s="35" cm="1">
        <f t="array" ref="R1109">SQRT(MMULT(O1109:Q1109, MMULT($AU$32:$AW$34,TRANSPOSE(O1109:Q1109))))</f>
        <v>1.2871526166163959E-2</v>
      </c>
      <c r="S1109" s="36" cm="1">
        <f t="array" ref="S1109:U1109">TRANSPOSE(MMULT($AU$32:$AW$34, TRANSPOSE(O1109:Q1109))/MMULT(O1109:Q1109, MMULT($AU$32:$AW$34,TRANSPOSE(O1109:Q1109))))</f>
        <v>0.18071667602860231</v>
      </c>
      <c r="T1109" s="36">
        <v>1.0726850784586084</v>
      </c>
      <c r="U1109" s="36">
        <v>0.57663831781215724</v>
      </c>
      <c r="V1109" s="35">
        <f t="shared" si="198"/>
        <v>5.4198116583028888E-3</v>
      </c>
      <c r="W1109" s="35">
        <f t="shared" si="199"/>
        <v>3.2170529149160333E-2</v>
      </c>
      <c r="X1109" s="35">
        <f t="shared" si="200"/>
        <v>1.7293761406987448E-2</v>
      </c>
      <c r="Y1109" s="32">
        <f t="shared" si="201"/>
        <v>-17189.474655473441</v>
      </c>
      <c r="Z1109" s="32">
        <f t="shared" si="194"/>
        <v>210961.46194853383</v>
      </c>
      <c r="AA1109" s="32">
        <f t="shared" si="195"/>
        <v>120663.15272457201</v>
      </c>
      <c r="AB1109" s="40">
        <f t="shared" si="202"/>
        <v>-5.4667791438671634E-2</v>
      </c>
      <c r="AC1109" s="40">
        <f t="shared" si="203"/>
        <v>0.67092202842437987</v>
      </c>
      <c r="AD1109" s="40">
        <f t="shared" si="204"/>
        <v>0.38374576301429175</v>
      </c>
      <c r="AE1109" s="40"/>
      <c r="AF1109" s="40"/>
      <c r="AG1109" s="40"/>
      <c r="AH1109" s="40"/>
      <c r="AI1109" s="40"/>
      <c r="AJ1109" s="40"/>
      <c r="AK1109" s="33">
        <f t="shared" si="196"/>
        <v>6557600.0000000009</v>
      </c>
      <c r="AL1109" s="33">
        <f t="shared" si="197"/>
        <v>6977264.8000000007</v>
      </c>
      <c r="AM1109" s="34"/>
      <c r="AN1109" s="33"/>
      <c r="AO1109" s="15" cm="1">
        <f t="array" ref="AO1109">SUMPRODUCT(I1109:K1109, TRANSPOSE($AY$5:$AY$7))</f>
        <v>-5.4163016418362787E-3</v>
      </c>
      <c r="AP1109" s="22">
        <f t="shared" si="205"/>
        <v>10484436.898009835</v>
      </c>
      <c r="AQ1109" s="22">
        <f t="shared" si="206"/>
        <v>-57096.122607037425</v>
      </c>
      <c r="AR1109">
        <f t="shared" si="207"/>
        <v>0</v>
      </c>
      <c r="AS1109">
        <f t="shared" si="208"/>
        <v>0</v>
      </c>
      <c r="BJ1109">
        <f t="shared" si="182"/>
        <v>9.1491663127627064E-5</v>
      </c>
      <c r="BK1109">
        <f t="shared" si="184"/>
        <v>3.9627609336303194E-5</v>
      </c>
      <c r="BO1109">
        <f t="shared" si="185"/>
        <v>5.9428471777406191E-5</v>
      </c>
      <c r="BP1109">
        <f t="shared" si="183"/>
        <v>3.1766671490165579</v>
      </c>
    </row>
    <row r="1110" spans="1:68" x14ac:dyDescent="0.15">
      <c r="A1110" s="5">
        <v>45188</v>
      </c>
      <c r="B1110" s="1"/>
      <c r="C1110">
        <v>105.6</v>
      </c>
      <c r="D1110">
        <v>94.68</v>
      </c>
      <c r="E1110">
        <v>87.196860000000001</v>
      </c>
      <c r="G1110" s="3">
        <v>-1.9761141353646901E-3</v>
      </c>
      <c r="I1110" s="15">
        <f t="shared" si="186"/>
        <v>-1.1350737797957298E-3</v>
      </c>
      <c r="J1110" s="15">
        <f t="shared" si="187"/>
        <v>1.067463706233988E-2</v>
      </c>
      <c r="K1110" s="15">
        <f t="shared" si="188"/>
        <v>-2.1727711982499269E-4</v>
      </c>
      <c r="L1110" s="32">
        <f t="shared" si="189"/>
        <v>316683.06790542579</v>
      </c>
      <c r="M1110" s="15"/>
      <c r="N1110" s="32">
        <f t="shared" si="190"/>
        <v>-3168000</v>
      </c>
      <c r="O1110" s="34">
        <f t="shared" si="191"/>
        <v>-0.29997114063721986</v>
      </c>
      <c r="P1110" s="34">
        <f t="shared" si="192"/>
        <v>0.62755326126491118</v>
      </c>
      <c r="Q1110" s="34">
        <f t="shared" si="193"/>
        <v>0.6605187261157569</v>
      </c>
      <c r="R1110" s="35" cm="1">
        <f t="array" ref="R1110">SQRT(MMULT(O1110:Q1110, MMULT($AU$32:$AW$34,TRANSPOSE(O1110:Q1110))))</f>
        <v>1.2869545928719157E-2</v>
      </c>
      <c r="S1110" s="36" cm="1">
        <f t="array" ref="S1110:U1110">TRANSPOSE(MMULT($AU$32:$AW$34, TRANSPOSE(O1110:Q1110))/MMULT(O1110:Q1110, MMULT($AU$32:$AW$34,TRANSPOSE(O1110:Q1110))))</f>
        <v>0.18139854548976689</v>
      </c>
      <c r="T1110" s="36">
        <v>1.0753326472582292</v>
      </c>
      <c r="U1110" s="36">
        <v>0.57467836090152424</v>
      </c>
      <c r="V1110" s="35">
        <f t="shared" si="198"/>
        <v>5.4394244063193358E-3</v>
      </c>
      <c r="W1110" s="35">
        <f t="shared" si="199"/>
        <v>3.224496993962038E-2</v>
      </c>
      <c r="X1110" s="35">
        <f t="shared" si="200"/>
        <v>1.7232329474481278E-2</v>
      </c>
      <c r="Y1110" s="32">
        <f t="shared" si="201"/>
        <v>-17232.096519219656</v>
      </c>
      <c r="Z1110" s="32">
        <f t="shared" si="194"/>
        <v>213706.76277182807</v>
      </c>
      <c r="AA1110" s="32">
        <f t="shared" si="195"/>
        <v>120208.40165281741</v>
      </c>
      <c r="AB1110" s="40">
        <f t="shared" si="202"/>
        <v>-5.4414328600497983E-2</v>
      </c>
      <c r="AC1110" s="40">
        <f t="shared" si="203"/>
        <v>0.67482850973153208</v>
      </c>
      <c r="AD1110" s="40">
        <f t="shared" si="204"/>
        <v>0.37958581886896597</v>
      </c>
      <c r="AE1110" s="40"/>
      <c r="AF1110" s="40"/>
      <c r="AG1110" s="40"/>
      <c r="AH1110" s="40"/>
      <c r="AI1110" s="40"/>
      <c r="AJ1110" s="40"/>
      <c r="AK1110" s="33">
        <f t="shared" si="196"/>
        <v>6627600.0000000009</v>
      </c>
      <c r="AL1110" s="33">
        <f t="shared" si="197"/>
        <v>6975748.7999999998</v>
      </c>
      <c r="AM1110" s="34"/>
      <c r="AN1110" s="33"/>
      <c r="AO1110" s="15" cm="1">
        <f t="array" ref="AO1110">SUMPRODUCT(I1110:K1110, TRANSPOSE($AY$5:$AY$7))</f>
        <v>7.3040688819953799E-3</v>
      </c>
      <c r="AP1110" s="22">
        <f t="shared" si="205"/>
        <v>10561015.947301833</v>
      </c>
      <c r="AQ1110" s="22">
        <f t="shared" si="206"/>
        <v>76579.049291998148</v>
      </c>
      <c r="AR1110">
        <f t="shared" si="207"/>
        <v>0</v>
      </c>
      <c r="AS1110">
        <f t="shared" si="208"/>
        <v>0</v>
      </c>
      <c r="BJ1110">
        <f t="shared" si="182"/>
        <v>3.9050270759881367E-6</v>
      </c>
      <c r="BK1110">
        <f t="shared" si="184"/>
        <v>4.2739452563782631E-5</v>
      </c>
      <c r="BO1110">
        <f t="shared" si="185"/>
        <v>6.5584519633837682E-5</v>
      </c>
      <c r="BP1110">
        <f t="shared" si="183"/>
        <v>3.867375951053555</v>
      </c>
    </row>
    <row r="1111" spans="1:68" x14ac:dyDescent="0.15">
      <c r="A1111" s="5">
        <v>45189</v>
      </c>
      <c r="B1111" s="1"/>
      <c r="C1111">
        <v>106.72</v>
      </c>
      <c r="D1111">
        <v>95</v>
      </c>
      <c r="E1111">
        <v>88.040400000000005</v>
      </c>
      <c r="G1111" s="3">
        <v>7.7164457546212697E-3</v>
      </c>
      <c r="I1111" s="15">
        <f t="shared" si="186"/>
        <v>1.060606060606065E-2</v>
      </c>
      <c r="J1111" s="15">
        <f t="shared" si="187"/>
        <v>3.37980566117441E-3</v>
      </c>
      <c r="K1111" s="15">
        <f t="shared" si="188"/>
        <v>9.673972204962477E-3</v>
      </c>
      <c r="L1111" s="32">
        <f t="shared" si="189"/>
        <v>318386.40075003653</v>
      </c>
      <c r="M1111" s="15"/>
      <c r="N1111" s="32">
        <f t="shared" si="190"/>
        <v>-3201600</v>
      </c>
      <c r="O1111" s="34">
        <f t="shared" si="191"/>
        <v>-0.30159366105589469</v>
      </c>
      <c r="P1111" s="34">
        <f t="shared" si="192"/>
        <v>0.62643610882736755</v>
      </c>
      <c r="Q1111" s="34">
        <f t="shared" si="193"/>
        <v>0.66347892445840562</v>
      </c>
      <c r="R1111" s="35" cm="1">
        <f t="array" ref="R1111">SQRT(MMULT(O1111:Q1111, MMULT($AU$32:$AW$34,TRANSPOSE(O1111:Q1111))))</f>
        <v>1.287222808024807E-2</v>
      </c>
      <c r="S1111" s="36" cm="1">
        <f t="array" ref="S1111:U1111">TRANSPOSE(MMULT($AU$32:$AW$34, TRANSPOSE(O1111:Q1111))/MMULT(O1111:Q1111, MMULT($AU$32:$AW$34,TRANSPOSE(O1111:Q1111))))</f>
        <v>0.1808964442703285</v>
      </c>
      <c r="T1111" s="36">
        <v>1.0736717415058301</v>
      </c>
      <c r="U1111" s="36">
        <v>0.57570852503637127</v>
      </c>
      <c r="V1111" s="35">
        <f t="shared" si="198"/>
        <v>5.4254988746597777E-3</v>
      </c>
      <c r="W1111" s="35">
        <f t="shared" si="199"/>
        <v>3.2201875768153851E-2</v>
      </c>
      <c r="X1111" s="35">
        <f t="shared" si="200"/>
        <v>1.7266817859886509E-2</v>
      </c>
      <c r="Y1111" s="32">
        <f t="shared" si="201"/>
        <v>-17370.277197110743</v>
      </c>
      <c r="Z1111" s="32">
        <f t="shared" si="194"/>
        <v>214142.47385822312</v>
      </c>
      <c r="AA1111" s="32">
        <f t="shared" si="195"/>
        <v>121614.20408892418</v>
      </c>
      <c r="AB1111" s="40">
        <f t="shared" si="202"/>
        <v>-5.4557220899481999E-2</v>
      </c>
      <c r="AC1111" s="40">
        <f t="shared" si="203"/>
        <v>0.67258674790681539</v>
      </c>
      <c r="AD1111" s="40">
        <f t="shared" si="204"/>
        <v>0.38197047299266668</v>
      </c>
      <c r="AE1111" s="40"/>
      <c r="AF1111" s="40"/>
      <c r="AG1111" s="40"/>
      <c r="AH1111" s="40"/>
      <c r="AI1111" s="40"/>
      <c r="AJ1111" s="40"/>
      <c r="AK1111" s="33">
        <f t="shared" si="196"/>
        <v>6650000</v>
      </c>
      <c r="AL1111" s="33">
        <f t="shared" si="197"/>
        <v>7043232</v>
      </c>
      <c r="AM1111" s="34"/>
      <c r="AN1111" s="33"/>
      <c r="AO1111" s="15" cm="1">
        <f t="array" ref="AO1111">SUMPRODUCT(I1111:K1111, TRANSPOSE($AY$5:$AY$7))</f>
        <v>5.1691791980458968E-3</v>
      </c>
      <c r="AP1111" s="22">
        <f t="shared" si="205"/>
        <v>10615607.731246857</v>
      </c>
      <c r="AQ1111" s="22">
        <f t="shared" si="206"/>
        <v>54591.783945024014</v>
      </c>
      <c r="AR1111">
        <f t="shared" si="207"/>
        <v>0</v>
      </c>
      <c r="AS1111">
        <f t="shared" si="208"/>
        <v>0</v>
      </c>
      <c r="BJ1111">
        <f t="shared" si="182"/>
        <v>5.9543535084012616E-5</v>
      </c>
      <c r="BK1111">
        <f t="shared" si="184"/>
        <v>4.0409387034514964E-5</v>
      </c>
      <c r="BO1111">
        <f t="shared" si="185"/>
        <v>5.7939087937981823E-5</v>
      </c>
      <c r="BP1111">
        <f t="shared" si="183"/>
        <v>3.4452746383398396</v>
      </c>
    </row>
    <row r="1112" spans="1:68" x14ac:dyDescent="0.15">
      <c r="A1112" s="5">
        <v>45190</v>
      </c>
      <c r="B1112" s="1"/>
      <c r="C1112">
        <v>107.92</v>
      </c>
      <c r="D1112">
        <v>95.02</v>
      </c>
      <c r="E1112">
        <v>87.869799999999998</v>
      </c>
      <c r="G1112" s="3">
        <v>-6.2188830020513093E-3</v>
      </c>
      <c r="I1112" s="15">
        <f t="shared" si="186"/>
        <v>1.124437781109448E-2</v>
      </c>
      <c r="J1112" s="15">
        <f t="shared" si="187"/>
        <v>2.1052631578943179E-4</v>
      </c>
      <c r="K1112" s="15">
        <f t="shared" si="188"/>
        <v>-1.9377467617140245E-3</v>
      </c>
      <c r="L1112" s="32">
        <f t="shared" si="189"/>
        <v>318002.36958601198</v>
      </c>
      <c r="M1112" s="15"/>
      <c r="N1112" s="32">
        <f t="shared" si="190"/>
        <v>-3237600</v>
      </c>
      <c r="O1112" s="34">
        <f t="shared" si="191"/>
        <v>-0.30674045144529949</v>
      </c>
      <c r="P1112" s="34">
        <f t="shared" si="192"/>
        <v>0.6301746474991553</v>
      </c>
      <c r="Q1112" s="34">
        <f t="shared" si="193"/>
        <v>0.66600499432686378</v>
      </c>
      <c r="R1112" s="35" cm="1">
        <f t="array" ref="R1112">SQRT(MMULT(O1112:Q1112, MMULT($AU$32:$AW$34,TRANSPOSE(O1112:Q1112))))</f>
        <v>1.2930707747206414E-2</v>
      </c>
      <c r="S1112" s="36" cm="1">
        <f t="array" ref="S1112:U1112">TRANSPOSE(MMULT($AU$32:$AW$34, TRANSPOSE(O1112:Q1112))/MMULT(O1112:Q1112, MMULT($AU$32:$AW$34,TRANSPOSE(O1112:Q1112))))</f>
        <v>0.17722511738847774</v>
      </c>
      <c r="T1112" s="36">
        <v>1.0690345313867069</v>
      </c>
      <c r="U1112" s="36">
        <v>0.5715927910103813</v>
      </c>
      <c r="V1112" s="35">
        <f t="shared" si="198"/>
        <v>5.3395356423063802E-3</v>
      </c>
      <c r="W1112" s="35">
        <f t="shared" si="199"/>
        <v>3.2208459316087519E-2</v>
      </c>
      <c r="X1112" s="35">
        <f t="shared" si="200"/>
        <v>1.7221261441149091E-2</v>
      </c>
      <c r="Y1112" s="32">
        <f t="shared" si="201"/>
        <v>-17287.280595531138</v>
      </c>
      <c r="Z1112" s="32">
        <f t="shared" si="194"/>
        <v>214231.34629502453</v>
      </c>
      <c r="AA1112" s="32">
        <f t="shared" si="195"/>
        <v>121058.3038865186</v>
      </c>
      <c r="AB1112" s="40">
        <f t="shared" si="202"/>
        <v>-5.4362112515187862E-2</v>
      </c>
      <c r="AC1112" s="40">
        <f t="shared" si="203"/>
        <v>0.67367845898104262</v>
      </c>
      <c r="AD1112" s="40">
        <f t="shared" si="204"/>
        <v>0.38068365353414524</v>
      </c>
      <c r="AE1112" s="40"/>
      <c r="AF1112" s="40"/>
      <c r="AG1112" s="40"/>
      <c r="AH1112" s="40"/>
      <c r="AI1112" s="40"/>
      <c r="AJ1112" s="40"/>
      <c r="AK1112" s="33">
        <f t="shared" si="196"/>
        <v>6651400</v>
      </c>
      <c r="AL1112" s="33">
        <f t="shared" si="197"/>
        <v>7029584</v>
      </c>
      <c r="AM1112" s="34"/>
      <c r="AN1112" s="33"/>
      <c r="AO1112" s="15" cm="1">
        <f t="array" ref="AO1112">SUMPRODUCT(I1112:K1112, TRANSPOSE($AY$5:$AY$7))</f>
        <v>-5.7232663992939324E-3</v>
      </c>
      <c r="AP1112" s="22">
        <f t="shared" si="205"/>
        <v>10554851.780210527</v>
      </c>
      <c r="AQ1112" s="22">
        <f t="shared" si="206"/>
        <v>-60755.951036330312</v>
      </c>
      <c r="AR1112">
        <f t="shared" si="207"/>
        <v>0</v>
      </c>
      <c r="AS1112">
        <f t="shared" si="208"/>
        <v>0</v>
      </c>
      <c r="BJ1112">
        <f t="shared" si="182"/>
        <v>3.8674505793202707E-5</v>
      </c>
      <c r="BK1112">
        <f t="shared" si="184"/>
        <v>4.1557435917484823E-5</v>
      </c>
      <c r="BO1112">
        <f t="shared" si="185"/>
        <v>5.9866220068711774E-5</v>
      </c>
      <c r="BP1112">
        <f t="shared" si="183"/>
        <v>3.6197527946152679</v>
      </c>
    </row>
    <row r="1113" spans="1:68" x14ac:dyDescent="0.15">
      <c r="A1113" s="5">
        <v>45191</v>
      </c>
      <c r="B1113" s="1"/>
      <c r="C1113">
        <v>106.9</v>
      </c>
      <c r="D1113">
        <v>94.14</v>
      </c>
      <c r="E1113">
        <v>87.14</v>
      </c>
      <c r="G1113" s="3">
        <v>-6.3133382278749393E-3</v>
      </c>
      <c r="I1113" s="15">
        <f t="shared" si="186"/>
        <v>-9.4514455151964039E-3</v>
      </c>
      <c r="J1113" s="15">
        <f t="shared" si="187"/>
        <v>-9.2612081667016993E-3</v>
      </c>
      <c r="K1113" s="15">
        <f t="shared" si="188"/>
        <v>-8.3054701387734742E-3</v>
      </c>
      <c r="L1113" s="32">
        <f t="shared" si="189"/>
        <v>315176.30301520991</v>
      </c>
      <c r="M1113" s="15"/>
      <c r="N1113" s="32">
        <f t="shared" si="190"/>
        <v>-3207000</v>
      </c>
      <c r="O1113" s="34">
        <f t="shared" si="191"/>
        <v>-0.30644049152121172</v>
      </c>
      <c r="P1113" s="34">
        <f t="shared" si="192"/>
        <v>0.62967931120251985</v>
      </c>
      <c r="Q1113" s="34">
        <f t="shared" si="193"/>
        <v>0.66612346569774594</v>
      </c>
      <c r="R1113" s="35" cm="1">
        <f t="array" ref="R1113">SQRT(MMULT(O1113:Q1113, MMULT($AU$32:$AW$34,TRANSPOSE(O1113:Q1113))))</f>
        <v>1.2925424830048443E-2</v>
      </c>
      <c r="S1113" s="36" cm="1">
        <f t="array" ref="S1113:U1113">TRANSPOSE(MMULT($AU$32:$AW$34, TRANSPOSE(O1113:Q1113))/MMULT(O1113:Q1113, MMULT($AU$32:$AW$34,TRANSPOSE(O1113:Q1113))))</f>
        <v>0.17751712821141666</v>
      </c>
      <c r="T1113" s="36">
        <v>1.069277140886151</v>
      </c>
      <c r="U1113" s="36">
        <v>0.57211127079206081</v>
      </c>
      <c r="V1113" s="35">
        <f t="shared" si="198"/>
        <v>5.3461484114105803E-3</v>
      </c>
      <c r="W1113" s="35">
        <f t="shared" si="199"/>
        <v>3.2202606845340445E-2</v>
      </c>
      <c r="X1113" s="35">
        <f t="shared" si="200"/>
        <v>1.7229840254357816E-2</v>
      </c>
      <c r="Y1113" s="32">
        <f t="shared" si="201"/>
        <v>-17145.097955393732</v>
      </c>
      <c r="Z1113" s="32">
        <f t="shared" si="194"/>
        <v>212208.73858942447</v>
      </c>
      <c r="AA1113" s="32">
        <f t="shared" si="195"/>
        <v>120112.66238117921</v>
      </c>
      <c r="AB1113" s="40">
        <f t="shared" si="202"/>
        <v>-5.4398436022540492E-2</v>
      </c>
      <c r="AC1113" s="40">
        <f t="shared" si="203"/>
        <v>0.67330169355779135</v>
      </c>
      <c r="AD1113" s="40">
        <f t="shared" si="204"/>
        <v>0.38109674246474923</v>
      </c>
      <c r="AE1113" s="40"/>
      <c r="AF1113" s="40"/>
      <c r="AG1113" s="40"/>
      <c r="AH1113" s="40"/>
      <c r="AI1113" s="40"/>
      <c r="AJ1113" s="40"/>
      <c r="AK1113" s="33">
        <f t="shared" si="196"/>
        <v>6589800</v>
      </c>
      <c r="AL1113" s="33">
        <f t="shared" si="197"/>
        <v>6971200</v>
      </c>
      <c r="AM1113" s="34"/>
      <c r="AN1113" s="33"/>
      <c r="AO1113" s="15" cm="1">
        <f t="array" ref="AO1113">SUMPRODUCT(I1113:K1113, TRANSPOSE($AY$5:$AY$7))</f>
        <v>-8.4818449649116407E-3</v>
      </c>
      <c r="AP1113" s="22">
        <f t="shared" si="205"/>
        <v>10465327.163783159</v>
      </c>
      <c r="AQ1113" s="22">
        <f t="shared" si="206"/>
        <v>-89524.616427367553</v>
      </c>
      <c r="AR1113">
        <f t="shared" si="207"/>
        <v>0</v>
      </c>
      <c r="AS1113">
        <f t="shared" si="208"/>
        <v>0</v>
      </c>
      <c r="BJ1113">
        <f t="shared" si="182"/>
        <v>3.9858239579547082E-5</v>
      </c>
      <c r="BK1113">
        <f t="shared" si="184"/>
        <v>4.1384460110027893E-5</v>
      </c>
      <c r="BO1113">
        <f t="shared" si="185"/>
        <v>5.8405650601741122E-5</v>
      </c>
      <c r="BP1113">
        <f t="shared" si="183"/>
        <v>3.613891388855393</v>
      </c>
    </row>
    <row r="1114" spans="1:68" x14ac:dyDescent="0.15">
      <c r="A1114" s="5">
        <v>45194</v>
      </c>
      <c r="B1114" s="1"/>
      <c r="C1114">
        <v>107.14</v>
      </c>
      <c r="D1114">
        <v>94.68</v>
      </c>
      <c r="E1114">
        <v>87.670760000000001</v>
      </c>
      <c r="G1114" s="3">
        <v>-4.5457446310015402E-5</v>
      </c>
      <c r="I1114" s="15">
        <f t="shared" si="186"/>
        <v>2.245088868100981E-3</v>
      </c>
      <c r="J1114" s="15">
        <f t="shared" si="187"/>
        <v>5.7361376673040814E-3</v>
      </c>
      <c r="K1114" s="15">
        <f t="shared" si="188"/>
        <v>6.0908882258434794E-3</v>
      </c>
      <c r="L1114" s="32">
        <f t="shared" si="189"/>
        <v>317086.8196029418</v>
      </c>
      <c r="M1114" s="15"/>
      <c r="N1114" s="32">
        <f t="shared" si="190"/>
        <v>-3214200</v>
      </c>
      <c r="O1114" s="34">
        <f t="shared" si="191"/>
        <v>-0.30488026738043711</v>
      </c>
      <c r="P1114" s="34">
        <f t="shared" si="192"/>
        <v>0.62865548506333935</v>
      </c>
      <c r="Q1114" s="34">
        <f t="shared" si="193"/>
        <v>0.6652749611162001</v>
      </c>
      <c r="R1114" s="35" cm="1">
        <f t="array" ref="R1114">SQRT(MMULT(O1114:Q1114, MMULT($AU$32:$AW$34,TRANSPOSE(O1114:Q1114))))</f>
        <v>1.2908586487504259E-2</v>
      </c>
      <c r="S1114" s="36" cm="1">
        <f t="array" ref="S1114:U1114">TRANSPOSE(MMULT($AU$32:$AW$34, TRANSPOSE(O1114:Q1114))/MMULT(O1114:Q1114, MMULT($AU$32:$AW$34,TRANSPOSE(O1114:Q1114))))</f>
        <v>0.17859790105517115</v>
      </c>
      <c r="T1114" s="36">
        <v>1.0706716819152777</v>
      </c>
      <c r="U1114" s="36">
        <v>0.57324771347082726</v>
      </c>
      <c r="V1114" s="35">
        <f t="shared" si="198"/>
        <v>5.3716902337597539E-3</v>
      </c>
      <c r="W1114" s="35">
        <f t="shared" si="199"/>
        <v>3.2202599153339277E-2</v>
      </c>
      <c r="X1114" s="35">
        <f t="shared" si="200"/>
        <v>1.7241575213278206E-2</v>
      </c>
      <c r="Y1114" s="32">
        <f t="shared" si="201"/>
        <v>-17265.6867493506</v>
      </c>
      <c r="Z1114" s="32">
        <f t="shared" si="194"/>
        <v>213425.94614867141</v>
      </c>
      <c r="AA1114" s="32">
        <f t="shared" si="195"/>
        <v>120926.56020362099</v>
      </c>
      <c r="AB1114" s="40">
        <f t="shared" si="202"/>
        <v>-5.4450975827285426E-2</v>
      </c>
      <c r="AC1114" s="40">
        <f t="shared" si="203"/>
        <v>0.67308362553803025</v>
      </c>
      <c r="AD1114" s="40">
        <f t="shared" si="204"/>
        <v>0.38136735028925522</v>
      </c>
      <c r="AE1114" s="40"/>
      <c r="AF1114" s="40"/>
      <c r="AG1114" s="40"/>
      <c r="AH1114" s="40"/>
      <c r="AI1114" s="40"/>
      <c r="AJ1114" s="40"/>
      <c r="AK1114" s="33">
        <f t="shared" si="196"/>
        <v>6627600.0000000009</v>
      </c>
      <c r="AL1114" s="33">
        <f t="shared" si="197"/>
        <v>7013660.7999999998</v>
      </c>
      <c r="AM1114" s="34"/>
      <c r="AN1114" s="33"/>
      <c r="AO1114" s="15" cm="1">
        <f t="array" ref="AO1114">SUMPRODUCT(I1114:K1114, TRANSPOSE($AY$5:$AY$7))</f>
        <v>7.3740760474305172E-3</v>
      </c>
      <c r="AP1114" s="22">
        <f t="shared" si="205"/>
        <v>10542499.282150136</v>
      </c>
      <c r="AQ1114" s="22">
        <f t="shared" si="206"/>
        <v>77172.1183669772</v>
      </c>
      <c r="AR1114">
        <f t="shared" si="207"/>
        <v>0</v>
      </c>
      <c r="AS1114">
        <f t="shared" si="208"/>
        <v>0</v>
      </c>
      <c r="BJ1114">
        <f t="shared" si="182"/>
        <v>2.0663794250279329E-9</v>
      </c>
      <c r="BK1114">
        <f t="shared" si="184"/>
        <v>4.1292886878199044E-5</v>
      </c>
      <c r="BO1114">
        <f t="shared" si="185"/>
        <v>5.7428598437438316E-5</v>
      </c>
      <c r="BP1114">
        <f t="shared" si="183"/>
        <v>3.9635275499866598</v>
      </c>
    </row>
    <row r="1115" spans="1:68" x14ac:dyDescent="0.15">
      <c r="A1115" s="5">
        <v>45195</v>
      </c>
      <c r="B1115" s="1"/>
      <c r="C1115">
        <v>105.6</v>
      </c>
      <c r="D1115">
        <v>94.6</v>
      </c>
      <c r="E1115">
        <v>88.135180000000005</v>
      </c>
      <c r="G1115" s="3">
        <v>-5.4980490546208101E-3</v>
      </c>
      <c r="I1115" s="15">
        <f t="shared" si="186"/>
        <v>-1.437371663244359E-2</v>
      </c>
      <c r="J1115" s="15">
        <f t="shared" si="187"/>
        <v>-8.4495141529375266E-4</v>
      </c>
      <c r="K1115" s="15">
        <f t="shared" si="188"/>
        <v>5.2973191974154668E-3</v>
      </c>
      <c r="L1115" s="32">
        <f t="shared" si="189"/>
        <v>317799.80193485244</v>
      </c>
      <c r="M1115" s="15"/>
      <c r="N1115" s="32">
        <f t="shared" si="190"/>
        <v>-3168000</v>
      </c>
      <c r="O1115" s="34">
        <f t="shared" si="191"/>
        <v>-0.29781291159680945</v>
      </c>
      <c r="P1115" s="34">
        <f t="shared" si="192"/>
        <v>0.62251171104610858</v>
      </c>
      <c r="Q1115" s="34">
        <f t="shared" si="193"/>
        <v>0.66282309519971938</v>
      </c>
      <c r="R1115" s="35" cm="1">
        <f t="array" ref="R1115">SQRT(MMULT(O1115:Q1115, MMULT($AU$32:$AW$34,TRANSPOSE(O1115:Q1115))))</f>
        <v>1.2822008215078324E-2</v>
      </c>
      <c r="S1115" s="36" cm="1">
        <f t="array" ref="S1115:U1115">TRANSPOSE(MMULT($AU$32:$AW$34, TRANSPOSE(O1115:Q1115))/MMULT(O1115:Q1115, MMULT($AU$32:$AW$34,TRANSPOSE(O1115:Q1115))))</f>
        <v>0.18398839880835091</v>
      </c>
      <c r="T1115" s="36">
        <v>1.0768930923395363</v>
      </c>
      <c r="U1115" s="36">
        <v>0.57996705607745846</v>
      </c>
      <c r="V1115" s="35">
        <f t="shared" si="198"/>
        <v>5.4967047731294934E-3</v>
      </c>
      <c r="W1115" s="35">
        <f t="shared" si="199"/>
        <v>3.2172481738801023E-2</v>
      </c>
      <c r="X1115" s="35">
        <f t="shared" si="200"/>
        <v>1.7326677692974916E-2</v>
      </c>
      <c r="Y1115" s="32">
        <f t="shared" si="201"/>
        <v>-17413.560721274236</v>
      </c>
      <c r="Z1115" s="32">
        <f t="shared" si="194"/>
        <v>213046.17407434038</v>
      </c>
      <c r="AA1115" s="32">
        <f t="shared" si="195"/>
        <v>122167.18858178632</v>
      </c>
      <c r="AB1115" s="40">
        <f t="shared" si="202"/>
        <v>-5.4794120749149931E-2</v>
      </c>
      <c r="AC1115" s="40">
        <f t="shared" si="203"/>
        <v>0.67037856152601982</v>
      </c>
      <c r="AD1115" s="40">
        <f t="shared" si="204"/>
        <v>0.3844155592231302</v>
      </c>
      <c r="AE1115" s="40"/>
      <c r="AF1115" s="40"/>
      <c r="AG1115" s="40"/>
      <c r="AH1115" s="40"/>
      <c r="AI1115" s="40"/>
      <c r="AJ1115" s="40"/>
      <c r="AK1115" s="33">
        <f t="shared" si="196"/>
        <v>6622000</v>
      </c>
      <c r="AL1115" s="33">
        <f t="shared" si="197"/>
        <v>7050814.4000000004</v>
      </c>
      <c r="AM1115" s="34"/>
      <c r="AN1115" s="33"/>
      <c r="AO1115" s="15" cm="1">
        <f t="array" ref="AO1115">SUMPRODUCT(I1115:K1115, TRANSPOSE($AY$5:$AY$7))</f>
        <v>9.0160403022178613E-3</v>
      </c>
      <c r="AP1115" s="22">
        <f t="shared" si="205"/>
        <v>10637550.880564105</v>
      </c>
      <c r="AQ1115" s="22">
        <f t="shared" si="206"/>
        <v>95051.598413968459</v>
      </c>
      <c r="AR1115">
        <f t="shared" si="207"/>
        <v>0</v>
      </c>
      <c r="AS1115">
        <f t="shared" si="208"/>
        <v>0</v>
      </c>
      <c r="BJ1115">
        <f t="shared" si="182"/>
        <v>3.0228543407016785E-5</v>
      </c>
      <c r="BK1115">
        <f t="shared" si="184"/>
        <v>3.8815437648272603E-5</v>
      </c>
      <c r="BO1115">
        <f t="shared" si="185"/>
        <v>5.0985895702316876E-5</v>
      </c>
      <c r="BP1115">
        <f t="shared" si="183"/>
        <v>3.7266019752804986</v>
      </c>
    </row>
    <row r="1116" spans="1:68" x14ac:dyDescent="0.15">
      <c r="A1116" s="5">
        <v>45196</v>
      </c>
      <c r="B1116" s="1"/>
      <c r="C1116">
        <v>103.7</v>
      </c>
      <c r="D1116">
        <v>93.94</v>
      </c>
      <c r="E1116">
        <v>87.632850000000005</v>
      </c>
      <c r="G1116" s="3">
        <v>-6.5172796741478304E-3</v>
      </c>
      <c r="I1116" s="15">
        <f t="shared" si="186"/>
        <v>-1.7992424242424164E-2</v>
      </c>
      <c r="J1116" s="15">
        <f t="shared" si="187"/>
        <v>-6.976744186046476E-3</v>
      </c>
      <c r="K1116" s="15">
        <f t="shared" si="188"/>
        <v>-5.6995401836134061E-3</v>
      </c>
      <c r="L1116" s="32">
        <f t="shared" si="189"/>
        <v>315932.02662890853</v>
      </c>
      <c r="M1116" s="15"/>
      <c r="N1116" s="32">
        <f t="shared" si="190"/>
        <v>-3111000</v>
      </c>
      <c r="O1116" s="34">
        <f t="shared" si="191"/>
        <v>-0.29295022806843085</v>
      </c>
      <c r="P1116" s="34">
        <f t="shared" si="192"/>
        <v>0.61921636442699701</v>
      </c>
      <c r="Q1116" s="34">
        <f t="shared" si="193"/>
        <v>0.66016235020987701</v>
      </c>
      <c r="R1116" s="35" cm="1">
        <f t="array" ref="R1116">SQRT(MMULT(O1116:Q1116, MMULT($AU$32:$AW$34,TRANSPOSE(O1116:Q1116))))</f>
        <v>1.2768255415859317E-2</v>
      </c>
      <c r="S1116" s="36" cm="1">
        <f t="array" ref="S1116:U1116">TRANSPOSE(MMULT($AU$32:$AW$34, TRANSPOSE(O1116:Q1116))/MMULT(O1116:Q1116, MMULT($AU$32:$AW$34,TRANSPOSE(O1116:Q1116))))</f>
        <v>0.18747349767830682</v>
      </c>
      <c r="T1116" s="36">
        <v>1.0813636063821999</v>
      </c>
      <c r="U1116" s="36">
        <v>0.58367818584548747</v>
      </c>
      <c r="V1116" s="35">
        <f t="shared" si="198"/>
        <v>5.5773431398024337E-3</v>
      </c>
      <c r="W1116" s="35">
        <f t="shared" si="199"/>
        <v>3.217060526622726E-2</v>
      </c>
      <c r="X1116" s="35">
        <f t="shared" si="200"/>
        <v>1.7364446527069567E-2</v>
      </c>
      <c r="Y1116" s="32">
        <f t="shared" si="201"/>
        <v>-17351.114507925373</v>
      </c>
      <c r="Z1116" s="32">
        <f t="shared" si="194"/>
        <v>211547.46610965722</v>
      </c>
      <c r="AA1116" s="32">
        <f t="shared" si="195"/>
        <v>121735.67502717667</v>
      </c>
      <c r="AB1116" s="40">
        <f t="shared" si="202"/>
        <v>-5.4920403901646431E-2</v>
      </c>
      <c r="AC1116" s="40">
        <f t="shared" si="203"/>
        <v>0.66959804096765208</v>
      </c>
      <c r="AD1116" s="40">
        <f t="shared" si="204"/>
        <v>0.38532236293399436</v>
      </c>
      <c r="AE1116" s="40"/>
      <c r="AF1116" s="40"/>
      <c r="AG1116" s="40"/>
      <c r="AH1116" s="40"/>
      <c r="AI1116" s="40"/>
      <c r="AJ1116" s="40"/>
      <c r="AK1116" s="33">
        <f t="shared" si="196"/>
        <v>6575800</v>
      </c>
      <c r="AL1116" s="33">
        <f t="shared" si="197"/>
        <v>7010628</v>
      </c>
      <c r="AM1116" s="34"/>
      <c r="AN1116" s="33"/>
      <c r="AO1116" s="15" cm="1">
        <f t="array" ref="AO1116">SUMPRODUCT(I1116:K1116, TRANSPOSE($AY$5:$AY$7))</f>
        <v>-1.6920714662390438E-3</v>
      </c>
      <c r="AP1116" s="22">
        <f t="shared" si="205"/>
        <v>10619551.384248435</v>
      </c>
      <c r="AQ1116" s="22">
        <f t="shared" si="206"/>
        <v>-17999.496315669268</v>
      </c>
      <c r="AR1116">
        <f t="shared" si="207"/>
        <v>0</v>
      </c>
      <c r="AS1116">
        <f t="shared" si="208"/>
        <v>0</v>
      </c>
      <c r="BJ1116">
        <f t="shared" si="182"/>
        <v>4.2474934351060451E-5</v>
      </c>
      <c r="BK1116">
        <f t="shared" si="184"/>
        <v>3.8300223993797248E-5</v>
      </c>
      <c r="BO1116">
        <f t="shared" si="185"/>
        <v>5.0237236704682751E-5</v>
      </c>
      <c r="BP1116">
        <f t="shared" si="183"/>
        <v>3.6076949485686698</v>
      </c>
    </row>
    <row r="1117" spans="1:68" x14ac:dyDescent="0.15">
      <c r="A1117" s="5">
        <v>45197</v>
      </c>
      <c r="B1117" s="1"/>
      <c r="C1117">
        <v>102.9</v>
      </c>
      <c r="D1117">
        <v>95</v>
      </c>
      <c r="E1117">
        <v>88.817589999999996</v>
      </c>
      <c r="G1117" s="3">
        <v>3.2598044393219398E-3</v>
      </c>
      <c r="I1117" s="15">
        <f t="shared" si="186"/>
        <v>-7.71456123432977E-3</v>
      </c>
      <c r="J1117" s="15">
        <f t="shared" si="187"/>
        <v>1.1283798169044096E-2</v>
      </c>
      <c r="K1117" s="15">
        <f t="shared" si="188"/>
        <v>1.3519359463945207E-2</v>
      </c>
      <c r="L1117" s="32">
        <f t="shared" si="189"/>
        <v>320103.21414738306</v>
      </c>
      <c r="M1117" s="15"/>
      <c r="N1117" s="32">
        <f t="shared" si="190"/>
        <v>-3087000</v>
      </c>
      <c r="O1117" s="34">
        <f t="shared" si="191"/>
        <v>-0.28487250225838628</v>
      </c>
      <c r="P1117" s="34">
        <f t="shared" si="192"/>
        <v>0.6136709232323514</v>
      </c>
      <c r="Q1117" s="34">
        <f t="shared" si="193"/>
        <v>0.65569651073169866</v>
      </c>
      <c r="R1117" s="35" cm="1">
        <f t="array" ref="R1117">SQRT(MMULT(O1117:Q1117, MMULT($AU$32:$AW$34,TRANSPOSE(O1117:Q1117))))</f>
        <v>1.2677920226884871E-2</v>
      </c>
      <c r="S1117" s="36" cm="1">
        <f t="array" ref="S1117:U1117">TRANSPOSE(MMULT($AU$32:$AW$34, TRANSPOSE(O1117:Q1117))/MMULT(O1117:Q1117, MMULT($AU$32:$AW$34,TRANSPOSE(O1117:Q1117))))</f>
        <v>0.19337403003538148</v>
      </c>
      <c r="T1117" s="36">
        <v>1.0889256972439243</v>
      </c>
      <c r="U1117" s="36">
        <v>0.58997554435232868</v>
      </c>
      <c r="V1117" s="35">
        <f t="shared" si="198"/>
        <v>5.7121826273037468E-3</v>
      </c>
      <c r="W1117" s="35">
        <f t="shared" si="199"/>
        <v>3.2166379575805856E-2</v>
      </c>
      <c r="X1117" s="35">
        <f t="shared" si="200"/>
        <v>1.7427614526970493E-2</v>
      </c>
      <c r="Y1117" s="32">
        <f t="shared" si="201"/>
        <v>-17633.507770486667</v>
      </c>
      <c r="Z1117" s="32">
        <f t="shared" si="194"/>
        <v>213906.42417910893</v>
      </c>
      <c r="AA1117" s="32">
        <f t="shared" si="195"/>
        <v>123830.29773876072</v>
      </c>
      <c r="AB1117" s="40">
        <f t="shared" si="202"/>
        <v>-5.508694380796747E-2</v>
      </c>
      <c r="AC1117" s="40">
        <f t="shared" si="203"/>
        <v>0.66824203795911086</v>
      </c>
      <c r="AD1117" s="40">
        <f t="shared" si="204"/>
        <v>0.38684490584885645</v>
      </c>
      <c r="AE1117" s="40"/>
      <c r="AF1117" s="40"/>
      <c r="AG1117" s="40"/>
      <c r="AH1117" s="40"/>
      <c r="AI1117" s="40"/>
      <c r="AJ1117" s="40"/>
      <c r="AK1117" s="33">
        <f t="shared" si="196"/>
        <v>6650000</v>
      </c>
      <c r="AL1117" s="33">
        <f t="shared" si="197"/>
        <v>7105407.1999999993</v>
      </c>
      <c r="AM1117" s="34"/>
      <c r="AN1117" s="33"/>
      <c r="AO1117" s="15" cm="1">
        <f t="array" ref="AO1117">SUMPRODUCT(I1117:K1117, TRANSPOSE($AY$5:$AY$7))</f>
        <v>2.0422270632926807E-2</v>
      </c>
      <c r="AP1117" s="22">
        <f t="shared" si="205"/>
        <v>10836426.73661783</v>
      </c>
      <c r="AQ1117" s="22">
        <f t="shared" si="206"/>
        <v>216875.35236939415</v>
      </c>
      <c r="AR1117">
        <f t="shared" si="207"/>
        <v>0</v>
      </c>
      <c r="AS1117">
        <f t="shared" si="208"/>
        <v>0</v>
      </c>
      <c r="BJ1117">
        <f t="shared" si="182"/>
        <v>1.0626324982623026E-5</v>
      </c>
      <c r="BK1117">
        <f t="shared" si="184"/>
        <v>3.8550706615233037E-5</v>
      </c>
      <c r="BO1117">
        <f t="shared" si="185"/>
        <v>5.1394137754710718E-5</v>
      </c>
      <c r="BP1117">
        <f t="shared" si="183"/>
        <v>3.9156739777455516</v>
      </c>
    </row>
    <row r="1118" spans="1:68" x14ac:dyDescent="0.15">
      <c r="A1118" s="5">
        <v>45198</v>
      </c>
      <c r="B1118" s="1"/>
      <c r="C1118">
        <v>103.74</v>
      </c>
      <c r="D1118">
        <v>94.32</v>
      </c>
      <c r="E1118">
        <v>88.969239999999999</v>
      </c>
      <c r="G1118" s="3">
        <v>4.1873385270736405E-3</v>
      </c>
      <c r="I1118" s="15">
        <f t="shared" si="186"/>
        <v>8.1632653061223439E-3</v>
      </c>
      <c r="J1118" s="15">
        <f t="shared" si="187"/>
        <v>-7.1578947368421773E-3</v>
      </c>
      <c r="K1118" s="15">
        <f t="shared" si="188"/>
        <v>1.7074320525923257E-3</v>
      </c>
      <c r="L1118" s="32">
        <f t="shared" si="189"/>
        <v>318641.97469158325</v>
      </c>
      <c r="M1118" s="15"/>
      <c r="N1118" s="32">
        <f t="shared" si="190"/>
        <v>-3112200</v>
      </c>
      <c r="O1118" s="34">
        <f t="shared" si="191"/>
        <v>-0.28912512922089656</v>
      </c>
      <c r="P1118" s="34">
        <f t="shared" si="192"/>
        <v>0.61336667089777241</v>
      </c>
      <c r="Q1118" s="34">
        <f t="shared" si="193"/>
        <v>0.66122339211323078</v>
      </c>
      <c r="R1118" s="35" cm="1">
        <f t="array" ref="R1118">SQRT(MMULT(O1118:Q1118, MMULT($AU$32:$AW$34,TRANSPOSE(O1118:Q1118))))</f>
        <v>1.2704728988188758E-2</v>
      </c>
      <c r="S1118" s="36" cm="1">
        <f t="array" ref="S1118:U1118">TRANSPOSE(MMULT($AU$32:$AW$34, TRANSPOSE(O1118:Q1118))/MMULT(O1118:Q1118, MMULT($AU$32:$AW$34,TRANSPOSE(O1118:Q1118))))</f>
        <v>0.19124456379311244</v>
      </c>
      <c r="T1118" s="36">
        <v>1.0844560063218094</v>
      </c>
      <c r="U1118" s="36">
        <v>0.59000398887879824</v>
      </c>
      <c r="V1118" s="35">
        <f t="shared" si="198"/>
        <v>5.6612251235521778E-3</v>
      </c>
      <c r="W1118" s="35">
        <f t="shared" si="199"/>
        <v>3.2102086807641803E-2</v>
      </c>
      <c r="X1118" s="35">
        <f t="shared" si="200"/>
        <v>1.7465309018927237E-2</v>
      </c>
      <c r="Y1118" s="32">
        <f t="shared" si="201"/>
        <v>-17618.864829519087</v>
      </c>
      <c r="Z1118" s="32">
        <f t="shared" si="194"/>
        <v>211950.81793877421</v>
      </c>
      <c r="AA1118" s="32">
        <f t="shared" si="195"/>
        <v>124310.02158232815</v>
      </c>
      <c r="AB1118" s="40">
        <f t="shared" si="202"/>
        <v>-5.5293609219477638E-2</v>
      </c>
      <c r="AC1118" s="40">
        <f t="shared" si="203"/>
        <v>0.66516917033270184</v>
      </c>
      <c r="AD1118" s="40">
        <f t="shared" si="204"/>
        <v>0.39012443888677584</v>
      </c>
      <c r="AE1118" s="40"/>
      <c r="AF1118" s="40"/>
      <c r="AG1118" s="40"/>
      <c r="AH1118" s="40"/>
      <c r="AI1118" s="40"/>
      <c r="AJ1118" s="40"/>
      <c r="AK1118" s="33">
        <f t="shared" si="196"/>
        <v>6602399.9999999991</v>
      </c>
      <c r="AL1118" s="33">
        <f t="shared" si="197"/>
        <v>7117539.2000000002</v>
      </c>
      <c r="AM1118" s="34"/>
      <c r="AN1118" s="33"/>
      <c r="AO1118" s="15" cm="1">
        <f t="array" ref="AO1118">SUMPRODUCT(I1118:K1118, TRANSPOSE($AY$5:$AY$7))</f>
        <v>-6.6654086877512035E-3</v>
      </c>
      <c r="AP1118" s="22">
        <f t="shared" si="205"/>
        <v>10764197.523703398</v>
      </c>
      <c r="AQ1118" s="22">
        <f t="shared" si="206"/>
        <v>-72229.212914431468</v>
      </c>
      <c r="AR1118">
        <f t="shared" si="207"/>
        <v>0</v>
      </c>
      <c r="AS1118">
        <f t="shared" si="208"/>
        <v>0</v>
      </c>
      <c r="BJ1118">
        <f t="shared" si="182"/>
        <v>1.7533803940315245E-5</v>
      </c>
      <c r="BK1118">
        <f t="shared" si="184"/>
        <v>3.6875243717276431E-5</v>
      </c>
      <c r="BO1118">
        <f t="shared" si="185"/>
        <v>4.7765701474569242E-5</v>
      </c>
      <c r="BP1118">
        <f t="shared" si="183"/>
        <v>3.8721231374825242</v>
      </c>
    </row>
    <row r="1119" spans="1:68" x14ac:dyDescent="0.15">
      <c r="A1119" s="5">
        <v>45201</v>
      </c>
      <c r="B1119" s="1"/>
      <c r="C1119">
        <v>102.76</v>
      </c>
      <c r="D1119">
        <v>92.92</v>
      </c>
      <c r="E1119">
        <v>88.495339999999999</v>
      </c>
      <c r="G1119" s="3">
        <v>-9.1079023528557405E-3</v>
      </c>
      <c r="I1119" s="15">
        <f t="shared" si="186"/>
        <v>-9.4466936572198748E-3</v>
      </c>
      <c r="J1119" s="15">
        <f t="shared" si="187"/>
        <v>-1.4843087362171242E-2</v>
      </c>
      <c r="K1119" s="15">
        <f t="shared" si="188"/>
        <v>-5.3265600560373503E-3</v>
      </c>
      <c r="L1119" s="32">
        <f t="shared" si="189"/>
        <v>315002.39263816382</v>
      </c>
      <c r="M1119" s="15"/>
      <c r="N1119" s="32">
        <f t="shared" si="190"/>
        <v>-3082800</v>
      </c>
      <c r="O1119" s="34">
        <f t="shared" si="191"/>
        <v>-0.28927427717229703</v>
      </c>
      <c r="P1119" s="34">
        <f t="shared" si="192"/>
        <v>0.61033982367960582</v>
      </c>
      <c r="Q1119" s="34">
        <f t="shared" si="193"/>
        <v>0.66431621932312612</v>
      </c>
      <c r="R1119" s="35" cm="1">
        <f t="array" ref="R1119">SQRT(MMULT(O1119:Q1119, MMULT($AU$32:$AW$34,TRANSPOSE(O1119:Q1119))))</f>
        <v>1.2685932558655629E-2</v>
      </c>
      <c r="S1119" s="36" cm="1">
        <f t="array" ref="S1119:U1119">TRANSPOSE(MMULT($AU$32:$AW$34, TRANSPOSE(O1119:Q1119))/MMULT(O1119:Q1119, MMULT($AU$32:$AW$34,TRANSPOSE(O1119:Q1119))))</f>
        <v>0.19208774577467577</v>
      </c>
      <c r="T1119" s="36">
        <v>1.0838792092364555</v>
      </c>
      <c r="U1119" s="36">
        <v>0.59313830807674139</v>
      </c>
      <c r="V1119" s="35">
        <f t="shared" si="198"/>
        <v>5.6777723986032192E-3</v>
      </c>
      <c r="W1119" s="35">
        <f t="shared" si="199"/>
        <v>3.2037543221739226E-2</v>
      </c>
      <c r="X1119" s="35">
        <f t="shared" si="200"/>
        <v>1.753211429792479E-2</v>
      </c>
      <c r="Y1119" s="32">
        <f t="shared" si="201"/>
        <v>-17503.436750414003</v>
      </c>
      <c r="Z1119" s="32">
        <f t="shared" si="194"/>
        <v>208384.99613148061</v>
      </c>
      <c r="AA1119" s="32">
        <f t="shared" si="195"/>
        <v>124120.83325709726</v>
      </c>
      <c r="AB1119" s="40">
        <f t="shared" si="202"/>
        <v>-5.5566043812625282E-2</v>
      </c>
      <c r="AC1119" s="40">
        <f t="shared" si="203"/>
        <v>0.66153464545536889</v>
      </c>
      <c r="AD1119" s="40">
        <f t="shared" si="204"/>
        <v>0.39403139835725653</v>
      </c>
      <c r="AE1119" s="40"/>
      <c r="AF1119" s="40"/>
      <c r="AG1119" s="40"/>
      <c r="AH1119" s="40"/>
      <c r="AI1119" s="40"/>
      <c r="AJ1119" s="40"/>
      <c r="AK1119" s="33">
        <f t="shared" si="196"/>
        <v>6504400</v>
      </c>
      <c r="AL1119" s="33">
        <f t="shared" si="197"/>
        <v>7079627.2000000002</v>
      </c>
      <c r="AM1119" s="34"/>
      <c r="AN1119" s="33"/>
      <c r="AO1119" s="15" cm="1">
        <f t="array" ref="AO1119">SUMPRODUCT(I1119:K1119, TRANSPOSE($AY$5:$AY$7))</f>
        <v>-9.9574165525916254E-3</v>
      </c>
      <c r="AP1119" s="22">
        <f t="shared" si="205"/>
        <v>10657013.925105508</v>
      </c>
      <c r="AQ1119" s="22">
        <f t="shared" si="206"/>
        <v>-107183.59859788977</v>
      </c>
      <c r="AR1119">
        <f t="shared" si="207"/>
        <v>0</v>
      </c>
      <c r="AS1119">
        <f t="shared" si="208"/>
        <v>0</v>
      </c>
      <c r="BJ1119">
        <f t="shared" si="182"/>
        <v>8.2953885269155132E-5</v>
      </c>
      <c r="BK1119">
        <f t="shared" si="184"/>
        <v>3.571475733065876E-5</v>
      </c>
      <c r="BO1119">
        <f t="shared" si="185"/>
        <v>4.5903397367472352E-5</v>
      </c>
      <c r="BP1119">
        <f t="shared" si="183"/>
        <v>3.1719769651223535</v>
      </c>
    </row>
    <row r="1120" spans="1:68" x14ac:dyDescent="0.15">
      <c r="A1120" s="5">
        <v>45202</v>
      </c>
      <c r="B1120" s="1"/>
      <c r="C1120">
        <v>102.64</v>
      </c>
      <c r="D1120">
        <v>92.32</v>
      </c>
      <c r="E1120">
        <v>87.14</v>
      </c>
      <c r="G1120" s="3">
        <v>-9.2305091417008694E-3</v>
      </c>
      <c r="I1120" s="15">
        <f t="shared" si="186"/>
        <v>-1.1677695601401766E-3</v>
      </c>
      <c r="J1120" s="15">
        <f t="shared" si="187"/>
        <v>-6.4571674558761144E-3</v>
      </c>
      <c r="K1120" s="15">
        <f t="shared" si="188"/>
        <v>-1.5315382708287219E-2</v>
      </c>
      <c r="L1120" s="32">
        <f t="shared" si="189"/>
        <v>311779.69964283984</v>
      </c>
      <c r="M1120" s="15"/>
      <c r="N1120" s="32">
        <f t="shared" si="190"/>
        <v>-3079200</v>
      </c>
      <c r="O1120" s="34">
        <f t="shared" si="191"/>
        <v>-0.29335766887565529</v>
      </c>
      <c r="P1120" s="34">
        <f t="shared" si="192"/>
        <v>0.61567764333009689</v>
      </c>
      <c r="Q1120" s="34">
        <f t="shared" si="193"/>
        <v>0.66415139687775016</v>
      </c>
      <c r="R1120" s="35" cm="1">
        <f t="array" ref="R1120">SQRT(MMULT(O1120:Q1120, MMULT($AU$32:$AW$34,TRANSPOSE(O1120:Q1120))))</f>
        <v>1.2748276110117151E-2</v>
      </c>
      <c r="S1120" s="36" cm="1">
        <f t="array" ref="S1120:U1120">TRANSPOSE(MMULT($AU$32:$AW$34, TRANSPOSE(O1120:Q1120))/MMULT(O1120:Q1120, MMULT($AU$32:$AW$34,TRANSPOSE(O1120:Q1120))))</f>
        <v>0.18834119757445822</v>
      </c>
      <c r="T1120" s="36">
        <v>1.0804190137543348</v>
      </c>
      <c r="U1120" s="36">
        <v>0.58730811123806803</v>
      </c>
      <c r="V1120" s="35">
        <f t="shared" si="198"/>
        <v>5.5943896237431161E-3</v>
      </c>
      <c r="W1120" s="35">
        <f t="shared" si="199"/>
        <v>3.2092208171568479E-2</v>
      </c>
      <c r="X1120" s="35">
        <f t="shared" si="200"/>
        <v>1.7445096695594093E-2</v>
      </c>
      <c r="Y1120" s="32">
        <f t="shared" si="201"/>
        <v>-17226.244529429805</v>
      </c>
      <c r="Z1120" s="32">
        <f t="shared" si="194"/>
        <v>207392.68608794411</v>
      </c>
      <c r="AA1120" s="32">
        <f t="shared" si="195"/>
        <v>121613.25808432554</v>
      </c>
      <c r="AB1120" s="40">
        <f t="shared" si="202"/>
        <v>-5.5251334673692289E-2</v>
      </c>
      <c r="AC1120" s="40">
        <f t="shared" si="203"/>
        <v>0.66518983219729644</v>
      </c>
      <c r="AD1120" s="40">
        <f t="shared" si="204"/>
        <v>0.39006150247639587</v>
      </c>
      <c r="AE1120" s="40"/>
      <c r="AF1120" s="40"/>
      <c r="AG1120" s="40"/>
      <c r="AH1120" s="40"/>
      <c r="AI1120" s="40"/>
      <c r="AJ1120" s="40"/>
      <c r="AK1120" s="33">
        <f t="shared" si="196"/>
        <v>6462399.9999999991</v>
      </c>
      <c r="AL1120" s="33">
        <f t="shared" si="197"/>
        <v>6971200</v>
      </c>
      <c r="AM1120" s="34"/>
      <c r="AN1120" s="33"/>
      <c r="AO1120" s="15" cm="1">
        <f t="array" ref="AO1120">SUMPRODUCT(I1120:K1120, TRANSPOSE($AY$5:$AY$7))</f>
        <v>-1.5071013536876798E-2</v>
      </c>
      <c r="AP1120" s="22">
        <f t="shared" si="205"/>
        <v>10496401.923977559</v>
      </c>
      <c r="AQ1120" s="22">
        <f t="shared" si="206"/>
        <v>-160612.00112794898</v>
      </c>
      <c r="AR1120">
        <f t="shared" si="207"/>
        <v>0</v>
      </c>
      <c r="AS1120">
        <f t="shared" si="208"/>
        <v>0</v>
      </c>
      <c r="BJ1120">
        <f t="shared" si="182"/>
        <v>8.5202299015023315E-5</v>
      </c>
      <c r="BK1120">
        <f t="shared" si="184"/>
        <v>3.8549105006968547E-5</v>
      </c>
      <c r="BO1120">
        <f t="shared" si="185"/>
        <v>5.3759785805916964E-5</v>
      </c>
      <c r="BP1120">
        <f t="shared" si="183"/>
        <v>3.2041186360405653</v>
      </c>
    </row>
    <row r="1121" spans="1:68" x14ac:dyDescent="0.15">
      <c r="A1121" s="5">
        <v>45203</v>
      </c>
      <c r="B1121" s="1"/>
      <c r="C1121">
        <v>102.84</v>
      </c>
      <c r="D1121">
        <v>91.94</v>
      </c>
      <c r="E1121">
        <v>87.6</v>
      </c>
      <c r="G1121" s="3">
        <v>-6.6706092740553792E-4</v>
      </c>
      <c r="I1121" s="15">
        <f t="shared" si="186"/>
        <v>1.9485580670304252E-3</v>
      </c>
      <c r="J1121" s="15">
        <f t="shared" si="187"/>
        <v>-4.1161178509531576E-3</v>
      </c>
      <c r="K1121" s="15">
        <f t="shared" si="188"/>
        <v>5.2788616020196669E-3</v>
      </c>
      <c r="L1121" s="32">
        <f t="shared" si="189"/>
        <v>311536.43820939685</v>
      </c>
      <c r="M1121" s="15"/>
      <c r="N1121" s="32">
        <f t="shared" si="190"/>
        <v>-3085200</v>
      </c>
      <c r="O1121" s="34">
        <f t="shared" si="191"/>
        <v>-0.29380692970594868</v>
      </c>
      <c r="P1121" s="34">
        <f t="shared" si="192"/>
        <v>0.61288818818927293</v>
      </c>
      <c r="Q1121" s="34">
        <f t="shared" si="193"/>
        <v>0.66737941247870103</v>
      </c>
      <c r="R1121" s="35" cm="1">
        <f t="array" ref="R1121">SQRT(MMULT(O1121:Q1121, MMULT($AU$32:$AW$34,TRANSPOSE(O1121:Q1121))))</f>
        <v>1.2733026455228018E-2</v>
      </c>
      <c r="S1121" s="36" cm="1">
        <f t="array" ref="S1121:U1121">TRANSPOSE(MMULT($AU$32:$AW$34, TRANSPOSE(O1121:Q1121))/MMULT(O1121:Q1121, MMULT($AU$32:$AW$34,TRANSPOSE(O1121:Q1121))))</f>
        <v>0.18894446855805333</v>
      </c>
      <c r="T1121" s="36">
        <v>1.0795737799477376</v>
      </c>
      <c r="U1121" s="36">
        <v>0.59015182191542304</v>
      </c>
      <c r="V1121" s="35">
        <f t="shared" si="198"/>
        <v>5.6055953559545511E-3</v>
      </c>
      <c r="W1121" s="35">
        <f t="shared" si="199"/>
        <v>3.2028742696036977E-2</v>
      </c>
      <c r="X1121" s="35">
        <f t="shared" si="200"/>
        <v>1.7508595713246724E-2</v>
      </c>
      <c r="Y1121" s="32">
        <f t="shared" si="201"/>
        <v>-17294.38279219098</v>
      </c>
      <c r="Z1121" s="32">
        <f t="shared" si="194"/>
        <v>206130.58224315479</v>
      </c>
      <c r="AA1121" s="32">
        <f t="shared" si="195"/>
        <v>122700.23875843304</v>
      </c>
      <c r="AB1121" s="40">
        <f t="shared" si="202"/>
        <v>-5.5513194191963808E-2</v>
      </c>
      <c r="AC1121" s="40">
        <f t="shared" si="203"/>
        <v>0.66165801800881374</v>
      </c>
      <c r="AD1121" s="40">
        <f t="shared" si="204"/>
        <v>0.39385517618315008</v>
      </c>
      <c r="AE1121" s="40"/>
      <c r="AF1121" s="40"/>
      <c r="AG1121" s="40"/>
      <c r="AH1121" s="40"/>
      <c r="AI1121" s="40"/>
      <c r="AJ1121" s="40"/>
      <c r="AK1121" s="33">
        <f t="shared" si="196"/>
        <v>6435800</v>
      </c>
      <c r="AL1121" s="33">
        <f t="shared" si="197"/>
        <v>7008000</v>
      </c>
      <c r="AM1121" s="34"/>
      <c r="AN1121" s="33"/>
      <c r="AO1121" s="15" cm="1">
        <f t="array" ref="AO1121">SUMPRODUCT(I1121:K1121, TRANSPOSE($AY$5:$AY$7))</f>
        <v>4.1647629632823391E-4</v>
      </c>
      <c r="AP1121" s="22">
        <f t="shared" si="205"/>
        <v>10500773.426575629</v>
      </c>
      <c r="AQ1121" s="22">
        <f t="shared" si="206"/>
        <v>4371.5025980696082</v>
      </c>
      <c r="AR1121">
        <f t="shared" si="207"/>
        <v>0</v>
      </c>
      <c r="AS1121">
        <f t="shared" si="208"/>
        <v>0</v>
      </c>
      <c r="BJ1121">
        <f t="shared" si="182"/>
        <v>4.4497028087113633E-7</v>
      </c>
      <c r="BK1121">
        <f t="shared" si="184"/>
        <v>4.134829664745184E-5</v>
      </c>
      <c r="BO1121">
        <f t="shared" si="185"/>
        <v>6.0242390001518808E-5</v>
      </c>
      <c r="BP1121">
        <f t="shared" si="183"/>
        <v>3.9359354511960234</v>
      </c>
    </row>
    <row r="1122" spans="1:68" x14ac:dyDescent="0.15">
      <c r="A1122" s="5">
        <v>45204</v>
      </c>
      <c r="B1122" s="1"/>
      <c r="C1122">
        <v>102.9</v>
      </c>
      <c r="D1122">
        <v>92.2</v>
      </c>
      <c r="E1122">
        <v>87.23</v>
      </c>
      <c r="G1122" s="3">
        <v>2.5061210387395897E-3</v>
      </c>
      <c r="I1122" s="15">
        <f t="shared" si="186"/>
        <v>5.8343057176198239E-4</v>
      </c>
      <c r="J1122" s="15">
        <f t="shared" si="187"/>
        <v>2.8279312595171323E-3</v>
      </c>
      <c r="K1122" s="15">
        <f t="shared" si="188"/>
        <v>-4.2237442922373331E-3</v>
      </c>
      <c r="L1122" s="32">
        <f t="shared" si="189"/>
        <v>311592.25033438753</v>
      </c>
      <c r="M1122" s="15"/>
      <c r="N1122" s="32">
        <f t="shared" si="190"/>
        <v>-3087000</v>
      </c>
      <c r="O1122" s="34">
        <f t="shared" si="191"/>
        <v>-0.29441525140524005</v>
      </c>
      <c r="P1122" s="34">
        <f t="shared" si="192"/>
        <v>0.61553483400369913</v>
      </c>
      <c r="Q1122" s="34">
        <f t="shared" si="193"/>
        <v>0.66554823142414221</v>
      </c>
      <c r="R1122" s="35" cm="1">
        <f t="array" ref="R1122">SQRT(MMULT(O1122:Q1122, MMULT($AU$32:$AW$34,TRANSPOSE(O1122:Q1122))))</f>
        <v>1.2754234595600711E-2</v>
      </c>
      <c r="S1122" s="36" cm="1">
        <f t="array" ref="S1122:U1122">TRANSPOSE(MMULT($AU$32:$AW$34, TRANSPOSE(O1122:Q1122))/MMULT(O1122:Q1122, MMULT($AU$32:$AW$34,TRANSPOSE(O1122:Q1122))))</f>
        <v>0.18783177370874221</v>
      </c>
      <c r="T1122" s="36">
        <v>1.0793428835868568</v>
      </c>
      <c r="U1122" s="36">
        <v>0.58737650817602494</v>
      </c>
      <c r="V1122" s="35">
        <f t="shared" si="198"/>
        <v>5.5818656798865655E-3</v>
      </c>
      <c r="W1122" s="35">
        <f t="shared" si="199"/>
        <v>3.2075228167016287E-2</v>
      </c>
      <c r="X1122" s="35">
        <f t="shared" si="200"/>
        <v>1.7455283030246797E-2</v>
      </c>
      <c r="Y1122" s="32">
        <f t="shared" si="201"/>
        <v>-17231.219353809829</v>
      </c>
      <c r="Z1122" s="32">
        <f t="shared" si="194"/>
        <v>207013.52258992312</v>
      </c>
      <c r="AA1122" s="32">
        <f t="shared" si="195"/>
        <v>121809.94709827425</v>
      </c>
      <c r="AB1122" s="40">
        <f t="shared" si="202"/>
        <v>-5.5300538878351492E-2</v>
      </c>
      <c r="AC1122" s="40">
        <f t="shared" si="203"/>
        <v>0.66437314268170988</v>
      </c>
      <c r="AD1122" s="40">
        <f t="shared" si="204"/>
        <v>0.39092739619664163</v>
      </c>
      <c r="AE1122" s="40"/>
      <c r="AF1122" s="40"/>
      <c r="AG1122" s="40"/>
      <c r="AH1122" s="40"/>
      <c r="AI1122" s="40"/>
      <c r="AJ1122" s="40"/>
      <c r="AK1122" s="33">
        <f t="shared" si="196"/>
        <v>6454000</v>
      </c>
      <c r="AL1122" s="33">
        <f t="shared" si="197"/>
        <v>6978400</v>
      </c>
      <c r="AM1122" s="34"/>
      <c r="AN1122" s="33"/>
      <c r="AO1122" s="15" cm="1">
        <f t="array" ref="AO1122">SUMPRODUCT(I1122:K1122, TRANSPOSE($AY$5:$AY$7))</f>
        <v>-1.4839779944144089E-3</v>
      </c>
      <c r="AP1122" s="22">
        <f t="shared" si="205"/>
        <v>10485190.509886259</v>
      </c>
      <c r="AQ1122" s="22">
        <f t="shared" si="206"/>
        <v>-15582.916689369828</v>
      </c>
      <c r="AR1122">
        <f t="shared" si="207"/>
        <v>0</v>
      </c>
      <c r="AS1122">
        <f t="shared" si="208"/>
        <v>0</v>
      </c>
      <c r="BJ1122">
        <f t="shared" si="182"/>
        <v>6.2806426608131997E-6</v>
      </c>
      <c r="BK1122">
        <f t="shared" si="184"/>
        <v>3.8894097065457001E-5</v>
      </c>
      <c r="BO1122">
        <f t="shared" si="185"/>
        <v>5.3256052663689368E-5</v>
      </c>
      <c r="BP1122">
        <f t="shared" si="183"/>
        <v>3.9422945460917127</v>
      </c>
    </row>
    <row r="1123" spans="1:68" x14ac:dyDescent="0.15">
      <c r="A1123" s="5">
        <v>45205</v>
      </c>
      <c r="B1123" s="1"/>
      <c r="C1123">
        <v>100.3</v>
      </c>
      <c r="D1123">
        <v>94.02</v>
      </c>
      <c r="E1123">
        <v>88.38</v>
      </c>
      <c r="G1123" s="3">
        <v>5.0487908748266799E-3</v>
      </c>
      <c r="I1123" s="15">
        <f t="shared" si="186"/>
        <v>-2.5267249757045758E-2</v>
      </c>
      <c r="J1123" s="15">
        <f t="shared" si="187"/>
        <v>1.9739696312364351E-2</v>
      </c>
      <c r="K1123" s="15">
        <f t="shared" si="188"/>
        <v>1.318353777370161E-2</v>
      </c>
      <c r="L1123" s="32">
        <f t="shared" si="189"/>
        <v>317736.48832519312</v>
      </c>
      <c r="M1123" s="15"/>
      <c r="N1123" s="32">
        <f t="shared" si="190"/>
        <v>-3009000</v>
      </c>
      <c r="O1123" s="34">
        <f t="shared" si="191"/>
        <v>-0.27790161402268743</v>
      </c>
      <c r="P1123" s="34">
        <f t="shared" si="192"/>
        <v>0.60783704969388996</v>
      </c>
      <c r="Q1123" s="34">
        <f t="shared" si="193"/>
        <v>0.65299952535261185</v>
      </c>
      <c r="R1123" s="35" cm="1">
        <f t="array" ref="R1123">SQRT(MMULT(O1123:Q1123, MMULT($AU$32:$AW$34,TRANSPOSE(O1123:Q1123))))</f>
        <v>1.2594474507731731E-2</v>
      </c>
      <c r="S1123" s="36" cm="1">
        <f t="array" ref="S1123:U1123">TRANSPOSE(MMULT($AU$32:$AW$34, TRANSPOSE(O1123:Q1123))/MMULT(O1123:Q1123, MMULT($AU$32:$AW$34,TRANSPOSE(O1123:Q1123))))</f>
        <v>0.19893289718400095</v>
      </c>
      <c r="T1123" s="36">
        <v>1.0952008692844475</v>
      </c>
      <c r="U1123" s="36">
        <v>0.59660090532413856</v>
      </c>
      <c r="V1123" s="35">
        <f t="shared" si="198"/>
        <v>5.8377108544361645E-3</v>
      </c>
      <c r="W1123" s="35">
        <f t="shared" si="199"/>
        <v>3.2138807069683258E-2</v>
      </c>
      <c r="X1123" s="35">
        <f t="shared" si="200"/>
        <v>1.7507328501609267E-2</v>
      </c>
      <c r="Y1123" s="32">
        <f t="shared" si="201"/>
        <v>-17565.671960998417</v>
      </c>
      <c r="Z1123" s="32">
        <f t="shared" si="194"/>
        <v>211518.3448484134</v>
      </c>
      <c r="AA1123" s="32">
        <f t="shared" si="195"/>
        <v>123783.81543777816</v>
      </c>
      <c r="AB1123" s="40">
        <f t="shared" si="202"/>
        <v>-5.5283773209643193E-2</v>
      </c>
      <c r="AC1123" s="40">
        <f t="shared" si="203"/>
        <v>0.66570366520804225</v>
      </c>
      <c r="AD1123" s="40">
        <f t="shared" si="204"/>
        <v>0.38958010800160098</v>
      </c>
      <c r="AE1123" s="40"/>
      <c r="AF1123" s="40"/>
      <c r="AG1123" s="40"/>
      <c r="AH1123" s="40"/>
      <c r="AI1123" s="40"/>
      <c r="AJ1123" s="40"/>
      <c r="AK1123" s="33">
        <f t="shared" si="196"/>
        <v>6581400</v>
      </c>
      <c r="AL1123" s="33">
        <f t="shared" si="197"/>
        <v>7070400</v>
      </c>
      <c r="AM1123" s="34"/>
      <c r="AN1123" s="33"/>
      <c r="AO1123" s="15" cm="1">
        <f t="array" ref="AO1123">SUMPRODUCT(I1123:K1123, TRANSPOSE($AY$5:$AY$7))</f>
        <v>3.2653907840464035E-2</v>
      </c>
      <c r="AP1123" s="22">
        <f t="shared" si="205"/>
        <v>10827572.954485793</v>
      </c>
      <c r="AQ1123" s="22">
        <f t="shared" si="206"/>
        <v>342382.44459953345</v>
      </c>
      <c r="AR1123">
        <f t="shared" si="207"/>
        <v>0</v>
      </c>
      <c r="AS1123">
        <f t="shared" si="208"/>
        <v>0</v>
      </c>
      <c r="BJ1123">
        <f t="shared" si="182"/>
        <v>2.549028929773315E-5</v>
      </c>
      <c r="BK1123">
        <f t="shared" si="184"/>
        <v>3.6937289801178371E-5</v>
      </c>
      <c r="BO1123">
        <f t="shared" si="185"/>
        <v>4.8607235195285574E-5</v>
      </c>
      <c r="BP1123">
        <f t="shared" si="183"/>
        <v>3.7847238103593912</v>
      </c>
    </row>
    <row r="1124" spans="1:68" x14ac:dyDescent="0.15">
      <c r="A1124" s="5">
        <v>45208</v>
      </c>
      <c r="B1124" s="1"/>
      <c r="C1124">
        <v>101.4</v>
      </c>
      <c r="D1124">
        <v>94.62</v>
      </c>
      <c r="E1124">
        <v>88.13</v>
      </c>
      <c r="G1124" s="3">
        <v>-1.4164786015068401E-3</v>
      </c>
      <c r="I1124" s="15">
        <f t="shared" si="186"/>
        <v>1.096709870388842E-2</v>
      </c>
      <c r="J1124" s="15">
        <f t="shared" si="187"/>
        <v>6.3816209317167473E-3</v>
      </c>
      <c r="K1124" s="15">
        <f t="shared" si="188"/>
        <v>-2.828694274722788E-3</v>
      </c>
      <c r="L1124" s="32">
        <f t="shared" si="189"/>
        <v>318546.85995157174</v>
      </c>
      <c r="M1124" s="15"/>
      <c r="N1124" s="32">
        <f t="shared" si="190"/>
        <v>-3042000</v>
      </c>
      <c r="O1124" s="34">
        <f t="shared" si="191"/>
        <v>-0.28157283653917553</v>
      </c>
      <c r="P1124" s="34">
        <f t="shared" si="192"/>
        <v>0.61307347979407467</v>
      </c>
      <c r="Q1124" s="34">
        <f t="shared" si="193"/>
        <v>0.65259734606699649</v>
      </c>
      <c r="R1124" s="35" cm="1">
        <f t="array" ref="R1124">SQRT(MMULT(O1124:Q1124, MMULT($AU$32:$AW$34,TRANSPOSE(O1124:Q1124))))</f>
        <v>1.2654615487214976E-2</v>
      </c>
      <c r="S1124" s="36" cm="1">
        <f t="array" ref="S1124:U1124">TRANSPOSE(MMULT($AU$32:$AW$34, TRANSPOSE(O1124:Q1124))/MMULT(O1124:Q1124, MMULT($AU$32:$AW$34,TRANSPOSE(O1124:Q1124))))</f>
        <v>0.19535641875006407</v>
      </c>
      <c r="T1124" s="36">
        <v>1.0919135094933956</v>
      </c>
      <c r="U1124" s="36">
        <v>0.59084494962798928</v>
      </c>
      <c r="V1124" s="35">
        <f t="shared" si="198"/>
        <v>5.7601336440224974E-3</v>
      </c>
      <c r="W1124" s="35">
        <f t="shared" si="199"/>
        <v>3.2195347266487109E-2</v>
      </c>
      <c r="X1124" s="35">
        <f t="shared" si="200"/>
        <v>1.7421213464744897E-2</v>
      </c>
      <c r="Y1124" s="32">
        <f t="shared" si="201"/>
        <v>-17522.326545116437</v>
      </c>
      <c r="Z1124" s="32">
        <f t="shared" si="194"/>
        <v>213242.66308485073</v>
      </c>
      <c r="AA1124" s="32">
        <f t="shared" si="195"/>
        <v>122826.52341183742</v>
      </c>
      <c r="AB1124" s="40">
        <f t="shared" si="202"/>
        <v>-5.5007060963590516E-2</v>
      </c>
      <c r="AC1124" s="40">
        <f t="shared" si="203"/>
        <v>0.66942321489927648</v>
      </c>
      <c r="AD1124" s="40">
        <f t="shared" si="204"/>
        <v>0.38558384606431401</v>
      </c>
      <c r="AE1124" s="40"/>
      <c r="AF1124" s="40"/>
      <c r="AG1124" s="40"/>
      <c r="AH1124" s="40"/>
      <c r="AI1124" s="40"/>
      <c r="AJ1124" s="40"/>
      <c r="AK1124" s="33">
        <f t="shared" si="196"/>
        <v>6623400</v>
      </c>
      <c r="AL1124" s="33">
        <f t="shared" si="197"/>
        <v>7050400</v>
      </c>
      <c r="AM1124" s="34"/>
      <c r="AN1124" s="33"/>
      <c r="AO1124" s="15" cm="1">
        <f t="array" ref="AO1124">SUMPRODUCT(I1124:K1124, TRANSPOSE($AY$5:$AY$7))</f>
        <v>-2.2141627480628374E-3</v>
      </c>
      <c r="AP1124" s="22">
        <f t="shared" si="205"/>
        <v>10803598.945798038</v>
      </c>
      <c r="AQ1124" s="22">
        <f t="shared" si="206"/>
        <v>-23974.008687755093</v>
      </c>
      <c r="AR1124">
        <f t="shared" si="207"/>
        <v>0</v>
      </c>
      <c r="AS1124">
        <f t="shared" si="208"/>
        <v>0</v>
      </c>
      <c r="BJ1124">
        <f t="shared" si="182"/>
        <v>2.0064116285267734E-6</v>
      </c>
      <c r="BK1124">
        <f t="shared" si="184"/>
        <v>3.6250469770971662E-5</v>
      </c>
      <c r="BO1124">
        <f t="shared" si="185"/>
        <v>4.7696642740376268E-5</v>
      </c>
      <c r="BP1124">
        <f t="shared" si="183"/>
        <v>4.0353531906713869</v>
      </c>
    </row>
    <row r="1125" spans="1:68" x14ac:dyDescent="0.15">
      <c r="A1125" s="5">
        <v>45209</v>
      </c>
      <c r="B1125" s="1"/>
      <c r="C1125">
        <v>103.3</v>
      </c>
      <c r="D1125">
        <v>96.52</v>
      </c>
      <c r="E1125">
        <v>89.12</v>
      </c>
      <c r="G1125" s="3">
        <v>1.6581761053464199E-2</v>
      </c>
      <c r="I1125" s="15">
        <f t="shared" si="186"/>
        <v>1.8737672583826345E-2</v>
      </c>
      <c r="J1125" s="15">
        <f t="shared" si="187"/>
        <v>2.0080321285140472E-2</v>
      </c>
      <c r="K1125" s="15">
        <f t="shared" si="188"/>
        <v>1.1233405196868367E-2</v>
      </c>
      <c r="L1125" s="32">
        <f t="shared" si="189"/>
        <v>323882.34047757089</v>
      </c>
      <c r="M1125" s="15"/>
      <c r="N1125" s="32">
        <f t="shared" si="190"/>
        <v>-3099000</v>
      </c>
      <c r="O1125" s="34">
        <f t="shared" si="191"/>
        <v>-0.28286337549559737</v>
      </c>
      <c r="P1125" s="34">
        <f t="shared" si="192"/>
        <v>0.61669509848288284</v>
      </c>
      <c r="Q1125" s="34">
        <f t="shared" si="193"/>
        <v>0.65075918745834493</v>
      </c>
      <c r="R1125" s="35" cm="1">
        <f t="array" ref="R1125">SQRT(MMULT(O1125:Q1125, MMULT($AU$32:$AW$34,TRANSPOSE(O1125:Q1125))))</f>
        <v>1.2687804883881972E-2</v>
      </c>
      <c r="S1125" s="36" cm="1">
        <f t="array" ref="S1125:U1125">TRANSPOSE(MMULT($AU$32:$AW$34, TRANSPOSE(O1125:Q1125))/MMULT(O1125:Q1125, MMULT($AU$32:$AW$34,TRANSPOSE(O1125:Q1125))))</f>
        <v>0.19356027570819545</v>
      </c>
      <c r="T1125" s="36">
        <v>1.0909363930074392</v>
      </c>
      <c r="U1125" s="36">
        <v>0.58696979464288424</v>
      </c>
      <c r="V1125" s="35">
        <f t="shared" si="198"/>
        <v>5.7221421766924414E-3</v>
      </c>
      <c r="W1125" s="35">
        <f t="shared" si="199"/>
        <v>3.2250900261826178E-2</v>
      </c>
      <c r="X1125" s="35">
        <f t="shared" si="200"/>
        <v>1.735234466928556E-2</v>
      </c>
      <c r="Y1125" s="32">
        <f t="shared" si="201"/>
        <v>-17732.918605569877</v>
      </c>
      <c r="Z1125" s="32">
        <f t="shared" si="194"/>
        <v>217899.98252900239</v>
      </c>
      <c r="AA1125" s="32">
        <f t="shared" si="195"/>
        <v>123715.27655413833</v>
      </c>
      <c r="AB1125" s="40">
        <f t="shared" si="202"/>
        <v>-5.4751112948678647E-2</v>
      </c>
      <c r="AC1125" s="40">
        <f t="shared" si="203"/>
        <v>0.6727751263242836</v>
      </c>
      <c r="AD1125" s="40">
        <f t="shared" si="204"/>
        <v>0.38197598662439486</v>
      </c>
      <c r="AE1125" s="40"/>
      <c r="AF1125" s="40"/>
      <c r="AG1125" s="40"/>
      <c r="AH1125" s="40"/>
      <c r="AI1125" s="40"/>
      <c r="AJ1125" s="40"/>
      <c r="AK1125" s="33">
        <f t="shared" si="196"/>
        <v>6756400</v>
      </c>
      <c r="AL1125" s="33">
        <f t="shared" si="197"/>
        <v>7129600</v>
      </c>
      <c r="AM1125" s="34"/>
      <c r="AN1125" s="33"/>
      <c r="AO1125" s="15" cm="1">
        <f t="array" ref="AO1125">SUMPRODUCT(I1125:K1125, TRANSPOSE($AY$5:$AY$7))</f>
        <v>1.4089772690316183E-2</v>
      </c>
      <c r="AP1125" s="22">
        <f t="shared" si="205"/>
        <v>10955819.199181672</v>
      </c>
      <c r="AQ1125" s="22">
        <f t="shared" si="206"/>
        <v>152220.25338363461</v>
      </c>
      <c r="AR1125">
        <f t="shared" si="207"/>
        <v>0</v>
      </c>
      <c r="AS1125">
        <f t="shared" si="208"/>
        <v>0</v>
      </c>
      <c r="BJ1125">
        <f t="shared" si="182"/>
        <v>2.7495479963418211E-4</v>
      </c>
      <c r="BK1125">
        <f t="shared" si="184"/>
        <v>3.4195826282424969E-5</v>
      </c>
      <c r="BO1125">
        <f t="shared" si="185"/>
        <v>4.3637815014358467E-5</v>
      </c>
      <c r="BP1125">
        <f t="shared" si="183"/>
        <v>0.95043573960499206</v>
      </c>
    </row>
    <row r="1126" spans="1:68" x14ac:dyDescent="0.15">
      <c r="A1126" s="5">
        <v>45210</v>
      </c>
      <c r="B1126" s="1"/>
      <c r="C1126">
        <v>105.16</v>
      </c>
      <c r="D1126">
        <v>97.28</v>
      </c>
      <c r="E1126">
        <v>89.68</v>
      </c>
      <c r="G1126" s="3">
        <v>3.32731764615856E-3</v>
      </c>
      <c r="I1126" s="15">
        <f t="shared" si="186"/>
        <v>1.8005808325266211E-2</v>
      </c>
      <c r="J1126" s="15">
        <f t="shared" si="187"/>
        <v>7.8740157480315497E-3</v>
      </c>
      <c r="K1126" s="15">
        <f t="shared" si="188"/>
        <v>6.2836624775583737E-3</v>
      </c>
      <c r="L1126" s="32">
        <f t="shared" si="189"/>
        <v>326057.52001870057</v>
      </c>
      <c r="M1126" s="15"/>
      <c r="N1126" s="32">
        <f t="shared" si="190"/>
        <v>-3154800</v>
      </c>
      <c r="O1126" s="34">
        <f t="shared" si="191"/>
        <v>-0.2871791448949923</v>
      </c>
      <c r="P1126" s="34">
        <f t="shared" si="192"/>
        <v>0.61987292540793071</v>
      </c>
      <c r="Q1126" s="34">
        <f t="shared" si="193"/>
        <v>0.65308040355478414</v>
      </c>
      <c r="R1126" s="35" cm="1">
        <f t="array" ref="R1126">SQRT(MMULT(O1126:Q1126, MMULT($AU$32:$AW$34,TRANSPOSE(O1126:Q1126))))</f>
        <v>1.2738531514285237E-2</v>
      </c>
      <c r="S1126" s="36" cm="1">
        <f t="array" ref="S1126:U1126">TRANSPOSE(MMULT($AU$32:$AW$34, TRANSPOSE(O1126:Q1126))/MMULT(O1126:Q1126, MMULT($AU$32:$AW$34,TRANSPOSE(O1126:Q1126))))</f>
        <v>0.1903501733941857</v>
      </c>
      <c r="T1126" s="36">
        <v>1.0867602021707814</v>
      </c>
      <c r="U1126" s="36">
        <v>0.58340653343073046</v>
      </c>
      <c r="V1126" s="35">
        <f t="shared" si="198"/>
        <v>5.6497413202983805E-3</v>
      </c>
      <c r="W1126" s="35">
        <f t="shared" si="199"/>
        <v>3.2255888765308743E-2</v>
      </c>
      <c r="X1126" s="35">
        <f t="shared" si="200"/>
        <v>1.7315960052371127E-2</v>
      </c>
      <c r="Y1126" s="32">
        <f t="shared" si="201"/>
        <v>-17823.803917277331</v>
      </c>
      <c r="Z1126" s="32">
        <f t="shared" si="194"/>
        <v>219649.70013624642</v>
      </c>
      <c r="AA1126" s="32">
        <f t="shared" si="195"/>
        <v>124231.62379973143</v>
      </c>
      <c r="AB1126" s="40">
        <f t="shared" si="202"/>
        <v>-5.4664600025955766E-2</v>
      </c>
      <c r="AC1126" s="40">
        <f t="shared" si="203"/>
        <v>0.67365322573651643</v>
      </c>
      <c r="AD1126" s="40">
        <f t="shared" si="204"/>
        <v>0.38101137428943921</v>
      </c>
      <c r="AE1126" s="40"/>
      <c r="AF1126" s="40"/>
      <c r="AG1126" s="40"/>
      <c r="AH1126" s="40"/>
      <c r="AI1126" s="40"/>
      <c r="AJ1126" s="40"/>
      <c r="AK1126" s="33">
        <f t="shared" si="196"/>
        <v>6809600</v>
      </c>
      <c r="AL1126" s="33">
        <f t="shared" si="197"/>
        <v>7174400.0000000009</v>
      </c>
      <c r="AM1126" s="34"/>
      <c r="AN1126" s="33"/>
      <c r="AO1126" s="15" cm="1">
        <f t="array" ref="AO1126">SUMPRODUCT(I1126:K1126, TRANSPOSE($AY$5:$AY$7))</f>
        <v>2.7070709549637979E-3</v>
      </c>
      <c r="AP1126" s="22">
        <f t="shared" si="205"/>
        <v>10985477.379123611</v>
      </c>
      <c r="AQ1126" s="22">
        <f t="shared" si="206"/>
        <v>29658.17994193919</v>
      </c>
      <c r="AR1126">
        <f t="shared" si="207"/>
        <v>0</v>
      </c>
      <c r="AS1126">
        <f t="shared" si="208"/>
        <v>0</v>
      </c>
      <c r="BJ1126">
        <f t="shared" si="182"/>
        <v>1.1071042718438141E-5</v>
      </c>
      <c r="BK1126">
        <f t="shared" si="184"/>
        <v>4.8641364683530408E-5</v>
      </c>
      <c r="BO1126">
        <f t="shared" si="185"/>
        <v>7.9327517470497545E-5</v>
      </c>
      <c r="BP1126">
        <f t="shared" si="183"/>
        <v>3.7322436143399589</v>
      </c>
    </row>
    <row r="1127" spans="1:68" x14ac:dyDescent="0.15">
      <c r="A1127" s="5">
        <v>45211</v>
      </c>
      <c r="B1127" s="1"/>
      <c r="C1127">
        <v>103.42</v>
      </c>
      <c r="D1127">
        <v>97.36</v>
      </c>
      <c r="E1127">
        <v>89.05</v>
      </c>
      <c r="G1127" s="3">
        <v>-5.3020102143115297E-3</v>
      </c>
      <c r="I1127" s="15">
        <f t="shared" si="186"/>
        <v>-1.6546215290985117E-2</v>
      </c>
      <c r="J1127" s="15">
        <f t="shared" si="187"/>
        <v>8.2236842105261408E-4</v>
      </c>
      <c r="K1127" s="15">
        <f t="shared" si="188"/>
        <v>-7.0249776984836042E-3</v>
      </c>
      <c r="L1127" s="32">
        <f t="shared" si="189"/>
        <v>325662.94074279099</v>
      </c>
      <c r="M1127" s="15"/>
      <c r="N1127" s="32">
        <f t="shared" si="190"/>
        <v>-3102600</v>
      </c>
      <c r="O1127" s="34">
        <f t="shared" si="191"/>
        <v>-0.28189536971627788</v>
      </c>
      <c r="P1127" s="34">
        <f t="shared" si="192"/>
        <v>0.61921398945735096</v>
      </c>
      <c r="Q1127" s="34">
        <f t="shared" si="193"/>
        <v>0.64727087406006689</v>
      </c>
      <c r="R1127" s="35" cm="1">
        <f t="array" ref="R1127">SQRT(MMULT(O1127:Q1127, MMULT($AU$32:$AW$34,TRANSPOSE(O1127:Q1127))))</f>
        <v>1.2699147673677448E-2</v>
      </c>
      <c r="S1127" s="36" cm="1">
        <f t="array" ref="S1127:U1127">TRANSPOSE(MMULT($AU$32:$AW$34, TRANSPOSE(O1127:Q1127))/MMULT(O1127:Q1127, MMULT($AU$32:$AW$34,TRANSPOSE(O1127:Q1127))))</f>
        <v>0.1933012456682032</v>
      </c>
      <c r="T1127" s="36">
        <v>1.0920772308105808</v>
      </c>
      <c r="U1127" s="36">
        <v>0.58439401862132379</v>
      </c>
      <c r="V1127" s="35">
        <f t="shared" si="198"/>
        <v>5.7195932796939158E-3</v>
      </c>
      <c r="W1127" s="35">
        <f t="shared" si="199"/>
        <v>3.2313488558539619E-2</v>
      </c>
      <c r="X1127" s="35">
        <f t="shared" si="200"/>
        <v>1.7291642845060382E-2</v>
      </c>
      <c r="Y1127" s="32">
        <f t="shared" si="201"/>
        <v>-17745.610109578342</v>
      </c>
      <c r="Z1127" s="32">
        <f t="shared" si="194"/>
        <v>220222.8872241592</v>
      </c>
      <c r="AA1127" s="32">
        <f t="shared" si="195"/>
        <v>123185.66362821017</v>
      </c>
      <c r="AB1127" s="40">
        <f t="shared" si="202"/>
        <v>-5.4490726114255192E-2</v>
      </c>
      <c r="AC1127" s="40">
        <f t="shared" si="203"/>
        <v>0.67622949888575601</v>
      </c>
      <c r="AD1127" s="40">
        <f t="shared" si="204"/>
        <v>0.37826122722849931</v>
      </c>
      <c r="AE1127" s="40"/>
      <c r="AF1127" s="40"/>
      <c r="AG1127" s="40"/>
      <c r="AH1127" s="40"/>
      <c r="AI1127" s="40"/>
      <c r="AJ1127" s="40"/>
      <c r="AK1127" s="33">
        <f t="shared" si="196"/>
        <v>6815200</v>
      </c>
      <c r="AL1127" s="33">
        <f t="shared" si="197"/>
        <v>7124000</v>
      </c>
      <c r="AM1127" s="34"/>
      <c r="AN1127" s="33"/>
      <c r="AO1127" s="15" cm="1">
        <f t="array" ref="AO1127">SUMPRODUCT(I1127:K1127, TRANSPOSE($AY$5:$AY$7))</f>
        <v>1.887392548293172E-3</v>
      </c>
      <c r="AP1127" s="22">
        <f t="shared" si="205"/>
        <v>11006211.287268413</v>
      </c>
      <c r="AQ1127" s="22">
        <f t="shared" si="206"/>
        <v>20733.908144801855</v>
      </c>
      <c r="AR1127">
        <f t="shared" si="207"/>
        <v>0</v>
      </c>
      <c r="AS1127">
        <f t="shared" si="208"/>
        <v>0</v>
      </c>
      <c r="BJ1127">
        <f t="shared" si="182"/>
        <v>2.8111312312663794E-5</v>
      </c>
      <c r="BK1127">
        <f t="shared" si="184"/>
        <v>4.6387145365624867E-5</v>
      </c>
      <c r="BO1127">
        <f t="shared" si="185"/>
        <v>6.9739389652197014E-5</v>
      </c>
      <c r="BP1127">
        <f t="shared" si="183"/>
        <v>3.6648886584213765</v>
      </c>
    </row>
    <row r="1128" spans="1:68" x14ac:dyDescent="0.15">
      <c r="A1128" s="5">
        <v>45212</v>
      </c>
      <c r="B1128" s="1"/>
      <c r="C1128">
        <v>103.08</v>
      </c>
      <c r="D1128">
        <v>98.02</v>
      </c>
      <c r="E1128">
        <v>87.52</v>
      </c>
      <c r="G1128" s="3">
        <v>-7.2380561231696304E-3</v>
      </c>
      <c r="I1128" s="15">
        <f t="shared" si="186"/>
        <v>-3.2875652678399092E-3</v>
      </c>
      <c r="J1128" s="15">
        <f t="shared" si="187"/>
        <v>6.7789646672144271E-3</v>
      </c>
      <c r="K1128" s="15">
        <f t="shared" si="188"/>
        <v>-1.7181358787198217E-2</v>
      </c>
      <c r="L1128" s="32">
        <f t="shared" si="189"/>
        <v>325111.60097545991</v>
      </c>
      <c r="M1128" s="15"/>
      <c r="N1128" s="32">
        <f t="shared" si="190"/>
        <v>-3092400</v>
      </c>
      <c r="O1128" s="34">
        <f t="shared" si="191"/>
        <v>-0.28292362352318046</v>
      </c>
      <c r="P1128" s="34">
        <f t="shared" si="192"/>
        <v>0.62774936956472327</v>
      </c>
      <c r="Q1128" s="34">
        <f t="shared" si="193"/>
        <v>0.64057626518558408</v>
      </c>
      <c r="R1128" s="35" cm="1">
        <f t="array" ref="R1128">SQRT(MMULT(O1128:Q1128, MMULT($AU$32:$AW$34,TRANSPOSE(O1128:Q1128))))</f>
        <v>1.2765860453316739E-2</v>
      </c>
      <c r="S1128" s="36" cm="1">
        <f t="array" ref="S1128:U1128">TRANSPOSE(MMULT($AU$32:$AW$34, TRANSPOSE(O1128:Q1128))/MMULT(O1128:Q1128, MMULT($AU$32:$AW$34,TRANSPOSE(O1128:Q1128))))</f>
        <v>0.19015692450616767</v>
      </c>
      <c r="T1128" s="36">
        <v>1.0914999819439</v>
      </c>
      <c r="U1128" s="36">
        <v>0.57543727516555232</v>
      </c>
      <c r="V1128" s="35">
        <f t="shared" si="198"/>
        <v>5.6561140565728613E-3</v>
      </c>
      <c r="W1128" s="35">
        <f t="shared" si="199"/>
        <v>3.2466071938504017E-2</v>
      </c>
      <c r="X1128" s="35">
        <f t="shared" si="200"/>
        <v>1.7116068053752622E-2</v>
      </c>
      <c r="Y1128" s="32">
        <f t="shared" si="201"/>
        <v>-17490.967108545916</v>
      </c>
      <c r="Z1128" s="32">
        <f t="shared" si="194"/>
        <v>222762.70599885145</v>
      </c>
      <c r="AA1128" s="32">
        <f t="shared" si="195"/>
        <v>119839.86208515435</v>
      </c>
      <c r="AB1128" s="40">
        <f t="shared" si="202"/>
        <v>-5.3799886119308825E-2</v>
      </c>
      <c r="AC1128" s="40">
        <f t="shared" si="203"/>
        <v>0.68518842554519011</v>
      </c>
      <c r="AD1128" s="40">
        <f t="shared" si="204"/>
        <v>0.3686114605741187</v>
      </c>
      <c r="AE1128" s="40"/>
      <c r="AF1128" s="40"/>
      <c r="AG1128" s="40"/>
      <c r="AH1128" s="40"/>
      <c r="AI1128" s="40"/>
      <c r="AJ1128" s="40"/>
      <c r="AK1128" s="33">
        <f t="shared" si="196"/>
        <v>6861400</v>
      </c>
      <c r="AL1128" s="33">
        <f t="shared" si="197"/>
        <v>7001600</v>
      </c>
      <c r="AM1128" s="34"/>
      <c r="AN1128" s="33"/>
      <c r="AO1128" s="15" cm="1">
        <f t="array" ref="AO1128">SUMPRODUCT(I1128:K1128, TRANSPOSE($AY$5:$AY$7))</f>
        <v>-6.9100035168554903E-3</v>
      </c>
      <c r="AP1128" s="22">
        <f t="shared" si="205"/>
        <v>10930158.328566134</v>
      </c>
      <c r="AQ1128" s="22">
        <f t="shared" si="206"/>
        <v>-76052.958702279255</v>
      </c>
      <c r="AR1128">
        <f t="shared" si="207"/>
        <v>0</v>
      </c>
      <c r="AS1128">
        <f t="shared" si="208"/>
        <v>0</v>
      </c>
      <c r="BJ1128">
        <f t="shared" si="182"/>
        <v>5.2389456442153377E-5</v>
      </c>
      <c r="BK1128">
        <f t="shared" si="184"/>
        <v>4.5290595382447203E-5</v>
      </c>
      <c r="BO1128">
        <f t="shared" si="185"/>
        <v>6.4645543690065545E-5</v>
      </c>
      <c r="BP1128">
        <f t="shared" si="183"/>
        <v>3.499151684498842</v>
      </c>
    </row>
    <row r="1129" spans="1:68" x14ac:dyDescent="0.15">
      <c r="A1129" s="5">
        <v>45215</v>
      </c>
      <c r="B1129" s="1"/>
      <c r="C1129">
        <v>102.82</v>
      </c>
      <c r="D1129">
        <v>97.32</v>
      </c>
      <c r="E1129">
        <v>87.2</v>
      </c>
      <c r="G1129" s="3">
        <v>-1.0336087359336102E-3</v>
      </c>
      <c r="I1129" s="15">
        <f t="shared" si="186"/>
        <v>-2.5223127667831306E-3</v>
      </c>
      <c r="J1129" s="15">
        <f t="shared" si="187"/>
        <v>-7.141399714344041E-3</v>
      </c>
      <c r="K1129" s="15">
        <f t="shared" si="188"/>
        <v>-3.6563071297988255E-3</v>
      </c>
      <c r="L1129" s="32">
        <f t="shared" si="189"/>
        <v>323127.00965289044</v>
      </c>
      <c r="M1129" s="15"/>
      <c r="N1129" s="32">
        <f t="shared" si="190"/>
        <v>-3084600</v>
      </c>
      <c r="O1129" s="34">
        <f t="shared" si="191"/>
        <v>-0.28402613629372181</v>
      </c>
      <c r="P1129" s="34">
        <f t="shared" si="192"/>
        <v>0.62727732960103422</v>
      </c>
      <c r="Q1129" s="34">
        <f t="shared" si="193"/>
        <v>0.64234141437625736</v>
      </c>
      <c r="R1129" s="35" cm="1">
        <f t="array" ref="R1129">SQRT(MMULT(O1129:Q1129, MMULT($AU$32:$AW$34,TRANSPOSE(O1129:Q1129))))</f>
        <v>1.2769585261276443E-2</v>
      </c>
      <c r="S1129" s="36" cm="1">
        <f t="array" ref="S1129:U1129">TRANSPOSE(MMULT($AU$32:$AW$34, TRANSPOSE(O1129:Q1129))/MMULT(O1129:Q1129, MMULT($AU$32:$AW$34,TRANSPOSE(O1129:Q1129))))</f>
        <v>0.18973263328521059</v>
      </c>
      <c r="T1129" s="36">
        <v>1.0903917373641292</v>
      </c>
      <c r="U1129" s="36">
        <v>0.57587912167741684</v>
      </c>
      <c r="V1129" s="35">
        <f t="shared" si="198"/>
        <v>5.6451403975660451E-3</v>
      </c>
      <c r="W1129" s="35">
        <f t="shared" si="199"/>
        <v>3.2442571102217856E-2</v>
      </c>
      <c r="X1129" s="35">
        <f t="shared" si="200"/>
        <v>1.7134208478565623E-2</v>
      </c>
      <c r="Y1129" s="32">
        <f t="shared" si="201"/>
        <v>-17413.000070332222</v>
      </c>
      <c r="Z1129" s="32">
        <f t="shared" si="194"/>
        <v>221011.77137674889</v>
      </c>
      <c r="AA1129" s="32">
        <f t="shared" si="195"/>
        <v>119528.23834647378</v>
      </c>
      <c r="AB1129" s="40">
        <f t="shared" si="202"/>
        <v>-5.3889026760831966E-2</v>
      </c>
      <c r="AC1129" s="40">
        <f t="shared" si="203"/>
        <v>0.68397801723280327</v>
      </c>
      <c r="AD1129" s="40">
        <f t="shared" si="204"/>
        <v>0.36991100952802869</v>
      </c>
      <c r="AE1129" s="40"/>
      <c r="AF1129" s="40"/>
      <c r="AG1129" s="40"/>
      <c r="AH1129" s="40"/>
      <c r="AI1129" s="40"/>
      <c r="AJ1129" s="40"/>
      <c r="AK1129" s="33">
        <f t="shared" si="196"/>
        <v>6812399.9999999991</v>
      </c>
      <c r="AL1129" s="33">
        <f t="shared" si="197"/>
        <v>6976000</v>
      </c>
      <c r="AM1129" s="34"/>
      <c r="AN1129" s="33"/>
      <c r="AO1129" s="15" cm="1">
        <f t="array" ref="AO1129">SUMPRODUCT(I1129:K1129, TRANSPOSE($AY$5:$AY$7))</f>
        <v>-6.3942518173760671E-3</v>
      </c>
      <c r="AP1129" s="22">
        <f t="shared" si="205"/>
        <v>10860268.143809492</v>
      </c>
      <c r="AQ1129" s="22">
        <f t="shared" si="206"/>
        <v>-69890.184756642208</v>
      </c>
      <c r="AR1129">
        <f t="shared" si="207"/>
        <v>0</v>
      </c>
      <c r="AS1129">
        <f t="shared" si="208"/>
        <v>0</v>
      </c>
      <c r="BJ1129">
        <f t="shared" si="182"/>
        <v>1.0683470189982754E-6</v>
      </c>
      <c r="BK1129">
        <f t="shared" si="184"/>
        <v>4.5716527046029575E-5</v>
      </c>
      <c r="BO1129">
        <f t="shared" si="185"/>
        <v>6.4107736680664673E-5</v>
      </c>
      <c r="BP1129">
        <f t="shared" si="183"/>
        <v>3.9002017845471064</v>
      </c>
    </row>
    <row r="1130" spans="1:68" x14ac:dyDescent="0.15">
      <c r="A1130" s="5">
        <v>45216</v>
      </c>
      <c r="B1130" s="1"/>
      <c r="C1130">
        <v>102.78</v>
      </c>
      <c r="D1130">
        <v>98.54</v>
      </c>
      <c r="E1130">
        <v>87.38</v>
      </c>
      <c r="G1130" s="3">
        <v>-6.8886741654770002E-3</v>
      </c>
      <c r="I1130" s="15">
        <f t="shared" si="186"/>
        <v>-3.8902937171748729E-4</v>
      </c>
      <c r="J1130" s="15">
        <f t="shared" si="187"/>
        <v>1.253596383066187E-2</v>
      </c>
      <c r="K1130" s="15">
        <f t="shared" si="188"/>
        <v>2.0642201834861536E-3</v>
      </c>
      <c r="L1130" s="32">
        <f t="shared" si="189"/>
        <v>326153.68334677024</v>
      </c>
      <c r="M1130" s="15"/>
      <c r="N1130" s="32">
        <f t="shared" si="190"/>
        <v>-3083400</v>
      </c>
      <c r="O1130" s="34">
        <f t="shared" si="191"/>
        <v>-0.28112831122675846</v>
      </c>
      <c r="P1130" s="34">
        <f t="shared" si="192"/>
        <v>0.62890538534732265</v>
      </c>
      <c r="Q1130" s="34">
        <f t="shared" si="193"/>
        <v>0.63734816981239295</v>
      </c>
      <c r="R1130" s="35" cm="1">
        <f t="array" ref="R1130">SQRT(MMULT(O1130:Q1130, MMULT($AU$32:$AW$34,TRANSPOSE(O1130:Q1130))))</f>
        <v>1.2762656545692754E-2</v>
      </c>
      <c r="S1130" s="36" cm="1">
        <f t="array" ref="S1130:U1130">TRANSPOSE(MMULT($AU$32:$AW$34, TRANSPOSE(O1130:Q1130))/MMULT(O1130:Q1130, MMULT($AU$32:$AW$34,TRANSPOSE(O1130:Q1130))))</f>
        <v>0.19072951238002009</v>
      </c>
      <c r="T1130" s="36">
        <v>1.0933043486937919</v>
      </c>
      <c r="U1130" s="36">
        <v>0.57430850253648602</v>
      </c>
      <c r="V1130" s="35">
        <f t="shared" si="198"/>
        <v>5.6717215549464059E-3</v>
      </c>
      <c r="W1130" s="35">
        <f t="shared" si="199"/>
        <v>3.2511580212338444E-2</v>
      </c>
      <c r="X1130" s="35">
        <f t="shared" si="200"/>
        <v>1.707820605410619E-2</v>
      </c>
      <c r="Y1130" s="32">
        <f t="shared" si="201"/>
        <v>-17488.186242521748</v>
      </c>
      <c r="Z1130" s="32">
        <f t="shared" si="194"/>
        <v>224258.37798866813</v>
      </c>
      <c r="AA1130" s="32">
        <f t="shared" si="195"/>
        <v>119383.49160062391</v>
      </c>
      <c r="AB1130" s="40">
        <f t="shared" si="202"/>
        <v>-5.3619465716498171E-2</v>
      </c>
      <c r="AC1130" s="40">
        <f t="shared" si="203"/>
        <v>0.68758499271717288</v>
      </c>
      <c r="AD1130" s="40">
        <f t="shared" si="204"/>
        <v>0.36603447299932546</v>
      </c>
      <c r="AE1130" s="40"/>
      <c r="AF1130" s="40"/>
      <c r="AG1130" s="40"/>
      <c r="AH1130" s="40"/>
      <c r="AI1130" s="40"/>
      <c r="AJ1130" s="40"/>
      <c r="AK1130" s="33">
        <f t="shared" si="196"/>
        <v>6897800</v>
      </c>
      <c r="AL1130" s="33">
        <f t="shared" si="197"/>
        <v>6990400</v>
      </c>
      <c r="AM1130" s="34"/>
      <c r="AN1130" s="33"/>
      <c r="AO1130" s="15" cm="1">
        <f t="array" ref="AO1130">SUMPRODUCT(I1130:K1130, TRANSPOSE($AY$5:$AY$7))</f>
        <v>9.9147984969800949E-3</v>
      </c>
      <c r="AP1130" s="22">
        <f t="shared" si="205"/>
        <v>10967945.514078535</v>
      </c>
      <c r="AQ1130" s="22">
        <f t="shared" si="206"/>
        <v>107677.37026904337</v>
      </c>
      <c r="AR1130">
        <f t="shared" si="207"/>
        <v>0</v>
      </c>
      <c r="AS1130">
        <f t="shared" si="208"/>
        <v>0</v>
      </c>
      <c r="BJ1130">
        <f t="shared" si="182"/>
        <v>4.7453831758110244E-5</v>
      </c>
      <c r="BK1130">
        <f t="shared" si="184"/>
        <v>4.3037636244407692E-5</v>
      </c>
      <c r="BO1130">
        <f t="shared" si="185"/>
        <v>5.637673015986454E-5</v>
      </c>
      <c r="BP1130">
        <f t="shared" si="183"/>
        <v>3.5519248617780756</v>
      </c>
    </row>
    <row r="1131" spans="1:68" x14ac:dyDescent="0.15">
      <c r="A1131" s="5">
        <v>45217</v>
      </c>
      <c r="B1131" s="1"/>
      <c r="C1131">
        <v>102.26</v>
      </c>
      <c r="D1131">
        <v>98.36</v>
      </c>
      <c r="E1131">
        <v>87.15</v>
      </c>
      <c r="G1131" s="3">
        <v>-1.2814883638376899E-2</v>
      </c>
      <c r="I1131" s="15">
        <f t="shared" si="186"/>
        <v>-5.0593500681065965E-3</v>
      </c>
      <c r="J1131" s="15">
        <f t="shared" si="187"/>
        <v>-1.8266693728435845E-3</v>
      </c>
      <c r="K1131" s="15">
        <f t="shared" si="188"/>
        <v>-2.6321812771800158E-3</v>
      </c>
      <c r="L1131" s="32">
        <f t="shared" si="189"/>
        <v>325518.35542799585</v>
      </c>
      <c r="M1131" s="15"/>
      <c r="N1131" s="32">
        <f t="shared" si="190"/>
        <v>-3067800</v>
      </c>
      <c r="O1131" s="34">
        <f t="shared" si="191"/>
        <v>-0.28002680771481087</v>
      </c>
      <c r="P1131" s="34">
        <f t="shared" si="192"/>
        <v>0.62847662053524211</v>
      </c>
      <c r="Q1131" s="34">
        <f t="shared" si="193"/>
        <v>0.63639966861844366</v>
      </c>
      <c r="R1131" s="35" cm="1">
        <f t="array" ref="R1131">SQRT(MMULT(O1131:Q1131, MMULT($AU$32:$AW$34,TRANSPOSE(O1131:Q1131))))</f>
        <v>1.2752405915728966E-2</v>
      </c>
      <c r="S1131" s="36" cm="1">
        <f t="array" ref="S1131:U1131">TRANSPOSE(MMULT($AU$32:$AW$34, TRANSPOSE(O1131:Q1131))/MMULT(O1131:Q1131, MMULT($AU$32:$AW$34,TRANSPOSE(O1131:Q1131))))</f>
        <v>0.19142594534314317</v>
      </c>
      <c r="T1131" s="36">
        <v>1.0943977504579026</v>
      </c>
      <c r="U1131" s="36">
        <v>0.57479759135197472</v>
      </c>
      <c r="V1131" s="35">
        <f t="shared" si="198"/>
        <v>5.6878593637157285E-3</v>
      </c>
      <c r="W1131" s="35">
        <f t="shared" si="199"/>
        <v>3.2517956128742607E-2</v>
      </c>
      <c r="X1131" s="35">
        <f t="shared" si="200"/>
        <v>1.7079021636027585E-2</v>
      </c>
      <c r="Y1131" s="32">
        <f t="shared" si="201"/>
        <v>-17449.214956007112</v>
      </c>
      <c r="Z1131" s="32">
        <f t="shared" si="194"/>
        <v>223892.63153761861</v>
      </c>
      <c r="AA1131" s="32">
        <f t="shared" si="195"/>
        <v>119074.93884638432</v>
      </c>
      <c r="AB1131" s="40">
        <f t="shared" si="202"/>
        <v>-5.3604396388230252E-2</v>
      </c>
      <c r="AC1131" s="40">
        <f t="shared" si="203"/>
        <v>0.68780339972915383</v>
      </c>
      <c r="AD1131" s="40">
        <f t="shared" si="204"/>
        <v>0.36580099665907628</v>
      </c>
      <c r="AE1131" s="40"/>
      <c r="AF1131" s="40"/>
      <c r="AG1131" s="40"/>
      <c r="AH1131" s="40"/>
      <c r="AI1131" s="40"/>
      <c r="AJ1131" s="40"/>
      <c r="AK1131" s="33">
        <f t="shared" si="196"/>
        <v>6885200</v>
      </c>
      <c r="AL1131" s="33">
        <f t="shared" si="197"/>
        <v>6972000</v>
      </c>
      <c r="AM1131" s="34"/>
      <c r="AN1131" s="33"/>
      <c r="AO1131" s="15" cm="1">
        <f t="array" ref="AO1131">SUMPRODUCT(I1131:K1131, TRANSPOSE($AY$5:$AY$7))</f>
        <v>-1.1456868405646972E-3</v>
      </c>
      <c r="AP1131" s="22">
        <f t="shared" si="205"/>
        <v>10955379.683235025</v>
      </c>
      <c r="AQ1131" s="22">
        <f t="shared" si="206"/>
        <v>-12565.830843510106</v>
      </c>
      <c r="AR1131">
        <f t="shared" si="207"/>
        <v>0</v>
      </c>
      <c r="AS1131">
        <f t="shared" si="208"/>
        <v>0</v>
      </c>
      <c r="BJ1131">
        <f t="shared" si="182"/>
        <v>1.6422124266513995E-4</v>
      </c>
      <c r="BK1131">
        <f t="shared" si="184"/>
        <v>4.3302607975229846E-5</v>
      </c>
      <c r="BO1131">
        <f t="shared" si="185"/>
        <v>5.6918921889459647E-5</v>
      </c>
      <c r="BP1131">
        <f t="shared" si="183"/>
        <v>2.5254136412677619</v>
      </c>
    </row>
    <row r="1132" spans="1:68" x14ac:dyDescent="0.15">
      <c r="A1132" s="5">
        <v>45218</v>
      </c>
      <c r="B1132" s="1"/>
      <c r="C1132">
        <v>98.75</v>
      </c>
      <c r="D1132">
        <v>98.38</v>
      </c>
      <c r="E1132">
        <v>84.75</v>
      </c>
      <c r="G1132" s="3">
        <v>-2.1283210859440703E-2</v>
      </c>
      <c r="I1132" s="15">
        <f t="shared" si="186"/>
        <v>-3.432427146489346E-2</v>
      </c>
      <c r="J1132" s="15">
        <f t="shared" si="187"/>
        <v>2.0333468889788554E-4</v>
      </c>
      <c r="K1132" s="15">
        <f t="shared" si="188"/>
        <v>-2.753872633390712E-2</v>
      </c>
      <c r="L1132" s="32">
        <f t="shared" si="189"/>
        <v>322902.00163961045</v>
      </c>
      <c r="M1132" s="15"/>
      <c r="N1132" s="32">
        <f t="shared" si="190"/>
        <v>-2962500</v>
      </c>
      <c r="O1132" s="34">
        <f t="shared" si="191"/>
        <v>-0.27221931797929683</v>
      </c>
      <c r="P1132" s="34">
        <f t="shared" si="192"/>
        <v>0.63279849964429546</v>
      </c>
      <c r="Q1132" s="34">
        <f t="shared" si="193"/>
        <v>0.62300319861590969</v>
      </c>
      <c r="R1132" s="35" cm="1">
        <f t="array" ref="R1132">SQRT(MMULT(O1132:Q1132, MMULT($AU$32:$AW$34,TRANSPOSE(O1132:Q1132))))</f>
        <v>1.273430943452448E-2</v>
      </c>
      <c r="S1132" s="36" cm="1">
        <f t="array" ref="S1132:U1132">TRANSPOSE(MMULT($AU$32:$AW$34, TRANSPOSE(O1132:Q1132))/MMULT(O1132:Q1132, MMULT($AU$32:$AW$34,TRANSPOSE(O1132:Q1132))))</f>
        <v>0.19411530535154614</v>
      </c>
      <c r="T1132" s="36">
        <v>1.1021055367621093</v>
      </c>
      <c r="U1132" s="36">
        <v>0.57051265019031705</v>
      </c>
      <c r="V1132" s="35">
        <f t="shared" si="198"/>
        <v>5.7595837688744402E-3</v>
      </c>
      <c r="W1132" s="35">
        <f t="shared" si="199"/>
        <v>3.2700508337691149E-2</v>
      </c>
      <c r="X1132" s="35">
        <f t="shared" si="200"/>
        <v>1.6927647173533497E-2</v>
      </c>
      <c r="Y1132" s="32">
        <f t="shared" si="201"/>
        <v>-17062.766915290529</v>
      </c>
      <c r="Z1132" s="32">
        <f t="shared" si="194"/>
        <v>225195.32071834386</v>
      </c>
      <c r="AA1132" s="32">
        <f t="shared" si="195"/>
        <v>114769.44783655711</v>
      </c>
      <c r="AB1132" s="40">
        <f t="shared" si="202"/>
        <v>-5.2841936032140831E-2</v>
      </c>
      <c r="AC1132" s="40">
        <f t="shared" si="203"/>
        <v>0.69741073011273369</v>
      </c>
      <c r="AD1132" s="40">
        <f t="shared" si="204"/>
        <v>0.35543120591940713</v>
      </c>
      <c r="AE1132" s="40"/>
      <c r="AF1132" s="40"/>
      <c r="AG1132" s="40"/>
      <c r="AH1132" s="40"/>
      <c r="AI1132" s="40"/>
      <c r="AJ1132" s="40"/>
      <c r="AK1132" s="33">
        <f t="shared" si="196"/>
        <v>6886600</v>
      </c>
      <c r="AL1132" s="33">
        <f t="shared" si="197"/>
        <v>6780000</v>
      </c>
      <c r="AM1132" s="34"/>
      <c r="AN1132" s="33"/>
      <c r="AO1132" s="15" cm="1">
        <f t="array" ref="AO1132">SUMPRODUCT(I1132:K1132, TRANSPOSE($AY$5:$AY$7))</f>
        <v>-6.6278412690528258E-3</v>
      </c>
      <c r="AP1132" s="22">
        <f t="shared" si="205"/>
        <v>10882769.165652337</v>
      </c>
      <c r="AQ1132" s="22">
        <f t="shared" si="206"/>
        <v>-72610.517582688481</v>
      </c>
      <c r="AR1132">
        <f t="shared" si="207"/>
        <v>0</v>
      </c>
      <c r="AS1132">
        <f t="shared" si="208"/>
        <v>0</v>
      </c>
      <c r="BJ1132">
        <f t="shared" si="182"/>
        <v>4.5297506448741464E-4</v>
      </c>
      <c r="BK1132">
        <f t="shared" si="184"/>
        <v>5.0557726056624461E-5</v>
      </c>
      <c r="BO1132">
        <f t="shared" si="185"/>
        <v>7.3974242306031664E-5</v>
      </c>
      <c r="BP1132">
        <f t="shared" si="183"/>
        <v>0.77525023034509655</v>
      </c>
    </row>
    <row r="1133" spans="1:68" x14ac:dyDescent="0.15">
      <c r="A1133" s="5">
        <v>45219</v>
      </c>
      <c r="B1133" s="1"/>
      <c r="C1133">
        <v>98.48</v>
      </c>
      <c r="D1133">
        <v>95.9</v>
      </c>
      <c r="E1133">
        <v>84.8</v>
      </c>
      <c r="G1133" s="3">
        <v>-9.5360819772922698E-3</v>
      </c>
      <c r="I1133" s="15">
        <f t="shared" si="186"/>
        <v>-2.7341772151898329E-3</v>
      </c>
      <c r="J1133" s="15">
        <f t="shared" si="187"/>
        <v>-2.5208375686114962E-2</v>
      </c>
      <c r="K1133" s="15">
        <f t="shared" si="188"/>
        <v>5.8997050147489274E-4</v>
      </c>
      <c r="L1133" s="32">
        <f t="shared" si="189"/>
        <v>317354.04781258351</v>
      </c>
      <c r="M1133" s="15"/>
      <c r="N1133" s="32">
        <f t="shared" si="190"/>
        <v>-2954400</v>
      </c>
      <c r="O1133" s="34">
        <f t="shared" si="191"/>
        <v>-0.27562513488228341</v>
      </c>
      <c r="P1133" s="34">
        <f t="shared" si="192"/>
        <v>0.62627658085051729</v>
      </c>
      <c r="Q1133" s="34">
        <f t="shared" si="193"/>
        <v>0.63290039095633988</v>
      </c>
      <c r="R1133" s="35" cm="1">
        <f t="array" ref="R1133">SQRT(MMULT(O1133:Q1133, MMULT($AU$32:$AW$34,TRANSPOSE(O1133:Q1133))))</f>
        <v>1.2706842465240169E-2</v>
      </c>
      <c r="S1133" s="36" cm="1">
        <f t="array" ref="S1133:U1133">TRANSPOSE(MMULT($AU$32:$AW$34, TRANSPOSE(O1133:Q1133))/MMULT(O1133:Q1133, MMULT($AU$32:$AW$34,TRANSPOSE(O1133:Q1133))))</f>
        <v>0.19435268829175825</v>
      </c>
      <c r="T1133" s="36">
        <v>1.0989180146669375</v>
      </c>
      <c r="U1133" s="36">
        <v>0.57725018705148001</v>
      </c>
      <c r="V1133" s="35">
        <f t="shared" si="198"/>
        <v>5.7541889532689676E-3</v>
      </c>
      <c r="W1133" s="35">
        <f t="shared" si="199"/>
        <v>3.2535602960388314E-2</v>
      </c>
      <c r="X1133" s="35">
        <f t="shared" si="200"/>
        <v>1.7090613352452034E-2</v>
      </c>
      <c r="Y1133" s="32">
        <f t="shared" si="201"/>
        <v>-17000.175843537836</v>
      </c>
      <c r="Z1133" s="32">
        <f t="shared" si="194"/>
        <v>218411.50267308674</v>
      </c>
      <c r="AA1133" s="32">
        <f t="shared" si="195"/>
        <v>115942.7209830346</v>
      </c>
      <c r="AB1133" s="40">
        <f t="shared" si="202"/>
        <v>-5.356848592515024E-2</v>
      </c>
      <c r="AC1133" s="40">
        <f t="shared" si="203"/>
        <v>0.68822661686064823</v>
      </c>
      <c r="AD1133" s="40">
        <f t="shared" si="204"/>
        <v>0.365341869064502</v>
      </c>
      <c r="AE1133" s="40"/>
      <c r="AF1133" s="40"/>
      <c r="AG1133" s="40"/>
      <c r="AH1133" s="40"/>
      <c r="AI1133" s="40"/>
      <c r="AJ1133" s="40"/>
      <c r="AK1133" s="33">
        <f t="shared" si="196"/>
        <v>6713000</v>
      </c>
      <c r="AL1133" s="33">
        <f t="shared" si="197"/>
        <v>6784000</v>
      </c>
      <c r="AM1133" s="34"/>
      <c r="AN1133" s="33"/>
      <c r="AO1133" s="15" cm="1">
        <f t="array" ref="AO1133">SUMPRODUCT(I1133:K1133, TRANSPOSE($AY$5:$AY$7))</f>
        <v>-1.5057091079565653E-2</v>
      </c>
      <c r="AP1133" s="22">
        <f t="shared" si="205"/>
        <v>10718906.319127221</v>
      </c>
      <c r="AQ1133" s="22">
        <f t="shared" si="206"/>
        <v>-163862.84652511589</v>
      </c>
      <c r="AR1133">
        <f t="shared" si="207"/>
        <v>0</v>
      </c>
      <c r="AS1133">
        <f t="shared" si="208"/>
        <v>0</v>
      </c>
      <c r="BJ1133">
        <f t="shared" si="182"/>
        <v>9.0936859477638445E-5</v>
      </c>
      <c r="BK1133">
        <f t="shared" si="184"/>
        <v>7.4702766362471886E-5</v>
      </c>
      <c r="BO1133">
        <f t="shared" si="185"/>
        <v>1.2847644821599666E-4</v>
      </c>
      <c r="BP1133">
        <f t="shared" si="183"/>
        <v>3.2070391585392053</v>
      </c>
    </row>
    <row r="1134" spans="1:68" x14ac:dyDescent="0.15">
      <c r="A1134" s="5">
        <v>45222</v>
      </c>
      <c r="B1134" s="1"/>
      <c r="C1134">
        <v>97.7</v>
      </c>
      <c r="D1134">
        <v>95.52</v>
      </c>
      <c r="E1134">
        <v>84.5</v>
      </c>
      <c r="G1134" s="3">
        <v>-1.6117621451327E-3</v>
      </c>
      <c r="I1134" s="15">
        <f t="shared" si="186"/>
        <v>-7.9203899268887202E-3</v>
      </c>
      <c r="J1134" s="15">
        <f t="shared" si="187"/>
        <v>-3.9624608967675666E-3</v>
      </c>
      <c r="K1134" s="15">
        <f t="shared" si="188"/>
        <v>-3.5377358490565705E-3</v>
      </c>
      <c r="L1134" s="32">
        <f t="shared" si="189"/>
        <v>316213.24851960555</v>
      </c>
      <c r="M1134" s="15"/>
      <c r="N1134" s="32">
        <f t="shared" si="190"/>
        <v>-2931000</v>
      </c>
      <c r="O1134" s="34">
        <f t="shared" si="191"/>
        <v>-0.27401445568031474</v>
      </c>
      <c r="P1134" s="34">
        <f t="shared" si="192"/>
        <v>0.6251007357423598</v>
      </c>
      <c r="Q1134" s="34">
        <f t="shared" si="193"/>
        <v>0.63198148085940897</v>
      </c>
      <c r="R1134" s="35" cm="1">
        <f t="array" ref="R1134">SQRT(MMULT(O1134:Q1134, MMULT($AU$32:$AW$34,TRANSPOSE(O1134:Q1134))))</f>
        <v>1.2687667741751823E-2</v>
      </c>
      <c r="S1134" s="36" cm="1">
        <f t="array" ref="S1134:U1134">TRANSPOSE(MMULT($AU$32:$AW$34, TRANSPOSE(O1134:Q1134))/MMULT(O1134:Q1134, MMULT($AU$32:$AW$34,TRANSPOSE(O1134:Q1134))))</f>
        <v>0.19555164165434336</v>
      </c>
      <c r="T1134" s="36">
        <v>1.1005503304757076</v>
      </c>
      <c r="U1134" s="36">
        <v>0.57854409728310208</v>
      </c>
      <c r="V1134" s="35">
        <f t="shared" si="198"/>
        <v>5.7809496156981085E-3</v>
      </c>
      <c r="W1134" s="35">
        <f t="shared" si="199"/>
        <v>3.25347614379317E-2</v>
      </c>
      <c r="X1134" s="35">
        <f t="shared" si="200"/>
        <v>1.71030744030518E-2</v>
      </c>
      <c r="Y1134" s="32">
        <f t="shared" si="201"/>
        <v>-16943.963323611155</v>
      </c>
      <c r="Z1134" s="32">
        <f t="shared" si="194"/>
        <v>217540.42887858651</v>
      </c>
      <c r="AA1134" s="32">
        <f t="shared" si="195"/>
        <v>115616.78296463017</v>
      </c>
      <c r="AB1134" s="40">
        <f t="shared" si="202"/>
        <v>-5.3583976645306848E-2</v>
      </c>
      <c r="AC1134" s="40">
        <f t="shared" si="203"/>
        <v>0.68795482130186203</v>
      </c>
      <c r="AD1134" s="40">
        <f t="shared" si="204"/>
        <v>0.36562915534344481</v>
      </c>
      <c r="AE1134" s="40"/>
      <c r="AF1134" s="40"/>
      <c r="AG1134" s="40"/>
      <c r="AH1134" s="40"/>
      <c r="AI1134" s="40"/>
      <c r="AJ1134" s="40"/>
      <c r="AK1134" s="33">
        <f t="shared" si="196"/>
        <v>6686400</v>
      </c>
      <c r="AL1134" s="33">
        <f t="shared" si="197"/>
        <v>6760000</v>
      </c>
      <c r="AM1134" s="34"/>
      <c r="AN1134" s="33"/>
      <c r="AO1134" s="15" cm="1">
        <f t="array" ref="AO1134">SUMPRODUCT(I1134:K1134, TRANSPOSE($AY$5:$AY$7))</f>
        <v>-2.0888654889729655E-3</v>
      </c>
      <c r="AP1134" s="22">
        <f t="shared" si="205"/>
        <v>10696515.965637662</v>
      </c>
      <c r="AQ1134" s="22">
        <f t="shared" si="206"/>
        <v>-22390.353489559144</v>
      </c>
      <c r="AR1134">
        <f t="shared" si="207"/>
        <v>0</v>
      </c>
      <c r="AS1134">
        <f t="shared" si="208"/>
        <v>0</v>
      </c>
      <c r="BJ1134">
        <f t="shared" si="182"/>
        <v>2.5977772124827629E-6</v>
      </c>
      <c r="BK1134">
        <f t="shared" si="184"/>
        <v>7.5676811949381887E-5</v>
      </c>
      <c r="BO1134">
        <f t="shared" si="185"/>
        <v>1.1966527461040005E-4</v>
      </c>
      <c r="BP1134">
        <f t="shared" si="183"/>
        <v>3.5856131636897448</v>
      </c>
    </row>
    <row r="1135" spans="1:68" x14ac:dyDescent="0.15">
      <c r="A1135" s="5">
        <v>45223</v>
      </c>
      <c r="B1135" s="1"/>
      <c r="C1135">
        <v>98.04</v>
      </c>
      <c r="D1135">
        <v>96.7</v>
      </c>
      <c r="E1135">
        <v>85.11</v>
      </c>
      <c r="G1135" s="3">
        <v>4.3452754408941302E-3</v>
      </c>
      <c r="I1135" s="15">
        <f t="shared" si="186"/>
        <v>3.4800409416581718E-3</v>
      </c>
      <c r="J1135" s="15">
        <f t="shared" si="187"/>
        <v>1.2353433835845968E-2</v>
      </c>
      <c r="K1135" s="15">
        <f t="shared" si="188"/>
        <v>7.2189349112425968E-3</v>
      </c>
      <c r="L1135" s="32">
        <f t="shared" si="189"/>
        <v>319677.0259664086</v>
      </c>
      <c r="M1135" s="15"/>
      <c r="N1135" s="32">
        <f t="shared" si="190"/>
        <v>-2941200</v>
      </c>
      <c r="O1135" s="34">
        <f t="shared" si="191"/>
        <v>-0.27168924785112081</v>
      </c>
      <c r="P1135" s="34">
        <f t="shared" si="192"/>
        <v>0.62527693414396734</v>
      </c>
      <c r="Q1135" s="34">
        <f t="shared" si="193"/>
        <v>0.62895340363413277</v>
      </c>
      <c r="R1135" s="35" cm="1">
        <f t="array" ref="R1135">SQRT(MMULT(O1135:Q1135, MMULT($AU$32:$AW$34,TRANSPOSE(O1135:Q1135))))</f>
        <v>1.2673699319260767E-2</v>
      </c>
      <c r="S1135" s="36" cm="1">
        <f t="array" ref="S1135:U1135">TRANSPOSE(MMULT($AU$32:$AW$34, TRANSPOSE(O1135:Q1135))/MMULT(O1135:Q1135, MMULT($AU$32:$AW$34,TRANSPOSE(O1135:Q1135))))</f>
        <v>0.19670528573876186</v>
      </c>
      <c r="T1135" s="36">
        <v>1.1029245853746039</v>
      </c>
      <c r="U1135" s="36">
        <v>0.5784361857230621</v>
      </c>
      <c r="V1135" s="35">
        <f t="shared" si="198"/>
        <v>5.8086518950922544E-3</v>
      </c>
      <c r="W1135" s="35">
        <f t="shared" si="199"/>
        <v>3.2569053540779332E-2</v>
      </c>
      <c r="X1135" s="35">
        <f t="shared" si="200"/>
        <v>1.708105826323561E-2</v>
      </c>
      <c r="Y1135" s="32">
        <f t="shared" si="201"/>
        <v>-17084.406953845337</v>
      </c>
      <c r="Z1135" s="32">
        <f t="shared" si="194"/>
        <v>220459.92341753529</v>
      </c>
      <c r="AA1135" s="32">
        <f t="shared" si="195"/>
        <v>116301.50950271862</v>
      </c>
      <c r="AB1135" s="40">
        <f t="shared" si="202"/>
        <v>-5.3442711130704E-2</v>
      </c>
      <c r="AC1135" s="40">
        <f t="shared" si="203"/>
        <v>0.68963330333503869</v>
      </c>
      <c r="AD1135" s="40">
        <f t="shared" si="204"/>
        <v>0.36380940779566523</v>
      </c>
      <c r="AE1135" s="40"/>
      <c r="AF1135" s="40"/>
      <c r="AG1135" s="40"/>
      <c r="AH1135" s="40"/>
      <c r="AI1135" s="40"/>
      <c r="AJ1135" s="40"/>
      <c r="AK1135" s="33">
        <f t="shared" si="196"/>
        <v>6769000</v>
      </c>
      <c r="AL1135" s="33">
        <f t="shared" si="197"/>
        <v>6808800</v>
      </c>
      <c r="AM1135" s="34"/>
      <c r="AN1135" s="33"/>
      <c r="AO1135" s="15" cm="1">
        <f t="array" ref="AO1135">SUMPRODUCT(I1135:K1135, TRANSPOSE($AY$5:$AY$7))</f>
        <v>1.2068160148038978E-2</v>
      </c>
      <c r="AP1135" s="22">
        <f t="shared" si="205"/>
        <v>10825603.233337034</v>
      </c>
      <c r="AQ1135" s="22">
        <f t="shared" si="206"/>
        <v>129087.26769937202</v>
      </c>
      <c r="AR1135">
        <f t="shared" si="207"/>
        <v>0</v>
      </c>
      <c r="AS1135">
        <f t="shared" si="208"/>
        <v>0</v>
      </c>
      <c r="BJ1135">
        <f t="shared" si="182"/>
        <v>1.888141865723768E-5</v>
      </c>
      <c r="BK1135">
        <f t="shared" si="184"/>
        <v>7.1292069865167939E-5</v>
      </c>
      <c r="BO1135">
        <f t="shared" si="185"/>
        <v>1.0017270788780397E-4</v>
      </c>
      <c r="BP1135">
        <f t="shared" si="183"/>
        <v>3.5911245322857344</v>
      </c>
    </row>
    <row r="1136" spans="1:68" x14ac:dyDescent="0.15">
      <c r="A1136" s="5">
        <v>45224</v>
      </c>
      <c r="B1136" s="1"/>
      <c r="C1136">
        <v>98.55</v>
      </c>
      <c r="D1136">
        <v>97.68</v>
      </c>
      <c r="E1136">
        <v>85.82</v>
      </c>
      <c r="G1136" s="3">
        <v>2.3238759366477298E-3</v>
      </c>
      <c r="I1136" s="15">
        <f t="shared" si="186"/>
        <v>5.2019583843328325E-3</v>
      </c>
      <c r="J1136" s="15">
        <f t="shared" si="187"/>
        <v>1.0134436401240992E-2</v>
      </c>
      <c r="K1136" s="15">
        <f t="shared" si="188"/>
        <v>8.3421454588179268E-3</v>
      </c>
      <c r="L1136" s="32">
        <f t="shared" si="189"/>
        <v>322792.76717601169</v>
      </c>
      <c r="M1136" s="15"/>
      <c r="N1136" s="32">
        <f t="shared" si="190"/>
        <v>-2956500</v>
      </c>
      <c r="O1136" s="34">
        <f t="shared" si="191"/>
        <v>-0.27019568882917655</v>
      </c>
      <c r="P1136" s="34">
        <f t="shared" si="192"/>
        <v>0.6248909325007197</v>
      </c>
      <c r="Q1136" s="34">
        <f t="shared" si="193"/>
        <v>0.62744986342824094</v>
      </c>
      <c r="R1136" s="35" cm="1">
        <f t="array" ref="R1136">SQRT(MMULT(O1136:Q1136, MMULT($AU$32:$AW$34,TRANSPOSE(O1136:Q1136))))</f>
        <v>1.2661011574293418E-2</v>
      </c>
      <c r="S1136" s="36" cm="1">
        <f t="array" ref="S1136:U1136">TRANSPOSE(MMULT($AU$32:$AW$34, TRANSPOSE(O1136:Q1136))/MMULT(O1136:Q1136, MMULT($AU$32:$AW$34,TRANSPOSE(O1136:Q1136))))</f>
        <v>0.19760319032132048</v>
      </c>
      <c r="T1136" s="36">
        <v>1.1044590875141278</v>
      </c>
      <c r="U1136" s="36">
        <v>0.57889097151689062</v>
      </c>
      <c r="V1136" s="35">
        <f t="shared" si="198"/>
        <v>5.8293251318770178E-3</v>
      </c>
      <c r="W1136" s="35">
        <f t="shared" si="199"/>
        <v>3.2581716446515314E-2</v>
      </c>
      <c r="X1136" s="35">
        <f t="shared" si="200"/>
        <v>1.7077374527166303E-2</v>
      </c>
      <c r="Y1136" s="32">
        <f t="shared" si="201"/>
        <v>-17234.399752394402</v>
      </c>
      <c r="Z1136" s="32">
        <f t="shared" si="194"/>
        <v>222780.74437469314</v>
      </c>
      <c r="AA1136" s="32">
        <f t="shared" si="195"/>
        <v>117246.42255371295</v>
      </c>
      <c r="AB1136" s="40">
        <f t="shared" si="202"/>
        <v>-5.3391530123712061E-2</v>
      </c>
      <c r="AC1136" s="40">
        <f t="shared" si="203"/>
        <v>0.69016646910559731</v>
      </c>
      <c r="AD1136" s="40">
        <f t="shared" si="204"/>
        <v>0.36322506101811475</v>
      </c>
      <c r="AE1136" s="40"/>
      <c r="AF1136" s="40"/>
      <c r="AG1136" s="40"/>
      <c r="AH1136" s="40"/>
      <c r="AI1136" s="40"/>
      <c r="AJ1136" s="40"/>
      <c r="AK1136" s="33">
        <f t="shared" si="196"/>
        <v>6837600.0000000009</v>
      </c>
      <c r="AL1136" s="33">
        <f t="shared" si="197"/>
        <v>6865599.9999999991</v>
      </c>
      <c r="AM1136" s="34"/>
      <c r="AN1136" s="33"/>
      <c r="AO1136" s="15" cm="1">
        <f t="array" ref="AO1136">SUMPRODUCT(I1136:K1136, TRANSPOSE($AY$5:$AY$7))</f>
        <v>1.0758406972859914E-2</v>
      </c>
      <c r="AP1136" s="22">
        <f t="shared" si="205"/>
        <v>10942069.478647981</v>
      </c>
      <c r="AQ1136" s="22">
        <f t="shared" si="206"/>
        <v>116466.2453109473</v>
      </c>
      <c r="AR1136">
        <f t="shared" si="207"/>
        <v>0</v>
      </c>
      <c r="AS1136">
        <f t="shared" si="208"/>
        <v>0</v>
      </c>
      <c r="BJ1136">
        <f t="shared" si="182"/>
        <v>5.4003993689303634E-6</v>
      </c>
      <c r="BK1136">
        <f t="shared" si="184"/>
        <v>6.8147430792692124E-5</v>
      </c>
      <c r="BO1136">
        <f t="shared" si="185"/>
        <v>8.7202270710598398E-5</v>
      </c>
      <c r="BP1136">
        <f t="shared" si="183"/>
        <v>3.7237367739792453</v>
      </c>
    </row>
    <row r="1137" spans="1:68" x14ac:dyDescent="0.15">
      <c r="A1137" s="5">
        <v>45225</v>
      </c>
      <c r="B1137" s="1"/>
      <c r="C1137">
        <v>98.88</v>
      </c>
      <c r="D1137">
        <v>97.58</v>
      </c>
      <c r="E1137">
        <v>85.09</v>
      </c>
      <c r="G1137" s="3">
        <v>-3.1955654622021199E-3</v>
      </c>
      <c r="I1137" s="15">
        <f t="shared" si="186"/>
        <v>3.3485540334855231E-3</v>
      </c>
      <c r="J1137" s="15">
        <f t="shared" si="187"/>
        <v>-1.0237510237511109E-3</v>
      </c>
      <c r="K1137" s="15">
        <f t="shared" si="188"/>
        <v>-8.5061757166160542E-3</v>
      </c>
      <c r="L1137" s="32">
        <f t="shared" si="189"/>
        <v>321511.91559955437</v>
      </c>
      <c r="M1137" s="15"/>
      <c r="N1137" s="32">
        <f t="shared" si="190"/>
        <v>-2966400</v>
      </c>
      <c r="O1137" s="34">
        <f t="shared" si="191"/>
        <v>-0.27335896516166003</v>
      </c>
      <c r="P1137" s="34">
        <f t="shared" si="192"/>
        <v>0.62945177569890609</v>
      </c>
      <c r="Q1137" s="34">
        <f t="shared" si="193"/>
        <v>0.62729542463877164</v>
      </c>
      <c r="R1137" s="35" cm="1">
        <f t="array" ref="R1137">SQRT(MMULT(O1137:Q1137, MMULT($AU$32:$AW$34,TRANSPOSE(O1137:Q1137))))</f>
        <v>1.271583140840318E-2</v>
      </c>
      <c r="S1137" s="36" cm="1">
        <f t="array" ref="S1137:U1137">TRANSPOSE(MMULT($AU$32:$AW$34, TRANSPOSE(O1137:Q1137))/MMULT(O1137:Q1137, MMULT($AU$32:$AW$34,TRANSPOSE(O1137:Q1137))))</f>
        <v>0.19454844262234589</v>
      </c>
      <c r="T1137" s="36">
        <v>1.1011497161365411</v>
      </c>
      <c r="U1137" s="36">
        <v>0.5739893878931227</v>
      </c>
      <c r="V1137" s="35">
        <f t="shared" si="198"/>
        <v>5.7640593093668388E-3</v>
      </c>
      <c r="W1137" s="35">
        <f t="shared" si="199"/>
        <v>3.262473955972163E-2</v>
      </c>
      <c r="X1137" s="35">
        <f t="shared" si="200"/>
        <v>1.7006092827921263E-2</v>
      </c>
      <c r="Y1137" s="32">
        <f t="shared" si="201"/>
        <v>-17098.505535305791</v>
      </c>
      <c r="Z1137" s="32">
        <f t="shared" si="194"/>
        <v>222846.54603663457</v>
      </c>
      <c r="AA1137" s="32">
        <f t="shared" si="195"/>
        <v>115763.87509822562</v>
      </c>
      <c r="AB1137" s="40">
        <f t="shared" si="202"/>
        <v>-5.3181560949057065E-2</v>
      </c>
      <c r="AC1137" s="40">
        <f t="shared" si="203"/>
        <v>0.69312064413249208</v>
      </c>
      <c r="AD1137" s="40">
        <f t="shared" si="204"/>
        <v>0.36006091681656499</v>
      </c>
      <c r="AE1137" s="40"/>
      <c r="AF1137" s="40"/>
      <c r="AG1137" s="40"/>
      <c r="AH1137" s="40"/>
      <c r="AI1137" s="40"/>
      <c r="AJ1137" s="40"/>
      <c r="AK1137" s="33">
        <f t="shared" si="196"/>
        <v>6830600</v>
      </c>
      <c r="AL1137" s="33">
        <f t="shared" si="197"/>
        <v>6807200</v>
      </c>
      <c r="AM1137" s="34"/>
      <c r="AN1137" s="33"/>
      <c r="AO1137" s="15" cm="1">
        <f t="array" ref="AO1137">SUMPRODUCT(I1137:K1137, TRANSPOSE($AY$5:$AY$7))</f>
        <v>-8.2620720615050654E-3</v>
      </c>
      <c r="AP1137" s="22">
        <f t="shared" si="205"/>
        <v>10851665.312113395</v>
      </c>
      <c r="AQ1137" s="22">
        <f t="shared" si="206"/>
        <v>-90404.166534585878</v>
      </c>
      <c r="AR1137">
        <f t="shared" si="207"/>
        <v>0</v>
      </c>
      <c r="AS1137">
        <f t="shared" si="208"/>
        <v>0</v>
      </c>
      <c r="BJ1137">
        <f t="shared" si="182"/>
        <v>1.0211638623219048E-5</v>
      </c>
      <c r="BK1137">
        <f t="shared" si="184"/>
        <v>6.4382608907266413E-5</v>
      </c>
      <c r="BO1137">
        <f t="shared" si="185"/>
        <v>7.5108565202528782E-5</v>
      </c>
      <c r="BP1137">
        <f t="shared" si="183"/>
        <v>3.761370255831054</v>
      </c>
    </row>
    <row r="1138" spans="1:68" x14ac:dyDescent="0.15">
      <c r="A1138" s="5">
        <v>45226</v>
      </c>
      <c r="B1138" s="1"/>
      <c r="C1138">
        <v>97.46</v>
      </c>
      <c r="D1138">
        <v>97.38</v>
      </c>
      <c r="E1138">
        <v>83.76</v>
      </c>
      <c r="G1138" s="3">
        <v>-4.2422803001410598E-3</v>
      </c>
      <c r="I1138" s="15">
        <f t="shared" si="186"/>
        <v>-1.4360841423948239E-2</v>
      </c>
      <c r="J1138" s="15">
        <f t="shared" si="187"/>
        <v>-2.0496003279360814E-3</v>
      </c>
      <c r="K1138" s="15">
        <f t="shared" si="188"/>
        <v>-1.5630508872958023E-2</v>
      </c>
      <c r="L1138" s="32">
        <f t="shared" si="189"/>
        <v>319495.26613170776</v>
      </c>
      <c r="M1138" s="15"/>
      <c r="N1138" s="32">
        <f t="shared" si="190"/>
        <v>-2923800</v>
      </c>
      <c r="O1138" s="34">
        <f t="shared" si="191"/>
        <v>-0.27138841979125505</v>
      </c>
      <c r="P1138" s="34">
        <f t="shared" si="192"/>
        <v>0.63271985168242328</v>
      </c>
      <c r="Q1138" s="34">
        <f t="shared" si="193"/>
        <v>0.62197124404447701</v>
      </c>
      <c r="R1138" s="35" cm="1">
        <f t="array" ref="R1138">SQRT(MMULT(O1138:Q1138, MMULT($AU$32:$AW$34,TRANSPOSE(O1138:Q1138))))</f>
        <v>1.2727765267298781E-2</v>
      </c>
      <c r="S1138" s="36" cm="1">
        <f t="array" ref="S1138:U1138">TRANSPOSE(MMULT($AU$32:$AW$34, TRANSPOSE(O1138:Q1138))/MMULT(O1138:Q1138, MMULT($AU$32:$AW$34,TRANSPOSE(O1138:Q1138))))</f>
        <v>0.19455260484375125</v>
      </c>
      <c r="T1138" s="36">
        <v>1.1030164096901762</v>
      </c>
      <c r="U1138" s="36">
        <v>0.57060346157577668</v>
      </c>
      <c r="V1138" s="35">
        <f t="shared" si="198"/>
        <v>5.7695923357612283E-3</v>
      </c>
      <c r="W1138" s="35">
        <f t="shared" si="199"/>
        <v>3.2710716100040484E-2</v>
      </c>
      <c r="X1138" s="35">
        <f t="shared" si="200"/>
        <v>1.6921641122771978E-2</v>
      </c>
      <c r="Y1138" s="32">
        <f t="shared" si="201"/>
        <v>-16869.134071298678</v>
      </c>
      <c r="Z1138" s="32">
        <f t="shared" si="194"/>
        <v>222975.86736753598</v>
      </c>
      <c r="AA1138" s="32">
        <f t="shared" si="195"/>
        <v>113388.53283547047</v>
      </c>
      <c r="AB1138" s="40">
        <f t="shared" si="202"/>
        <v>-5.2799323994818119E-2</v>
      </c>
      <c r="AC1138" s="40">
        <f t="shared" si="203"/>
        <v>0.6979003791424474</v>
      </c>
      <c r="AD1138" s="40">
        <f t="shared" si="204"/>
        <v>0.35489894485237078</v>
      </c>
      <c r="AE1138" s="40"/>
      <c r="AF1138" s="40"/>
      <c r="AG1138" s="40"/>
      <c r="AH1138" s="40"/>
      <c r="AI1138" s="40"/>
      <c r="AJ1138" s="40"/>
      <c r="AK1138" s="33">
        <f t="shared" si="196"/>
        <v>6816600</v>
      </c>
      <c r="AL1138" s="33">
        <f t="shared" si="197"/>
        <v>6700800</v>
      </c>
      <c r="AM1138" s="34"/>
      <c r="AN1138" s="33"/>
      <c r="AO1138" s="15" cm="1">
        <f t="array" ref="AO1138">SUMPRODUCT(I1138:K1138, TRANSPOSE($AY$5:$AY$7))</f>
        <v>-7.2041370873525959E-3</v>
      </c>
      <c r="AP1138" s="22">
        <f t="shared" si="205"/>
        <v>10773488.427578861</v>
      </c>
      <c r="AQ1138" s="22">
        <f t="shared" si="206"/>
        <v>-78176.884534534067</v>
      </c>
      <c r="AR1138">
        <f t="shared" si="207"/>
        <v>0</v>
      </c>
      <c r="AS1138">
        <f t="shared" si="208"/>
        <v>0</v>
      </c>
      <c r="BJ1138">
        <f t="shared" si="182"/>
        <v>1.799694214496492E-5</v>
      </c>
      <c r="BK1138">
        <f t="shared" si="184"/>
        <v>6.1132350690223575E-5</v>
      </c>
      <c r="BO1138">
        <f t="shared" si="185"/>
        <v>6.6307736361088249E-5</v>
      </c>
      <c r="BP1138">
        <f t="shared" si="183"/>
        <v>3.755955746751515</v>
      </c>
    </row>
    <row r="1139" spans="1:68" x14ac:dyDescent="0.15">
      <c r="A1139" s="5">
        <v>45229</v>
      </c>
      <c r="B1139" s="1"/>
      <c r="C1139">
        <v>97.7</v>
      </c>
      <c r="D1139">
        <v>98.18</v>
      </c>
      <c r="E1139">
        <v>84.63</v>
      </c>
      <c r="G1139" s="3">
        <v>5.66478791841773E-3</v>
      </c>
      <c r="I1139" s="15">
        <f t="shared" si="186"/>
        <v>2.4625487379438655E-3</v>
      </c>
      <c r="J1139" s="15">
        <f t="shared" si="187"/>
        <v>8.2152392688438214E-3</v>
      </c>
      <c r="K1139" s="15">
        <f t="shared" si="188"/>
        <v>1.0386819484240572E-2</v>
      </c>
      <c r="L1139" s="32">
        <f t="shared" si="189"/>
        <v>322463.87524281174</v>
      </c>
      <c r="M1139" s="15"/>
      <c r="N1139" s="32">
        <f t="shared" si="190"/>
        <v>-2931000</v>
      </c>
      <c r="O1139" s="34">
        <f t="shared" si="191"/>
        <v>-0.26880847672874736</v>
      </c>
      <c r="P1139" s="34">
        <f t="shared" si="192"/>
        <v>0.63030130916615124</v>
      </c>
      <c r="Q1139" s="34">
        <f t="shared" si="193"/>
        <v>0.62092832168007883</v>
      </c>
      <c r="R1139" s="35" cm="1">
        <f t="array" ref="R1139">SQRT(MMULT(O1139:Q1139, MMULT($AU$32:$AW$34,TRANSPOSE(O1139:Q1139))))</f>
        <v>1.2692649552595102E-2</v>
      </c>
      <c r="S1139" s="36" cm="1">
        <f t="array" ref="S1139:U1139">TRANSPOSE(MMULT($AU$32:$AW$34, TRANSPOSE(O1139:Q1139))/MMULT(O1139:Q1139, MMULT($AU$32:$AW$34,TRANSPOSE(O1139:Q1139))))</f>
        <v>0.19663246218783004</v>
      </c>
      <c r="T1139" s="36">
        <v>1.1057206940542785</v>
      </c>
      <c r="U1139" s="36">
        <v>0.57320508531256353</v>
      </c>
      <c r="V1139" s="35">
        <f t="shared" si="198"/>
        <v>5.8151835543887006E-3</v>
      </c>
      <c r="W1139" s="35">
        <f t="shared" si="199"/>
        <v>3.2700443885351822E-2</v>
      </c>
      <c r="X1139" s="35">
        <f t="shared" si="200"/>
        <v>1.6951894658255952E-2</v>
      </c>
      <c r="Y1139" s="32">
        <f t="shared" si="201"/>
        <v>-17044.302997913281</v>
      </c>
      <c r="Z1139" s="32">
        <f t="shared" si="194"/>
        <v>224737.07064646896</v>
      </c>
      <c r="AA1139" s="32">
        <f t="shared" si="195"/>
        <v>114771.1075942561</v>
      </c>
      <c r="AB1139" s="40">
        <f t="shared" si="202"/>
        <v>-5.2856472636133606E-2</v>
      </c>
      <c r="AC1139" s="40">
        <f t="shared" si="203"/>
        <v>0.69693720103451717</v>
      </c>
      <c r="AD1139" s="40">
        <f t="shared" si="204"/>
        <v>0.35591927160161652</v>
      </c>
      <c r="AE1139" s="40"/>
      <c r="AF1139" s="40"/>
      <c r="AG1139" s="40"/>
      <c r="AH1139" s="40"/>
      <c r="AI1139" s="40"/>
      <c r="AJ1139" s="40"/>
      <c r="AK1139" s="33">
        <f t="shared" si="196"/>
        <v>6872600.0000000009</v>
      </c>
      <c r="AL1139" s="33">
        <f t="shared" si="197"/>
        <v>6770400</v>
      </c>
      <c r="AM1139" s="34"/>
      <c r="AN1139" s="33"/>
      <c r="AO1139" s="15" cm="1">
        <f t="array" ref="AO1139">SUMPRODUCT(I1139:K1139, TRANSPOSE($AY$5:$AY$7))</f>
        <v>1.2083883338377607E-2</v>
      </c>
      <c r="AP1139" s="22">
        <f t="shared" si="205"/>
        <v>10903674.004885085</v>
      </c>
      <c r="AQ1139" s="22">
        <f t="shared" si="206"/>
        <v>130185.57730622403</v>
      </c>
      <c r="AR1139">
        <f t="shared" si="207"/>
        <v>0</v>
      </c>
      <c r="AS1139">
        <f t="shared" si="208"/>
        <v>0</v>
      </c>
      <c r="BJ1139">
        <f t="shared" si="182"/>
        <v>3.208982216065148E-5</v>
      </c>
      <c r="BK1139">
        <f t="shared" si="184"/>
        <v>5.8544226177508052E-5</v>
      </c>
      <c r="BO1139">
        <f t="shared" si="185"/>
        <v>6.051333702521568E-5</v>
      </c>
      <c r="BP1139">
        <f t="shared" si="183"/>
        <v>3.6722381609464945</v>
      </c>
    </row>
    <row r="1140" spans="1:68" x14ac:dyDescent="0.15">
      <c r="A1140" s="5">
        <v>45230</v>
      </c>
      <c r="B1140" s="1"/>
      <c r="C1140">
        <v>98.06</v>
      </c>
      <c r="D1140">
        <v>99.12</v>
      </c>
      <c r="E1140">
        <v>84.54</v>
      </c>
      <c r="G1140" s="3">
        <v>8.6414289608782691E-4</v>
      </c>
      <c r="I1140" s="15">
        <f t="shared" si="186"/>
        <v>3.6847492323439038E-3</v>
      </c>
      <c r="J1140" s="15">
        <f t="shared" si="187"/>
        <v>9.5742513750254402E-3</v>
      </c>
      <c r="K1140" s="15">
        <f t="shared" si="188"/>
        <v>-1.0634526763557747E-3</v>
      </c>
      <c r="L1140" s="32">
        <f t="shared" si="189"/>
        <v>324433.19182772108</v>
      </c>
      <c r="M1140" s="15"/>
      <c r="N1140" s="32">
        <f t="shared" si="190"/>
        <v>-2941800</v>
      </c>
      <c r="O1140" s="34">
        <f t="shared" si="191"/>
        <v>-0.2687088886382944</v>
      </c>
      <c r="P1140" s="34">
        <f t="shared" si="192"/>
        <v>0.63376495782444142</v>
      </c>
      <c r="Q1140" s="34">
        <f t="shared" si="193"/>
        <v>0.61776189939442283</v>
      </c>
      <c r="R1140" s="35" cm="1">
        <f t="array" ref="R1140">SQRT(MMULT(O1140:Q1140, MMULT($AU$32:$AW$34,TRANSPOSE(O1140:Q1140))))</f>
        <v>1.2718568908265487E-2</v>
      </c>
      <c r="S1140" s="36" cm="1">
        <f t="array" ref="S1140:U1140">TRANSPOSE(MMULT($AU$32:$AW$34, TRANSPOSE(O1140:Q1140))/MMULT(O1140:Q1140, MMULT($AU$32:$AW$34,TRANSPOSE(O1140:Q1140))))</f>
        <v>0.19560584962926594</v>
      </c>
      <c r="T1140" s="36">
        <v>1.1056340104037079</v>
      </c>
      <c r="U1140" s="36">
        <v>0.56955428756154169</v>
      </c>
      <c r="V1140" s="35">
        <f t="shared" si="198"/>
        <v>5.7966356922712521E-3</v>
      </c>
      <c r="W1140" s="35">
        <f t="shared" si="199"/>
        <v>3.2764651872334648E-2</v>
      </c>
      <c r="X1140" s="35">
        <f t="shared" si="200"/>
        <v>1.6878323006304395E-2</v>
      </c>
      <c r="Y1140" s="32">
        <f t="shared" si="201"/>
        <v>-17052.542879523571</v>
      </c>
      <c r="Z1140" s="32">
        <f t="shared" si="194"/>
        <v>227334.26055100671</v>
      </c>
      <c r="AA1140" s="32">
        <f t="shared" si="195"/>
        <v>114151.47415623791</v>
      </c>
      <c r="AB1140" s="40">
        <f t="shared" si="202"/>
        <v>-5.2561030465029392E-2</v>
      </c>
      <c r="AC1140" s="40">
        <f t="shared" si="203"/>
        <v>0.70071209197277395</v>
      </c>
      <c r="AD1140" s="40">
        <f t="shared" si="204"/>
        <v>0.35184893849225535</v>
      </c>
      <c r="AE1140" s="40"/>
      <c r="AF1140" s="40"/>
      <c r="AG1140" s="40"/>
      <c r="AH1140" s="40"/>
      <c r="AI1140" s="40"/>
      <c r="AJ1140" s="40"/>
      <c r="AK1140" s="33">
        <f t="shared" si="196"/>
        <v>6938400</v>
      </c>
      <c r="AL1140" s="33">
        <f t="shared" si="197"/>
        <v>6763200.0000000009</v>
      </c>
      <c r="AM1140" s="34"/>
      <c r="AN1140" s="33"/>
      <c r="AO1140" s="15" cm="1">
        <f t="array" ref="AO1140">SUMPRODUCT(I1140:K1140, TRANSPOSE($AY$5:$AY$7))</f>
        <v>4.0567318939496982E-3</v>
      </c>
      <c r="AP1140" s="22">
        <f t="shared" si="205"/>
        <v>10947907.286981933</v>
      </c>
      <c r="AQ1140" s="22">
        <f t="shared" si="206"/>
        <v>44233.282096847892</v>
      </c>
      <c r="AR1140">
        <f t="shared" si="207"/>
        <v>0</v>
      </c>
      <c r="AS1140">
        <f t="shared" si="208"/>
        <v>0</v>
      </c>
      <c r="BJ1140">
        <f t="shared" si="182"/>
        <v>7.4674294485905681E-7</v>
      </c>
      <c r="BK1140">
        <f t="shared" si="184"/>
        <v>5.6956961936496659E-5</v>
      </c>
      <c r="BO1140">
        <f t="shared" si="185"/>
        <v>5.7975443549685682E-5</v>
      </c>
      <c r="BP1140">
        <f t="shared" si="183"/>
        <v>3.952366813005451</v>
      </c>
    </row>
    <row r="1141" spans="1:68" x14ac:dyDescent="0.15">
      <c r="A1141" s="5">
        <v>45231</v>
      </c>
      <c r="B1141" s="1"/>
      <c r="C1141">
        <v>99.38</v>
      </c>
      <c r="D1141">
        <v>100.95</v>
      </c>
      <c r="E1141">
        <v>85.21</v>
      </c>
      <c r="G1141" s="3">
        <v>1.08482174075776E-2</v>
      </c>
      <c r="I1141" s="15">
        <f t="shared" si="186"/>
        <v>1.3461146236997687E-2</v>
      </c>
      <c r="J1141" s="15">
        <f t="shared" si="187"/>
        <v>1.8462469733656155E-2</v>
      </c>
      <c r="K1141" s="15">
        <f t="shared" si="188"/>
        <v>7.9252424887625676E-3</v>
      </c>
      <c r="L1141" s="32">
        <f t="shared" si="189"/>
        <v>329307.93741744186</v>
      </c>
      <c r="M1141" s="15"/>
      <c r="N1141" s="32">
        <f t="shared" si="190"/>
        <v>-2981400</v>
      </c>
      <c r="O1141" s="34">
        <f t="shared" si="191"/>
        <v>-0.26891913651969968</v>
      </c>
      <c r="P1141" s="34">
        <f t="shared" si="192"/>
        <v>0.63739084933804846</v>
      </c>
      <c r="Q1141" s="34">
        <f t="shared" si="193"/>
        <v>0.61486817261269489</v>
      </c>
      <c r="R1141" s="35" cm="1">
        <f t="array" ref="R1141">SQRT(MMULT(O1141:Q1141, MMULT($AU$32:$AW$34,TRANSPOSE(O1141:Q1141))))</f>
        <v>1.2748166843209265E-2</v>
      </c>
      <c r="S1141" s="36" cm="1">
        <f t="array" ref="S1141:U1141">TRANSPOSE(MMULT($AU$32:$AW$34, TRANSPOSE(O1141:Q1141))/MMULT(O1141:Q1141, MMULT($AU$32:$AW$34,TRANSPOSE(O1141:Q1141))))</f>
        <v>0.19437732207075001</v>
      </c>
      <c r="T1141" s="36">
        <v>1.1051543117341067</v>
      </c>
      <c r="U1141" s="36">
        <v>0.56574165276169464</v>
      </c>
      <c r="V1141" s="35">
        <f t="shared" si="198"/>
        <v>5.7736340602453553E-3</v>
      </c>
      <c r="W1141" s="35">
        <f t="shared" si="199"/>
        <v>3.2826651319604896E-2</v>
      </c>
      <c r="X1141" s="35">
        <f t="shared" si="200"/>
        <v>1.6804353722372576E-2</v>
      </c>
      <c r="Y1141" s="32">
        <f t="shared" si="201"/>
        <v>-17213.512587215504</v>
      </c>
      <c r="Z1141" s="32">
        <f t="shared" si="194"/>
        <v>231969.53154998799</v>
      </c>
      <c r="AA1141" s="32">
        <f t="shared" si="195"/>
        <v>114551.91845466936</v>
      </c>
      <c r="AB1141" s="40">
        <f t="shared" si="202"/>
        <v>-5.2271781610277658E-2</v>
      </c>
      <c r="AC1141" s="40">
        <f t="shared" si="203"/>
        <v>0.70441524540580869</v>
      </c>
      <c r="AD1141" s="40">
        <f t="shared" si="204"/>
        <v>0.34785653620446894</v>
      </c>
      <c r="AE1141" s="40"/>
      <c r="AF1141" s="40"/>
      <c r="AG1141" s="40"/>
      <c r="AH1141" s="40"/>
      <c r="AI1141" s="40"/>
      <c r="AJ1141" s="40"/>
      <c r="AK1141" s="33">
        <f t="shared" si="196"/>
        <v>7066500</v>
      </c>
      <c r="AL1141" s="33">
        <f t="shared" si="197"/>
        <v>6816799.9999999991</v>
      </c>
      <c r="AM1141" s="34"/>
      <c r="AN1141" s="33"/>
      <c r="AO1141" s="15" cm="1">
        <f t="array" ref="AO1141">SUMPRODUCT(I1141:K1141, TRANSPOSE($AY$5:$AY$7))</f>
        <v>1.2668796307422407E-2</v>
      </c>
      <c r="AP1141" s="22">
        <f t="shared" si="205"/>
        <v>11086604.094393251</v>
      </c>
      <c r="AQ1141" s="22">
        <f t="shared" si="206"/>
        <v>138696.80741131864</v>
      </c>
      <c r="AR1141">
        <f t="shared" si="207"/>
        <v>0</v>
      </c>
      <c r="AS1141">
        <f t="shared" si="208"/>
        <v>0</v>
      </c>
      <c r="BJ1141">
        <f t="shared" si="182"/>
        <v>1.1768382092206968E-4</v>
      </c>
      <c r="BK1141">
        <f t="shared" si="184"/>
        <v>5.3584348796998399E-5</v>
      </c>
      <c r="BO1141">
        <f t="shared" si="185"/>
        <v>5.1520886402718378E-5</v>
      </c>
      <c r="BP1141">
        <f t="shared" si="183"/>
        <v>2.8757249249948611</v>
      </c>
    </row>
    <row r="1142" spans="1:68" x14ac:dyDescent="0.15">
      <c r="A1142" s="5">
        <v>45232</v>
      </c>
      <c r="B1142" s="1"/>
      <c r="C1142">
        <v>100.52</v>
      </c>
      <c r="D1142">
        <v>100.4</v>
      </c>
      <c r="E1142">
        <v>84.66</v>
      </c>
      <c r="G1142" s="3">
        <v>8.3865591969280989E-3</v>
      </c>
      <c r="I1142" s="15">
        <f t="shared" si="186"/>
        <v>1.147112094988932E-2</v>
      </c>
      <c r="J1142" s="15">
        <f t="shared" si="187"/>
        <v>-5.4482417038137412E-3</v>
      </c>
      <c r="K1142" s="15">
        <f t="shared" si="188"/>
        <v>-6.4546414740053659E-3</v>
      </c>
      <c r="L1142" s="32">
        <f t="shared" si="189"/>
        <v>327110.12949785334</v>
      </c>
      <c r="M1142" s="15"/>
      <c r="N1142" s="32">
        <f t="shared" si="190"/>
        <v>-3015600</v>
      </c>
      <c r="O1142" s="34">
        <f t="shared" si="191"/>
        <v>-0.27554779375050231</v>
      </c>
      <c r="P1142" s="34">
        <f t="shared" si="192"/>
        <v>0.64217730948352902</v>
      </c>
      <c r="Q1142" s="34">
        <f t="shared" si="193"/>
        <v>0.61885863427291488</v>
      </c>
      <c r="R1142" s="35" cm="1">
        <f t="array" ref="R1142">SQRT(MMULT(O1142:Q1142, MMULT($AU$32:$AW$34,TRANSPOSE(O1142:Q1142))))</f>
        <v>1.2828068649115384E-2</v>
      </c>
      <c r="S1142" s="36" cm="1">
        <f t="array" ref="S1142:U1142">TRANSPOSE(MMULT($AU$32:$AW$34, TRANSPOSE(O1142:Q1142))/MMULT(O1142:Q1142, MMULT($AU$32:$AW$34,TRANSPOSE(O1142:Q1142))))</f>
        <v>0.18956923016200514</v>
      </c>
      <c r="T1142" s="36">
        <v>1.0982244267652479</v>
      </c>
      <c r="U1142" s="36">
        <v>0.56067824916523079</v>
      </c>
      <c r="V1142" s="35">
        <f t="shared" si="198"/>
        <v>5.6661105389881061E-3</v>
      </c>
      <c r="W1142" s="35">
        <f t="shared" si="199"/>
        <v>3.2825269129124382E-2</v>
      </c>
      <c r="X1142" s="35">
        <f t="shared" si="200"/>
        <v>1.6758336433932746E-2</v>
      </c>
      <c r="Y1142" s="32">
        <f t="shared" si="201"/>
        <v>-17086.722941372533</v>
      </c>
      <c r="Z1142" s="32">
        <f t="shared" si="194"/>
        <v>230695.99143948616</v>
      </c>
      <c r="AA1142" s="32">
        <f t="shared" si="195"/>
        <v>113500.8609997397</v>
      </c>
      <c r="AB1142" s="40">
        <f t="shared" si="202"/>
        <v>-5.2235383134121696E-2</v>
      </c>
      <c r="AC1142" s="40">
        <f t="shared" si="203"/>
        <v>0.7052548075891979</v>
      </c>
      <c r="AD1142" s="40">
        <f t="shared" si="204"/>
        <v>0.34698057554492379</v>
      </c>
      <c r="AE1142" s="40"/>
      <c r="AF1142" s="40"/>
      <c r="AG1142" s="40"/>
      <c r="AH1142" s="40"/>
      <c r="AI1142" s="40"/>
      <c r="AJ1142" s="40"/>
      <c r="AK1142" s="33">
        <f t="shared" si="196"/>
        <v>7028000</v>
      </c>
      <c r="AL1142" s="33">
        <f t="shared" si="197"/>
        <v>6772800</v>
      </c>
      <c r="AM1142" s="34"/>
      <c r="AN1142" s="33"/>
      <c r="AO1142" s="15" cm="1">
        <f t="array" ref="AO1142">SUMPRODUCT(I1142:K1142, TRANSPOSE($AY$5:$AY$7))</f>
        <v>-1.286112017740991E-2</v>
      </c>
      <c r="AP1142" s="22">
        <f t="shared" si="205"/>
        <v>10944017.946775895</v>
      </c>
      <c r="AQ1142" s="22">
        <f t="shared" si="206"/>
        <v>-142586.14761735685</v>
      </c>
      <c r="AR1142">
        <f t="shared" si="207"/>
        <v>0</v>
      </c>
      <c r="AS1142">
        <f t="shared" si="208"/>
        <v>0</v>
      </c>
      <c r="BJ1142">
        <f t="shared" si="182"/>
        <v>7.0334375163579274E-5</v>
      </c>
      <c r="BK1142">
        <f t="shared" si="184"/>
        <v>5.7430317124502681E-5</v>
      </c>
      <c r="BO1142">
        <f t="shared" si="185"/>
        <v>6.3112269214426889E-5</v>
      </c>
      <c r="BP1142">
        <f t="shared" si="183"/>
        <v>3.3591428113061133</v>
      </c>
    </row>
    <row r="1143" spans="1:68" x14ac:dyDescent="0.15">
      <c r="A1143" s="5">
        <v>45233</v>
      </c>
      <c r="B1143" s="1"/>
      <c r="C1143">
        <v>99.75</v>
      </c>
      <c r="D1143">
        <v>99.26</v>
      </c>
      <c r="E1143">
        <v>83.34</v>
      </c>
      <c r="G1143" s="3">
        <v>-1.1619935344675499E-3</v>
      </c>
      <c r="I1143" s="15">
        <f t="shared" si="186"/>
        <v>-7.6601671309191807E-3</v>
      </c>
      <c r="J1143" s="15">
        <f t="shared" si="187"/>
        <v>-1.1354581673306777E-2</v>
      </c>
      <c r="K1143" s="15">
        <f t="shared" si="188"/>
        <v>-1.559177888022671E-2</v>
      </c>
      <c r="L1143" s="32">
        <f t="shared" si="189"/>
        <v>322852.75559148617</v>
      </c>
      <c r="M1143" s="15"/>
      <c r="N1143" s="32">
        <f t="shared" si="190"/>
        <v>-2992500</v>
      </c>
      <c r="O1143" s="34">
        <f t="shared" si="191"/>
        <v>-0.27786453605256506</v>
      </c>
      <c r="P1143" s="34">
        <f t="shared" si="192"/>
        <v>0.64516570406029483</v>
      </c>
      <c r="Q1143" s="34">
        <f t="shared" si="193"/>
        <v>0.61907382949696299</v>
      </c>
      <c r="R1143" s="35" cm="1">
        <f t="array" ref="R1143">SQRT(MMULT(O1143:Q1143, MMULT($AU$32:$AW$34,TRANSPOSE(O1143:Q1143))))</f>
        <v>1.2866118249231158E-2</v>
      </c>
      <c r="S1143" s="36" cm="1">
        <f t="array" ref="S1143:U1143">TRANSPOSE(MMULT($AU$32:$AW$34, TRANSPOSE(O1143:Q1143))/MMULT(O1143:Q1143, MMULT($AU$32:$AW$34,TRANSPOSE(O1143:Q1143))))</f>
        <v>0.18751336138423488</v>
      </c>
      <c r="T1143" s="36">
        <v>1.0957350225299654</v>
      </c>
      <c r="U1143" s="36">
        <v>0.55756299078430449</v>
      </c>
      <c r="V1143" s="35">
        <f t="shared" si="198"/>
        <v>5.621285958451289E-3</v>
      </c>
      <c r="W1143" s="35">
        <f t="shared" si="199"/>
        <v>3.2848005341388188E-2</v>
      </c>
      <c r="X1143" s="35">
        <f t="shared" si="200"/>
        <v>1.6714654294024217E-2</v>
      </c>
      <c r="Y1143" s="32">
        <f t="shared" si="201"/>
        <v>-16821.698230665483</v>
      </c>
      <c r="Z1143" s="32">
        <f t="shared" si="194"/>
        <v>228234.51071303341</v>
      </c>
      <c r="AA1143" s="32">
        <f t="shared" si="195"/>
        <v>111439.94310911826</v>
      </c>
      <c r="AB1143" s="40">
        <f t="shared" si="202"/>
        <v>-5.2103313164687394E-2</v>
      </c>
      <c r="AC1143" s="40">
        <f t="shared" si="203"/>
        <v>0.70693065727406812</v>
      </c>
      <c r="AD1143" s="40">
        <f t="shared" si="204"/>
        <v>0.3451726558906193</v>
      </c>
      <c r="AE1143" s="40"/>
      <c r="AF1143" s="40"/>
      <c r="AG1143" s="40"/>
      <c r="AH1143" s="40"/>
      <c r="AI1143" s="40"/>
      <c r="AJ1143" s="40"/>
      <c r="AK1143" s="33">
        <f t="shared" si="196"/>
        <v>6948200</v>
      </c>
      <c r="AL1143" s="33">
        <f t="shared" si="197"/>
        <v>6667200</v>
      </c>
      <c r="AM1143" s="34"/>
      <c r="AN1143" s="33"/>
      <c r="AO1143" s="15" cm="1">
        <f t="array" ref="AO1143">SUMPRODUCT(I1143:K1143, TRANSPOSE($AY$5:$AY$7))</f>
        <v>-1.5933967384416641E-2</v>
      </c>
      <c r="AP1143" s="22">
        <f t="shared" si="205"/>
        <v>10769636.321757497</v>
      </c>
      <c r="AQ1143" s="22">
        <f t="shared" si="206"/>
        <v>-174381.62501839735</v>
      </c>
      <c r="AR1143">
        <f t="shared" si="207"/>
        <v>0</v>
      </c>
      <c r="AS1143">
        <f t="shared" si="208"/>
        <v>0</v>
      </c>
      <c r="BJ1143">
        <f t="shared" si="182"/>
        <v>1.3502289741443891E-6</v>
      </c>
      <c r="BK1143">
        <f t="shared" si="184"/>
        <v>5.8204560606847274E-5</v>
      </c>
      <c r="BO1143">
        <f t="shared" si="185"/>
        <v>6.5460787370624836E-5</v>
      </c>
      <c r="BP1143">
        <f t="shared" si="183"/>
        <v>3.8877778315334224</v>
      </c>
    </row>
    <row r="1144" spans="1:68" x14ac:dyDescent="0.15">
      <c r="A1144" s="5">
        <v>45236</v>
      </c>
      <c r="B1144" s="1"/>
      <c r="C1144">
        <v>99.87</v>
      </c>
      <c r="D1144">
        <v>99.1</v>
      </c>
      <c r="E1144">
        <v>84.24</v>
      </c>
      <c r="G1144" s="3">
        <v>-2.7577402293432697E-4</v>
      </c>
      <c r="I1144" s="15">
        <f t="shared" si="186"/>
        <v>1.2030075187970382E-3</v>
      </c>
      <c r="J1144" s="15">
        <f t="shared" si="187"/>
        <v>-1.6119282691921296E-3</v>
      </c>
      <c r="K1144" s="15">
        <f t="shared" si="188"/>
        <v>1.0799136069114368E-2</v>
      </c>
      <c r="L1144" s="32">
        <f t="shared" si="189"/>
        <v>323671.81564985466</v>
      </c>
      <c r="M1144" s="15"/>
      <c r="N1144" s="32">
        <f t="shared" si="190"/>
        <v>-2996100</v>
      </c>
      <c r="O1144" s="34">
        <f t="shared" si="191"/>
        <v>-0.27642284994855637</v>
      </c>
      <c r="P1144" s="34">
        <f t="shared" si="192"/>
        <v>0.6400137879553871</v>
      </c>
      <c r="Q1144" s="34">
        <f t="shared" si="193"/>
        <v>0.62176458408374591</v>
      </c>
      <c r="R1144" s="35" cm="1">
        <f t="array" ref="R1144">SQRT(MMULT(O1144:Q1144, MMULT($AU$32:$AW$34,TRANSPOSE(O1144:Q1144))))</f>
        <v>1.2816416094851284E-2</v>
      </c>
      <c r="S1144" s="36" cm="1">
        <f t="array" ref="S1144:U1144">TRANSPOSE(MMULT($AU$32:$AW$34, TRANSPOSE(O1144:Q1144))/MMULT(O1144:Q1144, MMULT($AU$32:$AW$34,TRANSPOSE(O1144:Q1144))))</f>
        <v>0.18977248840741964</v>
      </c>
      <c r="T1144" s="36">
        <v>1.0975783837573878</v>
      </c>
      <c r="U1144" s="36">
        <v>0.56290139721716659</v>
      </c>
      <c r="V1144" s="35">
        <f t="shared" si="198"/>
        <v>5.6670333972486586E-3</v>
      </c>
      <c r="W1144" s="35">
        <f t="shared" si="199"/>
        <v>3.2776159542671275E-2</v>
      </c>
      <c r="X1144" s="35">
        <f t="shared" si="200"/>
        <v>1.6809501968162503E-2</v>
      </c>
      <c r="Y1144" s="32">
        <f t="shared" si="201"/>
        <v>-16978.998761496707</v>
      </c>
      <c r="Z1144" s="32">
        <f t="shared" si="194"/>
        <v>227368.21874751063</v>
      </c>
      <c r="AA1144" s="32">
        <f t="shared" si="195"/>
        <v>113282.59566384074</v>
      </c>
      <c r="AB1144" s="40">
        <f t="shared" si="202"/>
        <v>-5.2457452087408311E-2</v>
      </c>
      <c r="AC1144" s="40">
        <f t="shared" si="203"/>
        <v>0.70246529896651733</v>
      </c>
      <c r="AD1144" s="40">
        <f t="shared" si="204"/>
        <v>0.34999215312089099</v>
      </c>
      <c r="AE1144" s="40"/>
      <c r="AF1144" s="40"/>
      <c r="AG1144" s="40"/>
      <c r="AH1144" s="40"/>
      <c r="AI1144" s="40"/>
      <c r="AJ1144" s="40"/>
      <c r="AK1144" s="33">
        <f t="shared" si="196"/>
        <v>6937000</v>
      </c>
      <c r="AL1144" s="33">
        <f t="shared" si="197"/>
        <v>6739200</v>
      </c>
      <c r="AM1144" s="34"/>
      <c r="AN1144" s="33"/>
      <c r="AO1144" s="15" cm="1">
        <f t="array" ref="AO1144">SUMPRODUCT(I1144:K1144, TRANSPOSE($AY$5:$AY$7))</f>
        <v>6.4247916929351806E-3</v>
      </c>
      <c r="AP1144" s="22">
        <f t="shared" si="205"/>
        <v>10838828.991733458</v>
      </c>
      <c r="AQ1144" s="22">
        <f t="shared" si="206"/>
        <v>69192.669975960627</v>
      </c>
      <c r="AR1144">
        <f t="shared" si="207"/>
        <v>0</v>
      </c>
      <c r="AS1144">
        <f t="shared" si="208"/>
        <v>0</v>
      </c>
      <c r="BJ1144">
        <f t="shared" si="182"/>
        <v>7.6051311725382698E-8</v>
      </c>
      <c r="BK1144">
        <f t="shared" si="184"/>
        <v>5.4793300708885095E-5</v>
      </c>
      <c r="BO1144">
        <f t="shared" si="185"/>
        <v>5.7478180143452626E-5</v>
      </c>
      <c r="BP1144">
        <f t="shared" si="183"/>
        <v>3.9624524789657043</v>
      </c>
    </row>
    <row r="1145" spans="1:68" x14ac:dyDescent="0.15">
      <c r="A1145" s="5">
        <v>45237</v>
      </c>
      <c r="B1145" s="1"/>
      <c r="C1145">
        <v>99.62</v>
      </c>
      <c r="D1145">
        <v>98.84</v>
      </c>
      <c r="E1145">
        <v>84.18</v>
      </c>
      <c r="G1145" s="3">
        <v>-5.4094184247954703E-4</v>
      </c>
      <c r="I1145" s="15">
        <f t="shared" si="186"/>
        <v>-2.5032542304996496E-3</v>
      </c>
      <c r="J1145" s="15">
        <f t="shared" si="187"/>
        <v>-2.62361251261343E-3</v>
      </c>
      <c r="K1145" s="15">
        <f t="shared" si="188"/>
        <v>-7.1225071225057058E-4</v>
      </c>
      <c r="L1145" s="32">
        <f t="shared" si="189"/>
        <v>323037.20440185699</v>
      </c>
      <c r="M1145" s="15"/>
      <c r="N1145" s="32">
        <f t="shared" si="190"/>
        <v>-2988600</v>
      </c>
      <c r="O1145" s="34">
        <f t="shared" si="191"/>
        <v>-0.27607942845875744</v>
      </c>
      <c r="P1145" s="34">
        <f t="shared" si="192"/>
        <v>0.63914152098656585</v>
      </c>
      <c r="Q1145" s="34">
        <f t="shared" si="193"/>
        <v>0.6221071080146745</v>
      </c>
      <c r="R1145" s="35" cm="1">
        <f t="array" ref="R1145">SQRT(MMULT(O1145:Q1145, MMULT($AU$32:$AW$34,TRANSPOSE(O1145:Q1145))))</f>
        <v>1.2807456139076629E-2</v>
      </c>
      <c r="S1145" s="36" cm="1">
        <f t="array" ref="S1145:U1145">TRANSPOSE(MMULT($AU$32:$AW$34, TRANSPOSE(O1145:Q1145))/MMULT(O1145:Q1145, MMULT($AU$32:$AW$34,TRANSPOSE(O1145:Q1145))))</f>
        <v>0.19020855505698314</v>
      </c>
      <c r="T1145" s="36">
        <v>1.0979747575142549</v>
      </c>
      <c r="U1145" s="36">
        <v>0.56381193547993957</v>
      </c>
      <c r="V1145" s="35">
        <f t="shared" si="198"/>
        <v>5.6760844019748263E-3</v>
      </c>
      <c r="W1145" s="35">
        <f t="shared" si="199"/>
        <v>3.2765074068417679E-2</v>
      </c>
      <c r="X1145" s="35">
        <f t="shared" si="200"/>
        <v>1.682492215802904E-2</v>
      </c>
      <c r="Y1145" s="32">
        <f t="shared" si="201"/>
        <v>-16963.545843741966</v>
      </c>
      <c r="Z1145" s="32">
        <f t="shared" si="194"/>
        <v>226694.99446456824</v>
      </c>
      <c r="AA1145" s="32">
        <f t="shared" si="195"/>
        <v>113305.75578103079</v>
      </c>
      <c r="AB1145" s="40">
        <f t="shared" si="202"/>
        <v>-5.2512669168097999E-2</v>
      </c>
      <c r="AC1145" s="40">
        <f t="shared" si="203"/>
        <v>0.70176125652251675</v>
      </c>
      <c r="AD1145" s="40">
        <f t="shared" si="204"/>
        <v>0.35075141264558146</v>
      </c>
      <c r="AE1145" s="40"/>
      <c r="AF1145" s="40"/>
      <c r="AG1145" s="40"/>
      <c r="AH1145" s="40"/>
      <c r="AI1145" s="40"/>
      <c r="AJ1145" s="40"/>
      <c r="AK1145" s="33">
        <f t="shared" si="196"/>
        <v>6918800</v>
      </c>
      <c r="AL1145" s="33">
        <f t="shared" si="197"/>
        <v>6734400.0000000009</v>
      </c>
      <c r="AM1145" s="34"/>
      <c r="AN1145" s="33"/>
      <c r="AO1145" s="15" cm="1">
        <f t="array" ref="AO1145">SUMPRODUCT(I1145:K1145, TRANSPOSE($AY$5:$AY$7))</f>
        <v>-1.2624453067268089E-3</v>
      </c>
      <c r="AP1145" s="22">
        <f t="shared" si="205"/>
        <v>10825145.56294243</v>
      </c>
      <c r="AQ1145" s="22">
        <f t="shared" si="206"/>
        <v>-13683.428791027516</v>
      </c>
      <c r="AR1145">
        <f t="shared" si="207"/>
        <v>0</v>
      </c>
      <c r="AS1145">
        <f t="shared" si="208"/>
        <v>0</v>
      </c>
      <c r="BJ1145">
        <f t="shared" si="182"/>
        <v>2.9261807694516705E-7</v>
      </c>
      <c r="BK1145">
        <f t="shared" si="184"/>
        <v>5.1510265745055511E-5</v>
      </c>
      <c r="BO1145">
        <f t="shared" si="185"/>
        <v>5.1035323490354358E-5</v>
      </c>
      <c r="BP1145">
        <f t="shared" si="183"/>
        <v>4.0196909214937264</v>
      </c>
    </row>
    <row r="1146" spans="1:68" x14ac:dyDescent="0.15">
      <c r="A1146" s="5">
        <v>45238</v>
      </c>
      <c r="B1146" s="1"/>
      <c r="C1146">
        <v>99.07</v>
      </c>
      <c r="D1146">
        <v>98.7</v>
      </c>
      <c r="E1146">
        <v>84.88</v>
      </c>
      <c r="G1146" s="3">
        <v>2.2730268000585798E-3</v>
      </c>
      <c r="I1146" s="15">
        <f t="shared" si="186"/>
        <v>-5.5209797229473136E-3</v>
      </c>
      <c r="J1146" s="15">
        <f t="shared" si="187"/>
        <v>-1.4164305949008556E-3</v>
      </c>
      <c r="K1146" s="15">
        <f t="shared" si="188"/>
        <v>8.3155143739604247E-3</v>
      </c>
      <c r="L1146" s="32">
        <f t="shared" si="189"/>
        <v>323755.32997428748</v>
      </c>
      <c r="M1146" s="15"/>
      <c r="N1146" s="32">
        <f t="shared" si="190"/>
        <v>-2972100</v>
      </c>
      <c r="O1146" s="34">
        <f t="shared" si="191"/>
        <v>-0.27254540779889758</v>
      </c>
      <c r="P1146" s="34">
        <f t="shared" si="192"/>
        <v>0.63356422142006774</v>
      </c>
      <c r="Q1146" s="34">
        <f t="shared" si="193"/>
        <v>0.62268844827483394</v>
      </c>
      <c r="R1146" s="35" cm="1">
        <f t="array" ref="R1146">SQRT(MMULT(O1146:Q1146, MMULT($AU$32:$AW$34,TRANSPOSE(O1146:Q1146))))</f>
        <v>1.2741966444573854E-2</v>
      </c>
      <c r="S1146" s="36" cm="1">
        <f t="array" ref="S1146:U1146">TRANSPOSE(MMULT($AU$32:$AW$34, TRANSPOSE(O1146:Q1146))/MMULT(O1146:Q1146, MMULT($AU$32:$AW$34,TRANSPOSE(O1146:Q1146))))</f>
        <v>0.19370599787399917</v>
      </c>
      <c r="T1146" s="36">
        <v>1.1017813878554765</v>
      </c>
      <c r="U1146" s="36">
        <v>0.56969807934402594</v>
      </c>
      <c r="V1146" s="35">
        <f t="shared" si="198"/>
        <v>5.7508951073040361E-3</v>
      </c>
      <c r="W1146" s="35">
        <f t="shared" si="199"/>
        <v>3.2710547232813442E-2</v>
      </c>
      <c r="X1146" s="35">
        <f t="shared" si="200"/>
        <v>1.691364197855762E-2</v>
      </c>
      <c r="Y1146" s="32">
        <f t="shared" si="201"/>
        <v>-17092.235348418326</v>
      </c>
      <c r="Z1146" s="32">
        <f t="shared" si="194"/>
        <v>225997.17083150806</v>
      </c>
      <c r="AA1146" s="32">
        <f t="shared" si="195"/>
        <v>114850.39449119767</v>
      </c>
      <c r="AB1146" s="40">
        <f t="shared" si="202"/>
        <v>-5.2793680183661484E-2</v>
      </c>
      <c r="AC1146" s="40">
        <f t="shared" si="203"/>
        <v>0.69804926717177651</v>
      </c>
      <c r="AD1146" s="40">
        <f t="shared" si="204"/>
        <v>0.35474441301188475</v>
      </c>
      <c r="AE1146" s="40"/>
      <c r="AF1146" s="40"/>
      <c r="AG1146" s="40"/>
      <c r="AH1146" s="40"/>
      <c r="AI1146" s="40"/>
      <c r="AJ1146" s="40"/>
      <c r="AK1146" s="33">
        <f t="shared" si="196"/>
        <v>6909000</v>
      </c>
      <c r="AL1146" s="33">
        <f t="shared" si="197"/>
        <v>6790400</v>
      </c>
      <c r="AM1146" s="34"/>
      <c r="AN1146" s="33"/>
      <c r="AO1146" s="15" cm="1">
        <f t="array" ref="AO1146">SUMPRODUCT(I1146:K1146, TRANSPOSE($AY$5:$AY$7))</f>
        <v>7.3741537223005645E-3</v>
      </c>
      <c r="AP1146" s="22">
        <f t="shared" si="205"/>
        <v>10904971.850389849</v>
      </c>
      <c r="AQ1146" s="22">
        <f t="shared" si="206"/>
        <v>79826.287447419018</v>
      </c>
      <c r="AR1146">
        <f t="shared" si="207"/>
        <v>0</v>
      </c>
      <c r="AS1146">
        <f t="shared" si="208"/>
        <v>0</v>
      </c>
      <c r="BJ1146">
        <f t="shared" si="182"/>
        <v>5.1666508337845463E-6</v>
      </c>
      <c r="BK1146">
        <f t="shared" si="184"/>
        <v>4.8437206884968884E-5</v>
      </c>
      <c r="BO1146">
        <f t="shared" si="185"/>
        <v>4.6012526677038739E-5</v>
      </c>
      <c r="BP1146">
        <f t="shared" si="183"/>
        <v>4.018215947413144</v>
      </c>
    </row>
    <row r="1147" spans="1:68" x14ac:dyDescent="0.15">
      <c r="A1147" s="5">
        <v>45239</v>
      </c>
      <c r="B1147" s="1"/>
      <c r="C1147">
        <v>99.91</v>
      </c>
      <c r="D1147">
        <v>98.36</v>
      </c>
      <c r="E1147">
        <v>84.3</v>
      </c>
      <c r="G1147" s="3">
        <v>4.7124540821983302E-3</v>
      </c>
      <c r="I1147" s="15">
        <f t="shared" si="186"/>
        <v>8.4788533360250686E-3</v>
      </c>
      <c r="J1147" s="15">
        <f t="shared" si="187"/>
        <v>-3.4447821681864578E-3</v>
      </c>
      <c r="K1147" s="15">
        <f t="shared" si="188"/>
        <v>-6.8331762488218466E-3</v>
      </c>
      <c r="L1147" s="32">
        <f t="shared" si="189"/>
        <v>322049.33569821116</v>
      </c>
      <c r="M1147" s="15"/>
      <c r="N1147" s="32">
        <f t="shared" si="190"/>
        <v>-2997300</v>
      </c>
      <c r="O1147" s="34">
        <f t="shared" si="191"/>
        <v>-0.27781314210299035</v>
      </c>
      <c r="P1147" s="34">
        <f t="shared" si="192"/>
        <v>0.63817403863727662</v>
      </c>
      <c r="Q1147" s="34">
        <f t="shared" si="193"/>
        <v>0.62508652131670739</v>
      </c>
      <c r="R1147" s="35" cm="1">
        <f t="array" ref="R1147">SQRT(MMULT(O1147:Q1147, MMULT($AU$32:$AW$34,TRANSPOSE(O1147:Q1147))))</f>
        <v>1.2811177822916272E-2</v>
      </c>
      <c r="S1147" s="36" cm="1">
        <f t="array" ref="S1147:U1147">TRANSPOSE(MMULT($AU$32:$AW$34, TRANSPOSE(O1147:Q1147))/MMULT(O1147:Q1147, MMULT($AU$32:$AW$34,TRANSPOSE(O1147:Q1147))))</f>
        <v>0.18962718756244198</v>
      </c>
      <c r="T1147" s="36">
        <v>1.096318269879619</v>
      </c>
      <c r="U1147" s="36">
        <v>0.56478432160128988</v>
      </c>
      <c r="V1147" s="35">
        <f t="shared" si="198"/>
        <v>5.6603799544181228E-3</v>
      </c>
      <c r="W1147" s="35">
        <f t="shared" si="199"/>
        <v>3.2725148952839532E-2</v>
      </c>
      <c r="X1147" s="35">
        <f t="shared" si="200"/>
        <v>1.6858837035216168E-2</v>
      </c>
      <c r="Y1147" s="32">
        <f t="shared" si="201"/>
        <v>-16965.85683737744</v>
      </c>
      <c r="Z1147" s="32">
        <f t="shared" si="194"/>
        <v>225319.19557009076</v>
      </c>
      <c r="AA1147" s="32">
        <f t="shared" si="195"/>
        <v>113695.99696549783</v>
      </c>
      <c r="AB1147" s="40">
        <f t="shared" si="202"/>
        <v>-5.2680924804875101E-2</v>
      </c>
      <c r="AC1147" s="40">
        <f t="shared" si="203"/>
        <v>0.69964185792090827</v>
      </c>
      <c r="AD1147" s="40">
        <f t="shared" si="204"/>
        <v>0.35303906688396675</v>
      </c>
      <c r="AE1147" s="40"/>
      <c r="AF1147" s="40"/>
      <c r="AG1147" s="40"/>
      <c r="AH1147" s="40"/>
      <c r="AI1147" s="40"/>
      <c r="AJ1147" s="40"/>
      <c r="AK1147" s="33">
        <f t="shared" si="196"/>
        <v>6885200</v>
      </c>
      <c r="AL1147" s="33">
        <f t="shared" si="197"/>
        <v>6744000</v>
      </c>
      <c r="AM1147" s="34"/>
      <c r="AN1147" s="33"/>
      <c r="AO1147" s="15" cm="1">
        <f t="array" ref="AO1147">SUMPRODUCT(I1147:K1147, TRANSPOSE($AY$5:$AY$7))</f>
        <v>-1.0643347328985085E-2</v>
      </c>
      <c r="AP1147" s="22">
        <f t="shared" si="205"/>
        <v>10788906.447373345</v>
      </c>
      <c r="AQ1147" s="22">
        <f t="shared" si="206"/>
        <v>-116065.4030165039</v>
      </c>
      <c r="AR1147">
        <f t="shared" si="207"/>
        <v>0</v>
      </c>
      <c r="AS1147">
        <f t="shared" si="208"/>
        <v>0</v>
      </c>
      <c r="BJ1147">
        <f t="shared" si="182"/>
        <v>2.2207223476827707E-5</v>
      </c>
      <c r="BK1147">
        <f t="shared" si="184"/>
        <v>4.5840973521897822E-5</v>
      </c>
      <c r="BO1147">
        <f t="shared" si="185"/>
        <v>4.2766911909735146E-5</v>
      </c>
      <c r="BP1147">
        <f t="shared" si="183"/>
        <v>3.8513034892129969</v>
      </c>
    </row>
    <row r="1148" spans="1:68" x14ac:dyDescent="0.15">
      <c r="A1148" s="5">
        <v>45240</v>
      </c>
      <c r="B1148" s="1"/>
      <c r="C1148">
        <v>99.38</v>
      </c>
      <c r="D1148">
        <v>97.96</v>
      </c>
      <c r="E1148">
        <v>83.86</v>
      </c>
      <c r="G1148" s="3">
        <v>-8.4204990862148891E-3</v>
      </c>
      <c r="I1148" s="15">
        <f t="shared" si="186"/>
        <v>-5.3047742968671922E-3</v>
      </c>
      <c r="J1148" s="15">
        <f t="shared" si="187"/>
        <v>-4.0666937779585775E-3</v>
      </c>
      <c r="K1148" s="15">
        <f t="shared" si="188"/>
        <v>-5.219454329774588E-3</v>
      </c>
      <c r="L1148" s="32">
        <f t="shared" si="189"/>
        <v>320629.62965097488</v>
      </c>
      <c r="M1148" s="15"/>
      <c r="N1148" s="32">
        <f t="shared" si="190"/>
        <v>-2981400</v>
      </c>
      <c r="O1148" s="34">
        <f t="shared" si="191"/>
        <v>-0.27756850204402234</v>
      </c>
      <c r="P1148" s="34">
        <f t="shared" si="192"/>
        <v>0.63840569270016434</v>
      </c>
      <c r="Q1148" s="34">
        <f t="shared" si="193"/>
        <v>0.62458964463437883</v>
      </c>
      <c r="R1148" s="35" cm="1">
        <f t="array" ref="R1148">SQRT(MMULT(O1148:Q1148, MMULT($AU$32:$AW$34,TRANSPOSE(O1148:Q1148))))</f>
        <v>1.2811431737019988E-2</v>
      </c>
      <c r="S1148" s="36" cm="1">
        <f t="array" ref="S1148:U1148">TRANSPOSE(MMULT($AU$32:$AW$34, TRANSPOSE(O1148:Q1148))/MMULT(O1148:Q1148, MMULT($AU$32:$AW$34,TRANSPOSE(O1148:Q1148))))</f>
        <v>0.1896818762570929</v>
      </c>
      <c r="T1148" s="36">
        <v>1.0965405931620726</v>
      </c>
      <c r="U1148" s="36">
        <v>0.56454979735136357</v>
      </c>
      <c r="V1148" s="35">
        <f t="shared" si="198"/>
        <v>5.6621246339430501E-3</v>
      </c>
      <c r="W1148" s="35">
        <f t="shared" si="199"/>
        <v>3.273243404786981E-2</v>
      </c>
      <c r="X1148" s="35">
        <f t="shared" si="200"/>
        <v>1.6852170474833027E-2</v>
      </c>
      <c r="Y1148" s="32">
        <f t="shared" si="201"/>
        <v>-16881.05838363781</v>
      </c>
      <c r="Z1148" s="32">
        <f t="shared" si="194"/>
        <v>224452.84675305287</v>
      </c>
      <c r="AA1148" s="32">
        <f t="shared" si="195"/>
        <v>113057.84128155981</v>
      </c>
      <c r="AB1148" s="40">
        <f t="shared" si="202"/>
        <v>-5.264971425758088E-2</v>
      </c>
      <c r="AC1148" s="40">
        <f t="shared" si="203"/>
        <v>0.70003775695148207</v>
      </c>
      <c r="AD1148" s="40">
        <f t="shared" si="204"/>
        <v>0.35261195730609879</v>
      </c>
      <c r="AE1148" s="40"/>
      <c r="AF1148" s="40"/>
      <c r="AG1148" s="40"/>
      <c r="AH1148" s="40"/>
      <c r="AI1148" s="40"/>
      <c r="AJ1148" s="40"/>
      <c r="AK1148" s="33">
        <f t="shared" si="196"/>
        <v>6857200</v>
      </c>
      <c r="AL1148" s="33">
        <f t="shared" si="197"/>
        <v>6708800</v>
      </c>
      <c r="AM1148" s="34"/>
      <c r="AN1148" s="33"/>
      <c r="AO1148" s="15" cm="1">
        <f t="array" ref="AO1148">SUMPRODUCT(I1148:K1148, TRANSPOSE($AY$5:$AY$7))</f>
        <v>-4.4280815277696626E-3</v>
      </c>
      <c r="AP1148" s="22">
        <f t="shared" si="205"/>
        <v>10741132.290028896</v>
      </c>
      <c r="AQ1148" s="22">
        <f t="shared" si="206"/>
        <v>-47774.157344449311</v>
      </c>
      <c r="AR1148">
        <f t="shared" si="207"/>
        <v>0</v>
      </c>
      <c r="AS1148">
        <f t="shared" si="208"/>
        <v>0</v>
      </c>
      <c r="BJ1148">
        <f t="shared" si="182"/>
        <v>7.0904804860945779E-5</v>
      </c>
      <c r="BK1148">
        <f t="shared" si="184"/>
        <v>4.4422948519193611E-5</v>
      </c>
      <c r="BO1148">
        <f t="shared" si="185"/>
        <v>4.2648042004665129E-5</v>
      </c>
      <c r="BP1148">
        <f t="shared" si="183"/>
        <v>3.2810475156116334</v>
      </c>
    </row>
    <row r="1149" spans="1:68" x14ac:dyDescent="0.15">
      <c r="A1149" s="5">
        <v>45243</v>
      </c>
      <c r="B1149" s="1"/>
      <c r="C1149">
        <v>98.9</v>
      </c>
      <c r="D1149">
        <v>99.2</v>
      </c>
      <c r="E1149">
        <v>84.62</v>
      </c>
      <c r="G1149" s="3">
        <v>3.31957042098718E-3</v>
      </c>
      <c r="I1149" s="15">
        <f t="shared" si="186"/>
        <v>-4.829945663111187E-3</v>
      </c>
      <c r="J1149" s="15">
        <f t="shared" si="187"/>
        <v>1.2658227848101359E-2</v>
      </c>
      <c r="K1149" s="15">
        <f t="shared" si="188"/>
        <v>9.0627235869306603E-3</v>
      </c>
      <c r="L1149" s="32">
        <f t="shared" si="189"/>
        <v>324579.13688616187</v>
      </c>
      <c r="M1149" s="15"/>
      <c r="N1149" s="32">
        <f t="shared" si="190"/>
        <v>-2967000</v>
      </c>
      <c r="O1149" s="34">
        <f t="shared" si="191"/>
        <v>-0.27163615049282702</v>
      </c>
      <c r="P1149" s="34">
        <f t="shared" si="192"/>
        <v>0.63574028615510314</v>
      </c>
      <c r="Q1149" s="34">
        <f t="shared" si="193"/>
        <v>0.61977353703277449</v>
      </c>
      <c r="R1149" s="35" cm="1">
        <f t="array" ref="R1149">SQRT(MMULT(O1149:Q1149, MMULT($AU$32:$AW$34,TRANSPOSE(O1149:Q1149))))</f>
        <v>1.2753656064208639E-2</v>
      </c>
      <c r="S1149" s="36" cm="1">
        <f t="array" ref="S1149:U1149">TRANSPOSE(MMULT($AU$32:$AW$34, TRANSPOSE(O1149:Q1149))/MMULT(O1149:Q1149, MMULT($AU$32:$AW$34,TRANSPOSE(O1149:Q1149))))</f>
        <v>0.19352094258504435</v>
      </c>
      <c r="T1149" s="36">
        <v>1.1024582792598048</v>
      </c>
      <c r="U1149" s="36">
        <v>0.5674494326372892</v>
      </c>
      <c r="V1149" s="35">
        <f t="shared" si="198"/>
        <v>5.7506719350761152E-3</v>
      </c>
      <c r="W1149" s="35">
        <f t="shared" si="199"/>
        <v>3.2760670764847871E-2</v>
      </c>
      <c r="X1149" s="35">
        <f t="shared" si="200"/>
        <v>1.6862337911609113E-2</v>
      </c>
      <c r="Y1149" s="32">
        <f t="shared" si="201"/>
        <v>-17062.243631370835</v>
      </c>
      <c r="Z1149" s="32">
        <f t="shared" si="194"/>
        <v>227490.09779110362</v>
      </c>
      <c r="AA1149" s="32">
        <f t="shared" si="195"/>
        <v>114151.28272642905</v>
      </c>
      <c r="AB1149" s="40">
        <f t="shared" si="202"/>
        <v>-5.2567283883544848E-2</v>
      </c>
      <c r="AC1149" s="40">
        <f t="shared" si="203"/>
        <v>0.70087714193069084</v>
      </c>
      <c r="AD1149" s="40">
        <f t="shared" si="204"/>
        <v>0.35169014195285386</v>
      </c>
      <c r="AE1149" s="40"/>
      <c r="AF1149" s="40"/>
      <c r="AG1149" s="40"/>
      <c r="AH1149" s="40"/>
      <c r="AI1149" s="40"/>
      <c r="AJ1149" s="40"/>
      <c r="AK1149" s="33">
        <f t="shared" si="196"/>
        <v>6944000</v>
      </c>
      <c r="AL1149" s="33">
        <f t="shared" si="197"/>
        <v>6769600</v>
      </c>
      <c r="AM1149" s="34"/>
      <c r="AN1149" s="33"/>
      <c r="AO1149" s="15" cm="1">
        <f t="array" ref="AO1149">SUMPRODUCT(I1149:K1149, TRANSPOSE($AY$5:$AY$7))</f>
        <v>1.6903901635333819E-2</v>
      </c>
      <c r="AP1149" s="22">
        <f t="shared" si="205"/>
        <v>10922699.333711652</v>
      </c>
      <c r="AQ1149" s="22">
        <f t="shared" si="206"/>
        <v>181567.0436827559</v>
      </c>
      <c r="AR1149">
        <f t="shared" si="207"/>
        <v>0</v>
      </c>
      <c r="AS1149">
        <f t="shared" si="208"/>
        <v>0</v>
      </c>
      <c r="BJ1149">
        <f t="shared" si="182"/>
        <v>1.1019547779893003E-5</v>
      </c>
      <c r="BK1149">
        <f t="shared" si="184"/>
        <v>4.6011859899698746E-5</v>
      </c>
      <c r="BO1149">
        <f t="shared" si="185"/>
        <v>4.9490321704127939E-5</v>
      </c>
      <c r="BP1149">
        <f t="shared" si="183"/>
        <v>3.9265978502476653</v>
      </c>
    </row>
    <row r="1150" spans="1:68" x14ac:dyDescent="0.15">
      <c r="A1150" s="5">
        <v>45244</v>
      </c>
      <c r="B1150" s="1"/>
      <c r="C1150">
        <v>99.4</v>
      </c>
      <c r="D1150">
        <v>99.1</v>
      </c>
      <c r="E1150">
        <v>84.56</v>
      </c>
      <c r="G1150" s="3">
        <v>1.18350311328507E-2</v>
      </c>
      <c r="I1150" s="15">
        <f t="shared" si="186"/>
        <v>5.0556117290192111E-3</v>
      </c>
      <c r="J1150" s="15">
        <f t="shared" si="187"/>
        <v>-1.0080645161291181E-3</v>
      </c>
      <c r="K1150" s="15">
        <f t="shared" si="188"/>
        <v>-7.0905223351456245E-4</v>
      </c>
      <c r="L1150" s="32">
        <f t="shared" si="189"/>
        <v>324182.91945526929</v>
      </c>
      <c r="M1150" s="15"/>
      <c r="N1150" s="32">
        <f t="shared" si="190"/>
        <v>-2982000</v>
      </c>
      <c r="O1150" s="34">
        <f t="shared" si="191"/>
        <v>-0.27387998302205924</v>
      </c>
      <c r="P1150" s="34">
        <f t="shared" si="192"/>
        <v>0.63712456144333507</v>
      </c>
      <c r="Q1150" s="34">
        <f t="shared" si="193"/>
        <v>0.62130895678994846</v>
      </c>
      <c r="R1150" s="35" cm="1">
        <f t="array" ref="R1150">SQRT(MMULT(O1150:Q1150, MMULT($AU$32:$AW$34,TRANSPOSE(O1150:Q1150))))</f>
        <v>1.2778705491381876E-2</v>
      </c>
      <c r="S1150" s="36" cm="1">
        <f t="array" ref="S1150:U1150">TRANSPOSE(MMULT($AU$32:$AW$34, TRANSPOSE(O1150:Q1150))/MMULT(O1150:Q1150, MMULT($AU$32:$AW$34,TRANSPOSE(O1150:Q1150))))</f>
        <v>0.19195489541958796</v>
      </c>
      <c r="T1150" s="36">
        <v>1.1001522982453638</v>
      </c>
      <c r="U1150" s="36">
        <v>0.56596408134020348</v>
      </c>
      <c r="V1150" s="35">
        <f t="shared" si="198"/>
        <v>5.7153387275364993E-3</v>
      </c>
      <c r="W1150" s="35">
        <f t="shared" si="199"/>
        <v>3.2756356760820504E-2</v>
      </c>
      <c r="X1150" s="35">
        <f t="shared" si="200"/>
        <v>1.6851231771962408E-2</v>
      </c>
      <c r="Y1150" s="32">
        <f t="shared" si="201"/>
        <v>-17043.140085513842</v>
      </c>
      <c r="Z1150" s="32">
        <f t="shared" si="194"/>
        <v>227230.84684981185</v>
      </c>
      <c r="AA1150" s="32">
        <f t="shared" si="195"/>
        <v>113995.2126909713</v>
      </c>
      <c r="AB1150" s="40">
        <f t="shared" si="202"/>
        <v>-5.2572603498517917E-2</v>
      </c>
      <c r="AC1150" s="40">
        <f t="shared" si="203"/>
        <v>0.70093405054045455</v>
      </c>
      <c r="AD1150" s="40">
        <f t="shared" si="204"/>
        <v>0.35163855295806334</v>
      </c>
      <c r="AE1150" s="40"/>
      <c r="AF1150" s="40"/>
      <c r="AG1150" s="40"/>
      <c r="AH1150" s="40"/>
      <c r="AI1150" s="40"/>
      <c r="AJ1150" s="40"/>
      <c r="AK1150" s="33">
        <f t="shared" si="196"/>
        <v>6937000</v>
      </c>
      <c r="AL1150" s="33">
        <f t="shared" si="197"/>
        <v>6764800</v>
      </c>
      <c r="AM1150" s="34"/>
      <c r="AN1150" s="33"/>
      <c r="AO1150" s="15" cm="1">
        <f t="array" ref="AO1150">SUMPRODUCT(I1150:K1150, TRANSPOSE($AY$5:$AY$7))</f>
        <v>-3.1785660681339992E-3</v>
      </c>
      <c r="AP1150" s="22">
        <f t="shared" si="205"/>
        <v>10887980.812237086</v>
      </c>
      <c r="AQ1150" s="22">
        <f t="shared" si="206"/>
        <v>-34718.521474566311</v>
      </c>
      <c r="AR1150">
        <f t="shared" si="207"/>
        <v>0</v>
      </c>
      <c r="AS1150">
        <f t="shared" si="208"/>
        <v>0</v>
      </c>
      <c r="BJ1150">
        <f t="shared" si="182"/>
        <v>1.4006796191554533E-4</v>
      </c>
      <c r="BK1150">
        <f t="shared" si="184"/>
        <v>4.3912321172510396E-5</v>
      </c>
      <c r="BO1150">
        <f t="shared" si="185"/>
        <v>4.632839135414307E-5</v>
      </c>
      <c r="BP1150">
        <f t="shared" si="183"/>
        <v>2.5592532496502116</v>
      </c>
    </row>
    <row r="1151" spans="1:68" x14ac:dyDescent="0.15">
      <c r="A1151" s="5">
        <v>45245</v>
      </c>
      <c r="B1151" s="1"/>
      <c r="C1151">
        <v>99.6</v>
      </c>
      <c r="D1151">
        <v>99.14</v>
      </c>
      <c r="E1151">
        <v>83.62</v>
      </c>
      <c r="G1151" s="3">
        <v>-7.0323643621605892E-4</v>
      </c>
      <c r="I1151" s="15">
        <f t="shared" si="186"/>
        <v>2.0120724346075316E-3</v>
      </c>
      <c r="J1151" s="15">
        <f t="shared" si="187"/>
        <v>4.0363269424829721E-4</v>
      </c>
      <c r="K1151" s="15">
        <f t="shared" si="188"/>
        <v>-1.1116367076631949E-2</v>
      </c>
      <c r="L1151" s="32">
        <f t="shared" si="189"/>
        <v>322977.12783263985</v>
      </c>
      <c r="M1151" s="15"/>
      <c r="N1151" s="32">
        <f t="shared" si="190"/>
        <v>-2988000</v>
      </c>
      <c r="O1151" s="34">
        <f t="shared" si="191"/>
        <v>-0.27684527933621816</v>
      </c>
      <c r="P1151" s="34">
        <f t="shared" si="192"/>
        <v>0.64298891216114018</v>
      </c>
      <c r="Q1151" s="34">
        <f t="shared" si="193"/>
        <v>0.61980728937334839</v>
      </c>
      <c r="R1151" s="35" cm="1">
        <f t="array" ref="R1151">SQRT(MMULT(O1151:Q1151, MMULT($AU$32:$AW$34,TRANSPOSE(O1151:Q1151))))</f>
        <v>1.2843174295757653E-2</v>
      </c>
      <c r="S1151" s="36" cm="1">
        <f t="array" ref="S1151:U1151">TRANSPOSE(MMULT($AU$32:$AW$34, TRANSPOSE(O1151:Q1151))/MMULT(O1151:Q1151, MMULT($AU$32:$AW$34,TRANSPOSE(O1151:Q1151))))</f>
        <v>0.18868703431473255</v>
      </c>
      <c r="T1151" s="36">
        <v>1.0968299531160222</v>
      </c>
      <c r="U1151" s="36">
        <v>0.55983145453642291</v>
      </c>
      <c r="V1151" s="35">
        <f t="shared" si="198"/>
        <v>5.6463832928951574E-3</v>
      </c>
      <c r="W1151" s="35">
        <f t="shared" si="199"/>
        <v>3.282219334737687E-2</v>
      </c>
      <c r="X1151" s="35">
        <f t="shared" si="200"/>
        <v>1.6752730166181021E-2</v>
      </c>
      <c r="Y1151" s="32">
        <f t="shared" si="201"/>
        <v>-16871.39327917073</v>
      </c>
      <c r="Z1151" s="32">
        <f t="shared" si="194"/>
        <v>227779.457392126</v>
      </c>
      <c r="AA1151" s="32">
        <f t="shared" si="195"/>
        <v>112069.06371968455</v>
      </c>
      <c r="AB1151" s="40">
        <f t="shared" si="202"/>
        <v>-5.2237114721984716E-2</v>
      </c>
      <c r="AC1151" s="40">
        <f t="shared" si="203"/>
        <v>0.70524949837982542</v>
      </c>
      <c r="AD1151" s="40">
        <f t="shared" si="204"/>
        <v>0.34698761634215924</v>
      </c>
      <c r="AE1151" s="40"/>
      <c r="AF1151" s="40"/>
      <c r="AG1151" s="40"/>
      <c r="AH1151" s="40"/>
      <c r="AI1151" s="40"/>
      <c r="AJ1151" s="40"/>
      <c r="AK1151" s="33">
        <f t="shared" si="196"/>
        <v>6939800</v>
      </c>
      <c r="AL1151" s="33">
        <f t="shared" si="197"/>
        <v>6689600</v>
      </c>
      <c r="AM1151" s="34"/>
      <c r="AN1151" s="33"/>
      <c r="AO1151" s="15" cm="1">
        <f t="array" ref="AO1151">SUMPRODUCT(I1151:K1151, TRANSPOSE($AY$5:$AY$7))</f>
        <v>-8.7205024977052882E-3</v>
      </c>
      <c r="AP1151" s="22">
        <f t="shared" si="205"/>
        <v>10793032.148369005</v>
      </c>
      <c r="AQ1151" s="22">
        <f t="shared" si="206"/>
        <v>-94948.663868080825</v>
      </c>
      <c r="AR1151">
        <f t="shared" si="207"/>
        <v>0</v>
      </c>
      <c r="AS1151">
        <f t="shared" si="208"/>
        <v>0</v>
      </c>
      <c r="BJ1151">
        <f t="shared" si="182"/>
        <v>4.9454148522186315E-7</v>
      </c>
      <c r="BK1151">
        <f t="shared" si="184"/>
        <v>4.9681659617092501E-5</v>
      </c>
      <c r="BO1151">
        <f t="shared" si="185"/>
        <v>6.222733966686599E-5</v>
      </c>
      <c r="BP1151">
        <f t="shared" si="183"/>
        <v>3.9194458546840809</v>
      </c>
    </row>
    <row r="1152" spans="1:68" x14ac:dyDescent="0.15">
      <c r="A1152" s="5">
        <v>45246</v>
      </c>
      <c r="B1152" s="1"/>
      <c r="C1152">
        <v>98.63</v>
      </c>
      <c r="D1152">
        <v>99.06</v>
      </c>
      <c r="E1152">
        <v>83.23</v>
      </c>
      <c r="G1152" s="3">
        <v>-6.0818872627046404E-3</v>
      </c>
      <c r="I1152" s="15">
        <f t="shared" si="186"/>
        <v>-9.7389558232931616E-3</v>
      </c>
      <c r="J1152" s="15">
        <f t="shared" si="187"/>
        <v>-8.069396812588087E-4</v>
      </c>
      <c r="K1152" s="15">
        <f t="shared" si="188"/>
        <v>-4.6639559913896267E-3</v>
      </c>
      <c r="L1152" s="32">
        <f t="shared" si="189"/>
        <v>322435.56526722864</v>
      </c>
      <c r="M1152" s="15"/>
      <c r="N1152" s="32">
        <f t="shared" si="190"/>
        <v>-2958900</v>
      </c>
      <c r="O1152" s="34">
        <f t="shared" si="191"/>
        <v>-0.27418408878144412</v>
      </c>
      <c r="P1152" s="34">
        <f t="shared" si="192"/>
        <v>0.64255206611520832</v>
      </c>
      <c r="Q1152" s="34">
        <f t="shared" si="193"/>
        <v>0.61699528092952372</v>
      </c>
      <c r="R1152" s="35" cm="1">
        <f t="array" ref="R1152">SQRT(MMULT(O1152:Q1152, MMULT($AU$32:$AW$34,TRANSPOSE(O1152:Q1152))))</f>
        <v>1.2823275679893938E-2</v>
      </c>
      <c r="S1152" s="36" cm="1">
        <f t="array" ref="S1152:U1152">TRANSPOSE(MMULT($AU$32:$AW$34, TRANSPOSE(O1152:Q1152))/MMULT(O1152:Q1152, MMULT($AU$32:$AW$34,TRANSPOSE(O1152:Q1152))))</f>
        <v>0.19016264430844523</v>
      </c>
      <c r="T1152" s="36">
        <v>1.0994029136433772</v>
      </c>
      <c r="U1152" s="36">
        <v>0.56032188313420561</v>
      </c>
      <c r="V1152" s="35">
        <f t="shared" si="198"/>
        <v>5.6817236679246007E-3</v>
      </c>
      <c r="W1152" s="35">
        <f t="shared" si="199"/>
        <v>3.2848215682681432E-2</v>
      </c>
      <c r="X1152" s="35">
        <f t="shared" si="200"/>
        <v>1.6741427406193853E-2</v>
      </c>
      <c r="Y1152" s="32">
        <f t="shared" si="201"/>
        <v>-16811.652161022103</v>
      </c>
      <c r="Z1152" s="32">
        <f t="shared" si="194"/>
        <v>227776.0971868496</v>
      </c>
      <c r="AA1152" s="32">
        <f t="shared" si="195"/>
        <v>111471.12024140115</v>
      </c>
      <c r="AB1152" s="40">
        <f t="shared" si="202"/>
        <v>-5.2139571349980936E-2</v>
      </c>
      <c r="AC1152" s="40">
        <f t="shared" si="203"/>
        <v>0.70642361365463202</v>
      </c>
      <c r="AD1152" s="40">
        <f t="shared" si="204"/>
        <v>0.34571595769534896</v>
      </c>
      <c r="AE1152" s="40"/>
      <c r="AF1152" s="40"/>
      <c r="AG1152" s="40"/>
      <c r="AH1152" s="40"/>
      <c r="AI1152" s="40"/>
      <c r="AJ1152" s="40"/>
      <c r="AK1152" s="33">
        <f t="shared" si="196"/>
        <v>6934200</v>
      </c>
      <c r="AL1152" s="33">
        <f t="shared" si="197"/>
        <v>6658400</v>
      </c>
      <c r="AM1152" s="34"/>
      <c r="AN1152" s="33"/>
      <c r="AO1152" s="15" cm="1">
        <f t="array" ref="AO1152">SUMPRODUCT(I1152:K1152, TRANSPOSE($AY$5:$AY$7))</f>
        <v>-1.2762735694901847E-4</v>
      </c>
      <c r="AP1152" s="22">
        <f t="shared" si="205"/>
        <v>10791654.662202442</v>
      </c>
      <c r="AQ1152" s="22">
        <f t="shared" si="206"/>
        <v>-1377.486166562885</v>
      </c>
      <c r="AR1152">
        <f t="shared" si="207"/>
        <v>0</v>
      </c>
      <c r="AS1152">
        <f t="shared" si="208"/>
        <v>0</v>
      </c>
      <c r="BJ1152">
        <f t="shared" si="182"/>
        <v>3.6989352676248944E-5</v>
      </c>
      <c r="BK1152">
        <f t="shared" si="184"/>
        <v>4.6730432529180266E-5</v>
      </c>
      <c r="BO1152">
        <f t="shared" si="185"/>
        <v>5.4820065078364132E-5</v>
      </c>
      <c r="BP1152">
        <f t="shared" si="183"/>
        <v>3.6494180416067854</v>
      </c>
    </row>
    <row r="1153" spans="1:68" x14ac:dyDescent="0.15">
      <c r="A1153" s="5">
        <v>45247</v>
      </c>
      <c r="B1153" s="1"/>
      <c r="C1153">
        <v>98.99</v>
      </c>
      <c r="D1153">
        <v>99.98</v>
      </c>
      <c r="E1153">
        <v>84.1</v>
      </c>
      <c r="G1153" s="3">
        <v>8.8601213151189295E-3</v>
      </c>
      <c r="I1153" s="15">
        <f t="shared" si="186"/>
        <v>3.6500050694514797E-3</v>
      </c>
      <c r="J1153" s="15">
        <f t="shared" si="187"/>
        <v>9.2873006258833192E-3</v>
      </c>
      <c r="K1153" s="15">
        <f t="shared" si="188"/>
        <v>1.045296167247375E-2</v>
      </c>
      <c r="L1153" s="32">
        <f t="shared" si="189"/>
        <v>325655.24942305783</v>
      </c>
      <c r="M1153" s="15"/>
      <c r="N1153" s="32">
        <f t="shared" si="190"/>
        <v>-2969700</v>
      </c>
      <c r="O1153" s="34">
        <f t="shared" si="191"/>
        <v>-0.2718226579727801</v>
      </c>
      <c r="P1153" s="34">
        <f t="shared" si="192"/>
        <v>0.64059603801336806</v>
      </c>
      <c r="Q1153" s="34">
        <f t="shared" si="193"/>
        <v>0.61582747174491181</v>
      </c>
      <c r="R1153" s="35" cm="1">
        <f t="array" ref="R1153">SQRT(MMULT(O1153:Q1153, MMULT($AU$32:$AW$34,TRANSPOSE(O1153:Q1153))))</f>
        <v>1.2793083603763425E-2</v>
      </c>
      <c r="S1153" s="36" cm="1">
        <f t="array" ref="S1153:U1153">TRANSPOSE(MMULT($AU$32:$AW$34, TRANSPOSE(O1153:Q1153))/MMULT(O1153:Q1153, MMULT($AU$32:$AW$34,TRANSPOSE(O1153:Q1153))))</f>
        <v>0.19195009241243563</v>
      </c>
      <c r="T1153" s="36">
        <v>1.1018578661377567</v>
      </c>
      <c r="U1153" s="36">
        <v>0.56238251248300131</v>
      </c>
      <c r="V1153" s="35">
        <f t="shared" si="198"/>
        <v>5.7216262413590027E-3</v>
      </c>
      <c r="W1153" s="35">
        <f t="shared" si="199"/>
        <v>3.284405233624773E-2</v>
      </c>
      <c r="X1153" s="35">
        <f t="shared" si="200"/>
        <v>1.6763433143810683E-2</v>
      </c>
      <c r="Y1153" s="32">
        <f t="shared" si="201"/>
        <v>-16991.513448963829</v>
      </c>
      <c r="Z1153" s="32">
        <f t="shared" si="194"/>
        <v>229862.38468046335</v>
      </c>
      <c r="AA1153" s="32">
        <f t="shared" si="195"/>
        <v>112784.37819155828</v>
      </c>
      <c r="AB1153" s="40">
        <f t="shared" si="202"/>
        <v>-5.2176384317669022E-2</v>
      </c>
      <c r="AC1153" s="40">
        <f t="shared" si="203"/>
        <v>0.7058457835017109</v>
      </c>
      <c r="AD1153" s="40">
        <f t="shared" si="204"/>
        <v>0.34633060081595801</v>
      </c>
      <c r="AE1153" s="40"/>
      <c r="AF1153" s="40"/>
      <c r="AG1153" s="40"/>
      <c r="AH1153" s="40"/>
      <c r="AI1153" s="40"/>
      <c r="AJ1153" s="40"/>
      <c r="AK1153" s="33">
        <f t="shared" si="196"/>
        <v>6998600</v>
      </c>
      <c r="AL1153" s="33">
        <f t="shared" si="197"/>
        <v>6728000</v>
      </c>
      <c r="AM1153" s="34"/>
      <c r="AN1153" s="33"/>
      <c r="AO1153" s="15" cm="1">
        <f t="array" ref="AO1153">SUMPRODUCT(I1153:K1153, TRANSPOSE($AY$5:$AY$7))</f>
        <v>1.2369109138120223E-2</v>
      </c>
      <c r="AP1153" s="22">
        <f t="shared" si="205"/>
        <v>10925137.816500127</v>
      </c>
      <c r="AQ1153" s="22">
        <f t="shared" si="206"/>
        <v>133483.15429768525</v>
      </c>
      <c r="AR1153">
        <f t="shared" si="207"/>
        <v>0</v>
      </c>
      <c r="AS1153">
        <f t="shared" si="208"/>
        <v>0</v>
      </c>
      <c r="BJ1153">
        <f t="shared" si="182"/>
        <v>7.8501749718624787E-5</v>
      </c>
      <c r="BK1153">
        <f t="shared" si="184"/>
        <v>4.6145967738004382E-5</v>
      </c>
      <c r="BO1153">
        <f t="shared" si="185"/>
        <v>5.4207553684548905E-5</v>
      </c>
      <c r="BP1153">
        <f t="shared" si="183"/>
        <v>3.268321643418477</v>
      </c>
    </row>
    <row r="1154" spans="1:68" x14ac:dyDescent="0.15">
      <c r="A1154" s="5">
        <v>45250</v>
      </c>
      <c r="B1154" s="1"/>
      <c r="C1154">
        <v>98.29</v>
      </c>
      <c r="D1154">
        <v>100.95</v>
      </c>
      <c r="E1154">
        <v>84.28</v>
      </c>
      <c r="G1154" s="3">
        <v>2.7018316245253001E-4</v>
      </c>
      <c r="I1154" s="15">
        <f t="shared" si="186"/>
        <v>-7.0714213556923797E-3</v>
      </c>
      <c r="J1154" s="15">
        <f t="shared" si="187"/>
        <v>9.7019403880776039E-3</v>
      </c>
      <c r="K1154" s="15">
        <f t="shared" si="188"/>
        <v>2.1403091557670255E-3</v>
      </c>
      <c r="L1154" s="32">
        <f t="shared" si="189"/>
        <v>328249.08604395442</v>
      </c>
      <c r="M1154" s="15"/>
      <c r="N1154" s="32">
        <f t="shared" si="190"/>
        <v>-2948700</v>
      </c>
      <c r="O1154" s="34">
        <f t="shared" si="191"/>
        <v>-0.26703180625833189</v>
      </c>
      <c r="P1154" s="34">
        <f t="shared" si="192"/>
        <v>0.63993633089988888</v>
      </c>
      <c r="Q1154" s="34">
        <f t="shared" si="193"/>
        <v>0.61058610591656559</v>
      </c>
      <c r="R1154" s="35" cm="1">
        <f t="array" ref="R1154">SQRT(MMULT(O1154:Q1154, MMULT($AU$32:$AW$34,TRANSPOSE(O1154:Q1154))))</f>
        <v>1.2757923925297661E-2</v>
      </c>
      <c r="S1154" s="36" cm="1">
        <f t="array" ref="S1154:U1154">TRANSPOSE(MMULT($AU$32:$AW$34, TRANSPOSE(O1154:Q1154))/MMULT(O1154:Q1154, MMULT($AU$32:$AW$34,TRANSPOSE(O1154:Q1154))))</f>
        <v>0.19459198880349821</v>
      </c>
      <c r="T1154" s="36">
        <v>1.1065631374681411</v>
      </c>
      <c r="U1154" s="36">
        <v>0.56311844115259158</v>
      </c>
      <c r="V1154" s="35">
        <f t="shared" si="198"/>
        <v>5.7844342098318522E-3</v>
      </c>
      <c r="W1154" s="35">
        <f t="shared" si="199"/>
        <v>3.2893654600412374E-2</v>
      </c>
      <c r="X1154" s="35">
        <f t="shared" si="200"/>
        <v>1.6739237803255744E-2</v>
      </c>
      <c r="Y1154" s="32">
        <f t="shared" si="201"/>
        <v>-17056.561154531184</v>
      </c>
      <c r="Z1154" s="32">
        <f t="shared" si="194"/>
        <v>232443.01023381404</v>
      </c>
      <c r="AA1154" s="32">
        <f t="shared" si="195"/>
        <v>112862.63696467153</v>
      </c>
      <c r="AB1154" s="40">
        <f t="shared" si="202"/>
        <v>-5.1962250253599226E-2</v>
      </c>
      <c r="AC1154" s="40">
        <f t="shared" si="203"/>
        <v>0.70812995410043156</v>
      </c>
      <c r="AD1154" s="40">
        <f t="shared" si="204"/>
        <v>0.34383229615316763</v>
      </c>
      <c r="AE1154" s="40"/>
      <c r="AF1154" s="40"/>
      <c r="AG1154" s="40"/>
      <c r="AH1154" s="40"/>
      <c r="AI1154" s="40"/>
      <c r="AJ1154" s="40"/>
      <c r="AK1154" s="33">
        <f t="shared" si="196"/>
        <v>7066500</v>
      </c>
      <c r="AL1154" s="33">
        <f t="shared" si="197"/>
        <v>6742400</v>
      </c>
      <c r="AM1154" s="34"/>
      <c r="AN1154" s="33"/>
      <c r="AO1154" s="15" cm="1">
        <f t="array" ref="AO1154">SUMPRODUCT(I1154:K1154, TRANSPOSE($AY$5:$AY$7))</f>
        <v>1.0742836990449048E-2</v>
      </c>
      <c r="AP1154" s="22">
        <f t="shared" si="205"/>
        <v>11042504.791160978</v>
      </c>
      <c r="AQ1154" s="22">
        <f t="shared" si="206"/>
        <v>117366.97466085106</v>
      </c>
      <c r="AR1154">
        <f t="shared" si="207"/>
        <v>0</v>
      </c>
      <c r="AS1154">
        <f t="shared" si="208"/>
        <v>0</v>
      </c>
      <c r="BJ1154">
        <f t="shared" ref="BJ1154:BJ1217" si="209">G1154^2</f>
        <v>7.2998941272850225E-8</v>
      </c>
      <c r="BK1154">
        <f t="shared" si="184"/>
        <v>4.8087314656841607E-5</v>
      </c>
      <c r="BO1154">
        <f t="shared" si="185"/>
        <v>5.9639316145460643E-5</v>
      </c>
      <c r="BP1154">
        <f t="shared" ref="BP1154:BP1217" si="210" xml:space="preserve"> -0.5 * (LN(2 * PI()) + LN(BO1154) + (BJ1154) / BO1154)</f>
        <v>3.9440472305420098</v>
      </c>
    </row>
    <row r="1155" spans="1:68" x14ac:dyDescent="0.15">
      <c r="A1155" s="5">
        <v>45251</v>
      </c>
      <c r="B1155" s="1"/>
      <c r="C1155">
        <v>99.75</v>
      </c>
      <c r="D1155">
        <v>101.55</v>
      </c>
      <c r="E1155">
        <v>85.07</v>
      </c>
      <c r="G1155" s="3">
        <v>3.9073031545706601E-3</v>
      </c>
      <c r="I1155" s="15">
        <f t="shared" si="186"/>
        <v>1.4854003459151426E-2</v>
      </c>
      <c r="J1155" s="15">
        <f t="shared" si="187"/>
        <v>5.9435364041604188E-3</v>
      </c>
      <c r="K1155" s="15">
        <f t="shared" si="188"/>
        <v>9.3735168485998104E-3</v>
      </c>
      <c r="L1155" s="32">
        <f t="shared" si="189"/>
        <v>330435.74608272919</v>
      </c>
      <c r="M1155" s="15"/>
      <c r="N1155" s="32">
        <f t="shared" si="190"/>
        <v>-2992500</v>
      </c>
      <c r="O1155" s="34">
        <f t="shared" si="191"/>
        <v>-0.26966131508614039</v>
      </c>
      <c r="P1155" s="34">
        <f t="shared" si="192"/>
        <v>0.6405638958362001</v>
      </c>
      <c r="Q1155" s="34">
        <f t="shared" si="193"/>
        <v>0.61326885411870902</v>
      </c>
      <c r="R1155" s="35" cm="1">
        <f t="array" ref="R1155">SQRT(MMULT(O1155:Q1155, MMULT($AU$32:$AW$34,TRANSPOSE(O1155:Q1155))))</f>
        <v>1.2779550857134067E-2</v>
      </c>
      <c r="S1155" s="36" cm="1">
        <f t="array" ref="S1155:U1155">TRANSPOSE(MMULT($AU$32:$AW$34, TRANSPOSE(O1155:Q1155))/MMULT(O1155:Q1155, MMULT($AU$32:$AW$34,TRANSPOSE(O1155:Q1155))))</f>
        <v>0.19306387724808824</v>
      </c>
      <c r="T1155" s="36">
        <v>1.1039221397198133</v>
      </c>
      <c r="U1155" s="36">
        <v>0.56244368224319419</v>
      </c>
      <c r="V1155" s="35">
        <f t="shared" si="198"/>
        <v>5.7487382564641171E-3</v>
      </c>
      <c r="W1155" s="35">
        <f t="shared" si="199"/>
        <v>3.2870775865596884E-2</v>
      </c>
      <c r="X1155" s="35">
        <f t="shared" si="200"/>
        <v>1.674752190469652E-2</v>
      </c>
      <c r="Y1155" s="32">
        <f t="shared" si="201"/>
        <v>-17203.09923246887</v>
      </c>
      <c r="Z1155" s="32">
        <f t="shared" si="194"/>
        <v>233661.91024059546</v>
      </c>
      <c r="AA1155" s="32">
        <f t="shared" si="195"/>
        <v>113976.93507460262</v>
      </c>
      <c r="AB1155" s="40">
        <f t="shared" si="202"/>
        <v>-5.2061859034348644E-2</v>
      </c>
      <c r="AC1155" s="40">
        <f t="shared" si="203"/>
        <v>0.70713266651875772</v>
      </c>
      <c r="AD1155" s="40">
        <f t="shared" si="204"/>
        <v>0.3449291925155909</v>
      </c>
      <c r="AE1155" s="40"/>
      <c r="AF1155" s="40"/>
      <c r="AG1155" s="40"/>
      <c r="AH1155" s="40"/>
      <c r="AI1155" s="40"/>
      <c r="AJ1155" s="40"/>
      <c r="AK1155" s="33">
        <f t="shared" si="196"/>
        <v>7108500</v>
      </c>
      <c r="AL1155" s="33">
        <f t="shared" si="197"/>
        <v>6805599.9999999991</v>
      </c>
      <c r="AM1155" s="34"/>
      <c r="AN1155" s="33"/>
      <c r="AO1155" s="15" cm="1">
        <f t="array" ref="AO1155">SUMPRODUCT(I1155:K1155, TRANSPOSE($AY$5:$AY$7))</f>
        <v>4.9580064742663511E-3</v>
      </c>
      <c r="AP1155" s="22">
        <f t="shared" si="205"/>
        <v>11097253.601407671</v>
      </c>
      <c r="AQ1155" s="22">
        <f t="shared" si="206"/>
        <v>54748.81024669297</v>
      </c>
      <c r="AR1155">
        <f t="shared" si="207"/>
        <v>0</v>
      </c>
      <c r="AS1155">
        <f t="shared" si="208"/>
        <v>0</v>
      </c>
      <c r="BJ1155">
        <f t="shared" si="209"/>
        <v>1.5267017941717832E-5</v>
      </c>
      <c r="BK1155">
        <f t="shared" ref="BK1155:BK1218" si="211">$BM$2 * BK1154 + (1 - $BM$2) * BJ1154</f>
        <v>4.5206455713907481E-5</v>
      </c>
      <c r="BO1155">
        <f t="shared" ref="BO1155:BO1218" si="212" xml:space="preserve"> $BR$2 + $BS$2 * BJ1154 + $BT$2 * BO1154</f>
        <v>5.2730038076253811E-5</v>
      </c>
      <c r="BP1155">
        <f t="shared" si="210"/>
        <v>3.8614582543876974</v>
      </c>
    </row>
    <row r="1156" spans="1:68" x14ac:dyDescent="0.15">
      <c r="A1156" s="5">
        <v>45252</v>
      </c>
      <c r="B1156" s="1"/>
      <c r="C1156">
        <v>100.3</v>
      </c>
      <c r="D1156">
        <v>101.85</v>
      </c>
      <c r="E1156">
        <v>86</v>
      </c>
      <c r="G1156" s="3">
        <v>4.6518141360618595E-3</v>
      </c>
      <c r="I1156" s="15">
        <f t="shared" ref="I1156:I1219" si="213">(C1156-C1155)/C1155</f>
        <v>5.5137844611528536E-3</v>
      </c>
      <c r="J1156" s="15">
        <f t="shared" ref="J1156:J1219" si="214">(D1156-D1155)/D1155</f>
        <v>2.9542097488921434E-3</v>
      </c>
      <c r="K1156" s="15">
        <f t="shared" ref="K1156:K1219" si="215">(E1156-E1155)/E1155</f>
        <v>1.0932173504173115E-2</v>
      </c>
      <c r="L1156" s="32">
        <f t="shared" si="189"/>
        <v>332278.70201740135</v>
      </c>
      <c r="M1156" s="15"/>
      <c r="N1156" s="32">
        <f t="shared" si="190"/>
        <v>-3009000</v>
      </c>
      <c r="O1156" s="34">
        <f t="shared" si="191"/>
        <v>-0.26904303211802721</v>
      </c>
      <c r="P1156" s="34">
        <f t="shared" si="192"/>
        <v>0.6374683607462529</v>
      </c>
      <c r="Q1156" s="34">
        <f t="shared" si="193"/>
        <v>0.61515987403523664</v>
      </c>
      <c r="R1156" s="35" cm="1">
        <f t="array" ref="R1156">SQRT(MMULT(O1156:Q1156, MMULT($AU$32:$AW$34,TRANSPOSE(O1156:Q1156))))</f>
        <v>1.2751055773880662E-2</v>
      </c>
      <c r="S1156" s="36" cm="1">
        <f t="array" ref="S1156:U1156">TRANSPOSE(MMULT($AU$32:$AW$34, TRANSPOSE(O1156:Q1156))/MMULT(O1156:Q1156, MMULT($AU$32:$AW$34,TRANSPOSE(O1156:Q1156))))</f>
        <v>0.19432464289395512</v>
      </c>
      <c r="T1156" s="36">
        <v>1.104831192977038</v>
      </c>
      <c r="U1156" s="36">
        <v>0.56568507852823668</v>
      </c>
      <c r="V1156" s="35">
        <f t="shared" si="198"/>
        <v>5.7733773582880153E-3</v>
      </c>
      <c r="W1156" s="35">
        <f t="shared" si="199"/>
        <v>3.2824490498329834E-2</v>
      </c>
      <c r="X1156" s="35">
        <f t="shared" si="200"/>
        <v>1.6806481029163867E-2</v>
      </c>
      <c r="Y1156" s="32">
        <f t="shared" si="201"/>
        <v>-17372.092471088639</v>
      </c>
      <c r="Z1156" s="32">
        <f t="shared" si="194"/>
        <v>234022.20500784254</v>
      </c>
      <c r="AA1156" s="32">
        <f t="shared" si="195"/>
        <v>115628.58948064741</v>
      </c>
      <c r="AB1156" s="40">
        <f t="shared" si="202"/>
        <v>-5.2281691139442539E-2</v>
      </c>
      <c r="AC1156" s="40">
        <f t="shared" si="203"/>
        <v>0.70429492948839933</v>
      </c>
      <c r="AD1156" s="40">
        <f t="shared" si="204"/>
        <v>0.34798676165104309</v>
      </c>
      <c r="AE1156" s="40"/>
      <c r="AF1156" s="40"/>
      <c r="AG1156" s="40"/>
      <c r="AH1156" s="40"/>
      <c r="AI1156" s="40"/>
      <c r="AJ1156" s="40"/>
      <c r="AK1156" s="33">
        <f t="shared" si="196"/>
        <v>7129500</v>
      </c>
      <c r="AL1156" s="33">
        <f t="shared" si="197"/>
        <v>6880000</v>
      </c>
      <c r="AM1156" s="34"/>
      <c r="AN1156" s="33"/>
      <c r="AO1156" s="15" cm="1">
        <f t="array" ref="AO1156">SUMPRODUCT(I1156:K1156, TRANSPOSE($AY$5:$AY$7))</f>
        <v>7.824537660152734E-3</v>
      </c>
      <c r="AP1156" s="22">
        <f t="shared" si="205"/>
        <v>11184084.48013615</v>
      </c>
      <c r="AQ1156" s="22">
        <f t="shared" si="206"/>
        <v>86830.878728479147</v>
      </c>
      <c r="AR1156">
        <f t="shared" si="207"/>
        <v>0</v>
      </c>
      <c r="AS1156">
        <f t="shared" si="208"/>
        <v>0</v>
      </c>
      <c r="BJ1156">
        <f t="shared" si="209"/>
        <v>2.1639374756464943E-5</v>
      </c>
      <c r="BK1156">
        <f t="shared" si="211"/>
        <v>4.3410089447576102E-5</v>
      </c>
      <c r="BO1156">
        <f t="shared" si="212"/>
        <v>4.9474481758593075E-5</v>
      </c>
      <c r="BP1156">
        <f t="shared" si="210"/>
        <v>3.8193959542207514</v>
      </c>
    </row>
    <row r="1157" spans="1:68" x14ac:dyDescent="0.15">
      <c r="A1157" s="5">
        <v>45254</v>
      </c>
      <c r="B1157" s="1"/>
      <c r="C1157">
        <v>100.48</v>
      </c>
      <c r="D1157">
        <v>102.65</v>
      </c>
      <c r="E1157">
        <v>86.79</v>
      </c>
      <c r="G1157" s="3">
        <v>4.3508575223210003E-3</v>
      </c>
      <c r="I1157" s="15">
        <f t="shared" si="213"/>
        <v>1.794616151545432E-3</v>
      </c>
      <c r="J1157" s="15">
        <f t="shared" si="214"/>
        <v>7.8546882670595137E-3</v>
      </c>
      <c r="K1157" s="15">
        <f t="shared" si="215"/>
        <v>9.1860465116279794E-3</v>
      </c>
      <c r="L1157" s="32">
        <f t="shared" si="189"/>
        <v>335148.36694718339</v>
      </c>
      <c r="M1157" s="15"/>
      <c r="N1157" s="32">
        <f t="shared" si="190"/>
        <v>-3014400</v>
      </c>
      <c r="O1157" s="34">
        <f t="shared" si="191"/>
        <v>-0.26653393526256386</v>
      </c>
      <c r="P1157" s="34">
        <f t="shared" si="192"/>
        <v>0.6353435482448091</v>
      </c>
      <c r="Q1157" s="34">
        <f t="shared" si="193"/>
        <v>0.61391932700206797</v>
      </c>
      <c r="R1157" s="35" cm="1">
        <f t="array" ref="R1157">SQRT(MMULT(O1157:Q1157, MMULT($AU$32:$AW$34,TRANSPOSE(O1157:Q1157))))</f>
        <v>1.2718409878542164E-2</v>
      </c>
      <c r="S1157" s="36" cm="1">
        <f t="array" ref="S1157:U1157">TRANSPOSE(MMULT($AU$32:$AW$34, TRANSPOSE(O1157:Q1157))/MMULT(O1157:Q1157, MMULT($AU$32:$AW$34,TRANSPOSE(O1157:Q1157))))</f>
        <v>0.19626674090728768</v>
      </c>
      <c r="T1157" s="36">
        <v>1.1074921283882233</v>
      </c>
      <c r="U1157" s="36">
        <v>0.56794720898342643</v>
      </c>
      <c r="V1157" s="35">
        <f t="shared" si="198"/>
        <v>5.8161479953759395E-3</v>
      </c>
      <c r="W1157" s="35">
        <f t="shared" si="199"/>
        <v>3.2819305464814083E-2</v>
      </c>
      <c r="X1157" s="35">
        <f t="shared" si="200"/>
        <v>1.683048796621486E-2</v>
      </c>
      <c r="Y1157" s="32">
        <f t="shared" si="201"/>
        <v>-17532.196517261233</v>
      </c>
      <c r="Z1157" s="32">
        <f t="shared" si="194"/>
        <v>235823.11941742161</v>
      </c>
      <c r="AA1157" s="32">
        <f t="shared" si="195"/>
        <v>116857.44404702303</v>
      </c>
      <c r="AB1157" s="40">
        <f t="shared" si="202"/>
        <v>-5.2311746815177418E-2</v>
      </c>
      <c r="AC1157" s="40">
        <f t="shared" si="203"/>
        <v>0.70363797850336951</v>
      </c>
      <c r="AD1157" s="40">
        <f t="shared" si="204"/>
        <v>0.34867376831180802</v>
      </c>
      <c r="AE1157" s="40"/>
      <c r="AF1157" s="40"/>
      <c r="AG1157" s="40"/>
      <c r="AH1157" s="40"/>
      <c r="AI1157" s="40"/>
      <c r="AJ1157" s="40"/>
      <c r="AK1157" s="33">
        <f t="shared" si="196"/>
        <v>7185500</v>
      </c>
      <c r="AL1157" s="33">
        <f t="shared" si="197"/>
        <v>6943200.0000000009</v>
      </c>
      <c r="AM1157" s="34"/>
      <c r="AN1157" s="33"/>
      <c r="AO1157" s="15" cm="1">
        <f t="array" ref="AO1157">SUMPRODUCT(I1157:K1157, TRANSPOSE($AY$5:$AY$7))</f>
        <v>1.1225309165287896E-2</v>
      </c>
      <c r="AP1157" s="22">
        <f t="shared" si="205"/>
        <v>11309629.286156377</v>
      </c>
      <c r="AQ1157" s="22">
        <f t="shared" si="206"/>
        <v>125544.80602022633</v>
      </c>
      <c r="AR1157">
        <f t="shared" si="207"/>
        <v>0</v>
      </c>
      <c r="AS1157">
        <f t="shared" si="208"/>
        <v>0</v>
      </c>
      <c r="BJ1157">
        <f t="shared" si="209"/>
        <v>1.8929961179537232E-5</v>
      </c>
      <c r="BK1157">
        <f t="shared" si="211"/>
        <v>4.210384656610943E-5</v>
      </c>
      <c r="BO1157">
        <f t="shared" si="212"/>
        <v>4.7828444599483047E-5</v>
      </c>
      <c r="BP1157">
        <f t="shared" si="210"/>
        <v>3.8571120927019629</v>
      </c>
    </row>
    <row r="1158" spans="1:68" x14ac:dyDescent="0.15">
      <c r="A1158" s="5">
        <v>45257</v>
      </c>
      <c r="B1158" s="1"/>
      <c r="C1158">
        <v>100.22</v>
      </c>
      <c r="D1158">
        <v>103.05</v>
      </c>
      <c r="E1158">
        <v>85.97</v>
      </c>
      <c r="G1158" s="3">
        <v>-5.3738536730555397E-3</v>
      </c>
      <c r="I1158" s="15">
        <f t="shared" si="213"/>
        <v>-2.5875796178344455E-3</v>
      </c>
      <c r="J1158" s="15">
        <f t="shared" si="214"/>
        <v>3.8967364831952408E-3</v>
      </c>
      <c r="K1158" s="15">
        <f t="shared" si="215"/>
        <v>-9.4480930982832976E-3</v>
      </c>
      <c r="L1158" s="32">
        <f t="shared" si="189"/>
        <v>335012.69364758156</v>
      </c>
      <c r="M1158" s="15"/>
      <c r="N1158" s="32">
        <f t="shared" si="190"/>
        <v>-3006600</v>
      </c>
      <c r="O1158" s="34">
        <f t="shared" si="191"/>
        <v>-0.26674621517102437</v>
      </c>
      <c r="P1158" s="34">
        <f t="shared" si="192"/>
        <v>0.63998331109432061</v>
      </c>
      <c r="Q1158" s="34">
        <f t="shared" si="193"/>
        <v>0.61018218900426968</v>
      </c>
      <c r="R1158" s="35" cm="1">
        <f t="array" ref="R1158">SQRT(MMULT(O1158:Q1158, MMULT($AU$32:$AW$34,TRANSPOSE(O1158:Q1158))))</f>
        <v>1.2756394881866797E-2</v>
      </c>
      <c r="S1158" s="36" cm="1">
        <f t="array" ref="S1158:U1158">TRANSPOSE(MMULT($AU$32:$AW$34, TRANSPOSE(O1158:Q1158))/MMULT(O1158:Q1158, MMULT($AU$32:$AW$34,TRANSPOSE(O1158:Q1158))))</f>
        <v>0.1947205895553096</v>
      </c>
      <c r="T1158" s="36">
        <v>1.1068511710901361</v>
      </c>
      <c r="U1158" s="36">
        <v>0.56306904578372319</v>
      </c>
      <c r="V1158" s="35">
        <f t="shared" si="198"/>
        <v>5.7875632655540283E-3</v>
      </c>
      <c r="W1158" s="35">
        <f t="shared" si="199"/>
        <v>3.2898273330346187E-2</v>
      </c>
      <c r="X1158" s="35">
        <f t="shared" si="200"/>
        <v>1.6735763448491342E-2</v>
      </c>
      <c r="Y1158" s="32">
        <f t="shared" si="201"/>
        <v>-17400.887714214743</v>
      </c>
      <c r="Z1158" s="32">
        <f t="shared" si="194"/>
        <v>237311.69466845223</v>
      </c>
      <c r="AA1158" s="32">
        <f t="shared" si="195"/>
        <v>115101.88669334406</v>
      </c>
      <c r="AB1158" s="40">
        <f t="shared" si="202"/>
        <v>-5.1940980279749346E-2</v>
      </c>
      <c r="AC1158" s="40">
        <f t="shared" si="203"/>
        <v>0.70836627736289171</v>
      </c>
      <c r="AD1158" s="40">
        <f t="shared" si="204"/>
        <v>0.3435747029168576</v>
      </c>
      <c r="AE1158" s="40"/>
      <c r="AF1158" s="40"/>
      <c r="AG1158" s="40"/>
      <c r="AH1158" s="40"/>
      <c r="AI1158" s="40"/>
      <c r="AJ1158" s="40"/>
      <c r="AK1158" s="33">
        <f t="shared" si="196"/>
        <v>7213500</v>
      </c>
      <c r="AL1158" s="33">
        <f t="shared" si="197"/>
        <v>6877600</v>
      </c>
      <c r="AM1158" s="34"/>
      <c r="AN1158" s="33"/>
      <c r="AO1158" s="15" cm="1">
        <f t="array" ref="AO1158">SUMPRODUCT(I1158:K1158, TRANSPOSE($AY$5:$AY$7))</f>
        <v>-3.3813326506950746E-3</v>
      </c>
      <c r="AP1158" s="22">
        <f t="shared" si="205"/>
        <v>11271387.667383838</v>
      </c>
      <c r="AQ1158" s="22">
        <f t="shared" si="206"/>
        <v>-38241.618772538379</v>
      </c>
      <c r="AR1158">
        <f t="shared" si="207"/>
        <v>0</v>
      </c>
      <c r="AS1158">
        <f t="shared" si="208"/>
        <v>0</v>
      </c>
      <c r="BJ1158">
        <f t="shared" si="209"/>
        <v>2.8878303299412516E-5</v>
      </c>
      <c r="BK1158">
        <f t="shared" si="211"/>
        <v>4.0713413442915098E-5</v>
      </c>
      <c r="BO1158">
        <f t="shared" si="212"/>
        <v>4.6151452723311922E-5</v>
      </c>
      <c r="BP1158">
        <f t="shared" si="210"/>
        <v>3.7599880162377515</v>
      </c>
    </row>
    <row r="1159" spans="1:68" x14ac:dyDescent="0.15">
      <c r="A1159" s="5">
        <v>45258</v>
      </c>
      <c r="B1159" s="1"/>
      <c r="C1159">
        <v>99.4</v>
      </c>
      <c r="D1159">
        <v>103.3</v>
      </c>
      <c r="E1159">
        <v>85.28</v>
      </c>
      <c r="G1159" s="3">
        <v>-5.6074999886855902E-3</v>
      </c>
      <c r="I1159" s="15">
        <f t="shared" si="213"/>
        <v>-8.1819996008780007E-3</v>
      </c>
      <c r="J1159" s="15">
        <f t="shared" si="214"/>
        <v>2.4260067928190202E-3</v>
      </c>
      <c r="K1159" s="15">
        <f t="shared" si="215"/>
        <v>-8.0260556007909472E-3</v>
      </c>
      <c r="L1159" s="32">
        <f t="shared" si="189"/>
        <v>334809.36769943649</v>
      </c>
      <c r="M1159" s="15"/>
      <c r="N1159" s="32">
        <f t="shared" si="190"/>
        <v>-2982000</v>
      </c>
      <c r="O1159" s="34">
        <f t="shared" si="191"/>
        <v>-0.26485350731587043</v>
      </c>
      <c r="P1159" s="34">
        <f t="shared" si="192"/>
        <v>0.64223866914857786</v>
      </c>
      <c r="Q1159" s="34">
        <f t="shared" si="193"/>
        <v>0.60594787669744954</v>
      </c>
      <c r="R1159" s="35" cm="1">
        <f t="array" ref="R1159">SQRT(MMULT(O1159:Q1159, MMULT($AU$32:$AW$34,TRANSPOSE(O1159:Q1159))))</f>
        <v>1.2762617956293507E-2</v>
      </c>
      <c r="S1159" s="36" cm="1">
        <f t="array" ref="S1159:U1159">TRANSPOSE(MMULT($AU$32:$AW$34, TRANSPOSE(O1159:Q1159))/MMULT(O1159:Q1159, MMULT($AU$32:$AW$34,TRANSPOSE(O1159:Q1159))))</f>
        <v>0.19498800944392372</v>
      </c>
      <c r="T1159" s="36">
        <v>1.1084371568163229</v>
      </c>
      <c r="U1159" s="36">
        <v>0.56071168300645469</v>
      </c>
      <c r="V1159" s="35">
        <f t="shared" si="198"/>
        <v>5.798338906476911E-3</v>
      </c>
      <c r="W1159" s="35">
        <f t="shared" si="199"/>
        <v>3.2961484709146137E-2</v>
      </c>
      <c r="X1159" s="35">
        <f t="shared" si="200"/>
        <v>1.6673827155651234E-2</v>
      </c>
      <c r="Y1159" s="32">
        <f t="shared" si="201"/>
        <v>-17290.646619114148</v>
      </c>
      <c r="Z1159" s="32">
        <f t="shared" si="194"/>
        <v>238344.49593183573</v>
      </c>
      <c r="AA1159" s="32">
        <f t="shared" si="195"/>
        <v>113755.51838671498</v>
      </c>
      <c r="AB1159" s="40">
        <f t="shared" si="202"/>
        <v>-5.164325818576327E-2</v>
      </c>
      <c r="AC1159" s="40">
        <f t="shared" si="203"/>
        <v>0.71188120442854885</v>
      </c>
      <c r="AD1159" s="40">
        <f t="shared" si="204"/>
        <v>0.33976205375721463</v>
      </c>
      <c r="AE1159" s="40"/>
      <c r="AF1159" s="40"/>
      <c r="AG1159" s="40"/>
      <c r="AH1159" s="40"/>
      <c r="AI1159" s="40"/>
      <c r="AJ1159" s="40"/>
      <c r="AK1159" s="33">
        <f t="shared" si="196"/>
        <v>7231000</v>
      </c>
      <c r="AL1159" s="33">
        <f t="shared" si="197"/>
        <v>6822400</v>
      </c>
      <c r="AM1159" s="34"/>
      <c r="AN1159" s="33"/>
      <c r="AO1159" s="15" cm="1">
        <f t="array" ref="AO1159">SUMPRODUCT(I1159:K1159, TRANSPOSE($AY$5:$AY$7))</f>
        <v>-1.0942259132157911E-3</v>
      </c>
      <c r="AP1159" s="22">
        <f t="shared" si="205"/>
        <v>11259054.222920286</v>
      </c>
      <c r="AQ1159" s="22">
        <f t="shared" si="206"/>
        <v>-12333.444463552907</v>
      </c>
      <c r="AR1159">
        <f t="shared" si="207"/>
        <v>0</v>
      </c>
      <c r="AS1159">
        <f t="shared" si="208"/>
        <v>0</v>
      </c>
      <c r="BJ1159">
        <f t="shared" si="209"/>
        <v>3.1444056123108892E-5</v>
      </c>
      <c r="BK1159">
        <f t="shared" si="211"/>
        <v>4.0003306834304942E-5</v>
      </c>
      <c r="BO1159">
        <f t="shared" si="212"/>
        <v>4.6252900578953429E-5</v>
      </c>
      <c r="BP1159">
        <f t="shared" si="210"/>
        <v>3.7318402331078455</v>
      </c>
    </row>
    <row r="1160" spans="1:68" x14ac:dyDescent="0.15">
      <c r="A1160" s="5">
        <v>45259</v>
      </c>
      <c r="B1160" s="1"/>
      <c r="C1160">
        <v>99.13</v>
      </c>
      <c r="D1160">
        <v>102.75</v>
      </c>
      <c r="E1160">
        <v>84.84</v>
      </c>
      <c r="G1160" s="3">
        <v>3.9495287302540004E-3</v>
      </c>
      <c r="I1160" s="15">
        <f t="shared" si="213"/>
        <v>-2.7162977867204248E-3</v>
      </c>
      <c r="J1160" s="15">
        <f t="shared" si="214"/>
        <v>-5.3242981606969712E-3</v>
      </c>
      <c r="K1160" s="15">
        <f t="shared" si="215"/>
        <v>-5.1594746716697665E-3</v>
      </c>
      <c r="L1160" s="32">
        <f t="shared" si="189"/>
        <v>333000.45296296029</v>
      </c>
      <c r="M1160" s="15"/>
      <c r="N1160" s="32">
        <f t="shared" si="190"/>
        <v>-2973900</v>
      </c>
      <c r="O1160" s="34">
        <f t="shared" si="191"/>
        <v>-0.26579026376650122</v>
      </c>
      <c r="P1160" s="34">
        <f t="shared" si="192"/>
        <v>0.64282473255340122</v>
      </c>
      <c r="Q1160" s="34">
        <f t="shared" si="193"/>
        <v>0.60660132426645041</v>
      </c>
      <c r="R1160" s="35" cm="1">
        <f t="array" ref="R1160">SQRT(MMULT(O1160:Q1160, MMULT($AU$32:$AW$34,TRANSPOSE(O1160:Q1160))))</f>
        <v>1.2773255827471476E-2</v>
      </c>
      <c r="S1160" s="36" cm="1">
        <f t="array" ref="S1160:U1160">TRANSPOSE(MMULT($AU$32:$AW$34, TRANSPOSE(O1160:Q1160))/MMULT(O1160:Q1160, MMULT($AU$32:$AW$34,TRANSPOSE(O1160:Q1160))))</f>
        <v>0.19433265744543826</v>
      </c>
      <c r="T1160" s="36">
        <v>1.1074487455997191</v>
      </c>
      <c r="U1160" s="36">
        <v>0.56009815834970167</v>
      </c>
      <c r="V1160" s="35">
        <f t="shared" si="198"/>
        <v>5.7836675455963027E-3</v>
      </c>
      <c r="W1160" s="35">
        <f t="shared" si="199"/>
        <v>3.2959541914023179E-2</v>
      </c>
      <c r="X1160" s="35">
        <f t="shared" si="200"/>
        <v>1.6669465561674538E-2</v>
      </c>
      <c r="Y1160" s="32">
        <f t="shared" si="201"/>
        <v>-17200.048913848845</v>
      </c>
      <c r="Z1160" s="32">
        <f t="shared" si="194"/>
        <v>237061.50521661172</v>
      </c>
      <c r="AA1160" s="32">
        <f t="shared" si="195"/>
        <v>113138.99666019743</v>
      </c>
      <c r="AB1160" s="40">
        <f t="shared" si="202"/>
        <v>-5.1651728280868163E-2</v>
      </c>
      <c r="AC1160" s="40">
        <f t="shared" si="203"/>
        <v>0.71189544370673907</v>
      </c>
      <c r="AD1160" s="40">
        <f t="shared" si="204"/>
        <v>0.3397562845741291</v>
      </c>
      <c r="AE1160" s="40"/>
      <c r="AF1160" s="40"/>
      <c r="AG1160" s="40"/>
      <c r="AH1160" s="40"/>
      <c r="AI1160" s="40"/>
      <c r="AJ1160" s="40"/>
      <c r="AK1160" s="33">
        <f t="shared" si="196"/>
        <v>7192500</v>
      </c>
      <c r="AL1160" s="33">
        <f t="shared" si="197"/>
        <v>6787200</v>
      </c>
      <c r="AM1160" s="34"/>
      <c r="AN1160" s="33"/>
      <c r="AO1160" s="15" cm="1">
        <f t="array" ref="AO1160">SUMPRODUCT(I1160:K1160, TRANSPOSE($AY$5:$AY$7))</f>
        <v>-6.231144146848399E-3</v>
      </c>
      <c r="AP1160" s="22">
        <f t="shared" si="205"/>
        <v>11188897.433100086</v>
      </c>
      <c r="AQ1160" s="22">
        <f t="shared" si="206"/>
        <v>-70156.789820199832</v>
      </c>
      <c r="AR1160">
        <f t="shared" si="207"/>
        <v>0</v>
      </c>
      <c r="AS1160">
        <f t="shared" si="208"/>
        <v>0</v>
      </c>
      <c r="BJ1160">
        <f t="shared" si="209"/>
        <v>1.5598777191101777E-5</v>
      </c>
      <c r="BK1160">
        <f t="shared" si="211"/>
        <v>3.9489751791633179E-5</v>
      </c>
      <c r="BO1160">
        <f t="shared" si="212"/>
        <v>4.6697889129743041E-5</v>
      </c>
      <c r="BP1160">
        <f t="shared" si="210"/>
        <v>3.8999492525209392</v>
      </c>
    </row>
    <row r="1161" spans="1:68" x14ac:dyDescent="0.15">
      <c r="A1161" s="5">
        <v>45260</v>
      </c>
      <c r="B1161" s="1"/>
      <c r="C1161">
        <v>99.35</v>
      </c>
      <c r="D1161">
        <v>103.25</v>
      </c>
      <c r="E1161">
        <v>85.12</v>
      </c>
      <c r="G1161" s="3">
        <v>4.7625058065920902E-3</v>
      </c>
      <c r="I1161" s="15">
        <f t="shared" si="213"/>
        <v>2.2193079794209508E-3</v>
      </c>
      <c r="J1161" s="15">
        <f t="shared" si="214"/>
        <v>4.8661800486618006E-3</v>
      </c>
      <c r="K1161" s="15">
        <f t="shared" si="215"/>
        <v>3.3003300330033138E-3</v>
      </c>
      <c r="L1161" s="32">
        <f t="shared" si="189"/>
        <v>334489.32833741896</v>
      </c>
      <c r="M1161" s="15"/>
      <c r="N1161" s="32">
        <f t="shared" si="190"/>
        <v>-2980500</v>
      </c>
      <c r="O1161" s="34">
        <f t="shared" si="191"/>
        <v>-0.26511927124700596</v>
      </c>
      <c r="P1161" s="34">
        <f t="shared" si="192"/>
        <v>0.64289533062832938</v>
      </c>
      <c r="Q1161" s="34">
        <f t="shared" si="193"/>
        <v>0.60572259335132084</v>
      </c>
      <c r="R1161" s="35" cm="1">
        <f t="array" ref="R1161">SQRT(MMULT(O1161:Q1161, MMULT($AU$32:$AW$34,TRANSPOSE(O1161:Q1161))))</f>
        <v>1.2769635962614941E-2</v>
      </c>
      <c r="S1161" s="36" cm="1">
        <f t="array" ref="S1161:U1161">TRANSPOSE(MMULT($AU$32:$AW$34, TRANSPOSE(O1161:Q1161))/MMULT(O1161:Q1161, MMULT($AU$32:$AW$34,TRANSPOSE(O1161:Q1161))))</f>
        <v>0.19465151729207447</v>
      </c>
      <c r="T1161" s="36">
        <v>1.1080905296733745</v>
      </c>
      <c r="U1161" s="36">
        <v>0.56002474514660494</v>
      </c>
      <c r="V1161" s="35">
        <f t="shared" si="198"/>
        <v>5.7915156058597206E-3</v>
      </c>
      <c r="W1161" s="35">
        <f t="shared" si="199"/>
        <v>3.2969296538691871E-2</v>
      </c>
      <c r="X1161" s="35">
        <f t="shared" si="200"/>
        <v>1.6662557252597562E-2</v>
      </c>
      <c r="Y1161" s="32">
        <f t="shared" si="201"/>
        <v>-17261.612263264899</v>
      </c>
      <c r="Z1161" s="32">
        <f t="shared" si="194"/>
        <v>238285.59073339551</v>
      </c>
      <c r="AA1161" s="32">
        <f t="shared" si="195"/>
        <v>113465.34986728836</v>
      </c>
      <c r="AB1161" s="40">
        <f t="shared" si="202"/>
        <v>-5.1605868411598768E-2</v>
      </c>
      <c r="AC1161" s="40">
        <f t="shared" si="203"/>
        <v>0.71238622744048474</v>
      </c>
      <c r="AD1161" s="40">
        <f t="shared" si="204"/>
        <v>0.33921964097111407</v>
      </c>
      <c r="AE1161" s="40"/>
      <c r="AF1161" s="40"/>
      <c r="AG1161" s="40"/>
      <c r="AH1161" s="40"/>
      <c r="AI1161" s="40"/>
      <c r="AJ1161" s="40"/>
      <c r="AK1161" s="33">
        <f t="shared" si="196"/>
        <v>7227500</v>
      </c>
      <c r="AL1161" s="33">
        <f t="shared" si="197"/>
        <v>6809600</v>
      </c>
      <c r="AM1161" s="34"/>
      <c r="AN1161" s="33"/>
      <c r="AO1161" s="15" cm="1">
        <f t="array" ref="AO1161">SUMPRODUCT(I1161:K1161, TRANSPOSE($AY$5:$AY$7))</f>
        <v>4.7558329758303729E-3</v>
      </c>
      <c r="AP1161" s="22">
        <f t="shared" si="205"/>
        <v>11242109.960475607</v>
      </c>
      <c r="AQ1161" s="22">
        <f t="shared" si="206"/>
        <v>53212.527375521138</v>
      </c>
      <c r="AR1161">
        <f t="shared" si="207"/>
        <v>0</v>
      </c>
      <c r="AS1161">
        <f t="shared" si="208"/>
        <v>0</v>
      </c>
      <c r="BJ1161">
        <f t="shared" si="209"/>
        <v>2.2681461557823376E-5</v>
      </c>
      <c r="BK1161">
        <f t="shared" si="211"/>
        <v>3.8056293315601296E-5</v>
      </c>
      <c r="BO1161">
        <f t="shared" si="212"/>
        <v>4.4790241106491919E-5</v>
      </c>
      <c r="BP1161">
        <f t="shared" si="210"/>
        <v>3.83462513771918</v>
      </c>
    </row>
    <row r="1162" spans="1:68" x14ac:dyDescent="0.15">
      <c r="A1162" s="5">
        <v>45261</v>
      </c>
      <c r="B1162" s="1"/>
      <c r="C1162">
        <v>98.95</v>
      </c>
      <c r="D1162">
        <v>98.34</v>
      </c>
      <c r="E1162">
        <v>85.38</v>
      </c>
      <c r="G1162" s="3">
        <v>3.0438512141555104E-3</v>
      </c>
      <c r="I1162" s="15">
        <f t="shared" si="213"/>
        <v>-4.0261701056868793E-3</v>
      </c>
      <c r="J1162" s="15">
        <f t="shared" si="214"/>
        <v>-4.7554479418886166E-2</v>
      </c>
      <c r="K1162" s="15">
        <f t="shared" si="215"/>
        <v>3.0545112781953819E-3</v>
      </c>
      <c r="L1162" s="32">
        <f t="shared" si="189"/>
        <v>323630.50272740598</v>
      </c>
      <c r="M1162" s="15"/>
      <c r="N1162" s="32">
        <f t="shared" si="190"/>
        <v>-2968500</v>
      </c>
      <c r="O1162" s="34">
        <f t="shared" si="191"/>
        <v>-0.27149625329098465</v>
      </c>
      <c r="P1162" s="34">
        <f t="shared" si="192"/>
        <v>0.6295859553324844</v>
      </c>
      <c r="Q1162" s="34">
        <f t="shared" si="193"/>
        <v>0.62470204092260118</v>
      </c>
      <c r="R1162" s="35" cm="1">
        <f t="array" ref="R1162">SQRT(MMULT(O1162:Q1162, MMULT($AU$32:$AW$34,TRANSPOSE(O1162:Q1162))))</f>
        <v>1.2703409973703646E-2</v>
      </c>
      <c r="S1162" s="36" cm="1">
        <f t="array" ref="S1162:U1162">TRANSPOSE(MMULT($AU$32:$AW$34, TRANSPOSE(O1162:Q1162))/MMULT(O1162:Q1162, MMULT($AU$32:$AW$34,TRANSPOSE(O1162:Q1162))))</f>
        <v>0.19543797172730848</v>
      </c>
      <c r="T1162" s="36">
        <v>1.103198512499435</v>
      </c>
      <c r="U1162" s="36">
        <v>0.57387740743084681</v>
      </c>
      <c r="V1162" s="35">
        <f t="shared" si="198"/>
        <v>5.7847578227249669E-3</v>
      </c>
      <c r="W1162" s="35">
        <f t="shared" si="199"/>
        <v>3.2653512358918613E-2</v>
      </c>
      <c r="X1162" s="35">
        <f t="shared" si="200"/>
        <v>1.6986165956289691E-2</v>
      </c>
      <c r="Y1162" s="32">
        <f t="shared" si="201"/>
        <v>-17172.053596759066</v>
      </c>
      <c r="Z1162" s="32">
        <f t="shared" si="194"/>
        <v>224780.24837632396</v>
      </c>
      <c r="AA1162" s="32">
        <f t="shared" si="195"/>
        <v>116022.30794784111</v>
      </c>
      <c r="AB1162" s="40">
        <f t="shared" si="202"/>
        <v>-5.3060677074753641E-2</v>
      </c>
      <c r="AC1162" s="40">
        <f t="shared" si="203"/>
        <v>0.69455828941333253</v>
      </c>
      <c r="AD1162" s="40">
        <f t="shared" si="204"/>
        <v>0.35850238766142112</v>
      </c>
      <c r="AE1162" s="40"/>
      <c r="AF1162" s="40"/>
      <c r="AG1162" s="40"/>
      <c r="AH1162" s="40"/>
      <c r="AI1162" s="40"/>
      <c r="AJ1162" s="40"/>
      <c r="AK1162" s="33">
        <f t="shared" si="196"/>
        <v>6883800</v>
      </c>
      <c r="AL1162" s="33">
        <f t="shared" si="197"/>
        <v>6830400</v>
      </c>
      <c r="AM1162" s="34"/>
      <c r="AN1162" s="33"/>
      <c r="AO1162" s="15" cm="1">
        <f t="array" ref="AO1162">SUMPRODUCT(I1162:K1162, TRANSPOSE($AY$5:$AY$7))</f>
        <v>-2.7419889733565232E-2</v>
      </c>
      <c r="AP1162" s="22">
        <f t="shared" si="205"/>
        <v>10933852.544986751</v>
      </c>
      <c r="AQ1162" s="22">
        <f t="shared" si="206"/>
        <v>-308257.41548885591</v>
      </c>
      <c r="AR1162">
        <f t="shared" si="207"/>
        <v>0</v>
      </c>
      <c r="AS1162">
        <f t="shared" si="208"/>
        <v>0</v>
      </c>
      <c r="BJ1162">
        <f t="shared" si="209"/>
        <v>9.2650302139159743E-6</v>
      </c>
      <c r="BK1162">
        <f t="shared" si="211"/>
        <v>3.7133803410134622E-5</v>
      </c>
      <c r="BO1162">
        <f t="shared" si="212"/>
        <v>4.43026396476152E-5</v>
      </c>
      <c r="BP1162">
        <f t="shared" si="210"/>
        <v>3.9887293987615937</v>
      </c>
    </row>
    <row r="1163" spans="1:68" x14ac:dyDescent="0.15">
      <c r="A1163" s="5">
        <v>45264</v>
      </c>
      <c r="B1163" s="1"/>
      <c r="C1163">
        <v>99.97</v>
      </c>
      <c r="D1163">
        <v>99.6</v>
      </c>
      <c r="E1163">
        <v>86.14</v>
      </c>
      <c r="G1163" s="3">
        <v>5.9771461753663699E-3</v>
      </c>
      <c r="I1163" s="15">
        <f t="shared" si="213"/>
        <v>1.0308236483072218E-2</v>
      </c>
      <c r="J1163" s="15">
        <f t="shared" si="214"/>
        <v>1.2812690665039565E-2</v>
      </c>
      <c r="K1163" s="15">
        <f t="shared" si="215"/>
        <v>8.90138205668781E-3</v>
      </c>
      <c r="L1163" s="32">
        <f t="shared" si="189"/>
        <v>327366.61931624165</v>
      </c>
      <c r="M1163" s="15"/>
      <c r="N1163" s="32">
        <f t="shared" si="190"/>
        <v>-2999100</v>
      </c>
      <c r="O1163" s="34">
        <f t="shared" si="191"/>
        <v>-0.27133258731109544</v>
      </c>
      <c r="P1163" s="34">
        <f t="shared" si="192"/>
        <v>0.63076616275981379</v>
      </c>
      <c r="Q1163" s="34">
        <f t="shared" si="193"/>
        <v>0.62345607871635522</v>
      </c>
      <c r="R1163" s="35" cm="1">
        <f t="array" ref="R1163">SQRT(MMULT(O1163:Q1163, MMULT($AU$32:$AW$34,TRANSPOSE(O1163:Q1163))))</f>
        <v>1.2711285748866617E-2</v>
      </c>
      <c r="S1163" s="36" cm="1">
        <f t="array" ref="S1163:U1163">TRANSPOSE(MMULT($AU$32:$AW$34, TRANSPOSE(O1163:Q1163))/MMULT(O1163:Q1163, MMULT($AU$32:$AW$34,TRANSPOSE(O1163:Q1163))))</f>
        <v>0.19515695554562745</v>
      </c>
      <c r="T1163" s="36">
        <v>1.1033205006325992</v>
      </c>
      <c r="U1163" s="36">
        <v>0.57263890013993468</v>
      </c>
      <c r="V1163" s="35">
        <f t="shared" si="198"/>
        <v>5.7800212788190397E-3</v>
      </c>
      <c r="W1163" s="35">
        <f t="shared" si="199"/>
        <v>3.2677369623767848E-2</v>
      </c>
      <c r="X1163" s="35">
        <f t="shared" si="200"/>
        <v>1.6960015689087296E-2</v>
      </c>
      <c r="Y1163" s="32">
        <f t="shared" si="201"/>
        <v>-17334.86181730618</v>
      </c>
      <c r="Z1163" s="32">
        <f t="shared" si="194"/>
        <v>227826.62101690943</v>
      </c>
      <c r="AA1163" s="32">
        <f t="shared" si="195"/>
        <v>116874.86011663837</v>
      </c>
      <c r="AB1163" s="40">
        <f t="shared" si="202"/>
        <v>-5.2952441679951535E-2</v>
      </c>
      <c r="AC1163" s="40">
        <f t="shared" si="203"/>
        <v>0.69593723847826128</v>
      </c>
      <c r="AD1163" s="40">
        <f t="shared" si="204"/>
        <v>0.35701520320169022</v>
      </c>
      <c r="AE1163" s="40"/>
      <c r="AF1163" s="40"/>
      <c r="AG1163" s="40"/>
      <c r="AH1163" s="40"/>
      <c r="AI1163" s="40"/>
      <c r="AJ1163" s="40"/>
      <c r="AK1163" s="33">
        <f t="shared" si="196"/>
        <v>6972000</v>
      </c>
      <c r="AL1163" s="33">
        <f t="shared" si="197"/>
        <v>6891200</v>
      </c>
      <c r="AM1163" s="34"/>
      <c r="AN1163" s="33"/>
      <c r="AO1163" s="15" cm="1">
        <f t="array" ref="AO1163">SUMPRODUCT(I1163:K1163, TRANSPOSE($AY$5:$AY$7))</f>
        <v>1.0917647572071122E-2</v>
      </c>
      <c r="AP1163" s="22">
        <f t="shared" si="205"/>
        <v>11053224.493677909</v>
      </c>
      <c r="AQ1163" s="22">
        <f t="shared" si="206"/>
        <v>119371.94869115762</v>
      </c>
      <c r="AR1163">
        <f t="shared" si="207"/>
        <v>0</v>
      </c>
      <c r="AS1163">
        <f t="shared" si="208"/>
        <v>0</v>
      </c>
      <c r="BJ1163">
        <f t="shared" si="209"/>
        <v>3.5726276401696822E-5</v>
      </c>
      <c r="BK1163">
        <f t="shared" si="211"/>
        <v>3.5461677018361496E-5</v>
      </c>
      <c r="BO1163">
        <f t="shared" si="212"/>
        <v>4.2009404706001279E-5</v>
      </c>
      <c r="BP1163">
        <f t="shared" si="210"/>
        <v>3.6946523894704439</v>
      </c>
    </row>
    <row r="1164" spans="1:68" x14ac:dyDescent="0.15">
      <c r="A1164" s="5">
        <v>45265</v>
      </c>
      <c r="B1164" s="1"/>
      <c r="C1164">
        <v>99.62</v>
      </c>
      <c r="D1164">
        <v>99.06</v>
      </c>
      <c r="E1164">
        <v>85.06</v>
      </c>
      <c r="G1164" s="3">
        <v>1.12941916777375E-3</v>
      </c>
      <c r="I1164" s="15">
        <f t="shared" si="213"/>
        <v>-3.5010503150944717E-3</v>
      </c>
      <c r="J1164" s="15">
        <f t="shared" si="214"/>
        <v>-5.4216867469878719E-3</v>
      </c>
      <c r="K1164" s="15">
        <f t="shared" si="215"/>
        <v>-1.2537729277919647E-2</v>
      </c>
      <c r="L1164" s="32">
        <f t="shared" ref="L1164:L1227" si="216">2.33*R1164*AP1164</f>
        <v>324728.44378862565</v>
      </c>
      <c r="M1164" s="15"/>
      <c r="N1164" s="32">
        <f t="shared" ref="N1164:N1227" si="217">C1164*$AV$5</f>
        <v>-2988600</v>
      </c>
      <c r="O1164" s="34">
        <f t="shared" ref="O1164:O1227" si="218">N1164/AP1164</f>
        <v>-0.27350699556374614</v>
      </c>
      <c r="P1164" s="34">
        <f t="shared" ref="P1164:P1227" si="219">AK1164/AP1164</f>
        <v>0.63459553256980816</v>
      </c>
      <c r="Q1164" s="34">
        <f t="shared" ref="Q1164:Q1227" si="220">AL1164/AP1164</f>
        <v>0.62275326353884086</v>
      </c>
      <c r="R1164" s="35" cm="1">
        <f t="array" ref="R1164">SQRT(MMULT(O1164:Q1164, MMULT($AU$32:$AW$34,TRANSPOSE(O1164:Q1164))))</f>
        <v>1.2754547543141453E-2</v>
      </c>
      <c r="S1164" s="36" cm="1">
        <f t="array" ref="S1164:U1164">TRANSPOSE(MMULT($AU$32:$AW$34, TRANSPOSE(O1164:Q1164))/MMULT(O1164:Q1164, MMULT($AU$32:$AW$34,TRANSPOSE(O1164:Q1164))))</f>
        <v>0.19286367920041708</v>
      </c>
      <c r="T1164" s="36">
        <v>1.100966431789308</v>
      </c>
      <c r="U1164" s="36">
        <v>0.56857379488718651</v>
      </c>
      <c r="V1164" s="35">
        <f t="shared" si="198"/>
        <v>5.7315412900970798E-3</v>
      </c>
      <c r="W1164" s="35">
        <f t="shared" si="199"/>
        <v>3.2718625865546705E-2</v>
      </c>
      <c r="X1164" s="35">
        <f t="shared" si="200"/>
        <v>1.6896930491908036E-2</v>
      </c>
      <c r="Y1164" s="32">
        <f t="shared" si="201"/>
        <v>-17129.284299584131</v>
      </c>
      <c r="Z1164" s="32">
        <f t="shared" ref="Z1164:Z1227" si="221">W1164*AK1164</f>
        <v>226877.49547687397</v>
      </c>
      <c r="AA1164" s="32">
        <f t="shared" ref="AA1164:AA1227" si="222">X1164*AL1164</f>
        <v>114980.2326113358</v>
      </c>
      <c r="AB1164" s="40">
        <f t="shared" si="202"/>
        <v>-5.2749565451476237E-2</v>
      </c>
      <c r="AC1164" s="40">
        <f t="shared" si="203"/>
        <v>0.69866837912281732</v>
      </c>
      <c r="AD1164" s="40">
        <f t="shared" si="204"/>
        <v>0.35408118632865893</v>
      </c>
      <c r="AE1164" s="40"/>
      <c r="AF1164" s="40"/>
      <c r="AG1164" s="40"/>
      <c r="AH1164" s="40"/>
      <c r="AI1164" s="40"/>
      <c r="AJ1164" s="40"/>
      <c r="AK1164" s="33">
        <f t="shared" ref="AK1164:AK1227" si="223">D1164*$AV$6</f>
        <v>6934200</v>
      </c>
      <c r="AL1164" s="33">
        <f t="shared" ref="AL1164:AL1227" si="224">E1164*$AV$7</f>
        <v>6804800</v>
      </c>
      <c r="AM1164" s="34"/>
      <c r="AN1164" s="33"/>
      <c r="AO1164" s="15" cm="1">
        <f t="array" ref="AO1164">SUMPRODUCT(I1164:K1164, TRANSPOSE($AY$5:$AY$7))</f>
        <v>-1.1423317661443371E-2</v>
      </c>
      <c r="AP1164" s="22">
        <f t="shared" si="205"/>
        <v>10926959.99910338</v>
      </c>
      <c r="AQ1164" s="22">
        <f t="shared" si="206"/>
        <v>-126264.49457452819</v>
      </c>
      <c r="AR1164">
        <f t="shared" si="207"/>
        <v>0</v>
      </c>
      <c r="AS1164">
        <f t="shared" si="208"/>
        <v>0</v>
      </c>
      <c r="BJ1164">
        <f t="shared" si="209"/>
        <v>1.2755876565347499E-6</v>
      </c>
      <c r="BK1164">
        <f t="shared" si="211"/>
        <v>3.5477552981361615E-5</v>
      </c>
      <c r="BO1164">
        <f t="shared" si="212"/>
        <v>4.3979255468839842E-5</v>
      </c>
      <c r="BP1164">
        <f t="shared" si="210"/>
        <v>4.0824555661554953</v>
      </c>
    </row>
    <row r="1165" spans="1:68" x14ac:dyDescent="0.15">
      <c r="A1165" s="5">
        <v>45266</v>
      </c>
      <c r="B1165" s="1"/>
      <c r="C1165">
        <v>99.4</v>
      </c>
      <c r="D1165">
        <v>98.76</v>
      </c>
      <c r="E1165">
        <v>84.89</v>
      </c>
      <c r="G1165" s="3">
        <v>3.3573699427795699E-3</v>
      </c>
      <c r="I1165" s="15">
        <f t="shared" si="213"/>
        <v>-2.2083918891788682E-3</v>
      </c>
      <c r="J1165" s="15">
        <f t="shared" si="214"/>
        <v>-3.0284675953967007E-3</v>
      </c>
      <c r="K1165" s="15">
        <f t="shared" si="215"/>
        <v>-1.9985892311309866E-3</v>
      </c>
      <c r="L1165" s="32">
        <f t="shared" si="216"/>
        <v>323849.40541081893</v>
      </c>
      <c r="M1165" s="15"/>
      <c r="N1165" s="32">
        <f t="shared" si="217"/>
        <v>-2982000</v>
      </c>
      <c r="O1165" s="34">
        <f t="shared" si="218"/>
        <v>-0.27361241387170537</v>
      </c>
      <c r="P1165" s="34">
        <f t="shared" si="219"/>
        <v>0.6343183566659536</v>
      </c>
      <c r="Q1165" s="34">
        <f t="shared" si="220"/>
        <v>0.62312428741969339</v>
      </c>
      <c r="R1165" s="35" cm="1">
        <f t="array" ref="R1165">SQRT(MMULT(O1165:Q1165, MMULT($AU$32:$AW$34,TRANSPOSE(O1165:Q1165))))</f>
        <v>1.2753087559026648E-2</v>
      </c>
      <c r="S1165" s="36" cm="1">
        <f t="array" ref="S1165:U1165">TRANSPOSE(MMULT($AU$32:$AW$34, TRANSPOSE(O1165:Q1165))/MMULT(O1165:Q1165, MMULT($AU$32:$AW$34,TRANSPOSE(O1165:Q1165))))</f>
        <v>0.19289430873247562</v>
      </c>
      <c r="T1165" s="36">
        <v>1.1008778099188861</v>
      </c>
      <c r="U1165" s="36">
        <v>0.56886127103869</v>
      </c>
      <c r="V1165" s="35">
        <f t="shared" ref="V1165:V1228" si="225">(L1165/AP1165)*S1165</f>
        <v>5.7317953607444096E-3</v>
      </c>
      <c r="W1165" s="35">
        <f t="shared" ref="W1165:W1228" si="226">(L1165/AP1165)*T1165</f>
        <v>3.2712247266926162E-2</v>
      </c>
      <c r="X1165" s="35">
        <f t="shared" ref="X1165:X1228" si="227">(L1165/AP1165)*U1165</f>
        <v>1.6903538604494756E-2</v>
      </c>
      <c r="Y1165" s="32">
        <f t="shared" ref="Y1165:Y1228" si="228">(V1165*N1165)</f>
        <v>-17092.213765739831</v>
      </c>
      <c r="Z1165" s="32">
        <f t="shared" si="221"/>
        <v>226146.30780571394</v>
      </c>
      <c r="AA1165" s="32">
        <f t="shared" si="222"/>
        <v>114795.31137084478</v>
      </c>
      <c r="AB1165" s="40">
        <f t="shared" ref="AB1165:AB1228" si="229">Y1165/L1165</f>
        <v>-5.2778277434406634E-2</v>
      </c>
      <c r="AC1165" s="40">
        <f t="shared" ref="AC1165:AC1228" si="230">Z1165/L1165</f>
        <v>0.69830700327776174</v>
      </c>
      <c r="AD1165" s="40">
        <f t="shared" ref="AD1165:AD1228" si="231">AA1165/L1165</f>
        <v>0.3544712741566447</v>
      </c>
      <c r="AE1165" s="40"/>
      <c r="AF1165" s="40"/>
      <c r="AG1165" s="40"/>
      <c r="AH1165" s="40"/>
      <c r="AI1165" s="40"/>
      <c r="AJ1165" s="40"/>
      <c r="AK1165" s="33">
        <f t="shared" si="223"/>
        <v>6913200</v>
      </c>
      <c r="AL1165" s="33">
        <f t="shared" si="224"/>
        <v>6791200</v>
      </c>
      <c r="AM1165" s="34"/>
      <c r="AN1165" s="33"/>
      <c r="AO1165" s="15" cm="1">
        <f t="array" ref="AO1165">SUMPRODUCT(I1165:K1165, TRANSPOSE($AY$5:$AY$7))</f>
        <v>-2.5928243845271051E-3</v>
      </c>
      <c r="AP1165" s="22">
        <f t="shared" si="205"/>
        <v>10898628.310768953</v>
      </c>
      <c r="AQ1165" s="22">
        <f t="shared" si="206"/>
        <v>-28331.688334427774</v>
      </c>
      <c r="AR1165">
        <f t="shared" si="207"/>
        <v>0</v>
      </c>
      <c r="AS1165">
        <f t="shared" si="208"/>
        <v>0</v>
      </c>
      <c r="BJ1165">
        <f t="shared" si="209"/>
        <v>1.1271932932679693E-5</v>
      </c>
      <c r="BK1165">
        <f t="shared" si="211"/>
        <v>3.3425435061871999E-5</v>
      </c>
      <c r="BO1165">
        <f t="shared" si="212"/>
        <v>4.0617891088258338E-5</v>
      </c>
      <c r="BP1165">
        <f t="shared" si="210"/>
        <v>3.9979566644824112</v>
      </c>
    </row>
    <row r="1166" spans="1:68" x14ac:dyDescent="0.15">
      <c r="A1166" s="5">
        <v>45267</v>
      </c>
      <c r="B1166" s="1"/>
      <c r="C1166">
        <v>98.67</v>
      </c>
      <c r="D1166">
        <v>98.66</v>
      </c>
      <c r="E1166">
        <v>84.25</v>
      </c>
      <c r="G1166" s="3">
        <v>-3.04696448935593E-3</v>
      </c>
      <c r="I1166" s="15">
        <f t="shared" si="213"/>
        <v>-7.3440643863179472E-3</v>
      </c>
      <c r="J1166" s="15">
        <f t="shared" si="214"/>
        <v>-1.0125556905630673E-3</v>
      </c>
      <c r="K1166" s="15">
        <f t="shared" si="215"/>
        <v>-7.5391683354929977E-3</v>
      </c>
      <c r="L1166" s="32">
        <f t="shared" si="216"/>
        <v>322881.40719956881</v>
      </c>
      <c r="M1166" s="15"/>
      <c r="N1166" s="32">
        <f t="shared" si="217"/>
        <v>-2960100</v>
      </c>
      <c r="O1166" s="34">
        <f t="shared" si="218"/>
        <v>-0.2725093605071271</v>
      </c>
      <c r="P1166" s="34">
        <f t="shared" si="219"/>
        <v>0.63579073191254387</v>
      </c>
      <c r="Q1166" s="34">
        <f t="shared" si="220"/>
        <v>0.62049021648526625</v>
      </c>
      <c r="R1166" s="35" cm="1">
        <f t="array" ref="R1166">SQRT(MMULT(O1166:Q1166, MMULT($AU$32:$AW$34,TRANSPOSE(O1166:Q1166))))</f>
        <v>1.275739956523273E-2</v>
      </c>
      <c r="S1166" s="36" cm="1">
        <f t="array" ref="S1166:U1166">TRANSPOSE(MMULT($AU$32:$AW$34, TRANSPOSE(O1166:Q1166))/MMULT(O1166:Q1166, MMULT($AU$32:$AW$34,TRANSPOSE(O1166:Q1166))))</f>
        <v>0.19300835149966608</v>
      </c>
      <c r="T1166" s="36">
        <v>1.1018803637558729</v>
      </c>
      <c r="U1166" s="36">
        <v>0.56734377131901381</v>
      </c>
      <c r="V1166" s="35">
        <f t="shared" si="225"/>
        <v>5.7371232566539344E-3</v>
      </c>
      <c r="W1166" s="35">
        <f t="shared" si="226"/>
        <v>3.2753108411296146E-2</v>
      </c>
      <c r="X1166" s="35">
        <f t="shared" si="227"/>
        <v>1.6864146653041055E-2</v>
      </c>
      <c r="Y1166" s="32">
        <f t="shared" si="228"/>
        <v>-16982.458552021311</v>
      </c>
      <c r="Z1166" s="32">
        <f t="shared" si="221"/>
        <v>226199.51731009345</v>
      </c>
      <c r="AA1166" s="32">
        <f t="shared" si="222"/>
        <v>113664.34844149671</v>
      </c>
      <c r="AB1166" s="40">
        <f t="shared" si="229"/>
        <v>-5.2596582439708814E-2</v>
      </c>
      <c r="AC1166" s="40">
        <f t="shared" si="230"/>
        <v>0.7005653229524067</v>
      </c>
      <c r="AD1166" s="40">
        <f t="shared" si="231"/>
        <v>0.35203125948730224</v>
      </c>
      <c r="AE1166" s="40"/>
      <c r="AF1166" s="40"/>
      <c r="AG1166" s="40"/>
      <c r="AH1166" s="40"/>
      <c r="AI1166" s="40"/>
      <c r="AJ1166" s="40"/>
      <c r="AK1166" s="33">
        <f t="shared" si="223"/>
        <v>6906200</v>
      </c>
      <c r="AL1166" s="33">
        <f t="shared" si="224"/>
        <v>6740000</v>
      </c>
      <c r="AM1166" s="34"/>
      <c r="AN1166" s="33"/>
      <c r="AO1166" s="15" cm="1">
        <f t="array" ref="AO1166">SUMPRODUCT(I1166:K1166, TRANSPOSE($AY$5:$AY$7))</f>
        <v>-3.3260282072683526E-3</v>
      </c>
      <c r="AP1166" s="22">
        <f t="shared" ref="AP1166:AP1229" si="232">AP1165 * (1 + AO1166)</f>
        <v>10862379.165586801</v>
      </c>
      <c r="AQ1166" s="22">
        <f t="shared" ref="AQ1166:AQ1229" si="233">AP1166 - AP1165</f>
        <v>-36249.145182151347</v>
      </c>
      <c r="AR1166">
        <f t="shared" ref="AR1166:AR1229" si="234">IF(-AQ1166 &gt; L1166, 1, 0)</f>
        <v>0</v>
      </c>
      <c r="AS1166">
        <f t="shared" ref="AS1166:AS1229" si="235">IF(-AQ1166 &gt; L1165, 1, 0)</f>
        <v>0</v>
      </c>
      <c r="BJ1166">
        <f t="shared" si="209"/>
        <v>9.2839925993960441E-6</v>
      </c>
      <c r="BK1166">
        <f t="shared" si="211"/>
        <v>3.2096224934120455E-5</v>
      </c>
      <c r="BO1166">
        <f t="shared" si="212"/>
        <v>3.9404989446618453E-5</v>
      </c>
      <c r="BP1166">
        <f t="shared" si="210"/>
        <v>4.0340682767870133</v>
      </c>
    </row>
    <row r="1167" spans="1:68" x14ac:dyDescent="0.15">
      <c r="A1167" s="5">
        <v>45268</v>
      </c>
      <c r="B1167" s="1"/>
      <c r="C1167">
        <v>99.38</v>
      </c>
      <c r="D1167">
        <v>98.88</v>
      </c>
      <c r="E1167">
        <v>84.72</v>
      </c>
      <c r="G1167" s="3">
        <v>9.4517139889551613E-3</v>
      </c>
      <c r="I1167" s="15">
        <f t="shared" si="213"/>
        <v>7.1957028478766977E-3</v>
      </c>
      <c r="J1167" s="15">
        <f t="shared" si="214"/>
        <v>2.229880397324132E-3</v>
      </c>
      <c r="K1167" s="15">
        <f t="shared" si="215"/>
        <v>5.5786350148367822E-3</v>
      </c>
      <c r="L1167" s="32">
        <f t="shared" si="216"/>
        <v>323897.9758817344</v>
      </c>
      <c r="M1167" s="15"/>
      <c r="N1167" s="32">
        <f t="shared" si="217"/>
        <v>-2981400</v>
      </c>
      <c r="O1167" s="34">
        <f t="shared" si="218"/>
        <v>-0.27372030830963284</v>
      </c>
      <c r="P1167" s="34">
        <f t="shared" si="219"/>
        <v>0.63546739316963663</v>
      </c>
      <c r="Q1167" s="34">
        <f t="shared" si="220"/>
        <v>0.62224685100938071</v>
      </c>
      <c r="R1167" s="35" cm="1">
        <f t="array" ref="R1167">SQRT(MMULT(O1167:Q1167, MMULT($AU$32:$AW$34,TRANSPOSE(O1167:Q1167))))</f>
        <v>1.2762597895106219E-2</v>
      </c>
      <c r="S1167" s="36" cm="1">
        <f t="array" ref="S1167:U1167">TRANSPOSE(MMULT($AU$32:$AW$34, TRANSPOSE(O1167:Q1167))/MMULT(O1167:Q1167, MMULT($AU$32:$AW$34,TRANSPOSE(O1167:Q1167))))</f>
        <v>0.19248807730191059</v>
      </c>
      <c r="T1167" s="36">
        <v>1.1007088035302688</v>
      </c>
      <c r="U1167" s="36">
        <v>0.56765790180179287</v>
      </c>
      <c r="V1167" s="35">
        <f t="shared" si="225"/>
        <v>5.7239896773809296E-3</v>
      </c>
      <c r="W1167" s="35">
        <f t="shared" si="226"/>
        <v>3.2731615991610487E-2</v>
      </c>
      <c r="X1167" s="35">
        <f t="shared" si="227"/>
        <v>1.6880359634435023E-2</v>
      </c>
      <c r="Y1167" s="32">
        <f t="shared" si="228"/>
        <v>-17065.502824143503</v>
      </c>
      <c r="Z1167" s="32">
        <f t="shared" si="221"/>
        <v>226555.15324753115</v>
      </c>
      <c r="AA1167" s="32">
        <f t="shared" si="222"/>
        <v>114408.32545834681</v>
      </c>
      <c r="AB1167" s="40">
        <f t="shared" si="229"/>
        <v>-5.2687895865007411E-2</v>
      </c>
      <c r="AC1167" s="40">
        <f t="shared" si="230"/>
        <v>0.6994645540182497</v>
      </c>
      <c r="AD1167" s="40">
        <f t="shared" si="231"/>
        <v>0.35322334184675785</v>
      </c>
      <c r="AE1167" s="40"/>
      <c r="AF1167" s="40"/>
      <c r="AG1167" s="40"/>
      <c r="AH1167" s="40"/>
      <c r="AI1167" s="40"/>
      <c r="AJ1167" s="40"/>
      <c r="AK1167" s="33">
        <f t="shared" si="223"/>
        <v>6921600</v>
      </c>
      <c r="AL1167" s="33">
        <f t="shared" si="224"/>
        <v>6777600</v>
      </c>
      <c r="AM1167" s="34"/>
      <c r="AN1167" s="33"/>
      <c r="AO1167" s="15" cm="1">
        <f t="array" ref="AO1167">SUMPRODUCT(I1167:K1167, TRANSPOSE($AY$5:$AY$7))</f>
        <v>2.7398353582158003E-3</v>
      </c>
      <c r="AP1167" s="22">
        <f t="shared" si="232"/>
        <v>10892140.296099022</v>
      </c>
      <c r="AQ1167" s="22">
        <f t="shared" si="233"/>
        <v>29761.130512220785</v>
      </c>
      <c r="AR1167">
        <f t="shared" si="234"/>
        <v>0</v>
      </c>
      <c r="AS1167">
        <f t="shared" si="235"/>
        <v>0</v>
      </c>
      <c r="BJ1167">
        <f t="shared" si="209"/>
        <v>8.9334897329010693E-5</v>
      </c>
      <c r="BK1167">
        <f t="shared" si="211"/>
        <v>3.0727490994036992E-5</v>
      </c>
      <c r="BO1167">
        <f t="shared" si="212"/>
        <v>3.8170492251711766E-5</v>
      </c>
      <c r="BP1167">
        <f t="shared" si="210"/>
        <v>2.9975764927380615</v>
      </c>
    </row>
    <row r="1168" spans="1:68" x14ac:dyDescent="0.15">
      <c r="A1168" s="5">
        <v>45271</v>
      </c>
      <c r="B1168" s="1"/>
      <c r="C1168">
        <v>99.02</v>
      </c>
      <c r="D1168">
        <v>99.1</v>
      </c>
      <c r="E1168">
        <v>85.58</v>
      </c>
      <c r="G1168" s="3">
        <v>5.2917619344803298E-3</v>
      </c>
      <c r="I1168" s="15">
        <f t="shared" si="213"/>
        <v>-3.6224592473334621E-3</v>
      </c>
      <c r="J1168" s="15">
        <f t="shared" si="214"/>
        <v>2.2249190938511214E-3</v>
      </c>
      <c r="K1168" s="15">
        <f t="shared" si="215"/>
        <v>1.015108593012275E-2</v>
      </c>
      <c r="L1168" s="32">
        <f t="shared" si="216"/>
        <v>325627.97729750286</v>
      </c>
      <c r="M1168" s="15"/>
      <c r="N1168" s="32">
        <f t="shared" si="217"/>
        <v>-2970600</v>
      </c>
      <c r="O1168" s="34">
        <f t="shared" si="218"/>
        <v>-0.26992909607000554</v>
      </c>
      <c r="P1168" s="34">
        <f t="shared" si="219"/>
        <v>0.6303434119159862</v>
      </c>
      <c r="Q1168" s="34">
        <f t="shared" si="220"/>
        <v>0.62211087434649093</v>
      </c>
      <c r="R1168" s="35" cm="1">
        <f t="array" ref="R1168">SQRT(MMULT(O1168:Q1168, MMULT($AU$32:$AW$34,TRANSPOSE(O1168:Q1168))))</f>
        <v>1.269905236800173E-2</v>
      </c>
      <c r="S1168" s="36" cm="1">
        <f t="array" ref="S1168:U1168">TRANSPOSE(MMULT($AU$32:$AW$34, TRANSPOSE(O1168:Q1168))/MMULT(O1168:Q1168, MMULT($AU$32:$AW$34,TRANSPOSE(O1168:Q1168))))</f>
        <v>0.19601369557704681</v>
      </c>
      <c r="T1168" s="36">
        <v>1.104742490909709</v>
      </c>
      <c r="U1168" s="36">
        <v>0.57311753154998246</v>
      </c>
      <c r="V1168" s="35">
        <f t="shared" si="225"/>
        <v>5.7998084709998269E-3</v>
      </c>
      <c r="W1168" s="35">
        <f t="shared" si="226"/>
        <v>3.2687995796360426E-2</v>
      </c>
      <c r="X1168" s="35">
        <f t="shared" si="227"/>
        <v>1.6957855442583346E-2</v>
      </c>
      <c r="Y1168" s="32">
        <f t="shared" si="228"/>
        <v>-17228.911043952085</v>
      </c>
      <c r="Z1168" s="32">
        <f t="shared" si="221"/>
        <v>226756.62683935228</v>
      </c>
      <c r="AA1168" s="32">
        <f t="shared" si="222"/>
        <v>116100.26150210261</v>
      </c>
      <c r="AB1168" s="40">
        <f t="shared" si="229"/>
        <v>-5.2909799664453486E-2</v>
      </c>
      <c r="AC1168" s="40">
        <f t="shared" si="230"/>
        <v>0.69636715100859115</v>
      </c>
      <c r="AD1168" s="40">
        <f t="shared" si="231"/>
        <v>0.35654264865586216</v>
      </c>
      <c r="AE1168" s="40"/>
      <c r="AF1168" s="40"/>
      <c r="AG1168" s="40"/>
      <c r="AH1168" s="40"/>
      <c r="AI1168" s="40"/>
      <c r="AJ1168" s="40"/>
      <c r="AK1168" s="33">
        <f t="shared" si="223"/>
        <v>6937000</v>
      </c>
      <c r="AL1168" s="33">
        <f t="shared" si="224"/>
        <v>6846400</v>
      </c>
      <c r="AM1168" s="34"/>
      <c r="AN1168" s="33"/>
      <c r="AO1168" s="15" cm="1">
        <f t="array" ref="AO1168">SUMPRODUCT(I1168:K1168, TRANSPOSE($AY$5:$AY$7))</f>
        <v>1.0371877720370112E-2</v>
      </c>
      <c r="AP1168" s="22">
        <f t="shared" si="232"/>
        <v>11005112.243363276</v>
      </c>
      <c r="AQ1168" s="22">
        <f t="shared" si="233"/>
        <v>112971.94726425409</v>
      </c>
      <c r="AR1168">
        <f t="shared" si="234"/>
        <v>0</v>
      </c>
      <c r="AS1168">
        <f t="shared" si="235"/>
        <v>0</v>
      </c>
      <c r="BJ1168">
        <f t="shared" si="209"/>
        <v>2.8002744371215004E-5</v>
      </c>
      <c r="BK1168">
        <f t="shared" si="211"/>
        <v>3.4243935374135417E-5</v>
      </c>
      <c r="BO1168">
        <f t="shared" si="212"/>
        <v>4.8603043765691695E-5</v>
      </c>
      <c r="BP1168">
        <f t="shared" si="210"/>
        <v>3.758897630841866</v>
      </c>
    </row>
    <row r="1169" spans="1:68" x14ac:dyDescent="0.15">
      <c r="A1169" s="5">
        <v>45272</v>
      </c>
      <c r="B1169" s="1"/>
      <c r="C1169">
        <v>98.94</v>
      </c>
      <c r="D1169">
        <v>99.94</v>
      </c>
      <c r="E1169">
        <v>85.93</v>
      </c>
      <c r="G1169" s="3">
        <v>1.87433514278967E-3</v>
      </c>
      <c r="I1169" s="15">
        <f t="shared" si="213"/>
        <v>-8.0791759240555745E-4</v>
      </c>
      <c r="J1169" s="15">
        <f t="shared" si="214"/>
        <v>8.4762865792129514E-3</v>
      </c>
      <c r="K1169" s="15">
        <f t="shared" si="215"/>
        <v>4.0897405935967348E-3</v>
      </c>
      <c r="L1169" s="32">
        <f t="shared" si="216"/>
        <v>328039.46207735001</v>
      </c>
      <c r="M1169" s="15"/>
      <c r="N1169" s="32">
        <f t="shared" si="217"/>
        <v>-2968200</v>
      </c>
      <c r="O1169" s="34">
        <f t="shared" si="218"/>
        <v>-0.26733064613573077</v>
      </c>
      <c r="P1169" s="34">
        <f t="shared" si="219"/>
        <v>0.63007605088482754</v>
      </c>
      <c r="Q1169" s="34">
        <f t="shared" si="220"/>
        <v>0.61914217161763618</v>
      </c>
      <c r="R1169" s="35" cm="1">
        <f t="array" ref="R1169">SQRT(MMULT(O1169:Q1169, MMULT($AU$32:$AW$34,TRANSPOSE(O1169:Q1169))))</f>
        <v>1.2680189891990365E-2</v>
      </c>
      <c r="S1169" s="36" cm="1">
        <f t="array" ref="S1169:U1169">TRANSPOSE(MMULT($AU$32:$AW$34, TRANSPOSE(O1169:Q1169))/MMULT(O1169:Q1169, MMULT($AU$32:$AW$34,TRANSPOSE(O1169:Q1169))))</f>
        <v>0.19744123708091327</v>
      </c>
      <c r="T1169" s="36">
        <v>1.1073777027845044</v>
      </c>
      <c r="U1169" s="36">
        <v>0.57345459564911361</v>
      </c>
      <c r="V1169" s="35">
        <f t="shared" si="225"/>
        <v>5.8333702423604451E-3</v>
      </c>
      <c r="W1169" s="35">
        <f t="shared" si="226"/>
        <v>3.2717299759570155E-2</v>
      </c>
      <c r="X1169" s="35">
        <f t="shared" si="227"/>
        <v>1.6942625679728179E-2</v>
      </c>
      <c r="Y1169" s="32">
        <f t="shared" si="228"/>
        <v>-17314.609553374274</v>
      </c>
      <c r="Z1169" s="32">
        <f t="shared" si="221"/>
        <v>228883.6856580009</v>
      </c>
      <c r="AA1169" s="32">
        <f t="shared" si="222"/>
        <v>116470.38597272341</v>
      </c>
      <c r="AB1169" s="40">
        <f t="shared" si="229"/>
        <v>-5.2782093482678552E-2</v>
      </c>
      <c r="AC1169" s="40">
        <f t="shared" si="230"/>
        <v>0.69773216980837294</v>
      </c>
      <c r="AD1169" s="40">
        <f t="shared" si="231"/>
        <v>0.35504992367430566</v>
      </c>
      <c r="AE1169" s="40"/>
      <c r="AF1169" s="40"/>
      <c r="AG1169" s="40"/>
      <c r="AH1169" s="40"/>
      <c r="AI1169" s="40"/>
      <c r="AJ1169" s="40"/>
      <c r="AK1169" s="33">
        <f t="shared" si="223"/>
        <v>6995800</v>
      </c>
      <c r="AL1169" s="33">
        <f t="shared" si="224"/>
        <v>6874400.0000000009</v>
      </c>
      <c r="AM1169" s="34"/>
      <c r="AN1169" s="33"/>
      <c r="AO1169" s="15" cm="1">
        <f t="array" ref="AO1169">SUMPRODUCT(I1169:K1169, TRANSPOSE($AY$5:$AY$7))</f>
        <v>8.9042146991599909E-3</v>
      </c>
      <c r="AP1169" s="22">
        <f t="shared" si="232"/>
        <v>11103104.125566537</v>
      </c>
      <c r="AQ1169" s="22">
        <f t="shared" si="233"/>
        <v>97991.882203260437</v>
      </c>
      <c r="AR1169">
        <f t="shared" si="234"/>
        <v>0</v>
      </c>
      <c r="AS1169">
        <f t="shared" si="235"/>
        <v>0</v>
      </c>
      <c r="BJ1169">
        <f t="shared" si="209"/>
        <v>3.5131322274963727E-6</v>
      </c>
      <c r="BK1169">
        <f t="shared" si="211"/>
        <v>3.3869463913960195E-5</v>
      </c>
      <c r="BO1169">
        <f t="shared" si="212"/>
        <v>4.8051179397718372E-5</v>
      </c>
      <c r="BP1169">
        <f t="shared" si="210"/>
        <v>4.0161272557773122</v>
      </c>
    </row>
    <row r="1170" spans="1:68" x14ac:dyDescent="0.15">
      <c r="A1170" s="5">
        <v>45273</v>
      </c>
      <c r="B1170" s="1"/>
      <c r="C1170">
        <v>98.43</v>
      </c>
      <c r="D1170">
        <v>100.45</v>
      </c>
      <c r="E1170">
        <v>86.71</v>
      </c>
      <c r="G1170" s="3">
        <v>3.3799043549469499E-3</v>
      </c>
      <c r="I1170" s="15">
        <f t="shared" si="213"/>
        <v>-5.1546391752576399E-3</v>
      </c>
      <c r="J1170" s="15">
        <f t="shared" si="214"/>
        <v>5.1030618371023127E-3</v>
      </c>
      <c r="K1170" s="15">
        <f t="shared" si="215"/>
        <v>9.0771558245081683E-3</v>
      </c>
      <c r="L1170" s="32">
        <f t="shared" si="216"/>
        <v>330355.91959684674</v>
      </c>
      <c r="M1170" s="15"/>
      <c r="N1170" s="32">
        <f t="shared" si="217"/>
        <v>-2952900</v>
      </c>
      <c r="O1170" s="34">
        <f t="shared" si="218"/>
        <v>-0.26277922450795399</v>
      </c>
      <c r="P1170" s="34">
        <f t="shared" si="219"/>
        <v>0.62573474114520589</v>
      </c>
      <c r="Q1170" s="34">
        <f t="shared" si="220"/>
        <v>0.61730736718709567</v>
      </c>
      <c r="R1170" s="35" cm="1">
        <f t="array" ref="R1170">SQRT(MMULT(O1170:Q1170, MMULT($AU$32:$AW$34,TRANSPOSE(O1170:Q1170))))</f>
        <v>1.2617358968316355E-2</v>
      </c>
      <c r="S1170" s="36" cm="1">
        <f t="array" ref="S1170:U1170">TRANSPOSE(MMULT($AU$32:$AW$34, TRANSPOSE(O1170:Q1170))/MMULT(O1170:Q1170, MMULT($AU$32:$AW$34,TRANSPOSE(O1170:Q1170))))</f>
        <v>0.20118290587342821</v>
      </c>
      <c r="T1170" s="36">
        <v>1.1122347311751377</v>
      </c>
      <c r="U1170" s="36">
        <v>0.578160565313523</v>
      </c>
      <c r="V1170" s="35">
        <f t="shared" si="225"/>
        <v>5.9144648741471248E-3</v>
      </c>
      <c r="W1170" s="35">
        <f t="shared" si="226"/>
        <v>3.2697973124418744E-2</v>
      </c>
      <c r="X1170" s="35">
        <f t="shared" si="227"/>
        <v>1.6997022387753059E-2</v>
      </c>
      <c r="Y1170" s="32">
        <f t="shared" si="228"/>
        <v>-17464.823326869046</v>
      </c>
      <c r="Z1170" s="32">
        <f t="shared" si="221"/>
        <v>229915.7980243504</v>
      </c>
      <c r="AA1170" s="32">
        <f t="shared" si="222"/>
        <v>117904.94489936541</v>
      </c>
      <c r="AB1170" s="40">
        <f t="shared" si="229"/>
        <v>-5.2866687989676177E-2</v>
      </c>
      <c r="AC1170" s="40">
        <f t="shared" si="230"/>
        <v>0.69596391160458249</v>
      </c>
      <c r="AD1170" s="40">
        <f t="shared" si="231"/>
        <v>0.35690277638509377</v>
      </c>
      <c r="AE1170" s="40"/>
      <c r="AF1170" s="40"/>
      <c r="AG1170" s="40"/>
      <c r="AH1170" s="40"/>
      <c r="AI1170" s="40"/>
      <c r="AJ1170" s="40"/>
      <c r="AK1170" s="33">
        <f t="shared" si="223"/>
        <v>7031500</v>
      </c>
      <c r="AL1170" s="33">
        <f t="shared" si="224"/>
        <v>6936799.9999999991</v>
      </c>
      <c r="AM1170" s="34"/>
      <c r="AN1170" s="33"/>
      <c r="AO1170" s="15" cm="1">
        <f t="array" ref="AO1170">SUMPRODUCT(I1170:K1170, TRANSPOSE($AY$5:$AY$7))</f>
        <v>1.2076406011170378E-2</v>
      </c>
      <c r="AP1170" s="22">
        <f t="shared" si="232"/>
        <v>11237189.71897118</v>
      </c>
      <c r="AQ1170" s="22">
        <f t="shared" si="233"/>
        <v>134085.59340464324</v>
      </c>
      <c r="AR1170">
        <f t="shared" si="234"/>
        <v>0</v>
      </c>
      <c r="AS1170">
        <f t="shared" si="235"/>
        <v>0</v>
      </c>
      <c r="BJ1170">
        <f t="shared" si="209"/>
        <v>1.1423753448589357E-5</v>
      </c>
      <c r="BK1170">
        <f t="shared" si="211"/>
        <v>3.2048084012772368E-5</v>
      </c>
      <c r="BO1170">
        <f t="shared" si="212"/>
        <v>4.4130493491142982E-5</v>
      </c>
      <c r="BP1170">
        <f t="shared" si="210"/>
        <v>3.9658097257030351</v>
      </c>
    </row>
    <row r="1171" spans="1:68" x14ac:dyDescent="0.15">
      <c r="A1171" s="5">
        <v>45274</v>
      </c>
      <c r="B1171" s="1"/>
      <c r="C1171">
        <v>97.72</v>
      </c>
      <c r="D1171">
        <v>95.5</v>
      </c>
      <c r="E1171">
        <v>85.58</v>
      </c>
      <c r="G1171" s="3">
        <v>1.88060217933228E-3</v>
      </c>
      <c r="I1171" s="15">
        <f t="shared" si="213"/>
        <v>-7.2132479934979973E-3</v>
      </c>
      <c r="J1171" s="15">
        <f t="shared" si="214"/>
        <v>-4.9278247884519691E-2</v>
      </c>
      <c r="K1171" s="15">
        <f t="shared" si="215"/>
        <v>-1.3031945565678648E-2</v>
      </c>
      <c r="L1171" s="32">
        <f t="shared" si="216"/>
        <v>317646.51561319618</v>
      </c>
      <c r="M1171" s="15"/>
      <c r="N1171" s="32">
        <f t="shared" si="217"/>
        <v>-2931600</v>
      </c>
      <c r="O1171" s="34">
        <f t="shared" si="218"/>
        <v>-0.27151394099104859</v>
      </c>
      <c r="P1171" s="34">
        <f t="shared" si="219"/>
        <v>0.61913995617586293</v>
      </c>
      <c r="Q1171" s="34">
        <f t="shared" si="220"/>
        <v>0.63408822677074461</v>
      </c>
      <c r="R1171" s="35" cm="1">
        <f t="array" ref="R1171">SQRT(MMULT(O1171:Q1171, MMULT($AU$32:$AW$34,TRANSPOSE(O1171:Q1171))))</f>
        <v>1.2626285210702961E-2</v>
      </c>
      <c r="S1171" s="36" cm="1">
        <f t="array" ref="S1171:U1171">TRANSPOSE(MMULT($AU$32:$AW$34, TRANSPOSE(O1171:Q1171))/MMULT(O1171:Q1171, MMULT($AU$32:$AW$34,TRANSPOSE(O1171:Q1171))))</f>
        <v>0.19868769600183445</v>
      </c>
      <c r="T1171" s="36">
        <v>1.1032297206859989</v>
      </c>
      <c r="U1171" s="36">
        <v>0.58492314285555624</v>
      </c>
      <c r="V1171" s="35">
        <f t="shared" si="225"/>
        <v>5.8452419159534972E-3</v>
      </c>
      <c r="W1171" s="35">
        <f t="shared" si="226"/>
        <v>3.2456184937692013E-2</v>
      </c>
      <c r="X1171" s="35">
        <f t="shared" si="227"/>
        <v>1.7207996977321564E-2</v>
      </c>
      <c r="Y1171" s="32">
        <f t="shared" si="228"/>
        <v>-17135.911200809271</v>
      </c>
      <c r="Z1171" s="32">
        <f t="shared" si="221"/>
        <v>216969.59630847111</v>
      </c>
      <c r="AA1171" s="32">
        <f t="shared" si="222"/>
        <v>117812.83050553435</v>
      </c>
      <c r="AB1171" s="40">
        <f t="shared" si="229"/>
        <v>-5.3946479367889474E-2</v>
      </c>
      <c r="AC1171" s="40">
        <f t="shared" si="230"/>
        <v>0.68305360091743883</v>
      </c>
      <c r="AD1171" s="40">
        <f t="shared" si="231"/>
        <v>0.37089287845045066</v>
      </c>
      <c r="AE1171" s="40"/>
      <c r="AF1171" s="40"/>
      <c r="AG1171" s="40"/>
      <c r="AH1171" s="40"/>
      <c r="AI1171" s="40"/>
      <c r="AJ1171" s="40"/>
      <c r="AK1171" s="33">
        <f t="shared" si="223"/>
        <v>6685000</v>
      </c>
      <c r="AL1171" s="33">
        <f t="shared" si="224"/>
        <v>6846400</v>
      </c>
      <c r="AM1171" s="34"/>
      <c r="AN1171" s="33"/>
      <c r="AO1171" s="15" cm="1">
        <f t="array" ref="AO1171">SUMPRODUCT(I1171:K1171, TRANSPOSE($AY$5:$AY$7))</f>
        <v>-3.9151610993558558E-2</v>
      </c>
      <c r="AP1171" s="22">
        <f t="shared" si="232"/>
        <v>10797235.638433205</v>
      </c>
      <c r="AQ1171" s="22">
        <f t="shared" si="233"/>
        <v>-439954.08053797483</v>
      </c>
      <c r="AR1171">
        <f t="shared" si="234"/>
        <v>1</v>
      </c>
      <c r="AS1171">
        <f t="shared" si="235"/>
        <v>1</v>
      </c>
      <c r="BJ1171">
        <f t="shared" si="209"/>
        <v>3.5366645569093213E-6</v>
      </c>
      <c r="BK1171">
        <f t="shared" si="211"/>
        <v>3.0810624178921383E-5</v>
      </c>
      <c r="BO1171">
        <f t="shared" si="212"/>
        <v>4.2181822677749059E-5</v>
      </c>
      <c r="BP1171">
        <f t="shared" si="210"/>
        <v>4.0759003868450439</v>
      </c>
    </row>
    <row r="1172" spans="1:68" x14ac:dyDescent="0.15">
      <c r="A1172" s="5">
        <v>45275</v>
      </c>
      <c r="B1172" s="1"/>
      <c r="C1172">
        <v>98.11</v>
      </c>
      <c r="D1172">
        <v>95.64</v>
      </c>
      <c r="E1172">
        <v>84.79</v>
      </c>
      <c r="G1172" s="3">
        <v>-1.6108302331958499E-3</v>
      </c>
      <c r="I1172" s="15">
        <f t="shared" si="213"/>
        <v>3.9909946786737677E-3</v>
      </c>
      <c r="J1172" s="15">
        <f t="shared" si="214"/>
        <v>1.4659685863874406E-3</v>
      </c>
      <c r="K1172" s="15">
        <f t="shared" si="215"/>
        <v>-9.2311287684037398E-3</v>
      </c>
      <c r="L1172" s="32">
        <f t="shared" si="216"/>
        <v>316812.3381331641</v>
      </c>
      <c r="M1172" s="15"/>
      <c r="N1172" s="32">
        <f t="shared" si="217"/>
        <v>-2943300</v>
      </c>
      <c r="O1172" s="34">
        <f t="shared" si="218"/>
        <v>-0.27463344033935699</v>
      </c>
      <c r="P1172" s="34">
        <f t="shared" si="219"/>
        <v>0.62467840736042102</v>
      </c>
      <c r="Q1172" s="34">
        <f t="shared" si="220"/>
        <v>0.632926834678737</v>
      </c>
      <c r="R1172" s="35" cm="1">
        <f t="array" ref="R1172">SQRT(MMULT(O1172:Q1172, MMULT($AU$32:$AW$34,TRANSPOSE(O1172:Q1172))))</f>
        <v>1.2687178571053937E-2</v>
      </c>
      <c r="S1172" s="36" cm="1">
        <f t="array" ref="S1172:U1172">TRANSPOSE(MMULT($AU$32:$AW$34, TRANSPOSE(O1172:Q1172))/MMULT(O1172:Q1172, MMULT($AU$32:$AW$34,TRANSPOSE(O1172:Q1172))))</f>
        <v>0.19532850103224625</v>
      </c>
      <c r="T1172" s="36">
        <v>1.100107146698353</v>
      </c>
      <c r="U1172" s="36">
        <v>0.57894615590989307</v>
      </c>
      <c r="V1172" s="35">
        <f t="shared" si="225"/>
        <v>5.7741304441868953E-3</v>
      </c>
      <c r="W1172" s="35">
        <f t="shared" si="226"/>
        <v>3.2520406054669299E-2</v>
      </c>
      <c r="X1172" s="35">
        <f t="shared" si="227"/>
        <v>1.7114300302915927E-2</v>
      </c>
      <c r="Y1172" s="32">
        <f t="shared" si="228"/>
        <v>-16994.998136375289</v>
      </c>
      <c r="Z1172" s="32">
        <f t="shared" si="221"/>
        <v>217717.61445480003</v>
      </c>
      <c r="AA1172" s="32">
        <f t="shared" si="222"/>
        <v>116089.72181473933</v>
      </c>
      <c r="AB1172" s="40">
        <f t="shared" si="229"/>
        <v>-5.3643738234815427E-2</v>
      </c>
      <c r="AC1172" s="40">
        <f t="shared" si="230"/>
        <v>0.68721318032534418</v>
      </c>
      <c r="AD1172" s="40">
        <f t="shared" si="231"/>
        <v>0.3664305579094711</v>
      </c>
      <c r="AE1172" s="40"/>
      <c r="AF1172" s="40"/>
      <c r="AG1172" s="40"/>
      <c r="AH1172" s="40"/>
      <c r="AI1172" s="40"/>
      <c r="AJ1172" s="40"/>
      <c r="AK1172" s="33">
        <f t="shared" si="223"/>
        <v>6694800</v>
      </c>
      <c r="AL1172" s="33">
        <f t="shared" si="224"/>
        <v>6783200.0000000009</v>
      </c>
      <c r="AM1172" s="34"/>
      <c r="AN1172" s="33"/>
      <c r="AO1172" s="15" cm="1">
        <f t="array" ref="AO1172">SUMPRODUCT(I1172:K1172, TRANSPOSE($AY$5:$AY$7))</f>
        <v>-7.4131127371512458E-3</v>
      </c>
      <c r="AP1172" s="22">
        <f t="shared" si="232"/>
        <v>10717194.513395911</v>
      </c>
      <c r="AQ1172" s="22">
        <f t="shared" si="233"/>
        <v>-80041.125037293881</v>
      </c>
      <c r="AR1172">
        <f t="shared" si="234"/>
        <v>0</v>
      </c>
      <c r="AS1172">
        <f t="shared" si="235"/>
        <v>0</v>
      </c>
      <c r="BJ1172">
        <f t="shared" si="209"/>
        <v>2.5947740401777964E-6</v>
      </c>
      <c r="BK1172">
        <f t="shared" si="211"/>
        <v>2.9174186601600659E-5</v>
      </c>
      <c r="BO1172">
        <f t="shared" si="212"/>
        <v>3.9530045877310003E-5</v>
      </c>
      <c r="BP1172">
        <f t="shared" si="210"/>
        <v>4.1174659507349913</v>
      </c>
    </row>
    <row r="1173" spans="1:68" x14ac:dyDescent="0.15">
      <c r="A1173" s="5">
        <v>45278</v>
      </c>
      <c r="B1173" s="1"/>
      <c r="C1173">
        <v>98.08</v>
      </c>
      <c r="D1173">
        <v>95.98</v>
      </c>
      <c r="E1173">
        <v>85.26</v>
      </c>
      <c r="G1173" s="3">
        <v>-3.22498565688467E-3</v>
      </c>
      <c r="I1173" s="15">
        <f t="shared" si="213"/>
        <v>-3.0577922739783038E-4</v>
      </c>
      <c r="J1173" s="15">
        <f t="shared" si="214"/>
        <v>3.5549979088247952E-3</v>
      </c>
      <c r="K1173" s="15">
        <f t="shared" si="215"/>
        <v>5.5431064984078175E-3</v>
      </c>
      <c r="L1173" s="32">
        <f t="shared" si="216"/>
        <v>318235.37899012788</v>
      </c>
      <c r="M1173" s="15"/>
      <c r="N1173" s="32">
        <f t="shared" si="217"/>
        <v>-2942400</v>
      </c>
      <c r="O1173" s="34">
        <f t="shared" si="218"/>
        <v>-0.27276490969043488</v>
      </c>
      <c r="P1173" s="34">
        <f t="shared" si="219"/>
        <v>0.62282433464048248</v>
      </c>
      <c r="Q1173" s="34">
        <f t="shared" si="220"/>
        <v>0.63229842849936047</v>
      </c>
      <c r="R1173" s="35" cm="1">
        <f t="array" ref="R1173">SQRT(MMULT(O1173:Q1173, MMULT($AU$32:$AW$34,TRANSPOSE(O1173:Q1173))))</f>
        <v>1.2661329925199531E-2</v>
      </c>
      <c r="S1173" s="36" cm="1">
        <f t="array" ref="S1173:U1173">TRANSPOSE(MMULT($AU$32:$AW$34, TRANSPOSE(O1173:Q1173))/MMULT(O1173:Q1173, MMULT($AU$32:$AW$34,TRANSPOSE(O1173:Q1173))))</f>
        <v>0.19687819595483358</v>
      </c>
      <c r="T1173" s="36">
        <v>1.1020030384117645</v>
      </c>
      <c r="U1173" s="36">
        <v>0.58097116426632101</v>
      </c>
      <c r="V1173" s="35">
        <f t="shared" si="225"/>
        <v>5.8080837201649992E-3</v>
      </c>
      <c r="W1173" s="35">
        <f t="shared" si="226"/>
        <v>3.2510080031615575E-2</v>
      </c>
      <c r="X1173" s="35">
        <f t="shared" si="227"/>
        <v>1.7139171479581414E-2</v>
      </c>
      <c r="Y1173" s="32">
        <f t="shared" si="228"/>
        <v>-17089.705538213493</v>
      </c>
      <c r="Z1173" s="32">
        <f t="shared" si="221"/>
        <v>218422.2237004124</v>
      </c>
      <c r="AA1173" s="32">
        <f t="shared" si="222"/>
        <v>116902.86082792892</v>
      </c>
      <c r="AB1173" s="40">
        <f t="shared" si="229"/>
        <v>-5.3701463339635915E-2</v>
      </c>
      <c r="AC1173" s="40">
        <f t="shared" si="230"/>
        <v>0.68635430917059725</v>
      </c>
      <c r="AD1173" s="40">
        <f t="shared" si="231"/>
        <v>0.36734715416903857</v>
      </c>
      <c r="AE1173" s="40"/>
      <c r="AF1173" s="40"/>
      <c r="AG1173" s="40"/>
      <c r="AH1173" s="40"/>
      <c r="AI1173" s="40"/>
      <c r="AJ1173" s="40"/>
      <c r="AK1173" s="33">
        <f t="shared" si="223"/>
        <v>6718600</v>
      </c>
      <c r="AL1173" s="33">
        <f t="shared" si="224"/>
        <v>6820800</v>
      </c>
      <c r="AM1173" s="34"/>
      <c r="AN1173" s="33"/>
      <c r="AO1173" s="15" cm="1">
        <f t="array" ref="AO1173">SUMPRODUCT(I1173:K1173, TRANSPOSE($AY$5:$AY$7))</f>
        <v>6.5424597678009335E-3</v>
      </c>
      <c r="AP1173" s="22">
        <f t="shared" si="232"/>
        <v>10787311.327323502</v>
      </c>
      <c r="AQ1173" s="22">
        <f t="shared" si="233"/>
        <v>70116.813927590847</v>
      </c>
      <c r="AR1173">
        <f t="shared" si="234"/>
        <v>0</v>
      </c>
      <c r="AS1173">
        <f t="shared" si="235"/>
        <v>0</v>
      </c>
      <c r="BJ1173">
        <f t="shared" si="209"/>
        <v>1.0400532487111847E-5</v>
      </c>
      <c r="BK1173">
        <f t="shared" si="211"/>
        <v>2.7579421847915288E-5</v>
      </c>
      <c r="BO1173">
        <f t="shared" si="212"/>
        <v>3.731590409695065E-5</v>
      </c>
      <c r="BP1173">
        <f t="shared" si="210"/>
        <v>4.039749030560893</v>
      </c>
    </row>
    <row r="1174" spans="1:68" x14ac:dyDescent="0.15">
      <c r="A1174" s="5">
        <v>45279</v>
      </c>
      <c r="B1174" s="1"/>
      <c r="C1174">
        <v>96.57</v>
      </c>
      <c r="D1174">
        <v>95.96</v>
      </c>
      <c r="E1174">
        <v>84.62</v>
      </c>
      <c r="G1174" s="3">
        <v>-8.3962274176785302E-4</v>
      </c>
      <c r="I1174" s="15">
        <f t="shared" si="213"/>
        <v>-1.5395595432300216E-2</v>
      </c>
      <c r="J1174" s="15">
        <f t="shared" si="214"/>
        <v>-2.0837674515534728E-4</v>
      </c>
      <c r="K1174" s="15">
        <f t="shared" si="215"/>
        <v>-7.5064508562045574E-3</v>
      </c>
      <c r="L1174" s="32">
        <f t="shared" si="216"/>
        <v>317577.33285795065</v>
      </c>
      <c r="M1174" s="15"/>
      <c r="N1174" s="32">
        <f t="shared" si="217"/>
        <v>-2897100</v>
      </c>
      <c r="O1174" s="34">
        <f t="shared" si="218"/>
        <v>-0.26845778615410165</v>
      </c>
      <c r="P1174" s="34">
        <f t="shared" si="219"/>
        <v>0.62244473478800577</v>
      </c>
      <c r="Q1174" s="34">
        <f t="shared" si="220"/>
        <v>0.62730034487895014</v>
      </c>
      <c r="R1174" s="35" cm="1">
        <f t="array" ref="R1174">SQRT(MMULT(O1174:Q1174, MMULT($AU$32:$AW$34,TRANSPOSE(O1174:Q1174))))</f>
        <v>1.2630079792945182E-2</v>
      </c>
      <c r="S1174" s="36" cm="1">
        <f t="array" ref="S1174:U1174">TRANSPOSE(MMULT($AU$32:$AW$34, TRANSPOSE(O1174:Q1174))/MMULT(O1174:Q1174, MMULT($AU$32:$AW$34,TRANSPOSE(O1174:Q1174))))</f>
        <v>0.19925047758438297</v>
      </c>
      <c r="T1174" s="36">
        <v>1.1064460869419528</v>
      </c>
      <c r="U1174" s="36">
        <v>0.581521760567553</v>
      </c>
      <c r="V1174" s="35">
        <f t="shared" si="225"/>
        <v>5.8635601734685393E-3</v>
      </c>
      <c r="W1174" s="35">
        <f t="shared" si="226"/>
        <v>3.2560590509678369E-2</v>
      </c>
      <c r="X1174" s="35">
        <f t="shared" si="227"/>
        <v>1.711307233291403E-2</v>
      </c>
      <c r="Y1174" s="32">
        <f t="shared" si="228"/>
        <v>-16987.320178555707</v>
      </c>
      <c r="Z1174" s="32">
        <f t="shared" si="221"/>
        <v>218715.99857161153</v>
      </c>
      <c r="AA1174" s="32">
        <f t="shared" si="222"/>
        <v>115848.65446489482</v>
      </c>
      <c r="AB1174" s="40">
        <f t="shared" si="229"/>
        <v>-5.3490342102450919E-2</v>
      </c>
      <c r="AC1174" s="40">
        <f t="shared" si="230"/>
        <v>0.68870154114381055</v>
      </c>
      <c r="AD1174" s="40">
        <f t="shared" si="231"/>
        <v>0.3647888009586403</v>
      </c>
      <c r="AE1174" s="40"/>
      <c r="AF1174" s="40"/>
      <c r="AG1174" s="40"/>
      <c r="AH1174" s="40"/>
      <c r="AI1174" s="40"/>
      <c r="AJ1174" s="40"/>
      <c r="AK1174" s="33">
        <f t="shared" si="223"/>
        <v>6717200</v>
      </c>
      <c r="AL1174" s="33">
        <f t="shared" si="224"/>
        <v>6769600</v>
      </c>
      <c r="AM1174" s="34"/>
      <c r="AN1174" s="33"/>
      <c r="AO1174" s="15" cm="1">
        <f t="array" ref="AO1174">SUMPRODUCT(I1174:K1174, TRANSPOSE($AY$5:$AY$7))</f>
        <v>4.0134927786933047E-4</v>
      </c>
      <c r="AP1174" s="22">
        <f t="shared" si="232"/>
        <v>10791640.806934876</v>
      </c>
      <c r="AQ1174" s="22">
        <f t="shared" si="233"/>
        <v>4329.4796113744378</v>
      </c>
      <c r="AR1174">
        <f t="shared" si="234"/>
        <v>0</v>
      </c>
      <c r="AS1174">
        <f t="shared" si="235"/>
        <v>0</v>
      </c>
      <c r="BJ1174">
        <f t="shared" si="209"/>
        <v>7.0496634849376677E-7</v>
      </c>
      <c r="BK1174">
        <f t="shared" si="211"/>
        <v>2.6548688486267079E-5</v>
      </c>
      <c r="BO1174">
        <f t="shared" si="212"/>
        <v>3.6690875773851262E-5</v>
      </c>
      <c r="BP1174">
        <f t="shared" si="210"/>
        <v>4.177945857377952</v>
      </c>
    </row>
    <row r="1175" spans="1:68" x14ac:dyDescent="0.15">
      <c r="A1175" s="5">
        <v>45280</v>
      </c>
      <c r="B1175" s="1"/>
      <c r="C1175">
        <v>96.58</v>
      </c>
      <c r="D1175">
        <v>96.46</v>
      </c>
      <c r="E1175">
        <v>84.6</v>
      </c>
      <c r="G1175" s="3">
        <v>-1.3886895920300899E-4</v>
      </c>
      <c r="I1175" s="15">
        <f t="shared" si="213"/>
        <v>1.0355182768981171E-4</v>
      </c>
      <c r="J1175" s="15">
        <f t="shared" si="214"/>
        <v>5.2105043768236768E-3</v>
      </c>
      <c r="K1175" s="15">
        <f t="shared" si="215"/>
        <v>-2.3635074450496608E-4</v>
      </c>
      <c r="L1175" s="32">
        <f t="shared" si="216"/>
        <v>318688.44723585329</v>
      </c>
      <c r="M1175" s="15"/>
      <c r="N1175" s="32">
        <f t="shared" si="217"/>
        <v>-2897400</v>
      </c>
      <c r="O1175" s="34">
        <f t="shared" si="218"/>
        <v>-0.26762651747999844</v>
      </c>
      <c r="P1175" s="34">
        <f t="shared" si="219"/>
        <v>0.62368598444413803</v>
      </c>
      <c r="Q1175" s="34">
        <f t="shared" si="220"/>
        <v>0.62514539597730012</v>
      </c>
      <c r="R1175" s="35" cm="1">
        <f t="array" ref="R1175">SQRT(MMULT(O1175:Q1175, MMULT($AU$32:$AW$34,TRANSPOSE(O1175:Q1175))))</f>
        <v>1.2633715308891656E-2</v>
      </c>
      <c r="S1175" s="36" cm="1">
        <f t="array" ref="S1175:U1175">TRANSPOSE(MMULT($AU$32:$AW$34, TRANSPOSE(O1175:Q1175))/MMULT(O1175:Q1175, MMULT($AU$32:$AW$34,TRANSPOSE(O1175:Q1175))))</f>
        <v>0.19929239961688994</v>
      </c>
      <c r="T1175" s="36">
        <v>1.1073049354917475</v>
      </c>
      <c r="U1175" s="36">
        <v>0.58022559940735463</v>
      </c>
      <c r="V1175" s="35">
        <f t="shared" si="225"/>
        <v>5.8664820151665782E-3</v>
      </c>
      <c r="W1175" s="35">
        <f t="shared" si="226"/>
        <v>3.2595244484260773E-2</v>
      </c>
      <c r="X1175" s="35">
        <f t="shared" si="227"/>
        <v>1.7079843738175435E-2</v>
      </c>
      <c r="Y1175" s="32">
        <f t="shared" si="228"/>
        <v>-16997.544990743645</v>
      </c>
      <c r="Z1175" s="32">
        <f t="shared" si="221"/>
        <v>220089.60980662558</v>
      </c>
      <c r="AA1175" s="32">
        <f t="shared" si="222"/>
        <v>115596.38241997134</v>
      </c>
      <c r="AB1175" s="40">
        <f t="shared" si="229"/>
        <v>-5.3335930869700433E-2</v>
      </c>
      <c r="AC1175" s="40">
        <f t="shared" si="230"/>
        <v>0.69061056877202331</v>
      </c>
      <c r="AD1175" s="40">
        <f t="shared" si="231"/>
        <v>0.36272536209767708</v>
      </c>
      <c r="AE1175" s="40"/>
      <c r="AF1175" s="40"/>
      <c r="AG1175" s="40"/>
      <c r="AH1175" s="40"/>
      <c r="AI1175" s="40"/>
      <c r="AJ1175" s="40"/>
      <c r="AK1175" s="33">
        <f t="shared" si="223"/>
        <v>6752200</v>
      </c>
      <c r="AL1175" s="33">
        <f t="shared" si="224"/>
        <v>6768000</v>
      </c>
      <c r="AM1175" s="34"/>
      <c r="AN1175" s="33"/>
      <c r="AO1175" s="15" cm="1">
        <f t="array" ref="AO1175">SUMPRODUCT(I1175:K1175, TRANSPOSE($AY$5:$AY$7))</f>
        <v>3.2099508546689862E-3</v>
      </c>
      <c r="AP1175" s="22">
        <f t="shared" si="232"/>
        <v>10826281.443566378</v>
      </c>
      <c r="AQ1175" s="22">
        <f t="shared" si="233"/>
        <v>34640.636631501839</v>
      </c>
      <c r="AR1175">
        <f t="shared" si="234"/>
        <v>0</v>
      </c>
      <c r="AS1175">
        <f t="shared" si="235"/>
        <v>0</v>
      </c>
      <c r="BJ1175">
        <f t="shared" si="209"/>
        <v>1.9284587830126975E-8</v>
      </c>
      <c r="BK1175">
        <f t="shared" si="211"/>
        <v>2.4998065158000679E-5</v>
      </c>
      <c r="BO1175">
        <f t="shared" si="212"/>
        <v>3.481977243583845E-5</v>
      </c>
      <c r="BP1175">
        <f t="shared" si="210"/>
        <v>4.21344712626742</v>
      </c>
    </row>
    <row r="1176" spans="1:68" x14ac:dyDescent="0.15">
      <c r="A1176" s="5">
        <v>45281</v>
      </c>
      <c r="B1176" s="1"/>
      <c r="C1176">
        <v>96.99</v>
      </c>
      <c r="D1176">
        <v>95.34</v>
      </c>
      <c r="E1176">
        <v>84.29</v>
      </c>
      <c r="G1176" s="3">
        <v>-1.1018694652916699E-3</v>
      </c>
      <c r="I1176" s="15">
        <f t="shared" si="213"/>
        <v>4.245185338579381E-3</v>
      </c>
      <c r="J1176" s="15">
        <f t="shared" si="214"/>
        <v>-1.1611030478954908E-2</v>
      </c>
      <c r="K1176" s="15">
        <f t="shared" si="215"/>
        <v>-3.6643026004726724E-3</v>
      </c>
      <c r="L1176" s="32">
        <f t="shared" si="216"/>
        <v>315639.33567734418</v>
      </c>
      <c r="M1176" s="15"/>
      <c r="N1176" s="32">
        <f t="shared" si="217"/>
        <v>-2909700</v>
      </c>
      <c r="O1176" s="34">
        <f t="shared" si="218"/>
        <v>-0.27202875395897425</v>
      </c>
      <c r="P1176" s="34">
        <f t="shared" si="219"/>
        <v>0.6239356284742078</v>
      </c>
      <c r="Q1176" s="34">
        <f t="shared" si="220"/>
        <v>0.63042385596321115</v>
      </c>
      <c r="R1176" s="35" cm="1">
        <f t="array" ref="R1176">SQRT(MMULT(O1176:Q1176, MMULT($AU$32:$AW$34,TRANSPOSE(O1176:Q1176))))</f>
        <v>1.2664900955785796E-2</v>
      </c>
      <c r="S1176" s="36" cm="1">
        <f t="array" ref="S1176:U1176">TRANSPOSE(MMULT($AU$32:$AW$34, TRANSPOSE(O1176:Q1176))/MMULT(O1176:Q1176, MMULT($AU$32:$AW$34,TRANSPOSE(O1176:Q1176))))</f>
        <v>0.19692165137335421</v>
      </c>
      <c r="T1176" s="36">
        <v>1.1027291482299728</v>
      </c>
      <c r="U1176" s="36">
        <v>0.57982632455183025</v>
      </c>
      <c r="V1176" s="35">
        <f t="shared" si="225"/>
        <v>5.8110041809154153E-3</v>
      </c>
      <c r="W1176" s="35">
        <f t="shared" si="226"/>
        <v>3.2540676183100192E-2</v>
      </c>
      <c r="X1176" s="35">
        <f t="shared" si="227"/>
        <v>1.7110222124774539E-2</v>
      </c>
      <c r="Y1176" s="32">
        <f t="shared" si="228"/>
        <v>-16908.278865209584</v>
      </c>
      <c r="Z1176" s="32">
        <f t="shared" si="221"/>
        <v>217169.96471077407</v>
      </c>
      <c r="AA1176" s="32">
        <f t="shared" si="222"/>
        <v>115377.64983177969</v>
      </c>
      <c r="AB1176" s="40">
        <f t="shared" si="229"/>
        <v>-5.3568351450637083E-2</v>
      </c>
      <c r="AC1176" s="40">
        <f t="shared" si="230"/>
        <v>0.68803200413769594</v>
      </c>
      <c r="AD1176" s="40">
        <f t="shared" si="231"/>
        <v>0.36553634731294116</v>
      </c>
      <c r="AE1176" s="40"/>
      <c r="AF1176" s="40"/>
      <c r="AG1176" s="40"/>
      <c r="AH1176" s="40"/>
      <c r="AI1176" s="40"/>
      <c r="AJ1176" s="40"/>
      <c r="AK1176" s="33">
        <f t="shared" si="223"/>
        <v>6673800</v>
      </c>
      <c r="AL1176" s="33">
        <f t="shared" si="224"/>
        <v>6743200.0000000009</v>
      </c>
      <c r="AM1176" s="34"/>
      <c r="AN1176" s="33"/>
      <c r="AO1176" s="15" cm="1">
        <f t="array" ref="AO1176">SUMPRODUCT(I1176:K1176, TRANSPOSE($AY$5:$AY$7))</f>
        <v>-1.2006496604573112E-2</v>
      </c>
      <c r="AP1176" s="22">
        <f t="shared" si="232"/>
        <v>10696295.732174046</v>
      </c>
      <c r="AQ1176" s="22">
        <f t="shared" si="233"/>
        <v>-129985.71139233187</v>
      </c>
      <c r="AR1176">
        <f t="shared" si="234"/>
        <v>0</v>
      </c>
      <c r="AS1176">
        <f t="shared" si="235"/>
        <v>0</v>
      </c>
      <c r="BJ1176">
        <f t="shared" si="209"/>
        <v>1.2141163185421505E-6</v>
      </c>
      <c r="BK1176">
        <f t="shared" si="211"/>
        <v>2.3499338323790448E-5</v>
      </c>
      <c r="BO1176">
        <f t="shared" si="212"/>
        <v>3.325446368341924E-5</v>
      </c>
      <c r="BP1176">
        <f t="shared" si="210"/>
        <v>4.2184673060784483</v>
      </c>
    </row>
    <row r="1177" spans="1:68" x14ac:dyDescent="0.15">
      <c r="A1177" s="5">
        <v>45282</v>
      </c>
      <c r="B1177" s="1"/>
      <c r="C1177">
        <v>97.2</v>
      </c>
      <c r="D1177">
        <v>95.7</v>
      </c>
      <c r="E1177">
        <v>84.84</v>
      </c>
      <c r="G1177" s="3">
        <v>1.84012282332046E-3</v>
      </c>
      <c r="I1177" s="15">
        <f t="shared" si="213"/>
        <v>2.1651716671822661E-3</v>
      </c>
      <c r="J1177" s="15">
        <f t="shared" si="214"/>
        <v>3.7759597230962809E-3</v>
      </c>
      <c r="K1177" s="15">
        <f t="shared" si="215"/>
        <v>6.5250919444773655E-3</v>
      </c>
      <c r="L1177" s="32">
        <f t="shared" si="216"/>
        <v>317175.89805275935</v>
      </c>
      <c r="M1177" s="15"/>
      <c r="N1177" s="32">
        <f t="shared" si="217"/>
        <v>-2916000</v>
      </c>
      <c r="O1177" s="34">
        <f t="shared" si="218"/>
        <v>-0.27087409362238413</v>
      </c>
      <c r="P1177" s="34">
        <f t="shared" si="219"/>
        <v>0.62228585499874878</v>
      </c>
      <c r="Q1177" s="34">
        <f t="shared" si="220"/>
        <v>0.63047896029967265</v>
      </c>
      <c r="R1177" s="35" cm="1">
        <f t="array" ref="R1177">SQRT(MMULT(O1177:Q1177, MMULT($AU$32:$AW$34,TRANSPOSE(O1177:Q1177))))</f>
        <v>1.2645156499865608E-2</v>
      </c>
      <c r="S1177" s="36" cm="1">
        <f t="array" ref="S1177:U1177">TRANSPOSE(MMULT($AU$32:$AW$34, TRANSPOSE(O1177:Q1177))/MMULT(O1177:Q1177, MMULT($AU$32:$AW$34,TRANSPOSE(O1177:Q1177))))</f>
        <v>0.19804065495080977</v>
      </c>
      <c r="T1177" s="36">
        <v>1.1039127613202593</v>
      </c>
      <c r="U1177" s="36">
        <v>0.58161304258857904</v>
      </c>
      <c r="V1177" s="35">
        <f t="shared" si="225"/>
        <v>5.8349143251900763E-3</v>
      </c>
      <c r="W1177" s="35">
        <f t="shared" si="226"/>
        <v>3.2524818635787781E-2</v>
      </c>
      <c r="X1177" s="35">
        <f t="shared" si="227"/>
        <v>1.7136189913936707E-2</v>
      </c>
      <c r="Y1177" s="32">
        <f t="shared" si="228"/>
        <v>-17014.610172254263</v>
      </c>
      <c r="Z1177" s="32">
        <f t="shared" si="221"/>
        <v>217883.76004114235</v>
      </c>
      <c r="AA1177" s="32">
        <f t="shared" si="222"/>
        <v>116306.74818387121</v>
      </c>
      <c r="AB1177" s="40">
        <f t="shared" si="229"/>
        <v>-5.364408291018391E-2</v>
      </c>
      <c r="AC1177" s="40">
        <f t="shared" si="230"/>
        <v>0.68694929652220715</v>
      </c>
      <c r="AD1177" s="40">
        <f t="shared" si="231"/>
        <v>0.36669478638797653</v>
      </c>
      <c r="AE1177" s="40"/>
      <c r="AF1177" s="40"/>
      <c r="AG1177" s="40"/>
      <c r="AH1177" s="40"/>
      <c r="AI1177" s="40"/>
      <c r="AJ1177" s="40"/>
      <c r="AK1177" s="33">
        <f t="shared" si="223"/>
        <v>6699000</v>
      </c>
      <c r="AL1177" s="33">
        <f t="shared" si="224"/>
        <v>6787200</v>
      </c>
      <c r="AM1177" s="34"/>
      <c r="AN1177" s="33"/>
      <c r="AO1177" s="15" cm="1">
        <f t="array" ref="AO1177">SUMPRODUCT(I1177:K1177, TRANSPOSE($AY$5:$AY$7))</f>
        <v>6.4371208926008658E-3</v>
      </c>
      <c r="AP1177" s="22">
        <f t="shared" si="232"/>
        <v>10765149.080905061</v>
      </c>
      <c r="AQ1177" s="22">
        <f t="shared" si="233"/>
        <v>68853.348731014878</v>
      </c>
      <c r="AR1177">
        <f t="shared" si="234"/>
        <v>0</v>
      </c>
      <c r="AS1177">
        <f t="shared" si="235"/>
        <v>0</v>
      </c>
      <c r="BJ1177">
        <f t="shared" si="209"/>
        <v>3.3860520049048608E-6</v>
      </c>
      <c r="BK1177">
        <f t="shared" si="211"/>
        <v>2.216222500347555E-5</v>
      </c>
      <c r="BO1177">
        <f t="shared" si="212"/>
        <v>3.2196836813419693E-5</v>
      </c>
      <c r="BP1177">
        <f t="shared" si="210"/>
        <v>4.2002990268547258</v>
      </c>
    </row>
    <row r="1178" spans="1:68" x14ac:dyDescent="0.15">
      <c r="A1178" s="5">
        <v>45287</v>
      </c>
      <c r="B1178" s="1"/>
      <c r="C1178">
        <v>96.84</v>
      </c>
      <c r="D1178">
        <v>95.12</v>
      </c>
      <c r="E1178">
        <v>84.2</v>
      </c>
      <c r="G1178" s="3">
        <v>-3.5070247389864502E-3</v>
      </c>
      <c r="I1178" s="15">
        <f t="shared" si="213"/>
        <v>-3.7037037037036978E-3</v>
      </c>
      <c r="J1178" s="15">
        <f t="shared" si="214"/>
        <v>-6.0606060606060424E-3</v>
      </c>
      <c r="K1178" s="15">
        <f t="shared" si="215"/>
        <v>-7.5436115040075497E-3</v>
      </c>
      <c r="L1178" s="32">
        <f t="shared" si="216"/>
        <v>315041.19869828533</v>
      </c>
      <c r="M1178" s="15"/>
      <c r="N1178" s="32">
        <f t="shared" si="217"/>
        <v>-2905200</v>
      </c>
      <c r="O1178" s="34">
        <f t="shared" si="218"/>
        <v>-0.27206995761530917</v>
      </c>
      <c r="P1178" s="34">
        <f t="shared" si="219"/>
        <v>0.6235545249159351</v>
      </c>
      <c r="Q1178" s="34">
        <f t="shared" si="220"/>
        <v>0.63082171089657257</v>
      </c>
      <c r="R1178" s="35" cm="1">
        <f t="array" ref="R1178">SQRT(MMULT(O1178:Q1178, MMULT($AU$32:$AW$34,TRANSPOSE(O1178:Q1178))))</f>
        <v>1.2662398690895336E-2</v>
      </c>
      <c r="S1178" s="36" cm="1">
        <f t="array" ref="S1178:U1178">TRANSPOSE(MMULT($AU$32:$AW$34, TRANSPOSE(O1178:Q1178))/MMULT(O1178:Q1178, MMULT($AU$32:$AW$34,TRANSPOSE(O1178:Q1178))))</f>
        <v>0.19701972076890278</v>
      </c>
      <c r="T1178" s="36">
        <v>1.1026823275565052</v>
      </c>
      <c r="U1178" s="36">
        <v>0.58022827347851513</v>
      </c>
      <c r="V1178" s="35">
        <f t="shared" si="225"/>
        <v>5.8127494526231966E-3</v>
      </c>
      <c r="W1178" s="35">
        <f t="shared" si="226"/>
        <v>3.2532865597955055E-2</v>
      </c>
      <c r="X1178" s="35">
        <f t="shared" si="227"/>
        <v>1.7118700432099513E-2</v>
      </c>
      <c r="Y1178" s="32">
        <f t="shared" si="228"/>
        <v>-16887.199709760909</v>
      </c>
      <c r="Z1178" s="32">
        <f t="shared" si="221"/>
        <v>216616.83229742394</v>
      </c>
      <c r="AA1178" s="32">
        <f t="shared" si="222"/>
        <v>115311.56611062231</v>
      </c>
      <c r="AB1178" s="40">
        <f t="shared" si="229"/>
        <v>-5.360314707897542E-2</v>
      </c>
      <c r="AC1178" s="40">
        <f t="shared" si="230"/>
        <v>0.68758255489269415</v>
      </c>
      <c r="AD1178" s="40">
        <f t="shared" si="231"/>
        <v>0.3660205921862813</v>
      </c>
      <c r="AE1178" s="40"/>
      <c r="AF1178" s="40"/>
      <c r="AG1178" s="40"/>
      <c r="AH1178" s="40"/>
      <c r="AI1178" s="40"/>
      <c r="AJ1178" s="40"/>
      <c r="AK1178" s="33">
        <f t="shared" si="223"/>
        <v>6658400</v>
      </c>
      <c r="AL1178" s="33">
        <f t="shared" si="224"/>
        <v>6736000</v>
      </c>
      <c r="AM1178" s="34"/>
      <c r="AN1178" s="33"/>
      <c r="AO1178" s="15" cm="1">
        <f t="array" ref="AO1178">SUMPRODUCT(I1178:K1178, TRANSPOSE($AY$5:$AY$7))</f>
        <v>-8.0828526456457675E-3</v>
      </c>
      <c r="AP1178" s="22">
        <f t="shared" si="232"/>
        <v>10678135.967175696</v>
      </c>
      <c r="AQ1178" s="22">
        <f t="shared" si="233"/>
        <v>-87013.11372936517</v>
      </c>
      <c r="AR1178">
        <f t="shared" si="234"/>
        <v>0</v>
      </c>
      <c r="AS1178">
        <f t="shared" si="235"/>
        <v>0</v>
      </c>
      <c r="BJ1178">
        <f t="shared" si="209"/>
        <v>1.2299222519862979E-5</v>
      </c>
      <c r="BK1178">
        <f t="shared" si="211"/>
        <v>2.1035654623561309E-5</v>
      </c>
      <c r="BO1178">
        <f t="shared" si="212"/>
        <v>3.1676584188657775E-5</v>
      </c>
      <c r="BP1178">
        <f t="shared" si="210"/>
        <v>4.0668904269798505</v>
      </c>
    </row>
    <row r="1179" spans="1:68" x14ac:dyDescent="0.15">
      <c r="A1179" s="5">
        <v>45288</v>
      </c>
      <c r="B1179" s="1"/>
      <c r="C1179">
        <v>96.79</v>
      </c>
      <c r="D1179">
        <v>94.18</v>
      </c>
      <c r="E1179">
        <v>84.04</v>
      </c>
      <c r="G1179" s="3">
        <v>-5.0773127658968395E-3</v>
      </c>
      <c r="I1179" s="15">
        <f t="shared" si="213"/>
        <v>-5.1631557207762447E-4</v>
      </c>
      <c r="J1179" s="15">
        <f t="shared" si="214"/>
        <v>-9.8822539949537189E-3</v>
      </c>
      <c r="K1179" s="15">
        <f t="shared" si="215"/>
        <v>-1.9002375296911708E-3</v>
      </c>
      <c r="L1179" s="32">
        <f t="shared" si="216"/>
        <v>312691.56325249042</v>
      </c>
      <c r="M1179" s="15"/>
      <c r="N1179" s="32">
        <f t="shared" si="217"/>
        <v>-2903700</v>
      </c>
      <c r="O1179" s="34">
        <f t="shared" si="218"/>
        <v>-0.27403755638698107</v>
      </c>
      <c r="P1179" s="34">
        <f t="shared" si="219"/>
        <v>0.62217859773282769</v>
      </c>
      <c r="Q1179" s="34">
        <f t="shared" si="220"/>
        <v>0.63450401181284277</v>
      </c>
      <c r="R1179" s="35" cm="1">
        <f t="array" ref="R1179">SQRT(MMULT(O1179:Q1179, MMULT($AU$32:$AW$34,TRANSPOSE(O1179:Q1179))))</f>
        <v>1.2665390493575918E-2</v>
      </c>
      <c r="S1179" s="36" cm="1">
        <f t="array" ref="S1179:U1179">TRANSPOSE(MMULT($AU$32:$AW$34, TRANSPOSE(O1179:Q1179))/MMULT(O1179:Q1179, MMULT($AU$32:$AW$34,TRANSPOSE(O1179:Q1179))))</f>
        <v>0.19642291748571755</v>
      </c>
      <c r="T1179" s="36">
        <v>1.1006382473980609</v>
      </c>
      <c r="U1179" s="36">
        <v>0.58160971101597636</v>
      </c>
      <c r="V1179" s="35">
        <f t="shared" si="225"/>
        <v>5.7965109777966461E-3</v>
      </c>
      <c r="W1179" s="35">
        <f t="shared" si="226"/>
        <v>3.2480230745425206E-2</v>
      </c>
      <c r="X1179" s="35">
        <f t="shared" si="227"/>
        <v>1.7163511864354521E-2</v>
      </c>
      <c r="Y1179" s="32">
        <f t="shared" si="228"/>
        <v>-16831.328926228121</v>
      </c>
      <c r="Z1179" s="32">
        <f t="shared" si="221"/>
        <v>214129.16921229026</v>
      </c>
      <c r="AA1179" s="32">
        <f t="shared" si="222"/>
        <v>115393.72296642834</v>
      </c>
      <c r="AB1179" s="40">
        <f t="shared" si="229"/>
        <v>-5.382725632618765E-2</v>
      </c>
      <c r="AC1179" s="40">
        <f t="shared" si="230"/>
        <v>0.68479356137724268</v>
      </c>
      <c r="AD1179" s="40">
        <f t="shared" si="231"/>
        <v>0.36903369494894517</v>
      </c>
      <c r="AE1179" s="40"/>
      <c r="AF1179" s="40"/>
      <c r="AG1179" s="40"/>
      <c r="AH1179" s="40"/>
      <c r="AI1179" s="40"/>
      <c r="AJ1179" s="40"/>
      <c r="AK1179" s="33">
        <f t="shared" si="223"/>
        <v>6592600.0000000009</v>
      </c>
      <c r="AL1179" s="33">
        <f t="shared" si="224"/>
        <v>6723200.0000000009</v>
      </c>
      <c r="AM1179" s="34"/>
      <c r="AN1179" s="33"/>
      <c r="AO1179" s="15" cm="1">
        <f t="array" ref="AO1179">SUMPRODUCT(I1179:K1179, TRANSPOSE($AY$5:$AY$7))</f>
        <v>-7.6926416775747828E-3</v>
      </c>
      <c r="AP1179" s="22">
        <f t="shared" si="232"/>
        <v>10595992.893395791</v>
      </c>
      <c r="AQ1179" s="22">
        <f t="shared" si="233"/>
        <v>-82143.073779905215</v>
      </c>
      <c r="AR1179">
        <f t="shared" si="234"/>
        <v>0</v>
      </c>
      <c r="AS1179">
        <f t="shared" si="235"/>
        <v>0</v>
      </c>
      <c r="BJ1179">
        <f t="shared" si="209"/>
        <v>2.5779104922739013E-5</v>
      </c>
      <c r="BK1179">
        <f t="shared" si="211"/>
        <v>2.0511468697339407E-5</v>
      </c>
      <c r="BO1179">
        <f t="shared" si="212"/>
        <v>3.2537924476854915E-5</v>
      </c>
      <c r="BP1179">
        <f t="shared" si="210"/>
        <v>3.8514742313570545</v>
      </c>
    </row>
    <row r="1180" spans="1:68" x14ac:dyDescent="0.15">
      <c r="A1180" s="5">
        <v>45289</v>
      </c>
      <c r="B1180" s="1"/>
      <c r="C1180">
        <v>97.51</v>
      </c>
      <c r="D1180">
        <v>94.56</v>
      </c>
      <c r="E1180">
        <v>84.87</v>
      </c>
      <c r="G1180" s="3">
        <v>7.2571853995615498E-3</v>
      </c>
      <c r="I1180" s="15">
        <f t="shared" si="213"/>
        <v>7.4387849984502413E-3</v>
      </c>
      <c r="J1180" s="15">
        <f t="shared" si="214"/>
        <v>4.0348269271607076E-3</v>
      </c>
      <c r="K1180" s="15">
        <f t="shared" si="215"/>
        <v>9.8762494050451954E-3</v>
      </c>
      <c r="L1180" s="32">
        <f t="shared" si="216"/>
        <v>314570.73080478603</v>
      </c>
      <c r="M1180" s="15"/>
      <c r="N1180" s="32">
        <f t="shared" si="217"/>
        <v>-2925300</v>
      </c>
      <c r="O1180" s="34">
        <f t="shared" si="218"/>
        <v>-0.2741576051830622</v>
      </c>
      <c r="P1180" s="34">
        <f t="shared" si="219"/>
        <v>0.62034800541063317</v>
      </c>
      <c r="Q1180" s="34">
        <f t="shared" si="220"/>
        <v>0.63631780540488803</v>
      </c>
      <c r="R1180" s="35" cm="1">
        <f t="array" ref="R1180">SQRT(MMULT(O1180:Q1180, MMULT($AU$32:$AW$34,TRANSPOSE(O1180:Q1180))))</f>
        <v>1.2652964131352194E-2</v>
      </c>
      <c r="S1180" s="36" cm="1">
        <f t="array" ref="S1180:U1180">TRANSPOSE(MMULT($AU$32:$AW$34, TRANSPOSE(O1180:Q1180))/MMULT(O1180:Q1180, MMULT($AU$32:$AW$34,TRANSPOSE(O1180:Q1180))))</f>
        <v>0.19693055369100612</v>
      </c>
      <c r="T1180" s="36">
        <v>1.1004694065794152</v>
      </c>
      <c r="U1180" s="36">
        <v>0.58353860986817674</v>
      </c>
      <c r="V1180" s="35">
        <f t="shared" si="225"/>
        <v>5.8057896910717333E-3</v>
      </c>
      <c r="W1180" s="35">
        <f t="shared" si="226"/>
        <v>3.2443385834802475E-2</v>
      </c>
      <c r="X1180" s="35">
        <f t="shared" si="227"/>
        <v>1.7203538922816307E-2</v>
      </c>
      <c r="Y1180" s="32">
        <f t="shared" si="228"/>
        <v>-16983.676583292141</v>
      </c>
      <c r="Z1180" s="32">
        <f t="shared" si="221"/>
        <v>214749.25951772454</v>
      </c>
      <c r="AA1180" s="32">
        <f t="shared" si="222"/>
        <v>116805.1478703536</v>
      </c>
      <c r="AB1180" s="40">
        <f t="shared" si="229"/>
        <v>-5.3990008987300685E-2</v>
      </c>
      <c r="AC1180" s="40">
        <f t="shared" si="230"/>
        <v>0.68267400138696321</v>
      </c>
      <c r="AD1180" s="40">
        <f t="shared" si="231"/>
        <v>0.37131600760033734</v>
      </c>
      <c r="AE1180" s="40"/>
      <c r="AF1180" s="40"/>
      <c r="AG1180" s="40"/>
      <c r="AH1180" s="40"/>
      <c r="AI1180" s="40"/>
      <c r="AJ1180" s="40"/>
      <c r="AK1180" s="33">
        <f t="shared" si="223"/>
        <v>6619200</v>
      </c>
      <c r="AL1180" s="33">
        <f t="shared" si="224"/>
        <v>6789600</v>
      </c>
      <c r="AM1180" s="34"/>
      <c r="AN1180" s="33"/>
      <c r="AO1180" s="15" cm="1">
        <f t="array" ref="AO1180">SUMPRODUCT(I1180:K1180, TRANSPOSE($AY$5:$AY$7))</f>
        <v>6.9976452635750717E-3</v>
      </c>
      <c r="AP1180" s="22">
        <f t="shared" si="232"/>
        <v>10670139.892879138</v>
      </c>
      <c r="AQ1180" s="22">
        <f t="shared" si="233"/>
        <v>74146.999483346939</v>
      </c>
      <c r="AR1180">
        <f t="shared" si="234"/>
        <v>0</v>
      </c>
      <c r="AS1180">
        <f t="shared" si="235"/>
        <v>0</v>
      </c>
      <c r="BJ1180">
        <f t="shared" si="209"/>
        <v>5.2666739923609329E-5</v>
      </c>
      <c r="BK1180">
        <f t="shared" si="211"/>
        <v>2.0827526870863384E-5</v>
      </c>
      <c r="BO1180">
        <f t="shared" si="212"/>
        <v>3.5133348951845146E-5</v>
      </c>
      <c r="BP1180">
        <f t="shared" si="210"/>
        <v>3.4597150237303826</v>
      </c>
    </row>
    <row r="1181" spans="1:68" x14ac:dyDescent="0.15">
      <c r="A1181" s="5">
        <v>45294</v>
      </c>
      <c r="B1181" s="1"/>
      <c r="C1181">
        <v>99.3</v>
      </c>
      <c r="D1181">
        <v>95.12</v>
      </c>
      <c r="E1181">
        <v>88.63</v>
      </c>
      <c r="G1181" s="3">
        <v>2.9151911515359302E-3</v>
      </c>
      <c r="I1181" s="15">
        <f t="shared" si="213"/>
        <v>1.8357091580350652E-2</v>
      </c>
      <c r="J1181" s="15">
        <f t="shared" si="214"/>
        <v>5.9221658206430015E-3</v>
      </c>
      <c r="K1181" s="15">
        <f t="shared" si="215"/>
        <v>4.4303051726169329E-2</v>
      </c>
      <c r="L1181" s="32">
        <f t="shared" si="216"/>
        <v>320740.07274567673</v>
      </c>
      <c r="M1181" s="15"/>
      <c r="N1181" s="32">
        <f t="shared" si="217"/>
        <v>-2979000</v>
      </c>
      <c r="O1181" s="34">
        <f t="shared" si="218"/>
        <v>-0.27124164066341938</v>
      </c>
      <c r="P1181" s="34">
        <f t="shared" si="219"/>
        <v>0.60625556904777167</v>
      </c>
      <c r="Q1181" s="34">
        <f t="shared" si="220"/>
        <v>0.64558970424971773</v>
      </c>
      <c r="R1181" s="35" cm="1">
        <f t="array" ref="R1181">SQRT(MMULT(O1181:Q1181, MMULT($AU$32:$AW$34,TRANSPOSE(O1181:Q1181))))</f>
        <v>1.2533811582081991E-2</v>
      </c>
      <c r="S1181" s="36" cm="1">
        <f t="array" ref="S1181:U1181">TRANSPOSE(MMULT($AU$32:$AW$34, TRANSPOSE(O1181:Q1181))/MMULT(O1181:Q1181, MMULT($AU$32:$AW$34,TRANSPOSE(O1181:Q1181))))</f>
        <v>0.20291047884000404</v>
      </c>
      <c r="T1181" s="36">
        <v>1.1027434230502844</v>
      </c>
      <c r="U1181" s="36">
        <v>0.59866727611849757</v>
      </c>
      <c r="V1181" s="35">
        <f t="shared" si="225"/>
        <v>5.9257531838588047E-3</v>
      </c>
      <c r="W1181" s="35">
        <f t="shared" si="226"/>
        <v>3.2204277410789281E-2</v>
      </c>
      <c r="X1181" s="35">
        <f t="shared" si="227"/>
        <v>1.748334801540008E-2</v>
      </c>
      <c r="Y1181" s="32">
        <f t="shared" si="228"/>
        <v>-17652.81873471538</v>
      </c>
      <c r="Z1181" s="32">
        <f t="shared" si="221"/>
        <v>214428.96071199936</v>
      </c>
      <c r="AA1181" s="32">
        <f t="shared" si="222"/>
        <v>123963.93076839273</v>
      </c>
      <c r="AB1181" s="40">
        <f t="shared" si="229"/>
        <v>-5.5037771188362748E-2</v>
      </c>
      <c r="AC1181" s="40">
        <f t="shared" si="230"/>
        <v>0.66854434145503772</v>
      </c>
      <c r="AD1181" s="40">
        <f t="shared" si="231"/>
        <v>0.3864934297333249</v>
      </c>
      <c r="AE1181" s="40"/>
      <c r="AF1181" s="40"/>
      <c r="AG1181" s="40"/>
      <c r="AH1181" s="40"/>
      <c r="AI1181" s="40"/>
      <c r="AJ1181" s="40"/>
      <c r="AK1181" s="33">
        <f t="shared" si="223"/>
        <v>6658400</v>
      </c>
      <c r="AL1181" s="33">
        <f t="shared" si="224"/>
        <v>7090400</v>
      </c>
      <c r="AM1181" s="34"/>
      <c r="AN1181" s="33"/>
      <c r="AO1181" s="15" cm="1">
        <f t="array" ref="AO1181">SUMPRODUCT(I1181:K1181, TRANSPOSE($AY$5:$AY$7))</f>
        <v>2.9304869141760385E-2</v>
      </c>
      <c r="AP1181" s="22">
        <f t="shared" si="232"/>
        <v>10982826.946164237</v>
      </c>
      <c r="AQ1181" s="22">
        <f t="shared" si="233"/>
        <v>312687.05328509957</v>
      </c>
      <c r="AR1181">
        <f t="shared" si="234"/>
        <v>0</v>
      </c>
      <c r="AS1181">
        <f t="shared" si="235"/>
        <v>0</v>
      </c>
      <c r="BJ1181">
        <f t="shared" si="209"/>
        <v>8.4983394499933832E-6</v>
      </c>
      <c r="BK1181">
        <f t="shared" si="211"/>
        <v>2.2737879654028142E-5</v>
      </c>
      <c r="BO1181">
        <f t="shared" si="212"/>
        <v>4.0998486989915139E-5</v>
      </c>
      <c r="BP1181">
        <f t="shared" si="210"/>
        <v>4.0284070534605778</v>
      </c>
    </row>
    <row r="1182" spans="1:68" x14ac:dyDescent="0.15">
      <c r="A1182" s="5">
        <v>45295</v>
      </c>
      <c r="B1182" s="1"/>
      <c r="C1182">
        <v>98.77</v>
      </c>
      <c r="D1182">
        <v>95.94</v>
      </c>
      <c r="E1182">
        <v>89.84</v>
      </c>
      <c r="G1182" s="3">
        <v>4.8437887006587098E-3</v>
      </c>
      <c r="I1182" s="15">
        <f t="shared" si="213"/>
        <v>-5.3373615307150167E-3</v>
      </c>
      <c r="J1182" s="15">
        <f t="shared" si="214"/>
        <v>8.6206896551723408E-3</v>
      </c>
      <c r="K1182" s="15">
        <f t="shared" si="215"/>
        <v>1.3652262213697483E-2</v>
      </c>
      <c r="L1182" s="32">
        <f t="shared" si="216"/>
        <v>324378.78238603869</v>
      </c>
      <c r="M1182" s="15"/>
      <c r="N1182" s="32">
        <f t="shared" si="217"/>
        <v>-2963100</v>
      </c>
      <c r="O1182" s="34">
        <f t="shared" si="218"/>
        <v>-0.26506714513422303</v>
      </c>
      <c r="P1182" s="34">
        <f t="shared" si="219"/>
        <v>0.60076876693071957</v>
      </c>
      <c r="Q1182" s="34">
        <f t="shared" si="220"/>
        <v>0.64293833671110923</v>
      </c>
      <c r="R1182" s="35" cm="1">
        <f t="array" ref="R1182">SQRT(MMULT(O1182:Q1182, MMULT($AU$32:$AW$34,TRANSPOSE(O1182:Q1182))))</f>
        <v>1.2453921110804914E-2</v>
      </c>
      <c r="S1182" s="36" cm="1">
        <f t="array" ref="S1182:U1182">TRANSPOSE(MMULT($AU$32:$AW$34, TRANSPOSE(O1182:Q1182))/MMULT(O1182:Q1182, MMULT($AU$32:$AW$34,TRANSPOSE(O1182:Q1182))))</f>
        <v>0.20803362423217409</v>
      </c>
      <c r="T1182" s="36">
        <v>1.1089037935761517</v>
      </c>
      <c r="U1182" s="36">
        <v>0.6049539931702218</v>
      </c>
      <c r="V1182" s="35">
        <f t="shared" si="225"/>
        <v>6.036644022876827E-3</v>
      </c>
      <c r="W1182" s="35">
        <f t="shared" si="226"/>
        <v>3.2177766849680371E-2</v>
      </c>
      <c r="X1182" s="35">
        <f t="shared" si="227"/>
        <v>1.755433488439747E-2</v>
      </c>
      <c r="Y1182" s="32">
        <f t="shared" si="228"/>
        <v>-17887.179904186327</v>
      </c>
      <c r="Z1182" s="32">
        <f t="shared" si="221"/>
        <v>216099.44660908345</v>
      </c>
      <c r="AA1182" s="32">
        <f t="shared" si="222"/>
        <v>126166.51568114149</v>
      </c>
      <c r="AB1182" s="40">
        <f t="shared" si="229"/>
        <v>-5.5142878867148103E-2</v>
      </c>
      <c r="AC1182" s="40">
        <f t="shared" si="230"/>
        <v>0.66619476471154171</v>
      </c>
      <c r="AD1182" s="40">
        <f t="shared" si="231"/>
        <v>0.38894811415560615</v>
      </c>
      <c r="AE1182" s="40"/>
      <c r="AF1182" s="40"/>
      <c r="AG1182" s="40"/>
      <c r="AH1182" s="40"/>
      <c r="AI1182" s="40"/>
      <c r="AJ1182" s="40"/>
      <c r="AK1182" s="33">
        <f t="shared" si="223"/>
        <v>6715800</v>
      </c>
      <c r="AL1182" s="33">
        <f t="shared" si="224"/>
        <v>7187200</v>
      </c>
      <c r="AM1182" s="34"/>
      <c r="AN1182" s="33"/>
      <c r="AO1182" s="15" cm="1">
        <f t="array" ref="AO1182">SUMPRODUCT(I1182:K1182, TRANSPOSE($AY$5:$AY$7))</f>
        <v>1.783239046241631E-2</v>
      </c>
      <c r="AP1182" s="22">
        <f t="shared" si="232"/>
        <v>11178677.004649384</v>
      </c>
      <c r="AQ1182" s="22">
        <f t="shared" si="233"/>
        <v>195850.05848514661</v>
      </c>
      <c r="AR1182">
        <f t="shared" si="234"/>
        <v>0</v>
      </c>
      <c r="AS1182">
        <f t="shared" si="235"/>
        <v>0</v>
      </c>
      <c r="BJ1182">
        <f t="shared" si="209"/>
        <v>2.3462288976628993E-5</v>
      </c>
      <c r="BK1182">
        <f t="shared" si="211"/>
        <v>2.1883507241786057E-5</v>
      </c>
      <c r="BO1182">
        <f t="shared" si="212"/>
        <v>3.9308505103016721E-5</v>
      </c>
      <c r="BP1182">
        <f t="shared" si="210"/>
        <v>3.8546584727178157</v>
      </c>
    </row>
    <row r="1183" spans="1:68" x14ac:dyDescent="0.15">
      <c r="A1183" s="5">
        <v>45296</v>
      </c>
      <c r="B1183" s="1"/>
      <c r="C1183">
        <v>98.63</v>
      </c>
      <c r="D1183">
        <v>96.02</v>
      </c>
      <c r="E1183">
        <v>90.41</v>
      </c>
      <c r="G1183" s="3">
        <v>-3.4272063357916301E-3</v>
      </c>
      <c r="I1183" s="15">
        <f t="shared" si="213"/>
        <v>-1.4174344436569868E-3</v>
      </c>
      <c r="J1183" s="15">
        <f t="shared" si="214"/>
        <v>8.3385449239105998E-4</v>
      </c>
      <c r="K1183" s="15">
        <f t="shared" si="215"/>
        <v>6.3446126447016154E-3</v>
      </c>
      <c r="L1183" s="32">
        <f t="shared" si="216"/>
        <v>325385.93277378153</v>
      </c>
      <c r="M1183" s="15"/>
      <c r="N1183" s="32">
        <f t="shared" si="217"/>
        <v>-2958900</v>
      </c>
      <c r="O1183" s="34">
        <f t="shared" si="218"/>
        <v>-0.26316957104322741</v>
      </c>
      <c r="P1183" s="34">
        <f t="shared" si="219"/>
        <v>0.59781268539320309</v>
      </c>
      <c r="Q1183" s="34">
        <f t="shared" si="220"/>
        <v>0.64329746643734331</v>
      </c>
      <c r="R1183" s="35" cm="1">
        <f t="array" ref="R1183">SQRT(MMULT(O1183:Q1183, MMULT($AU$32:$AW$34,TRANSPOSE(O1183:Q1183))))</f>
        <v>1.2420761913403399E-2</v>
      </c>
      <c r="S1183" s="36" cm="1">
        <f t="array" ref="S1183:U1183">TRANSPOSE(MMULT($AU$32:$AW$34, TRANSPOSE(O1183:Q1183))/MMULT(O1183:Q1183, MMULT($AU$32:$AW$34,TRANSPOSE(O1183:Q1183))))</f>
        <v>0.21004442188701361</v>
      </c>
      <c r="T1183" s="36">
        <v>1.1106677023612925</v>
      </c>
      <c r="U1183" s="36">
        <v>0.60828167231409092</v>
      </c>
      <c r="V1183" s="35">
        <f t="shared" si="225"/>
        <v>6.078764390308136E-3</v>
      </c>
      <c r="W1183" s="35">
        <f t="shared" si="226"/>
        <v>3.2143140093531822E-2</v>
      </c>
      <c r="X1183" s="35">
        <f t="shared" si="227"/>
        <v>1.7603899859473436E-2</v>
      </c>
      <c r="Y1183" s="32">
        <f t="shared" si="228"/>
        <v>-17986.455954482743</v>
      </c>
      <c r="Z1183" s="32">
        <f t="shared" si="221"/>
        <v>216046.90182466479</v>
      </c>
      <c r="AA1183" s="32">
        <f t="shared" si="222"/>
        <v>127325.48690359946</v>
      </c>
      <c r="AB1183" s="40">
        <f t="shared" si="229"/>
        <v>-5.527730040802805E-2</v>
      </c>
      <c r="AC1183" s="40">
        <f t="shared" si="230"/>
        <v>0.66397124172810307</v>
      </c>
      <c r="AD1183" s="40">
        <f t="shared" si="231"/>
        <v>0.39130605867992491</v>
      </c>
      <c r="AE1183" s="40"/>
      <c r="AF1183" s="40"/>
      <c r="AG1183" s="40"/>
      <c r="AH1183" s="40"/>
      <c r="AI1183" s="40"/>
      <c r="AJ1183" s="40"/>
      <c r="AK1183" s="33">
        <f t="shared" si="223"/>
        <v>6721400</v>
      </c>
      <c r="AL1183" s="33">
        <f t="shared" si="224"/>
        <v>7232800</v>
      </c>
      <c r="AM1183" s="34"/>
      <c r="AN1183" s="33"/>
      <c r="AO1183" s="15" cm="1">
        <f t="array" ref="AO1183">SUMPRODUCT(I1183:K1183, TRANSPOSE($AY$5:$AY$7))</f>
        <v>5.7828068175502702E-3</v>
      </c>
      <c r="AP1183" s="22">
        <f t="shared" si="232"/>
        <v>11243321.134243064</v>
      </c>
      <c r="AQ1183" s="22">
        <f t="shared" si="233"/>
        <v>64644.129593679681</v>
      </c>
      <c r="AR1183">
        <f t="shared" si="234"/>
        <v>0</v>
      </c>
      <c r="AS1183">
        <f t="shared" si="235"/>
        <v>0</v>
      </c>
      <c r="BJ1183">
        <f t="shared" si="209"/>
        <v>1.1745743268090291E-5</v>
      </c>
      <c r="BK1183">
        <f t="shared" si="211"/>
        <v>2.1978234145876636E-5</v>
      </c>
      <c r="BO1183">
        <f t="shared" si="212"/>
        <v>4.0114087623242445E-5</v>
      </c>
      <c r="BP1183">
        <f t="shared" si="210"/>
        <v>3.9965487351997244</v>
      </c>
    </row>
    <row r="1184" spans="1:68" x14ac:dyDescent="0.15">
      <c r="A1184" s="5">
        <v>45299</v>
      </c>
      <c r="B1184" s="1"/>
      <c r="C1184">
        <v>98.79</v>
      </c>
      <c r="D1184">
        <v>96.86</v>
      </c>
      <c r="E1184">
        <v>90.8</v>
      </c>
      <c r="G1184" s="3">
        <v>3.9784633309269905E-3</v>
      </c>
      <c r="I1184" s="15">
        <f t="shared" si="213"/>
        <v>1.6222244753118808E-3</v>
      </c>
      <c r="J1184" s="15">
        <f t="shared" si="214"/>
        <v>8.7481774630285714E-3</v>
      </c>
      <c r="K1184" s="15">
        <f t="shared" si="215"/>
        <v>4.313682114810315E-3</v>
      </c>
      <c r="L1184" s="32">
        <f t="shared" si="216"/>
        <v>327796.55304435769</v>
      </c>
      <c r="M1184" s="15"/>
      <c r="N1184" s="32">
        <f t="shared" si="217"/>
        <v>-2963700</v>
      </c>
      <c r="O1184" s="34">
        <f t="shared" si="218"/>
        <v>-0.26142929859447051</v>
      </c>
      <c r="P1184" s="34">
        <f t="shared" si="219"/>
        <v>0.59808446547566518</v>
      </c>
      <c r="Q1184" s="34">
        <f t="shared" si="220"/>
        <v>0.64076067921524904</v>
      </c>
      <c r="R1184" s="35" cm="1">
        <f t="array" ref="R1184">SQRT(MMULT(O1184:Q1184, MMULT($AU$32:$AW$34,TRANSPOSE(O1184:Q1184))))</f>
        <v>1.2409905629804695E-2</v>
      </c>
      <c r="S1184" s="36" cm="1">
        <f t="array" ref="S1184:U1184">TRANSPOSE(MMULT($AU$32:$AW$34, TRANSPOSE(O1184:Q1184))/MMULT(O1184:Q1184, MMULT($AU$32:$AW$34,TRANSPOSE(O1184:Q1184))))</f>
        <v>0.21090487133085187</v>
      </c>
      <c r="T1184" s="36">
        <v>1.1127097827330406</v>
      </c>
      <c r="U1184" s="36">
        <v>0.60809330158016139</v>
      </c>
      <c r="V1184" s="35">
        <f t="shared" si="225"/>
        <v>6.098331251690999E-3</v>
      </c>
      <c r="W1184" s="35">
        <f t="shared" si="226"/>
        <v>3.2174092515190621E-2</v>
      </c>
      <c r="X1184" s="35">
        <f t="shared" si="227"/>
        <v>1.7583066534071976E-2</v>
      </c>
      <c r="Y1184" s="32">
        <f t="shared" si="228"/>
        <v>-18073.624330636612</v>
      </c>
      <c r="Z1184" s="32">
        <f t="shared" si="221"/>
        <v>218146.78207149546</v>
      </c>
      <c r="AA1184" s="32">
        <f t="shared" si="222"/>
        <v>127723.39530349884</v>
      </c>
      <c r="AB1184" s="40">
        <f t="shared" si="229"/>
        <v>-5.5136712582181654E-2</v>
      </c>
      <c r="AC1184" s="40">
        <f t="shared" si="230"/>
        <v>0.66549443563543409</v>
      </c>
      <c r="AD1184" s="40">
        <f t="shared" si="231"/>
        <v>0.38964227694674752</v>
      </c>
      <c r="AE1184" s="40"/>
      <c r="AF1184" s="40"/>
      <c r="AG1184" s="40"/>
      <c r="AH1184" s="40"/>
      <c r="AI1184" s="40"/>
      <c r="AJ1184" s="40"/>
      <c r="AK1184" s="33">
        <f t="shared" si="223"/>
        <v>6780200</v>
      </c>
      <c r="AL1184" s="33">
        <f t="shared" si="224"/>
        <v>7264000</v>
      </c>
      <c r="AM1184" s="34"/>
      <c r="AN1184" s="33"/>
      <c r="AO1184" s="15" cm="1">
        <f t="array" ref="AO1184">SUMPRODUCT(I1184:K1184, TRANSPOSE($AY$5:$AY$7))</f>
        <v>8.2897845792803248E-3</v>
      </c>
      <c r="AP1184" s="22">
        <f t="shared" si="232"/>
        <v>11336525.844401609</v>
      </c>
      <c r="AQ1184" s="22">
        <f t="shared" si="233"/>
        <v>93204.710158545524</v>
      </c>
      <c r="AR1184">
        <f t="shared" si="234"/>
        <v>0</v>
      </c>
      <c r="AS1184">
        <f t="shared" si="235"/>
        <v>0</v>
      </c>
      <c r="BJ1184">
        <f t="shared" si="209"/>
        <v>1.5828170475530683E-5</v>
      </c>
      <c r="BK1184">
        <f t="shared" si="211"/>
        <v>2.1364284693209454E-5</v>
      </c>
      <c r="BO1184">
        <f t="shared" si="212"/>
        <v>3.9077296837121091E-5</v>
      </c>
      <c r="BP1184">
        <f t="shared" si="210"/>
        <v>3.9535220521344767</v>
      </c>
    </row>
    <row r="1185" spans="1:68" x14ac:dyDescent="0.15">
      <c r="A1185" s="5">
        <v>45300</v>
      </c>
      <c r="B1185" s="1"/>
      <c r="C1185">
        <v>98.82</v>
      </c>
      <c r="D1185">
        <v>96.6</v>
      </c>
      <c r="E1185">
        <v>91.14</v>
      </c>
      <c r="G1185" s="3">
        <v>1.6243922964211898E-3</v>
      </c>
      <c r="I1185" s="15">
        <f t="shared" si="213"/>
        <v>3.0367446097769941E-4</v>
      </c>
      <c r="J1185" s="15">
        <f t="shared" si="214"/>
        <v>-2.6842865992154153E-3</v>
      </c>
      <c r="K1185" s="15">
        <f t="shared" si="215"/>
        <v>3.7444933920705221E-3</v>
      </c>
      <c r="L1185" s="32">
        <f t="shared" si="216"/>
        <v>327684.76112170157</v>
      </c>
      <c r="M1185" s="15"/>
      <c r="N1185" s="32">
        <f t="shared" si="217"/>
        <v>-2964600</v>
      </c>
      <c r="O1185" s="34">
        <f t="shared" si="218"/>
        <v>-0.26127995735065412</v>
      </c>
      <c r="P1185" s="34">
        <f t="shared" si="219"/>
        <v>0.59595732024729242</v>
      </c>
      <c r="Q1185" s="34">
        <f t="shared" si="220"/>
        <v>0.64259745835360227</v>
      </c>
      <c r="R1185" s="35" cm="1">
        <f t="array" ref="R1185">SQRT(MMULT(O1185:Q1185, MMULT($AU$32:$AW$34,TRANSPOSE(O1185:Q1185))))</f>
        <v>1.239482262808978E-2</v>
      </c>
      <c r="S1185" s="36" cm="1">
        <f t="array" ref="S1185:U1185">TRANSPOSE(MMULT($AU$32:$AW$34, TRANSPOSE(O1185:Q1185))/MMULT(O1185:Q1185, MMULT($AU$32:$AW$34,TRANSPOSE(O1185:Q1185))))</f>
        <v>0.21169647032436487</v>
      </c>
      <c r="T1185" s="36">
        <v>1.1125879521410602</v>
      </c>
      <c r="U1185" s="36">
        <v>0.61042431018203247</v>
      </c>
      <c r="V1185" s="35">
        <f t="shared" si="225"/>
        <v>6.1137806675451963E-3</v>
      </c>
      <c r="W1185" s="35">
        <f t="shared" si="226"/>
        <v>3.2131469657105734E-2</v>
      </c>
      <c r="X1185" s="35">
        <f t="shared" si="227"/>
        <v>1.7629015452512217E-2</v>
      </c>
      <c r="Y1185" s="32">
        <f t="shared" si="228"/>
        <v>-18124.914167004488</v>
      </c>
      <c r="Z1185" s="32">
        <f t="shared" si="221"/>
        <v>217272.99782134898</v>
      </c>
      <c r="AA1185" s="32">
        <f t="shared" si="222"/>
        <v>128536.67746735708</v>
      </c>
      <c r="AB1185" s="40">
        <f t="shared" si="229"/>
        <v>-5.5312044737634063E-2</v>
      </c>
      <c r="AC1185" s="40">
        <f t="shared" si="230"/>
        <v>0.66305493449740915</v>
      </c>
      <c r="AD1185" s="40">
        <f t="shared" si="231"/>
        <v>0.39225711024022497</v>
      </c>
      <c r="AE1185" s="40"/>
      <c r="AF1185" s="40"/>
      <c r="AG1185" s="40"/>
      <c r="AH1185" s="40"/>
      <c r="AI1185" s="40"/>
      <c r="AJ1185" s="40"/>
      <c r="AK1185" s="33">
        <f t="shared" si="223"/>
        <v>6762000</v>
      </c>
      <c r="AL1185" s="33">
        <f t="shared" si="224"/>
        <v>7291200</v>
      </c>
      <c r="AM1185" s="34"/>
      <c r="AN1185" s="33"/>
      <c r="AO1185" s="15" cm="1">
        <f t="array" ref="AO1185">SUMPRODUCT(I1185:K1185, TRANSPOSE($AY$5:$AY$7))</f>
        <v>8.7542361637743299E-4</v>
      </c>
      <c r="AP1185" s="22">
        <f t="shared" si="232"/>
        <v>11346450.106853472</v>
      </c>
      <c r="AQ1185" s="22">
        <f t="shared" si="233"/>
        <v>9924.2624518629164</v>
      </c>
      <c r="AR1185">
        <f t="shared" si="234"/>
        <v>0</v>
      </c>
      <c r="AS1185">
        <f t="shared" si="235"/>
        <v>0</v>
      </c>
      <c r="BJ1185">
        <f t="shared" si="209"/>
        <v>2.6386503326725065E-6</v>
      </c>
      <c r="BK1185">
        <f t="shared" si="211"/>
        <v>2.1032117840148729E-5</v>
      </c>
      <c r="BO1185">
        <f t="shared" si="212"/>
        <v>3.8845480158373428E-5</v>
      </c>
      <c r="BP1185">
        <f t="shared" si="210"/>
        <v>4.1250574661014108</v>
      </c>
    </row>
    <row r="1186" spans="1:68" x14ac:dyDescent="0.15">
      <c r="A1186" s="5">
        <v>45301</v>
      </c>
      <c r="B1186" s="1"/>
      <c r="C1186">
        <v>98.27</v>
      </c>
      <c r="D1186">
        <v>96.74</v>
      </c>
      <c r="E1186">
        <v>91.55</v>
      </c>
      <c r="G1186" s="3">
        <v>5.6481150518594703E-4</v>
      </c>
      <c r="I1186" s="15">
        <f t="shared" si="213"/>
        <v>-5.5656749645820397E-3</v>
      </c>
      <c r="J1186" s="15">
        <f t="shared" si="214"/>
        <v>1.4492753623188465E-3</v>
      </c>
      <c r="K1186" s="15">
        <f t="shared" si="215"/>
        <v>4.498573622997549E-3</v>
      </c>
      <c r="L1186" s="32">
        <f t="shared" si="216"/>
        <v>328679.79544703971</v>
      </c>
      <c r="M1186" s="15"/>
      <c r="N1186" s="32">
        <f t="shared" si="217"/>
        <v>-2948100</v>
      </c>
      <c r="O1186" s="34">
        <f t="shared" si="218"/>
        <v>-0.25815742214266868</v>
      </c>
      <c r="P1186" s="34">
        <f t="shared" si="219"/>
        <v>0.59298885087538544</v>
      </c>
      <c r="Q1186" s="34">
        <f t="shared" si="220"/>
        <v>0.64134356357413436</v>
      </c>
      <c r="R1186" s="35" cm="1">
        <f t="array" ref="R1186">SQRT(MMULT(O1186:Q1186, MMULT($AU$32:$AW$34,TRANSPOSE(O1186:Q1186))))</f>
        <v>1.2352631672859994E-2</v>
      </c>
      <c r="S1186" s="36" cm="1">
        <f t="array" ref="S1186:U1186">TRANSPOSE(MMULT($AU$32:$AW$34, TRANSPOSE(O1186:Q1186))/MMULT(O1186:Q1186, MMULT($AU$32:$AW$34,TRANSPOSE(O1186:Q1186))))</f>
        <v>0.21441706313559331</v>
      </c>
      <c r="T1186" s="36">
        <v>1.1157817454952195</v>
      </c>
      <c r="U1186" s="36">
        <v>0.61387880623524049</v>
      </c>
      <c r="V1186" s="35">
        <f t="shared" si="225"/>
        <v>6.1712729623265182E-3</v>
      </c>
      <c r="W1186" s="35">
        <f t="shared" si="226"/>
        <v>3.2114019365509588E-2</v>
      </c>
      <c r="X1186" s="35">
        <f t="shared" si="227"/>
        <v>1.7668433769513471E-2</v>
      </c>
      <c r="Y1186" s="32">
        <f t="shared" si="228"/>
        <v>-18193.529820234809</v>
      </c>
      <c r="Z1186" s="32">
        <f t="shared" si="221"/>
        <v>217469.71633935784</v>
      </c>
      <c r="AA1186" s="32">
        <f t="shared" si="222"/>
        <v>129403.60892791666</v>
      </c>
      <c r="AB1186" s="40">
        <f t="shared" si="229"/>
        <v>-5.535335628248661E-2</v>
      </c>
      <c r="AC1186" s="40">
        <f t="shared" si="230"/>
        <v>0.66164613508894199</v>
      </c>
      <c r="AD1186" s="40">
        <f t="shared" si="231"/>
        <v>0.39370722119354462</v>
      </c>
      <c r="AE1186" s="40"/>
      <c r="AF1186" s="40"/>
      <c r="AG1186" s="40"/>
      <c r="AH1186" s="40"/>
      <c r="AI1186" s="40"/>
      <c r="AJ1186" s="40"/>
      <c r="AK1186" s="33">
        <f t="shared" si="223"/>
        <v>6771800</v>
      </c>
      <c r="AL1186" s="33">
        <f t="shared" si="224"/>
        <v>7324000</v>
      </c>
      <c r="AM1186" s="34"/>
      <c r="AN1186" s="33"/>
      <c r="AO1186" s="15" cm="1">
        <f t="array" ref="AO1186">SUMPRODUCT(I1186:K1186, TRANSPOSE($AY$5:$AY$7))</f>
        <v>6.4624750153021576E-3</v>
      </c>
      <c r="AP1186" s="22">
        <f t="shared" si="232"/>
        <v>11419776.257181386</v>
      </c>
      <c r="AQ1186" s="22">
        <f t="shared" si="233"/>
        <v>73326.150327913463</v>
      </c>
      <c r="AR1186">
        <f t="shared" si="234"/>
        <v>0</v>
      </c>
      <c r="AS1186">
        <f t="shared" si="235"/>
        <v>0</v>
      </c>
      <c r="BJ1186">
        <f t="shared" si="209"/>
        <v>3.1901203639041508E-7</v>
      </c>
      <c r="BK1186">
        <f t="shared" si="211"/>
        <v>1.9928509789700155E-5</v>
      </c>
      <c r="BO1186">
        <f t="shared" si="212"/>
        <v>3.6785194116625885E-5</v>
      </c>
      <c r="BP1186">
        <f t="shared" si="210"/>
        <v>4.1819328833157758</v>
      </c>
    </row>
    <row r="1187" spans="1:68" x14ac:dyDescent="0.15">
      <c r="A1187" s="5">
        <v>45302</v>
      </c>
      <c r="B1187" s="1"/>
      <c r="C1187">
        <v>96.68</v>
      </c>
      <c r="D1187">
        <v>96.98</v>
      </c>
      <c r="E1187">
        <v>91.32</v>
      </c>
      <c r="G1187" s="3">
        <v>-9.0076797483668002E-3</v>
      </c>
      <c r="I1187" s="15">
        <f t="shared" si="213"/>
        <v>-1.6179912486007829E-2</v>
      </c>
      <c r="J1187" s="15">
        <f t="shared" si="214"/>
        <v>2.4808765763904188E-3</v>
      </c>
      <c r="K1187" s="15">
        <f t="shared" si="215"/>
        <v>-2.5122883670126049E-3</v>
      </c>
      <c r="L1187" s="32">
        <f t="shared" si="216"/>
        <v>329190.93347521278</v>
      </c>
      <c r="M1187" s="15"/>
      <c r="N1187" s="32">
        <f t="shared" si="217"/>
        <v>-2900400</v>
      </c>
      <c r="O1187" s="34">
        <f t="shared" si="218"/>
        <v>-0.2524258011528619</v>
      </c>
      <c r="P1187" s="34">
        <f t="shared" si="219"/>
        <v>0.59082119490632956</v>
      </c>
      <c r="Q1187" s="34">
        <f t="shared" si="220"/>
        <v>0.63581641597791605</v>
      </c>
      <c r="R1187" s="35" cm="1">
        <f t="array" ref="R1187">SQRT(MMULT(O1187:Q1187, MMULT($AU$32:$AW$34,TRANSPOSE(O1187:Q1187))))</f>
        <v>1.229611146053838E-2</v>
      </c>
      <c r="S1187" s="36" cm="1">
        <f t="array" ref="S1187:U1187">TRANSPOSE(MMULT($AU$32:$AW$34, TRANSPOSE(O1187:Q1187))/MMULT(O1187:Q1187, MMULT($AU$32:$AW$34,TRANSPOSE(O1187:Q1187))))</f>
        <v>0.21834612968388589</v>
      </c>
      <c r="T1187" s="36">
        <v>1.1222487872129459</v>
      </c>
      <c r="U1187" s="36">
        <v>0.61663684267687657</v>
      </c>
      <c r="V1187" s="35">
        <f t="shared" si="225"/>
        <v>6.2556034498386327E-3</v>
      </c>
      <c r="W1187" s="35">
        <f t="shared" si="226"/>
        <v>3.215236008547686E-2</v>
      </c>
      <c r="X1187" s="35">
        <f t="shared" si="227"/>
        <v>1.7666608361374372E-2</v>
      </c>
      <c r="Y1187" s="32">
        <f t="shared" si="228"/>
        <v>-18143.752245911972</v>
      </c>
      <c r="Z1187" s="32">
        <f t="shared" si="221"/>
        <v>218269.51167626822</v>
      </c>
      <c r="AA1187" s="32">
        <f t="shared" si="222"/>
        <v>129065.1740448566</v>
      </c>
      <c r="AB1187" s="40">
        <f t="shared" si="229"/>
        <v>-5.5116196714081585E-2</v>
      </c>
      <c r="AC1187" s="40">
        <f t="shared" si="230"/>
        <v>0.66304836944333201</v>
      </c>
      <c r="AD1187" s="40">
        <f t="shared" si="231"/>
        <v>0.39206782727074974</v>
      </c>
      <c r="AE1187" s="40"/>
      <c r="AF1187" s="40"/>
      <c r="AG1187" s="40"/>
      <c r="AH1187" s="40"/>
      <c r="AI1187" s="40"/>
      <c r="AJ1187" s="40"/>
      <c r="AK1187" s="33">
        <f t="shared" si="223"/>
        <v>6788600</v>
      </c>
      <c r="AL1187" s="33">
        <f t="shared" si="224"/>
        <v>7305599.9999999991</v>
      </c>
      <c r="AM1187" s="34"/>
      <c r="AN1187" s="33"/>
      <c r="AO1187" s="15" cm="1">
        <f t="array" ref="AO1187">SUMPRODUCT(I1187:K1187, TRANSPOSE($AY$5:$AY$7))</f>
        <v>6.1588652381200423E-3</v>
      </c>
      <c r="AP1187" s="22">
        <f t="shared" si="232"/>
        <v>11490109.12019885</v>
      </c>
      <c r="AQ1187" s="22">
        <f t="shared" si="233"/>
        <v>70332.863017464057</v>
      </c>
      <c r="AR1187">
        <f t="shared" si="234"/>
        <v>0</v>
      </c>
      <c r="AS1187">
        <f t="shared" si="235"/>
        <v>0</v>
      </c>
      <c r="BJ1187">
        <f t="shared" si="209"/>
        <v>8.1138294449137376E-5</v>
      </c>
      <c r="BK1187">
        <f t="shared" si="211"/>
        <v>1.875193992450157E-5</v>
      </c>
      <c r="BO1187">
        <f t="shared" si="212"/>
        <v>3.4838786060158324E-5</v>
      </c>
      <c r="BP1187">
        <f t="shared" si="210"/>
        <v>3.0489688633718477</v>
      </c>
    </row>
    <row r="1188" spans="1:68" x14ac:dyDescent="0.15">
      <c r="A1188" s="5">
        <v>45303</v>
      </c>
      <c r="B1188" s="1"/>
      <c r="C1188">
        <v>97.74</v>
      </c>
      <c r="D1188">
        <v>97.8</v>
      </c>
      <c r="E1188">
        <v>91.43</v>
      </c>
      <c r="G1188" s="3">
        <v>6.5257410031942494E-3</v>
      </c>
      <c r="I1188" s="15">
        <f t="shared" si="213"/>
        <v>1.0964004964832312E-2</v>
      </c>
      <c r="J1188" s="15">
        <f t="shared" si="214"/>
        <v>8.4553516188904214E-3</v>
      </c>
      <c r="K1188" s="15">
        <f t="shared" si="215"/>
        <v>1.2045554095489886E-3</v>
      </c>
      <c r="L1188" s="32">
        <f t="shared" si="216"/>
        <v>330994.88141158642</v>
      </c>
      <c r="M1188" s="15"/>
      <c r="N1188" s="32">
        <f t="shared" si="217"/>
        <v>-2932200</v>
      </c>
      <c r="O1188" s="34">
        <f t="shared" si="218"/>
        <v>-0.25465288293068455</v>
      </c>
      <c r="P1188" s="34">
        <f t="shared" si="219"/>
        <v>0.59455481772848595</v>
      </c>
      <c r="Q1188" s="34">
        <f t="shared" si="220"/>
        <v>0.63523397002530502</v>
      </c>
      <c r="R1188" s="35" cm="1">
        <f t="array" ref="R1188">SQRT(MMULT(O1188:Q1188, MMULT($AU$32:$AW$34,TRANSPOSE(O1188:Q1188))))</f>
        <v>1.2337306794025745E-2</v>
      </c>
      <c r="S1188" s="36" cm="1">
        <f t="array" ref="S1188:U1188">TRANSPOSE(MMULT($AU$32:$AW$34, TRANSPOSE(O1188:Q1188))/MMULT(O1188:Q1188, MMULT($AU$32:$AW$34,TRANSPOSE(O1188:Q1188))))</f>
        <v>0.21583002674574267</v>
      </c>
      <c r="T1188" s="36">
        <v>1.1201036684836845</v>
      </c>
      <c r="U1188" s="36">
        <v>0.6123707554021216</v>
      </c>
      <c r="V1188" s="35">
        <f t="shared" si="225"/>
        <v>6.2042337249072722E-3</v>
      </c>
      <c r="W1188" s="35">
        <f t="shared" si="226"/>
        <v>3.2198415856128829E-2</v>
      </c>
      <c r="X1188" s="35">
        <f t="shared" si="227"/>
        <v>1.7603163702928686E-2</v>
      </c>
      <c r="Y1188" s="32">
        <f t="shared" si="228"/>
        <v>-18192.054128173102</v>
      </c>
      <c r="Z1188" s="32">
        <f t="shared" si="221"/>
        <v>220430.35495105796</v>
      </c>
      <c r="AA1188" s="32">
        <f t="shared" si="222"/>
        <v>128756.58058870159</v>
      </c>
      <c r="AB1188" s="40">
        <f t="shared" si="229"/>
        <v>-5.4961738533810124E-2</v>
      </c>
      <c r="AC1188" s="40">
        <f t="shared" si="230"/>
        <v>0.66596303245232547</v>
      </c>
      <c r="AD1188" s="40">
        <f t="shared" si="231"/>
        <v>0.38899870608148468</v>
      </c>
      <c r="AE1188" s="40"/>
      <c r="AF1188" s="40"/>
      <c r="AG1188" s="40"/>
      <c r="AH1188" s="40"/>
      <c r="AI1188" s="40"/>
      <c r="AJ1188" s="40"/>
      <c r="AK1188" s="33">
        <f t="shared" si="223"/>
        <v>6846000</v>
      </c>
      <c r="AL1188" s="33">
        <f t="shared" si="224"/>
        <v>7314400.0000000009</v>
      </c>
      <c r="AM1188" s="34"/>
      <c r="AN1188" s="33"/>
      <c r="AO1188" s="15" cm="1">
        <f t="array" ref="AO1188">SUMPRODUCT(I1188:K1188, TRANSPOSE($AY$5:$AY$7))</f>
        <v>2.1225597489750387E-3</v>
      </c>
      <c r="AP1188" s="22">
        <f t="shared" si="232"/>
        <v>11514497.563328715</v>
      </c>
      <c r="AQ1188" s="22">
        <f t="shared" si="233"/>
        <v>24388.443129865453</v>
      </c>
      <c r="AR1188">
        <f t="shared" si="234"/>
        <v>0</v>
      </c>
      <c r="AS1188">
        <f t="shared" si="235"/>
        <v>0</v>
      </c>
      <c r="BJ1188">
        <f t="shared" si="209"/>
        <v>4.2585295640770687E-5</v>
      </c>
      <c r="BK1188">
        <f t="shared" si="211"/>
        <v>2.2495121195979722E-5</v>
      </c>
      <c r="BO1188">
        <f t="shared" si="212"/>
        <v>4.4822362267981237E-5</v>
      </c>
      <c r="BP1188">
        <f t="shared" si="210"/>
        <v>3.6124179645317867</v>
      </c>
    </row>
    <row r="1189" spans="1:68" x14ac:dyDescent="0.15">
      <c r="A1189" s="5">
        <v>45307</v>
      </c>
      <c r="B1189" s="1"/>
      <c r="C1189">
        <v>98.39</v>
      </c>
      <c r="D1189">
        <v>98.48</v>
      </c>
      <c r="E1189">
        <v>92.8</v>
      </c>
      <c r="G1189" s="3">
        <v>2.8924083531856E-4</v>
      </c>
      <c r="I1189" s="15">
        <f t="shared" si="213"/>
        <v>6.6502967055453825E-3</v>
      </c>
      <c r="J1189" s="15">
        <f t="shared" si="214"/>
        <v>6.9529652351738944E-3</v>
      </c>
      <c r="K1189" s="15">
        <f t="shared" si="215"/>
        <v>1.4984140872798755E-2</v>
      </c>
      <c r="L1189" s="32">
        <f t="shared" si="216"/>
        <v>334337.77798138966</v>
      </c>
      <c r="M1189" s="15"/>
      <c r="N1189" s="32">
        <f t="shared" si="217"/>
        <v>-2951700</v>
      </c>
      <c r="O1189" s="34">
        <f t="shared" si="218"/>
        <v>-0.253058893921428</v>
      </c>
      <c r="P1189" s="34">
        <f t="shared" si="219"/>
        <v>0.59101087208617276</v>
      </c>
      <c r="Q1189" s="34">
        <f t="shared" si="220"/>
        <v>0.63648379864914506</v>
      </c>
      <c r="R1189" s="35" cm="1">
        <f t="array" ref="R1189">SQRT(MMULT(O1189:Q1189, MMULT($AU$32:$AW$34,TRANSPOSE(O1189:Q1189))))</f>
        <v>1.2302090595950806E-2</v>
      </c>
      <c r="S1189" s="36" cm="1">
        <f t="array" ref="S1189:U1189">TRANSPOSE(MMULT($AU$32:$AW$34, TRANSPOSE(O1189:Q1189))/MMULT(O1189:Q1189, MMULT($AU$32:$AW$34,TRANSPOSE(O1189:Q1189))))</f>
        <v>0.2179277963163149</v>
      </c>
      <c r="T1189" s="36">
        <v>1.1215154731504426</v>
      </c>
      <c r="U1189" s="36">
        <v>0.61638761281655763</v>
      </c>
      <c r="V1189" s="35">
        <f t="shared" si="225"/>
        <v>6.246654260225983E-3</v>
      </c>
      <c r="W1189" s="35">
        <f t="shared" si="226"/>
        <v>3.2146974946215691E-2</v>
      </c>
      <c r="X1189" s="35">
        <f t="shared" si="227"/>
        <v>1.7668055074362355E-2</v>
      </c>
      <c r="Y1189" s="32">
        <f t="shared" si="228"/>
        <v>-18438.249379909033</v>
      </c>
      <c r="Z1189" s="32">
        <f t="shared" si="221"/>
        <v>221608.38648923248</v>
      </c>
      <c r="AA1189" s="32">
        <f t="shared" si="222"/>
        <v>131167.64087206611</v>
      </c>
      <c r="AB1189" s="40">
        <f t="shared" si="229"/>
        <v>-5.514856709054089E-2</v>
      </c>
      <c r="AC1189" s="40">
        <f t="shared" si="230"/>
        <v>0.66282783784477961</v>
      </c>
      <c r="AD1189" s="40">
        <f t="shared" si="231"/>
        <v>0.39232072924576095</v>
      </c>
      <c r="AE1189" s="40"/>
      <c r="AF1189" s="40"/>
      <c r="AG1189" s="40"/>
      <c r="AH1189" s="40"/>
      <c r="AI1189" s="40"/>
      <c r="AJ1189" s="40"/>
      <c r="AK1189" s="33">
        <f t="shared" si="223"/>
        <v>6893600</v>
      </c>
      <c r="AL1189" s="33">
        <f t="shared" si="224"/>
        <v>7424000</v>
      </c>
      <c r="AM1189" s="34"/>
      <c r="AN1189" s="33"/>
      <c r="AO1189" s="15" cm="1">
        <f t="array" ref="AO1189">SUMPRODUCT(I1189:K1189, TRANSPOSE($AY$5:$AY$7))</f>
        <v>1.299107170953212E-2</v>
      </c>
      <c r="AP1189" s="22">
        <f t="shared" si="232"/>
        <v>11664083.22687315</v>
      </c>
      <c r="AQ1189" s="22">
        <f t="shared" si="233"/>
        <v>149585.66354443505</v>
      </c>
      <c r="AR1189">
        <f t="shared" si="234"/>
        <v>0</v>
      </c>
      <c r="AS1189">
        <f t="shared" si="235"/>
        <v>0</v>
      </c>
      <c r="BJ1189">
        <f t="shared" si="209"/>
        <v>8.3660260815778344E-8</v>
      </c>
      <c r="BK1189">
        <f t="shared" si="211"/>
        <v>2.3700531662667179E-5</v>
      </c>
      <c r="BO1189">
        <f t="shared" si="212"/>
        <v>4.7162542614428995E-5</v>
      </c>
      <c r="BP1189">
        <f t="shared" si="210"/>
        <v>4.0611298159111202</v>
      </c>
    </row>
    <row r="1190" spans="1:68" x14ac:dyDescent="0.15">
      <c r="A1190" s="5">
        <v>45308</v>
      </c>
      <c r="B1190" s="1"/>
      <c r="C1190">
        <v>98.18</v>
      </c>
      <c r="D1190">
        <v>97.68</v>
      </c>
      <c r="E1190">
        <v>93.65</v>
      </c>
      <c r="G1190" s="3">
        <v>-7.2210097077989302E-3</v>
      </c>
      <c r="I1190" s="15">
        <f t="shared" si="213"/>
        <v>-2.1343632482975277E-3</v>
      </c>
      <c r="J1190" s="15">
        <f t="shared" si="214"/>
        <v>-8.1234768480909544E-3</v>
      </c>
      <c r="K1190" s="15">
        <f t="shared" si="215"/>
        <v>9.1594827586207826E-3</v>
      </c>
      <c r="L1190" s="32">
        <f t="shared" si="216"/>
        <v>333786.05017567571</v>
      </c>
      <c r="M1190" s="15"/>
      <c r="N1190" s="32">
        <f t="shared" si="217"/>
        <v>-2945400</v>
      </c>
      <c r="O1190" s="34">
        <f t="shared" si="218"/>
        <v>-0.25195134310078943</v>
      </c>
      <c r="P1190" s="34">
        <f t="shared" si="219"/>
        <v>0.58489254552385339</v>
      </c>
      <c r="Q1190" s="34">
        <f t="shared" si="220"/>
        <v>0.64087032746354122</v>
      </c>
      <c r="R1190" s="35" cm="1">
        <f t="array" ref="R1190">SQRT(MMULT(O1190:Q1190, MMULT($AU$32:$AW$34,TRANSPOSE(O1190:Q1190))))</f>
        <v>1.2254191325044126E-2</v>
      </c>
      <c r="S1190" s="36" cm="1">
        <f t="array" ref="S1190:U1190">TRANSPOSE(MMULT($AU$32:$AW$34, TRANSPOSE(O1190:Q1190))/MMULT(O1190:Q1190, MMULT($AU$32:$AW$34,TRANSPOSE(O1190:Q1190))))</f>
        <v>0.22065767235525208</v>
      </c>
      <c r="T1190" s="36">
        <v>1.1218606863952976</v>
      </c>
      <c r="U1190" s="36">
        <v>0.62325719761029175</v>
      </c>
      <c r="V1190" s="35">
        <f t="shared" si="225"/>
        <v>6.300276509105771E-3</v>
      </c>
      <c r="W1190" s="35">
        <f t="shared" si="226"/>
        <v>3.2031664494340598E-2</v>
      </c>
      <c r="X1190" s="35">
        <f t="shared" si="227"/>
        <v>1.7795405160049727E-2</v>
      </c>
      <c r="Y1190" s="32">
        <f t="shared" si="228"/>
        <v>-18556.834429920138</v>
      </c>
      <c r="Z1190" s="32">
        <f t="shared" si="221"/>
        <v>219019.7091465033</v>
      </c>
      <c r="AA1190" s="32">
        <f t="shared" si="222"/>
        <v>133323.17545909257</v>
      </c>
      <c r="AB1190" s="40">
        <f t="shared" si="229"/>
        <v>-5.5594996915399694E-2</v>
      </c>
      <c r="AC1190" s="40">
        <f t="shared" si="230"/>
        <v>0.65616795258888294</v>
      </c>
      <c r="AD1190" s="40">
        <f t="shared" si="231"/>
        <v>0.39942704432651677</v>
      </c>
      <c r="AE1190" s="40"/>
      <c r="AF1190" s="40"/>
      <c r="AG1190" s="40"/>
      <c r="AH1190" s="40"/>
      <c r="AI1190" s="40"/>
      <c r="AJ1190" s="40"/>
      <c r="AK1190" s="33">
        <f t="shared" si="223"/>
        <v>6837600.0000000009</v>
      </c>
      <c r="AL1190" s="33">
        <f t="shared" si="224"/>
        <v>7492000</v>
      </c>
      <c r="AM1190" s="34"/>
      <c r="AN1190" s="33"/>
      <c r="AO1190" s="15" cm="1">
        <f t="array" ref="AO1190">SUMPRODUCT(I1190:K1190, TRANSPOSE($AY$5:$AY$7))</f>
        <v>2.2521460326999556E-3</v>
      </c>
      <c r="AP1190" s="22">
        <f t="shared" si="232"/>
        <v>11690352.445637634</v>
      </c>
      <c r="AQ1190" s="22">
        <f t="shared" si="233"/>
        <v>26269.218764483929</v>
      </c>
      <c r="AR1190">
        <f t="shared" si="234"/>
        <v>0</v>
      </c>
      <c r="AS1190">
        <f t="shared" si="235"/>
        <v>0</v>
      </c>
      <c r="BJ1190">
        <f t="shared" si="209"/>
        <v>5.2142981200126394E-5</v>
      </c>
      <c r="BK1190">
        <f t="shared" si="211"/>
        <v>2.2283519378556093E-5</v>
      </c>
      <c r="BO1190">
        <f t="shared" si="212"/>
        <v>4.2945039575489597E-5</v>
      </c>
      <c r="BP1190">
        <f t="shared" si="210"/>
        <v>3.5017664851913692</v>
      </c>
    </row>
    <row r="1191" spans="1:68" x14ac:dyDescent="0.15">
      <c r="A1191" s="5">
        <v>45309</v>
      </c>
      <c r="B1191" s="1"/>
      <c r="C1191">
        <v>97.61</v>
      </c>
      <c r="D1191">
        <v>96.96</v>
      </c>
      <c r="E1191">
        <v>93.12</v>
      </c>
      <c r="G1191" s="3">
        <v>3.3475687147173001E-3</v>
      </c>
      <c r="I1191" s="15">
        <f t="shared" si="213"/>
        <v>-5.8056630678346641E-3</v>
      </c>
      <c r="J1191" s="15">
        <f t="shared" si="214"/>
        <v>-7.371007371007504E-3</v>
      </c>
      <c r="K1191" s="15">
        <f t="shared" si="215"/>
        <v>-5.6593699946609838E-3</v>
      </c>
      <c r="L1191" s="32">
        <f t="shared" si="216"/>
        <v>331524.93329458998</v>
      </c>
      <c r="M1191" s="15"/>
      <c r="N1191" s="32">
        <f t="shared" si="217"/>
        <v>-2928300</v>
      </c>
      <c r="O1191" s="34">
        <f t="shared" si="218"/>
        <v>-0.25218499141891798</v>
      </c>
      <c r="P1191" s="34">
        <f t="shared" si="219"/>
        <v>0.58451318982292799</v>
      </c>
      <c r="Q1191" s="34">
        <f t="shared" si="220"/>
        <v>0.64155903154539207</v>
      </c>
      <c r="R1191" s="35" cm="1">
        <f t="array" ref="R1191">SQRT(MMULT(O1191:Q1191, MMULT($AU$32:$AW$34,TRANSPOSE(O1191:Q1191))))</f>
        <v>1.2253606907236534E-2</v>
      </c>
      <c r="S1191" s="36" cm="1">
        <f t="array" ref="S1191:U1191">TRANSPOSE(MMULT($AU$32:$AW$34, TRANSPOSE(O1191:Q1191))/MMULT(O1191:Q1191, MMULT($AU$32:$AW$34,TRANSPOSE(O1191:Q1191))))</f>
        <v>0.22065789120497872</v>
      </c>
      <c r="T1191" s="36">
        <v>1.121497832398157</v>
      </c>
      <c r="U1191" s="36">
        <v>0.62366253662066728</v>
      </c>
      <c r="V1191" s="35">
        <f t="shared" si="225"/>
        <v>6.2999822893469899E-3</v>
      </c>
      <c r="W1191" s="35">
        <f t="shared" si="226"/>
        <v>3.2019777054272919E-2</v>
      </c>
      <c r="X1191" s="35">
        <f t="shared" si="227"/>
        <v>1.7806129269990825E-2</v>
      </c>
      <c r="Y1191" s="32">
        <f t="shared" si="228"/>
        <v>-18448.23813789479</v>
      </c>
      <c r="Z1191" s="32">
        <f t="shared" si="221"/>
        <v>217324.63082276116</v>
      </c>
      <c r="AA1191" s="32">
        <f t="shared" si="222"/>
        <v>132648.54060972366</v>
      </c>
      <c r="AB1191" s="40">
        <f t="shared" si="229"/>
        <v>-5.5646608400044095E-2</v>
      </c>
      <c r="AC1191" s="40">
        <f t="shared" si="230"/>
        <v>0.65553027539454634</v>
      </c>
      <c r="AD1191" s="40">
        <f t="shared" si="231"/>
        <v>0.40011633300549793</v>
      </c>
      <c r="AE1191" s="40"/>
      <c r="AF1191" s="40"/>
      <c r="AG1191" s="40"/>
      <c r="AH1191" s="40"/>
      <c r="AI1191" s="40"/>
      <c r="AJ1191" s="40"/>
      <c r="AK1191" s="33">
        <f t="shared" si="223"/>
        <v>6787200</v>
      </c>
      <c r="AL1191" s="33">
        <f t="shared" si="224"/>
        <v>7449600</v>
      </c>
      <c r="AM1191" s="34"/>
      <c r="AN1191" s="33"/>
      <c r="AO1191" s="15" cm="1">
        <f t="array" ref="AO1191">SUMPRODUCT(I1191:K1191, TRANSPOSE($AY$5:$AY$7))</f>
        <v>-6.7267798774043085E-3</v>
      </c>
      <c r="AP1191" s="22">
        <f t="shared" si="232"/>
        <v>11611714.018046554</v>
      </c>
      <c r="AQ1191" s="22">
        <f t="shared" si="233"/>
        <v>-78638.427591079846</v>
      </c>
      <c r="AR1191">
        <f t="shared" si="234"/>
        <v>0</v>
      </c>
      <c r="AS1191">
        <f t="shared" si="235"/>
        <v>0</v>
      </c>
      <c r="BJ1191">
        <f t="shared" si="209"/>
        <v>1.1206216299754037E-5</v>
      </c>
      <c r="BK1191">
        <f t="shared" si="211"/>
        <v>2.4075087087850314E-5</v>
      </c>
      <c r="BO1191">
        <f t="shared" si="212"/>
        <v>4.7051217839836075E-5</v>
      </c>
      <c r="BP1191">
        <f t="shared" si="210"/>
        <v>3.9441130760965502</v>
      </c>
    </row>
    <row r="1192" spans="1:68" x14ac:dyDescent="0.15">
      <c r="A1192" s="5">
        <v>45310</v>
      </c>
      <c r="B1192" s="1"/>
      <c r="C1192">
        <v>97.43</v>
      </c>
      <c r="D1192">
        <v>97.76</v>
      </c>
      <c r="E1192">
        <v>93.8</v>
      </c>
      <c r="G1192" s="3">
        <v>-3.1608890766455702E-3</v>
      </c>
      <c r="I1192" s="15">
        <f t="shared" si="213"/>
        <v>-1.8440733531399714E-3</v>
      </c>
      <c r="J1192" s="15">
        <f t="shared" si="214"/>
        <v>8.250825082508368E-3</v>
      </c>
      <c r="K1192" s="15">
        <f t="shared" si="215"/>
        <v>7.3024054982817072E-3</v>
      </c>
      <c r="L1192" s="32">
        <f t="shared" si="216"/>
        <v>334321.45723568066</v>
      </c>
      <c r="M1192" s="15"/>
      <c r="N1192" s="32">
        <f t="shared" si="217"/>
        <v>-2922900</v>
      </c>
      <c r="O1192" s="34">
        <f t="shared" si="218"/>
        <v>-0.24885015070696689</v>
      </c>
      <c r="P1192" s="34">
        <f t="shared" si="219"/>
        <v>0.58261704174549789</v>
      </c>
      <c r="Q1192" s="34">
        <f t="shared" si="220"/>
        <v>0.63887629782239541</v>
      </c>
      <c r="R1192" s="35" cm="1">
        <f t="array" ref="R1192">SQRT(MMULT(O1192:Q1192, MMULT($AU$32:$AW$34,TRANSPOSE(O1192:Q1192))))</f>
        <v>1.2216091611302009E-2</v>
      </c>
      <c r="S1192" s="36" cm="1">
        <f t="array" ref="S1192:U1192">TRANSPOSE(MMULT($AU$32:$AW$34, TRANSPOSE(O1192:Q1192))/MMULT(O1192:Q1192, MMULT($AU$32:$AW$34,TRANSPOSE(O1192:Q1192))))</f>
        <v>0.22320741191804441</v>
      </c>
      <c r="T1192" s="36">
        <v>1.1252601187317384</v>
      </c>
      <c r="U1192" s="36">
        <v>0.62602021375385009</v>
      </c>
      <c r="V1192" s="35">
        <f t="shared" si="225"/>
        <v>6.3532627080880198E-3</v>
      </c>
      <c r="W1192" s="35">
        <f t="shared" si="226"/>
        <v>3.2028834023943582E-2</v>
      </c>
      <c r="X1192" s="35">
        <f t="shared" si="227"/>
        <v>1.7818722256463287E-2</v>
      </c>
      <c r="Y1192" s="32">
        <f t="shared" si="228"/>
        <v>-18569.951569470471</v>
      </c>
      <c r="Z1192" s="32">
        <f t="shared" si="221"/>
        <v>219179.71699265073</v>
      </c>
      <c r="AA1192" s="32">
        <f t="shared" si="222"/>
        <v>133711.6918125005</v>
      </c>
      <c r="AB1192" s="40">
        <f t="shared" si="229"/>
        <v>-5.5545198094717391E-2</v>
      </c>
      <c r="AC1192" s="40">
        <f t="shared" si="230"/>
        <v>0.65559572156967327</v>
      </c>
      <c r="AD1192" s="40">
        <f t="shared" si="231"/>
        <v>0.39994947652504442</v>
      </c>
      <c r="AE1192" s="40"/>
      <c r="AF1192" s="40"/>
      <c r="AG1192" s="40"/>
      <c r="AH1192" s="40"/>
      <c r="AI1192" s="40"/>
      <c r="AJ1192" s="40"/>
      <c r="AK1192" s="33">
        <f t="shared" si="223"/>
        <v>6843200</v>
      </c>
      <c r="AL1192" s="33">
        <f t="shared" si="224"/>
        <v>7504000</v>
      </c>
      <c r="AM1192" s="34"/>
      <c r="AN1192" s="33"/>
      <c r="AO1192" s="15" cm="1">
        <f t="array" ref="AO1192">SUMPRODUCT(I1192:K1192, TRANSPOSE($AY$5:$AY$7))</f>
        <v>1.153221358741666E-2</v>
      </c>
      <c r="AP1192" s="22">
        <f t="shared" si="232"/>
        <v>11745622.784218669</v>
      </c>
      <c r="AQ1192" s="22">
        <f t="shared" si="233"/>
        <v>133908.76617211476</v>
      </c>
      <c r="AR1192">
        <f t="shared" si="234"/>
        <v>0</v>
      </c>
      <c r="AS1192">
        <f t="shared" si="235"/>
        <v>0</v>
      </c>
      <c r="BJ1192">
        <f t="shared" si="209"/>
        <v>9.9912197548572859E-6</v>
      </c>
      <c r="BK1192">
        <f t="shared" si="211"/>
        <v>2.3302954840564537E-5</v>
      </c>
      <c r="BO1192">
        <f t="shared" si="212"/>
        <v>4.4441795311356713E-5</v>
      </c>
      <c r="BP1192">
        <f t="shared" si="210"/>
        <v>3.979318642155119</v>
      </c>
    </row>
    <row r="1193" spans="1:68" x14ac:dyDescent="0.15">
      <c r="A1193" s="5">
        <v>45313</v>
      </c>
      <c r="B1193" s="1"/>
      <c r="C1193">
        <v>97.49</v>
      </c>
      <c r="D1193">
        <v>99.36</v>
      </c>
      <c r="E1193">
        <v>94.4</v>
      </c>
      <c r="G1193" s="3">
        <v>1.1194825129178401E-2</v>
      </c>
      <c r="I1193" s="15">
        <f t="shared" si="213"/>
        <v>6.1582674740827317E-4</v>
      </c>
      <c r="J1193" s="15">
        <f t="shared" si="214"/>
        <v>1.6366612111292905E-2</v>
      </c>
      <c r="K1193" s="15">
        <f t="shared" si="215"/>
        <v>6.3965884861408159E-3</v>
      </c>
      <c r="L1193" s="32">
        <f t="shared" si="216"/>
        <v>338755.25281609927</v>
      </c>
      <c r="M1193" s="15"/>
      <c r="N1193" s="32">
        <f t="shared" si="217"/>
        <v>-2924700</v>
      </c>
      <c r="O1193" s="34">
        <f t="shared" si="218"/>
        <v>-0.24526811509032759</v>
      </c>
      <c r="P1193" s="34">
        <f t="shared" si="219"/>
        <v>0.58326966665854496</v>
      </c>
      <c r="Q1193" s="34">
        <f t="shared" si="220"/>
        <v>0.63331788052181559</v>
      </c>
      <c r="R1193" s="35" cm="1">
        <f t="array" ref="R1193">SQRT(MMULT(O1193:Q1193, MMULT($AU$32:$AW$34,TRANSPOSE(O1193:Q1193))))</f>
        <v>1.2192419182885571E-2</v>
      </c>
      <c r="S1193" s="36" cm="1">
        <f t="array" ref="S1193:U1193">TRANSPOSE(MMULT($AU$32:$AW$34, TRANSPOSE(O1193:Q1193))/MMULT(O1193:Q1193, MMULT($AU$32:$AW$34,TRANSPOSE(O1193:Q1193))))</f>
        <v>0.22501058150994288</v>
      </c>
      <c r="T1193" s="36">
        <v>1.1298857597062133</v>
      </c>
      <c r="U1193" s="36">
        <v>0.62553078471403745</v>
      </c>
      <c r="V1193" s="35">
        <f t="shared" si="225"/>
        <v>6.3921763597249714E-3</v>
      </c>
      <c r="W1193" s="35">
        <f t="shared" si="226"/>
        <v>3.2098175089889262E-2</v>
      </c>
      <c r="X1193" s="35">
        <f t="shared" si="227"/>
        <v>1.7770289145946645E-2</v>
      </c>
      <c r="Y1193" s="32">
        <f t="shared" si="228"/>
        <v>-18695.198199287624</v>
      </c>
      <c r="Z1193" s="32">
        <f t="shared" si="221"/>
        <v>223249.2273851978</v>
      </c>
      <c r="AA1193" s="32">
        <f t="shared" si="222"/>
        <v>134201.22363018905</v>
      </c>
      <c r="AB1193" s="40">
        <f t="shared" si="229"/>
        <v>-5.5187921202322208E-2</v>
      </c>
      <c r="AC1193" s="40">
        <f t="shared" si="230"/>
        <v>0.65902809042607979</v>
      </c>
      <c r="AD1193" s="40">
        <f t="shared" si="231"/>
        <v>0.39615983077624228</v>
      </c>
      <c r="AE1193" s="40"/>
      <c r="AF1193" s="40"/>
      <c r="AG1193" s="40"/>
      <c r="AH1193" s="40"/>
      <c r="AI1193" s="40"/>
      <c r="AJ1193" s="40"/>
      <c r="AK1193" s="33">
        <f t="shared" si="223"/>
        <v>6955200</v>
      </c>
      <c r="AL1193" s="33">
        <f t="shared" si="224"/>
        <v>7552000</v>
      </c>
      <c r="AM1193" s="34"/>
      <c r="AN1193" s="33"/>
      <c r="AO1193" s="15" cm="1">
        <f t="array" ref="AO1193">SUMPRODUCT(I1193:K1193, TRANSPOSE($AY$5:$AY$7))</f>
        <v>1.5229391697186831E-2</v>
      </c>
      <c r="AP1193" s="22">
        <f t="shared" si="232"/>
        <v>11924501.474326937</v>
      </c>
      <c r="AQ1193" s="22">
        <f t="shared" si="233"/>
        <v>178878.69010826759</v>
      </c>
      <c r="AR1193">
        <f t="shared" si="234"/>
        <v>0</v>
      </c>
      <c r="AS1193">
        <f t="shared" si="235"/>
        <v>0</v>
      </c>
      <c r="BJ1193">
        <f t="shared" si="209"/>
        <v>1.253241096728842E-4</v>
      </c>
      <c r="BK1193">
        <f t="shared" si="211"/>
        <v>2.2504250735422103E-5</v>
      </c>
      <c r="BO1193">
        <f t="shared" si="212"/>
        <v>4.2221979512723198E-5</v>
      </c>
      <c r="BP1193">
        <f t="shared" si="210"/>
        <v>2.6332364522956899</v>
      </c>
    </row>
    <row r="1194" spans="1:68" x14ac:dyDescent="0.15">
      <c r="A1194" s="5">
        <v>45314</v>
      </c>
      <c r="B1194" s="1"/>
      <c r="C1194">
        <v>95.9</v>
      </c>
      <c r="D1194">
        <v>98.26</v>
      </c>
      <c r="E1194">
        <v>93.5</v>
      </c>
      <c r="G1194" s="3">
        <v>-1.1182854017860299E-2</v>
      </c>
      <c r="I1194" s="15">
        <f t="shared" si="213"/>
        <v>-1.6309365063083284E-2</v>
      </c>
      <c r="J1194" s="15">
        <f t="shared" si="214"/>
        <v>-1.1070853462157753E-2</v>
      </c>
      <c r="K1194" s="15">
        <f t="shared" si="215"/>
        <v>-9.5338983050848054E-3</v>
      </c>
      <c r="L1194" s="32">
        <f t="shared" si="216"/>
        <v>335309.5620079221</v>
      </c>
      <c r="M1194" s="15"/>
      <c r="N1194" s="32">
        <f t="shared" si="217"/>
        <v>-2877000</v>
      </c>
      <c r="O1194" s="34">
        <f t="shared" si="218"/>
        <v>-0.24318243775825915</v>
      </c>
      <c r="P1194" s="34">
        <f t="shared" si="219"/>
        <v>0.58138944851889407</v>
      </c>
      <c r="Q1194" s="34">
        <f t="shared" si="220"/>
        <v>0.63225743289251946</v>
      </c>
      <c r="R1194" s="35" cm="1">
        <f t="array" ref="R1194">SQRT(MMULT(O1194:Q1194, MMULT($AU$32:$AW$34,TRANSPOSE(O1194:Q1194))))</f>
        <v>1.2164166699148739E-2</v>
      </c>
      <c r="S1194" s="36" cm="1">
        <f t="array" ref="S1194:U1194">TRANSPOSE(MMULT($AU$32:$AW$34, TRANSPOSE(O1194:Q1194))/MMULT(O1194:Q1194, MMULT($AU$32:$AW$34,TRANSPOSE(O1194:Q1194))))</f>
        <v>0.22686848472974586</v>
      </c>
      <c r="T1194" s="36">
        <v>1.1321942436841073</v>
      </c>
      <c r="U1194" s="36">
        <v>0.62778960525531313</v>
      </c>
      <c r="V1194" s="35">
        <f t="shared" si="225"/>
        <v>6.4300219361936679E-3</v>
      </c>
      <c r="W1194" s="35">
        <f t="shared" si="226"/>
        <v>3.2089224872256961E-2</v>
      </c>
      <c r="X1194" s="35">
        <f t="shared" si="227"/>
        <v>1.7793132166041902E-2</v>
      </c>
      <c r="Y1194" s="32">
        <f t="shared" si="228"/>
        <v>-18499.173110429183</v>
      </c>
      <c r="Z1194" s="32">
        <f t="shared" si="221"/>
        <v>220716.10651635783</v>
      </c>
      <c r="AA1194" s="32">
        <f t="shared" si="222"/>
        <v>133092.62860199343</v>
      </c>
      <c r="AB1194" s="40">
        <f t="shared" si="229"/>
        <v>-5.5170431167101991E-2</v>
      </c>
      <c r="AC1194" s="40">
        <f t="shared" si="230"/>
        <v>0.6582457869517695</v>
      </c>
      <c r="AD1194" s="40">
        <f t="shared" si="231"/>
        <v>0.39692464421533247</v>
      </c>
      <c r="AE1194" s="40"/>
      <c r="AF1194" s="40"/>
      <c r="AG1194" s="40"/>
      <c r="AH1194" s="40"/>
      <c r="AI1194" s="40"/>
      <c r="AJ1194" s="40"/>
      <c r="AK1194" s="33">
        <f t="shared" si="223"/>
        <v>6878200</v>
      </c>
      <c r="AL1194" s="33">
        <f t="shared" si="224"/>
        <v>7480000</v>
      </c>
      <c r="AM1194" s="34"/>
      <c r="AN1194" s="33"/>
      <c r="AO1194" s="15" cm="1">
        <f t="array" ref="AO1194">SUMPRODUCT(I1194:K1194, TRANSPOSE($AY$5:$AY$7))</f>
        <v>-7.8726486703666852E-3</v>
      </c>
      <c r="AP1194" s="22">
        <f t="shared" si="232"/>
        <v>11830624.063650291</v>
      </c>
      <c r="AQ1194" s="22">
        <f t="shared" si="233"/>
        <v>-93877.410676645115</v>
      </c>
      <c r="AR1194">
        <f t="shared" si="234"/>
        <v>0</v>
      </c>
      <c r="AS1194">
        <f t="shared" si="235"/>
        <v>0</v>
      </c>
      <c r="BJ1194">
        <f t="shared" si="209"/>
        <v>1.2505622398477424E-4</v>
      </c>
      <c r="BK1194">
        <f t="shared" si="211"/>
        <v>2.8673442271669833E-5</v>
      </c>
      <c r="BO1194">
        <f t="shared" si="212"/>
        <v>5.6906534975975039E-5</v>
      </c>
      <c r="BP1194">
        <f t="shared" si="210"/>
        <v>2.8693255119122565</v>
      </c>
    </row>
    <row r="1195" spans="1:68" x14ac:dyDescent="0.15">
      <c r="A1195" s="5">
        <v>45315</v>
      </c>
      <c r="B1195" s="1"/>
      <c r="C1195">
        <v>95.32</v>
      </c>
      <c r="D1195">
        <v>98.76</v>
      </c>
      <c r="E1195">
        <v>93.53</v>
      </c>
      <c r="G1195" s="3">
        <v>4.2657520113376004E-3</v>
      </c>
      <c r="I1195" s="15">
        <f t="shared" si="213"/>
        <v>-6.0479666319083678E-3</v>
      </c>
      <c r="J1195" s="15">
        <f t="shared" si="214"/>
        <v>5.0885406065540404E-3</v>
      </c>
      <c r="K1195" s="15">
        <f t="shared" si="215"/>
        <v>3.2085561497327417E-4</v>
      </c>
      <c r="L1195" s="32">
        <f t="shared" si="216"/>
        <v>336588.18140438985</v>
      </c>
      <c r="M1195" s="15"/>
      <c r="N1195" s="32">
        <f t="shared" si="217"/>
        <v>-2859600</v>
      </c>
      <c r="O1195" s="34">
        <f t="shared" si="218"/>
        <v>-0.24027819569133826</v>
      </c>
      <c r="P1195" s="34">
        <f t="shared" si="219"/>
        <v>0.58088236902131751</v>
      </c>
      <c r="Q1195" s="34">
        <f t="shared" si="220"/>
        <v>0.6287094598688171</v>
      </c>
      <c r="R1195" s="35" cm="1">
        <f t="array" ref="R1195">SQRT(MMULT(O1195:Q1195, MMULT($AU$32:$AW$34,TRANSPOSE(O1195:Q1195))))</f>
        <v>1.2138136447979406E-2</v>
      </c>
      <c r="S1195" s="36" cm="1">
        <f t="array" ref="S1195:U1195">TRANSPOSE(MMULT($AU$32:$AW$34, TRANSPOSE(O1195:Q1195))/MMULT(O1195:Q1195, MMULT($AU$32:$AW$34,TRANSPOSE(O1195:Q1195))))</f>
        <v>0.22871296660889484</v>
      </c>
      <c r="T1195" s="36">
        <v>1.1358237832317424</v>
      </c>
      <c r="U1195" s="36">
        <v>0.62854904240830656</v>
      </c>
      <c r="V1195" s="35">
        <f t="shared" si="225"/>
        <v>6.4684276269617513E-3</v>
      </c>
      <c r="W1195" s="35">
        <f t="shared" si="226"/>
        <v>3.2123206863824076E-2</v>
      </c>
      <c r="X1195" s="35">
        <f t="shared" si="227"/>
        <v>1.7776534715527249E-2</v>
      </c>
      <c r="Y1195" s="32">
        <f t="shared" si="228"/>
        <v>-18497.115642059824</v>
      </c>
      <c r="Z1195" s="32">
        <f t="shared" si="221"/>
        <v>222074.15369098861</v>
      </c>
      <c r="AA1195" s="32">
        <f t="shared" si="222"/>
        <v>133011.1433554611</v>
      </c>
      <c r="AB1195" s="40">
        <f t="shared" si="229"/>
        <v>-5.4954738947998551E-2</v>
      </c>
      <c r="AC1195" s="40">
        <f t="shared" si="230"/>
        <v>0.65978000999441</v>
      </c>
      <c r="AD1195" s="40">
        <f t="shared" si="231"/>
        <v>0.39517472895358868</v>
      </c>
      <c r="AE1195" s="40"/>
      <c r="AF1195" s="40"/>
      <c r="AG1195" s="40"/>
      <c r="AH1195" s="40"/>
      <c r="AI1195" s="40"/>
      <c r="AJ1195" s="40"/>
      <c r="AK1195" s="33">
        <f t="shared" si="223"/>
        <v>6913200</v>
      </c>
      <c r="AL1195" s="33">
        <f t="shared" si="224"/>
        <v>7482400</v>
      </c>
      <c r="AM1195" s="34"/>
      <c r="AN1195" s="33"/>
      <c r="AO1195" s="15" cm="1">
        <f t="array" ref="AO1195">SUMPRODUCT(I1195:K1195, TRANSPOSE($AY$5:$AY$7))</f>
        <v>5.9659295916068174E-3</v>
      </c>
      <c r="AP1195" s="22">
        <f t="shared" si="232"/>
        <v>11901204.733838798</v>
      </c>
      <c r="AQ1195" s="22">
        <f t="shared" si="233"/>
        <v>70580.670188507065</v>
      </c>
      <c r="AR1195">
        <f t="shared" si="234"/>
        <v>0</v>
      </c>
      <c r="AS1195">
        <f t="shared" si="235"/>
        <v>0</v>
      </c>
      <c r="BJ1195">
        <f t="shared" si="209"/>
        <v>1.8196640222230783E-5</v>
      </c>
      <c r="BK1195">
        <f t="shared" si="211"/>
        <v>3.4456409174456101E-5</v>
      </c>
      <c r="BO1195">
        <f t="shared" si="212"/>
        <v>6.8386636918331124E-5</v>
      </c>
      <c r="BP1195">
        <f t="shared" si="210"/>
        <v>3.7431856584113277</v>
      </c>
    </row>
    <row r="1196" spans="1:68" x14ac:dyDescent="0.15">
      <c r="A1196" s="5">
        <v>45316</v>
      </c>
      <c r="B1196" s="1"/>
      <c r="C1196">
        <v>96.2</v>
      </c>
      <c r="D1196">
        <v>98.84</v>
      </c>
      <c r="E1196">
        <v>92.75</v>
      </c>
      <c r="G1196" s="3">
        <v>1.08927652653045E-3</v>
      </c>
      <c r="I1196" s="15">
        <f t="shared" si="213"/>
        <v>9.2320604280319938E-3</v>
      </c>
      <c r="J1196" s="15">
        <f t="shared" si="214"/>
        <v>8.1004455245036746E-4</v>
      </c>
      <c r="K1196" s="15">
        <f t="shared" si="215"/>
        <v>-8.339570191382456E-3</v>
      </c>
      <c r="L1196" s="32">
        <f t="shared" si="216"/>
        <v>335492.24240043515</v>
      </c>
      <c r="M1196" s="15"/>
      <c r="N1196" s="32">
        <f t="shared" si="217"/>
        <v>-2886000</v>
      </c>
      <c r="O1196" s="34">
        <f t="shared" si="218"/>
        <v>-0.24476141332939488</v>
      </c>
      <c r="P1196" s="34">
        <f t="shared" si="219"/>
        <v>0.58678283664013076</v>
      </c>
      <c r="Q1196" s="34">
        <f t="shared" si="220"/>
        <v>0.62928956580183992</v>
      </c>
      <c r="R1196" s="35" cm="1">
        <f t="array" ref="R1196">SQRT(MMULT(O1196:Q1196, MMULT($AU$32:$AW$34,TRANSPOSE(O1196:Q1196))))</f>
        <v>1.2211617340331516E-2</v>
      </c>
      <c r="S1196" s="36" cm="1">
        <f t="array" ref="S1196:U1196">TRANSPOSE(MMULT($AU$32:$AW$34, TRANSPOSE(O1196:Q1196))/MMULT(O1196:Q1196, MMULT($AU$32:$AW$34,TRANSPOSE(O1196:Q1196))))</f>
        <v>0.22406045583566167</v>
      </c>
      <c r="T1196" s="36">
        <v>1.1310345365838701</v>
      </c>
      <c r="U1196" s="36">
        <v>0.62160525358226493</v>
      </c>
      <c r="V1196" s="35">
        <f t="shared" si="225"/>
        <v>6.375207476293266E-3</v>
      </c>
      <c r="W1196" s="35">
        <f t="shared" si="226"/>
        <v>3.2181403035545085E-2</v>
      </c>
      <c r="X1196" s="35">
        <f t="shared" si="227"/>
        <v>1.768657679982321E-2</v>
      </c>
      <c r="Y1196" s="32">
        <f t="shared" si="228"/>
        <v>-18398.848776582367</v>
      </c>
      <c r="Z1196" s="32">
        <f t="shared" si="221"/>
        <v>222656.69132232934</v>
      </c>
      <c r="AA1196" s="32">
        <f t="shared" si="222"/>
        <v>131234.39985468821</v>
      </c>
      <c r="AB1196" s="40">
        <f t="shared" si="229"/>
        <v>-5.4841353841565021E-2</v>
      </c>
      <c r="AC1196" s="40">
        <f t="shared" si="230"/>
        <v>0.66367165371463899</v>
      </c>
      <c r="AD1196" s="40">
        <f t="shared" si="231"/>
        <v>0.39116970012692609</v>
      </c>
      <c r="AE1196" s="40"/>
      <c r="AF1196" s="40"/>
      <c r="AG1196" s="40"/>
      <c r="AH1196" s="40"/>
      <c r="AI1196" s="40"/>
      <c r="AJ1196" s="40"/>
      <c r="AK1196" s="33">
        <f t="shared" si="223"/>
        <v>6918800</v>
      </c>
      <c r="AL1196" s="33">
        <f t="shared" si="224"/>
        <v>7420000</v>
      </c>
      <c r="AM1196" s="34"/>
      <c r="AN1196" s="33"/>
      <c r="AO1196" s="15" cm="1">
        <f t="array" ref="AO1196">SUMPRODUCT(I1196:K1196, TRANSPOSE($AY$5:$AY$7))</f>
        <v>-9.2537250258789804E-3</v>
      </c>
      <c r="AP1196" s="22">
        <f t="shared" si="232"/>
        <v>11791074.257755166</v>
      </c>
      <c r="AQ1196" s="22">
        <f t="shared" si="233"/>
        <v>-110130.47608363256</v>
      </c>
      <c r="AR1196">
        <f t="shared" si="234"/>
        <v>0</v>
      </c>
      <c r="AS1196">
        <f t="shared" si="235"/>
        <v>0</v>
      </c>
      <c r="BJ1196">
        <f t="shared" si="209"/>
        <v>1.1865233512502422E-6</v>
      </c>
      <c r="BK1196">
        <f t="shared" si="211"/>
        <v>3.3480823037322578E-5</v>
      </c>
      <c r="BO1196">
        <f t="shared" si="212"/>
        <v>6.2172423627110632E-5</v>
      </c>
      <c r="BP1196">
        <f t="shared" si="210"/>
        <v>3.9143187704863371</v>
      </c>
    </row>
    <row r="1197" spans="1:68" x14ac:dyDescent="0.15">
      <c r="A1197" s="5">
        <v>45317</v>
      </c>
      <c r="B1197" s="1"/>
      <c r="C1197">
        <v>98.49</v>
      </c>
      <c r="D1197">
        <v>99.26</v>
      </c>
      <c r="E1197">
        <v>92.46</v>
      </c>
      <c r="G1197" s="3">
        <v>1.6157457579136499E-2</v>
      </c>
      <c r="I1197" s="15">
        <f t="shared" si="213"/>
        <v>2.3804573804573723E-2</v>
      </c>
      <c r="J1197" s="15">
        <f t="shared" si="214"/>
        <v>4.2492917847025665E-3</v>
      </c>
      <c r="K1197" s="15">
        <f t="shared" si="215"/>
        <v>-3.1266846361186658E-3</v>
      </c>
      <c r="L1197" s="32">
        <f t="shared" si="216"/>
        <v>335596.90737863426</v>
      </c>
      <c r="M1197" s="15"/>
      <c r="N1197" s="32">
        <f t="shared" si="217"/>
        <v>-2954700</v>
      </c>
      <c r="O1197" s="34">
        <f t="shared" si="218"/>
        <v>-0.25283737970123371</v>
      </c>
      <c r="P1197" s="34">
        <f t="shared" si="219"/>
        <v>0.59456617647819132</v>
      </c>
      <c r="Q1197" s="34">
        <f t="shared" si="220"/>
        <v>0.63295344034050338</v>
      </c>
      <c r="R1197" s="35" cm="1">
        <f t="array" ref="R1197">SQRT(MMULT(O1197:Q1197, MMULT($AU$32:$AW$34,TRANSPOSE(O1197:Q1197))))</f>
        <v>1.2325084846627785E-2</v>
      </c>
      <c r="S1197" s="36" cm="1">
        <f t="array" ref="S1197:U1197">TRANSPOSE(MMULT($AU$32:$AW$34, TRANSPOSE(O1197:Q1197))/MMULT(O1197:Q1197, MMULT($AU$32:$AW$34,TRANSPOSE(O1197:Q1197))))</f>
        <v>0.2168534152344283</v>
      </c>
      <c r="T1197" s="36">
        <v>1.122101607843198</v>
      </c>
      <c r="U1197" s="36">
        <v>0.61246998907728067</v>
      </c>
      <c r="V1197" s="35">
        <f t="shared" si="225"/>
        <v>6.2274766089656314E-3</v>
      </c>
      <c r="W1197" s="35">
        <f t="shared" si="226"/>
        <v>3.2223894229067358E-2</v>
      </c>
      <c r="X1197" s="35">
        <f t="shared" si="227"/>
        <v>1.758857487464028E-2</v>
      </c>
      <c r="Y1197" s="32">
        <f t="shared" si="228"/>
        <v>-18400.32513651075</v>
      </c>
      <c r="Z1197" s="32">
        <f t="shared" si="221"/>
        <v>223898.06188240583</v>
      </c>
      <c r="AA1197" s="32">
        <f t="shared" si="222"/>
        <v>130099.1706327392</v>
      </c>
      <c r="AB1197" s="40">
        <f t="shared" si="229"/>
        <v>-5.482864928713644E-2</v>
      </c>
      <c r="AC1197" s="40">
        <f t="shared" si="230"/>
        <v>0.6671636625953612</v>
      </c>
      <c r="AD1197" s="40">
        <f t="shared" si="231"/>
        <v>0.38766498669177529</v>
      </c>
      <c r="AE1197" s="40"/>
      <c r="AF1197" s="40"/>
      <c r="AG1197" s="40"/>
      <c r="AH1197" s="40"/>
      <c r="AI1197" s="40"/>
      <c r="AJ1197" s="40"/>
      <c r="AK1197" s="33">
        <f t="shared" si="223"/>
        <v>6948200</v>
      </c>
      <c r="AL1197" s="33">
        <f t="shared" si="224"/>
        <v>7396799.9999999991</v>
      </c>
      <c r="AM1197" s="34"/>
      <c r="AN1197" s="33"/>
      <c r="AO1197" s="15" cm="1">
        <f t="array" ref="AO1197">SUMPRODUCT(I1197:K1197, TRANSPOSE($AY$5:$AY$7))</f>
        <v>-8.8971229111203497E-3</v>
      </c>
      <c r="AP1197" s="22">
        <f t="shared" si="232"/>
        <v>11686167.620829772</v>
      </c>
      <c r="AQ1197" s="22">
        <f t="shared" si="233"/>
        <v>-104906.63692539372</v>
      </c>
      <c r="AR1197">
        <f t="shared" si="234"/>
        <v>0</v>
      </c>
      <c r="AS1197">
        <f t="shared" si="235"/>
        <v>0</v>
      </c>
      <c r="BJ1197">
        <f t="shared" si="209"/>
        <v>2.610634354215955E-4</v>
      </c>
      <c r="BK1197">
        <f t="shared" si="211"/>
        <v>3.1543165056158234E-5</v>
      </c>
      <c r="BO1197">
        <f t="shared" si="212"/>
        <v>5.4875542287965095E-5</v>
      </c>
      <c r="BP1197">
        <f t="shared" si="210"/>
        <v>1.6075962580010961</v>
      </c>
    </row>
    <row r="1198" spans="1:68" x14ac:dyDescent="0.15">
      <c r="A1198" s="5">
        <v>45320</v>
      </c>
      <c r="B1198" s="1"/>
      <c r="C1198">
        <v>99.39</v>
      </c>
      <c r="D1198">
        <v>99.28</v>
      </c>
      <c r="E1198">
        <v>92.91</v>
      </c>
      <c r="G1198" s="3">
        <v>3.48566308320386E-3</v>
      </c>
      <c r="I1198" s="15">
        <f t="shared" si="213"/>
        <v>9.1379835516296661E-3</v>
      </c>
      <c r="J1198" s="15">
        <f t="shared" si="214"/>
        <v>2.0149103364896254E-4</v>
      </c>
      <c r="K1198" s="15">
        <f t="shared" si="215"/>
        <v>4.8669695003244959E-3</v>
      </c>
      <c r="L1198" s="32">
        <f t="shared" si="216"/>
        <v>336107.77322340023</v>
      </c>
      <c r="M1198" s="15"/>
      <c r="N1198" s="32">
        <f t="shared" si="217"/>
        <v>-2981700</v>
      </c>
      <c r="O1198" s="34">
        <f t="shared" si="218"/>
        <v>-0.25511815134822652</v>
      </c>
      <c r="P1198" s="34">
        <f t="shared" si="219"/>
        <v>0.59461686440944261</v>
      </c>
      <c r="Q1198" s="34">
        <f t="shared" si="220"/>
        <v>0.63596008831911255</v>
      </c>
      <c r="R1198" s="35" cm="1">
        <f t="array" ref="R1198">SQRT(MMULT(O1198:Q1198, MMULT($AU$32:$AW$34,TRANSPOSE(O1198:Q1198))))</f>
        <v>1.2342412285545952E-2</v>
      </c>
      <c r="S1198" s="36" cm="1">
        <f t="array" ref="S1198:U1198">TRANSPOSE(MMULT($AU$32:$AW$34, TRANSPOSE(O1198:Q1198))/MMULT(O1198:Q1198, MMULT($AU$32:$AW$34,TRANSPOSE(O1198:Q1198))))</f>
        <v>0.21557622099289225</v>
      </c>
      <c r="T1198" s="36">
        <v>1.1193887433128369</v>
      </c>
      <c r="U1198" s="36">
        <v>0.61228682353262631</v>
      </c>
      <c r="V1198" s="35">
        <f t="shared" si="225"/>
        <v>6.199502294398385E-3</v>
      </c>
      <c r="W1198" s="35">
        <f t="shared" si="226"/>
        <v>3.2191180690195248E-2</v>
      </c>
      <c r="X1198" s="35">
        <f t="shared" si="227"/>
        <v>1.7608034642399493E-2</v>
      </c>
      <c r="Y1198" s="32">
        <f t="shared" si="228"/>
        <v>-18485.055991207664</v>
      </c>
      <c r="Z1198" s="32">
        <f t="shared" si="221"/>
        <v>223715.8293245809</v>
      </c>
      <c r="AA1198" s="32">
        <f t="shared" si="222"/>
        <v>130876.99989002696</v>
      </c>
      <c r="AB1198" s="40">
        <f t="shared" si="229"/>
        <v>-5.499740697434341E-2</v>
      </c>
      <c r="AC1198" s="40">
        <f t="shared" si="230"/>
        <v>0.66560742460390543</v>
      </c>
      <c r="AD1198" s="40">
        <f t="shared" si="231"/>
        <v>0.38938998237043793</v>
      </c>
      <c r="AE1198" s="40"/>
      <c r="AF1198" s="40"/>
      <c r="AG1198" s="40"/>
      <c r="AH1198" s="40"/>
      <c r="AI1198" s="40"/>
      <c r="AJ1198" s="40"/>
      <c r="AK1198" s="33">
        <f t="shared" si="223"/>
        <v>6949600</v>
      </c>
      <c r="AL1198" s="33">
        <f t="shared" si="224"/>
        <v>7432800</v>
      </c>
      <c r="AM1198" s="34"/>
      <c r="AN1198" s="33"/>
      <c r="AO1198" s="15" cm="1">
        <f t="array" ref="AO1198">SUMPRODUCT(I1198:K1198, TRANSPOSE($AY$5:$AY$7))</f>
        <v>1.1622916596694703E-4</v>
      </c>
      <c r="AP1198" s="22">
        <f t="shared" si="232"/>
        <v>11687525.89434569</v>
      </c>
      <c r="AQ1198" s="22">
        <f t="shared" si="233"/>
        <v>1358.2735159173608</v>
      </c>
      <c r="AR1198">
        <f t="shared" si="234"/>
        <v>0</v>
      </c>
      <c r="AS1198">
        <f t="shared" si="235"/>
        <v>0</v>
      </c>
      <c r="BJ1198">
        <f t="shared" si="209"/>
        <v>1.2149847129610239E-5</v>
      </c>
      <c r="BK1198">
        <f t="shared" si="211"/>
        <v>4.5314381278084483E-5</v>
      </c>
      <c r="BO1198">
        <f t="shared" si="212"/>
        <v>8.6163742004290145E-5</v>
      </c>
      <c r="BP1198">
        <f t="shared" si="210"/>
        <v>3.6901876070399466</v>
      </c>
    </row>
    <row r="1199" spans="1:68" x14ac:dyDescent="0.15">
      <c r="A1199" s="5">
        <v>45321</v>
      </c>
      <c r="B1199" s="1"/>
      <c r="C1199">
        <v>99.03</v>
      </c>
      <c r="D1199">
        <v>99.1</v>
      </c>
      <c r="E1199">
        <v>92.59</v>
      </c>
      <c r="G1199" s="3">
        <v>1.16375414382519E-3</v>
      </c>
      <c r="I1199" s="15">
        <f t="shared" si="213"/>
        <v>-3.6220947781466892E-3</v>
      </c>
      <c r="J1199" s="15">
        <f t="shared" si="214"/>
        <v>-1.8130539887188438E-3</v>
      </c>
      <c r="K1199" s="15">
        <f t="shared" si="215"/>
        <v>-3.4441933053491894E-3</v>
      </c>
      <c r="L1199" s="32">
        <f t="shared" si="216"/>
        <v>335318.41693521017</v>
      </c>
      <c r="M1199" s="15"/>
      <c r="N1199" s="32">
        <f t="shared" si="217"/>
        <v>-2970900</v>
      </c>
      <c r="O1199" s="34">
        <f t="shared" si="218"/>
        <v>-0.25478056061510274</v>
      </c>
      <c r="P1199" s="34">
        <f t="shared" si="219"/>
        <v>0.59490819246254256</v>
      </c>
      <c r="Q1199" s="34">
        <f t="shared" si="220"/>
        <v>0.63523193934100408</v>
      </c>
      <c r="R1199" s="35" cm="1">
        <f t="array" ref="R1199">SQRT(MMULT(O1199:Q1199, MMULT($AU$32:$AW$34,TRANSPOSE(O1199:Q1199))))</f>
        <v>1.2341835150216269E-2</v>
      </c>
      <c r="S1199" s="36" cm="1">
        <f t="array" ref="S1199:U1199">TRANSPOSE(MMULT($AU$32:$AW$34, TRANSPOSE(O1199:Q1199))/MMULT(O1199:Q1199, MMULT($AU$32:$AW$34,TRANSPOSE(O1199:Q1199))))</f>
        <v>0.21566333463810208</v>
      </c>
      <c r="T1199" s="36">
        <v>1.1198277918653192</v>
      </c>
      <c r="U1199" s="36">
        <v>0.61198449526734455</v>
      </c>
      <c r="V1199" s="35">
        <f t="shared" si="225"/>
        <v>6.2017174850350605E-3</v>
      </c>
      <c r="W1199" s="35">
        <f t="shared" si="226"/>
        <v>3.2202300908929643E-2</v>
      </c>
      <c r="X1199" s="35">
        <f t="shared" si="227"/>
        <v>1.759851738933145E-2</v>
      </c>
      <c r="Y1199" s="32">
        <f t="shared" si="228"/>
        <v>-18424.682476290662</v>
      </c>
      <c r="Z1199" s="32">
        <f t="shared" si="221"/>
        <v>223387.36140524494</v>
      </c>
      <c r="AA1199" s="32">
        <f t="shared" si="222"/>
        <v>130355.73800625591</v>
      </c>
      <c r="AB1199" s="40">
        <f t="shared" si="229"/>
        <v>-5.4946825303218157E-2</v>
      </c>
      <c r="AC1199" s="40">
        <f t="shared" si="230"/>
        <v>0.66619472752791742</v>
      </c>
      <c r="AD1199" s="40">
        <f t="shared" si="231"/>
        <v>0.38875209777530079</v>
      </c>
      <c r="AE1199" s="40"/>
      <c r="AF1199" s="40"/>
      <c r="AG1199" s="40"/>
      <c r="AH1199" s="40"/>
      <c r="AI1199" s="40"/>
      <c r="AJ1199" s="40"/>
      <c r="AK1199" s="33">
        <f t="shared" si="223"/>
        <v>6937000</v>
      </c>
      <c r="AL1199" s="33">
        <f t="shared" si="224"/>
        <v>7407200</v>
      </c>
      <c r="AM1199" s="34"/>
      <c r="AN1199" s="33"/>
      <c r="AO1199" s="15" cm="1">
        <f t="array" ref="AO1199">SUMPRODUCT(I1199:K1199, TRANSPOSE($AY$5:$AY$7))</f>
        <v>-2.3018686718846186E-3</v>
      </c>
      <c r="AP1199" s="22">
        <f t="shared" si="232"/>
        <v>11660622.744637655</v>
      </c>
      <c r="AQ1199" s="22">
        <f t="shared" si="233"/>
        <v>-26903.149708034471</v>
      </c>
      <c r="AR1199">
        <f t="shared" si="234"/>
        <v>0</v>
      </c>
      <c r="AS1199">
        <f t="shared" si="235"/>
        <v>0</v>
      </c>
      <c r="BJ1199">
        <f t="shared" si="209"/>
        <v>1.3543237072703009E-6</v>
      </c>
      <c r="BK1199">
        <f t="shared" si="211"/>
        <v>4.3324509229176026E-5</v>
      </c>
      <c r="BO1199">
        <f t="shared" si="212"/>
        <v>7.5255222906744695E-5</v>
      </c>
      <c r="BP1199">
        <f t="shared" si="210"/>
        <v>3.8193758873901635</v>
      </c>
    </row>
    <row r="1200" spans="1:68" x14ac:dyDescent="0.15">
      <c r="A1200" s="5">
        <v>45322</v>
      </c>
      <c r="B1200" s="1"/>
      <c r="C1200">
        <v>98.56</v>
      </c>
      <c r="D1200">
        <v>99.1</v>
      </c>
      <c r="E1200">
        <v>89.4</v>
      </c>
      <c r="G1200" s="3">
        <v>-9.5912706301360898E-3</v>
      </c>
      <c r="I1200" s="15">
        <f t="shared" si="213"/>
        <v>-4.7460365545794088E-3</v>
      </c>
      <c r="J1200" s="15">
        <f t="shared" si="214"/>
        <v>0</v>
      </c>
      <c r="K1200" s="15">
        <f t="shared" si="215"/>
        <v>-3.4452964683011102E-2</v>
      </c>
      <c r="L1200" s="32">
        <f t="shared" si="216"/>
        <v>330948.46772834315</v>
      </c>
      <c r="M1200" s="15"/>
      <c r="N1200" s="32">
        <f t="shared" si="217"/>
        <v>-2956800</v>
      </c>
      <c r="O1200" s="34">
        <f t="shared" si="218"/>
        <v>-0.25967890789114234</v>
      </c>
      <c r="P1200" s="34">
        <f t="shared" si="219"/>
        <v>0.60923721051165258</v>
      </c>
      <c r="Q1200" s="34">
        <f t="shared" si="220"/>
        <v>0.62811943629513323</v>
      </c>
      <c r="R1200" s="35" cm="1">
        <f t="array" ref="R1200">SQRT(MMULT(O1200:Q1200, MMULT($AU$32:$AW$34,TRANSPOSE(O1200:Q1200))))</f>
        <v>1.2474386047197398E-2</v>
      </c>
      <c r="S1200" s="36" cm="1">
        <f t="array" ref="S1200:U1200">TRANSPOSE(MMULT($AU$32:$AW$34, TRANSPOSE(O1200:Q1200))/MMULT(O1200:Q1200, MMULT($AU$32:$AW$34,TRANSPOSE(O1200:Q1200))))</f>
        <v>0.20816661612107148</v>
      </c>
      <c r="T1200" s="36">
        <v>1.1156175717226138</v>
      </c>
      <c r="U1200" s="36">
        <v>0.59603432166957548</v>
      </c>
      <c r="V1200" s="35">
        <f t="shared" si="225"/>
        <v>6.0504292047048689E-3</v>
      </c>
      <c r="W1200" s="35">
        <f t="shared" si="226"/>
        <v>3.2425781150742218E-2</v>
      </c>
      <c r="X1200" s="35">
        <f t="shared" si="227"/>
        <v>1.7323927986313721E-2</v>
      </c>
      <c r="Y1200" s="32">
        <f t="shared" si="228"/>
        <v>-17889.909072471357</v>
      </c>
      <c r="Z1200" s="32">
        <f t="shared" si="221"/>
        <v>224937.64384269877</v>
      </c>
      <c r="AA1200" s="32">
        <f t="shared" si="222"/>
        <v>123900.73295811574</v>
      </c>
      <c r="AB1200" s="40">
        <f t="shared" si="229"/>
        <v>-5.4056479533714508E-2</v>
      </c>
      <c r="AC1200" s="40">
        <f t="shared" si="230"/>
        <v>0.67967573739406872</v>
      </c>
      <c r="AD1200" s="40">
        <f t="shared" si="231"/>
        <v>0.37438074213964584</v>
      </c>
      <c r="AE1200" s="40"/>
      <c r="AF1200" s="40"/>
      <c r="AG1200" s="40"/>
      <c r="AH1200" s="40"/>
      <c r="AI1200" s="40"/>
      <c r="AJ1200" s="40"/>
      <c r="AK1200" s="33">
        <f t="shared" si="223"/>
        <v>6937000</v>
      </c>
      <c r="AL1200" s="33">
        <f t="shared" si="224"/>
        <v>7152000</v>
      </c>
      <c r="AM1200" s="34"/>
      <c r="AN1200" s="33"/>
      <c r="AO1200" s="15" cm="1">
        <f t="array" ref="AO1200">SUMPRODUCT(I1200:K1200, TRANSPOSE($AY$5:$AY$7))</f>
        <v>-2.3519604190092257E-2</v>
      </c>
      <c r="AP1200" s="22">
        <f t="shared" si="232"/>
        <v>11386369.513073791</v>
      </c>
      <c r="AQ1200" s="22">
        <f t="shared" si="233"/>
        <v>-274253.23156386428</v>
      </c>
      <c r="AR1200">
        <f t="shared" si="234"/>
        <v>0</v>
      </c>
      <c r="AS1200">
        <f t="shared" si="235"/>
        <v>0</v>
      </c>
      <c r="BJ1200">
        <f t="shared" si="209"/>
        <v>9.1992472300511142E-5</v>
      </c>
      <c r="BK1200">
        <f t="shared" si="211"/>
        <v>4.0806298097861678E-5</v>
      </c>
      <c r="BO1200">
        <f t="shared" si="212"/>
        <v>6.5161311095264616E-5</v>
      </c>
      <c r="BP1200">
        <f t="shared" si="210"/>
        <v>3.1945011864466171</v>
      </c>
    </row>
    <row r="1201" spans="1:68" x14ac:dyDescent="0.15">
      <c r="A1201" s="5">
        <v>45323</v>
      </c>
      <c r="B1201" s="1"/>
      <c r="C1201">
        <v>98.35</v>
      </c>
      <c r="D1201">
        <v>97.76</v>
      </c>
      <c r="E1201">
        <v>90.54</v>
      </c>
      <c r="G1201" s="3">
        <v>-1.05411822200194E-2</v>
      </c>
      <c r="I1201" s="15">
        <f t="shared" si="213"/>
        <v>-2.1306818181818987E-3</v>
      </c>
      <c r="J1201" s="15">
        <f t="shared" si="214"/>
        <v>-1.3521695257315735E-2</v>
      </c>
      <c r="K1201" s="15">
        <f t="shared" si="215"/>
        <v>1.2751677852348998E-2</v>
      </c>
      <c r="L1201" s="32">
        <f t="shared" si="216"/>
        <v>329541.74459712033</v>
      </c>
      <c r="M1201" s="15"/>
      <c r="N1201" s="32">
        <f t="shared" si="217"/>
        <v>-2950500</v>
      </c>
      <c r="O1201" s="34">
        <f t="shared" si="218"/>
        <v>-0.25877634554830764</v>
      </c>
      <c r="P1201" s="34">
        <f t="shared" si="219"/>
        <v>0.60018921804988268</v>
      </c>
      <c r="Q1201" s="34">
        <f t="shared" si="220"/>
        <v>0.63527158992560651</v>
      </c>
      <c r="R1201" s="35" cm="1">
        <f t="array" ref="R1201">SQRT(MMULT(O1201:Q1201, MMULT($AU$32:$AW$34,TRANSPOSE(O1201:Q1201))))</f>
        <v>1.2404620206578293E-2</v>
      </c>
      <c r="S1201" s="36" cm="1">
        <f t="array" ref="S1201:U1201">TRANSPOSE(MMULT($AU$32:$AW$34, TRANSPOSE(O1201:Q1201))/MMULT(O1201:Q1201, MMULT($AU$32:$AW$34,TRANSPOSE(O1201:Q1201))))</f>
        <v>0.21164877992924422</v>
      </c>
      <c r="T1201" s="36">
        <v>1.1160343562889852</v>
      </c>
      <c r="U1201" s="36">
        <v>0.60594227145752855</v>
      </c>
      <c r="V1201" s="35">
        <f t="shared" si="225"/>
        <v>6.1172349660445109E-3</v>
      </c>
      <c r="W1201" s="35">
        <f t="shared" si="226"/>
        <v>3.2256478822511002E-2</v>
      </c>
      <c r="X1201" s="35">
        <f t="shared" si="227"/>
        <v>1.7513407124782877E-2</v>
      </c>
      <c r="Y1201" s="32">
        <f t="shared" si="228"/>
        <v>-18048.901767314328</v>
      </c>
      <c r="Z1201" s="32">
        <f t="shared" si="221"/>
        <v>220737.5358782073</v>
      </c>
      <c r="AA1201" s="32">
        <f t="shared" si="222"/>
        <v>126853.11048622735</v>
      </c>
      <c r="AB1201" s="40">
        <f t="shared" si="229"/>
        <v>-5.4769697809847813E-2</v>
      </c>
      <c r="AC1201" s="40">
        <f t="shared" si="230"/>
        <v>0.6698317876178902</v>
      </c>
      <c r="AD1201" s="40">
        <f t="shared" si="231"/>
        <v>0.38493791019195767</v>
      </c>
      <c r="AE1201" s="40"/>
      <c r="AF1201" s="40"/>
      <c r="AG1201" s="40"/>
      <c r="AH1201" s="40"/>
      <c r="AI1201" s="40"/>
      <c r="AJ1201" s="40"/>
      <c r="AK1201" s="33">
        <f t="shared" si="223"/>
        <v>6843200</v>
      </c>
      <c r="AL1201" s="33">
        <f t="shared" si="224"/>
        <v>7243200.0000000009</v>
      </c>
      <c r="AM1201" s="34"/>
      <c r="AN1201" s="33"/>
      <c r="AO1201" s="15" cm="1">
        <f t="array" ref="AO1201">SUMPRODUCT(I1201:K1201, TRANSPOSE($AY$5:$AY$7))</f>
        <v>1.3496952918384906E-3</v>
      </c>
      <c r="AP1201" s="22">
        <f t="shared" si="232"/>
        <v>11401737.64239672</v>
      </c>
      <c r="AQ1201" s="22">
        <f t="shared" si="233"/>
        <v>15368.129322929308</v>
      </c>
      <c r="AR1201">
        <f t="shared" si="234"/>
        <v>0</v>
      </c>
      <c r="AS1201">
        <f t="shared" si="235"/>
        <v>0</v>
      </c>
      <c r="BJ1201">
        <f t="shared" si="209"/>
        <v>1.1111652259565312E-4</v>
      </c>
      <c r="BK1201">
        <f t="shared" si="211"/>
        <v>4.3877468550020648E-5</v>
      </c>
      <c r="BO1201">
        <f t="shared" si="212"/>
        <v>7.0152562704779313E-5</v>
      </c>
      <c r="BP1201">
        <f t="shared" si="210"/>
        <v>3.0715171880705845</v>
      </c>
    </row>
    <row r="1202" spans="1:68" x14ac:dyDescent="0.15">
      <c r="A1202" s="5">
        <v>45324</v>
      </c>
      <c r="B1202" s="1"/>
      <c r="C1202">
        <v>98.57</v>
      </c>
      <c r="D1202">
        <v>98.48</v>
      </c>
      <c r="E1202">
        <v>89.8</v>
      </c>
      <c r="G1202" s="3">
        <v>2.29818844386686E-3</v>
      </c>
      <c r="I1202" s="15">
        <f t="shared" si="213"/>
        <v>2.2369089984748233E-3</v>
      </c>
      <c r="J1202" s="15">
        <f t="shared" si="214"/>
        <v>7.3649754500818209E-3</v>
      </c>
      <c r="K1202" s="15">
        <f t="shared" si="215"/>
        <v>-8.1731831234814339E-3</v>
      </c>
      <c r="L1202" s="32">
        <f t="shared" si="216"/>
        <v>330096.41697520937</v>
      </c>
      <c r="M1202" s="15"/>
      <c r="N1202" s="32">
        <f t="shared" si="217"/>
        <v>-2957100</v>
      </c>
      <c r="O1202" s="34">
        <f t="shared" si="218"/>
        <v>-0.25989169382471761</v>
      </c>
      <c r="P1202" s="34">
        <f t="shared" si="219"/>
        <v>0.60586026192894171</v>
      </c>
      <c r="Q1202" s="34">
        <f t="shared" si="220"/>
        <v>0.63138274946291006</v>
      </c>
      <c r="R1202" s="35" cm="1">
        <f t="array" ref="R1202">SQRT(MMULT(O1202:Q1202, MMULT($AU$32:$AW$34,TRANSPOSE(O1202:Q1202))))</f>
        <v>1.2451201963929317E-2</v>
      </c>
      <c r="S1202" s="36" cm="1">
        <f t="array" ref="S1202:U1202">TRANSPOSE(MMULT($AU$32:$AW$34, TRANSPOSE(O1202:Q1202))/MMULT(O1202:Q1202, MMULT($AU$32:$AW$34,TRANSPOSE(O1202:Q1202))))</f>
        <v>0.2091479728912351</v>
      </c>
      <c r="T1202" s="36">
        <v>1.1153094502275249</v>
      </c>
      <c r="U1202" s="36">
        <v>0.5996903551928281</v>
      </c>
      <c r="V1202" s="35">
        <f t="shared" si="225"/>
        <v>6.0676547063993743E-3</v>
      </c>
      <c r="W1202" s="35">
        <f t="shared" si="226"/>
        <v>3.2356577695754195E-2</v>
      </c>
      <c r="X1202" s="35">
        <f t="shared" si="227"/>
        <v>1.7397797147000536E-2</v>
      </c>
      <c r="Y1202" s="32">
        <f t="shared" si="228"/>
        <v>-17942.661732293589</v>
      </c>
      <c r="Z1202" s="32">
        <f t="shared" si="221"/>
        <v>223053.30400345111</v>
      </c>
      <c r="AA1202" s="32">
        <f t="shared" si="222"/>
        <v>124985.77470405186</v>
      </c>
      <c r="AB1202" s="40">
        <f t="shared" si="229"/>
        <v>-5.4355820934709219E-2</v>
      </c>
      <c r="AC1202" s="40">
        <f t="shared" si="230"/>
        <v>0.67572167564667229</v>
      </c>
      <c r="AD1202" s="40">
        <f t="shared" si="231"/>
        <v>0.37863414528803696</v>
      </c>
      <c r="AE1202" s="40"/>
      <c r="AF1202" s="40"/>
      <c r="AG1202" s="40"/>
      <c r="AH1202" s="40"/>
      <c r="AI1202" s="40"/>
      <c r="AJ1202" s="40"/>
      <c r="AK1202" s="33">
        <f t="shared" si="223"/>
        <v>6893600</v>
      </c>
      <c r="AL1202" s="33">
        <f t="shared" si="224"/>
        <v>7184000</v>
      </c>
      <c r="AM1202" s="34"/>
      <c r="AN1202" s="33"/>
      <c r="AO1202" s="15" cm="1">
        <f t="array" ref="AO1202">SUMPRODUCT(I1202:K1202, TRANSPOSE($AY$5:$AY$7))</f>
        <v>-2.0642796719098312E-3</v>
      </c>
      <c r="AP1202" s="22">
        <f t="shared" si="232"/>
        <v>11378201.267157072</v>
      </c>
      <c r="AQ1202" s="22">
        <f t="shared" si="233"/>
        <v>-23536.375239647925</v>
      </c>
      <c r="AR1202">
        <f t="shared" si="234"/>
        <v>0</v>
      </c>
      <c r="AS1202">
        <f t="shared" si="235"/>
        <v>0</v>
      </c>
      <c r="BJ1202">
        <f t="shared" si="209"/>
        <v>5.2816701235231791E-6</v>
      </c>
      <c r="BK1202">
        <f t="shared" si="211"/>
        <v>4.7911811792758601E-5</v>
      </c>
      <c r="BO1202">
        <f t="shared" si="212"/>
        <v>7.6791245601673863E-5</v>
      </c>
      <c r="BP1202">
        <f t="shared" si="210"/>
        <v>3.7838816304525942</v>
      </c>
    </row>
    <row r="1203" spans="1:68" x14ac:dyDescent="0.15">
      <c r="A1203" s="5">
        <v>45327</v>
      </c>
      <c r="B1203" s="1"/>
      <c r="C1203">
        <v>100.06</v>
      </c>
      <c r="D1203">
        <v>100.05</v>
      </c>
      <c r="E1203">
        <v>90.36</v>
      </c>
      <c r="G1203" s="3">
        <v>3.09560047549983E-3</v>
      </c>
      <c r="I1203" s="15">
        <f t="shared" si="213"/>
        <v>1.5116161103784206E-2</v>
      </c>
      <c r="J1203" s="15">
        <f t="shared" si="214"/>
        <v>1.5942323314378483E-2</v>
      </c>
      <c r="K1203" s="15">
        <f t="shared" si="215"/>
        <v>6.2360801781737446E-3</v>
      </c>
      <c r="L1203" s="32">
        <f t="shared" si="216"/>
        <v>334163.20593325124</v>
      </c>
      <c r="M1203" s="15"/>
      <c r="N1203" s="32">
        <f t="shared" si="217"/>
        <v>-3001800</v>
      </c>
      <c r="O1203" s="34">
        <f t="shared" si="218"/>
        <v>-0.26143730298582657</v>
      </c>
      <c r="P1203" s="34">
        <f t="shared" si="219"/>
        <v>0.60995940817550687</v>
      </c>
      <c r="Q1203" s="34">
        <f t="shared" si="220"/>
        <v>0.62958157632885048</v>
      </c>
      <c r="R1203" s="35" cm="1">
        <f t="array" ref="R1203">SQRT(MMULT(O1203:Q1203, MMULT($AU$32:$AW$34,TRANSPOSE(O1203:Q1203))))</f>
        <v>1.2490749801376193E-2</v>
      </c>
      <c r="S1203" s="36" cm="1">
        <f t="array" ref="S1203:U1203">TRANSPOSE(MMULT($AU$32:$AW$34, TRANSPOSE(O1203:Q1203))/MMULT(O1203:Q1203, MMULT($AU$32:$AW$34,TRANSPOSE(O1203:Q1203))))</f>
        <v>0.20696264044767634</v>
      </c>
      <c r="T1203" s="36">
        <v>1.1138467371526386</v>
      </c>
      <c r="U1203" s="36">
        <v>0.59516744459164728</v>
      </c>
      <c r="V1203" s="35">
        <f t="shared" si="225"/>
        <v>6.0233262449493671E-3</v>
      </c>
      <c r="W1203" s="35">
        <f t="shared" si="226"/>
        <v>3.2416779522287123E-2</v>
      </c>
      <c r="X1203" s="35">
        <f t="shared" si="227"/>
        <v>1.7321424201942562E-2</v>
      </c>
      <c r="Y1203" s="32">
        <f t="shared" si="228"/>
        <v>-18080.820722089011</v>
      </c>
      <c r="Z1203" s="32">
        <f t="shared" si="221"/>
        <v>227030.91538433786</v>
      </c>
      <c r="AA1203" s="32">
        <f t="shared" si="222"/>
        <v>125213.11127100239</v>
      </c>
      <c r="AB1203" s="40">
        <f t="shared" si="229"/>
        <v>-5.4107754537465851E-2</v>
      </c>
      <c r="AC1203" s="40">
        <f t="shared" si="230"/>
        <v>0.67940129659184278</v>
      </c>
      <c r="AD1203" s="40">
        <f t="shared" si="231"/>
        <v>0.37470645794562307</v>
      </c>
      <c r="AE1203" s="40"/>
      <c r="AF1203" s="40"/>
      <c r="AG1203" s="40"/>
      <c r="AH1203" s="40"/>
      <c r="AI1203" s="40"/>
      <c r="AJ1203" s="40"/>
      <c r="AK1203" s="33">
        <f t="shared" si="223"/>
        <v>7003500</v>
      </c>
      <c r="AL1203" s="33">
        <f t="shared" si="224"/>
        <v>7228800</v>
      </c>
      <c r="AM1203" s="34"/>
      <c r="AN1203" s="33"/>
      <c r="AO1203" s="15" cm="1">
        <f t="array" ref="AO1203">SUMPRODUCT(I1203:K1203, TRANSPOSE($AY$5:$AY$7))</f>
        <v>9.1148260981333377E-3</v>
      </c>
      <c r="AP1203" s="22">
        <f t="shared" si="232"/>
        <v>11481911.59301677</v>
      </c>
      <c r="AQ1203" s="22">
        <f t="shared" si="233"/>
        <v>103710.32585969754</v>
      </c>
      <c r="AR1203">
        <f t="shared" si="234"/>
        <v>0</v>
      </c>
      <c r="AS1203">
        <f t="shared" si="235"/>
        <v>0</v>
      </c>
      <c r="BJ1203">
        <f t="shared" si="209"/>
        <v>9.5827423039147731E-6</v>
      </c>
      <c r="BK1203">
        <f t="shared" si="211"/>
        <v>4.535400329260447E-5</v>
      </c>
      <c r="BO1203">
        <f t="shared" si="212"/>
        <v>6.6925468180874671E-5</v>
      </c>
      <c r="BP1203">
        <f t="shared" si="210"/>
        <v>3.8154343102708244</v>
      </c>
    </row>
    <row r="1204" spans="1:68" x14ac:dyDescent="0.15">
      <c r="A1204" s="5">
        <v>45328</v>
      </c>
      <c r="B1204" s="1"/>
      <c r="C1204">
        <v>99.39</v>
      </c>
      <c r="D1204">
        <v>102.2</v>
      </c>
      <c r="E1204">
        <v>90.09</v>
      </c>
      <c r="G1204" s="3">
        <v>-2.6113945432071298E-3</v>
      </c>
      <c r="I1204" s="15">
        <f t="shared" si="213"/>
        <v>-6.6959824105536844E-3</v>
      </c>
      <c r="J1204" s="15">
        <f t="shared" si="214"/>
        <v>2.1489255372313901E-2</v>
      </c>
      <c r="K1204" s="15">
        <f t="shared" si="215"/>
        <v>-2.9880478087648964E-3</v>
      </c>
      <c r="L1204" s="32">
        <f t="shared" si="216"/>
        <v>338802.76953279384</v>
      </c>
      <c r="M1204" s="15"/>
      <c r="N1204" s="32">
        <f t="shared" si="217"/>
        <v>-2981700</v>
      </c>
      <c r="O1204" s="34">
        <f t="shared" si="218"/>
        <v>-0.25595909678868112</v>
      </c>
      <c r="P1204" s="34">
        <f t="shared" si="219"/>
        <v>0.61412327813872114</v>
      </c>
      <c r="Q1204" s="34">
        <f t="shared" si="220"/>
        <v>0.61869014400354916</v>
      </c>
      <c r="R1204" s="35" cm="1">
        <f t="array" ref="R1204">SQRT(MMULT(O1204:Q1204, MMULT($AU$32:$AW$34,TRANSPOSE(O1204:Q1204))))</f>
        <v>1.2482387323635206E-2</v>
      </c>
      <c r="S1204" s="36" cm="1">
        <f t="array" ref="S1204:U1204">TRANSPOSE(MMULT($AU$32:$AW$34, TRANSPOSE(O1204:Q1204))/MMULT(O1204:Q1204, MMULT($AU$32:$AW$34,TRANSPOSE(O1204:Q1204))))</f>
        <v>0.20851862493211618</v>
      </c>
      <c r="T1204" s="36">
        <v>1.1200352469190287</v>
      </c>
      <c r="U1204" s="36">
        <v>0.59081678441982666</v>
      </c>
      <c r="V1204" s="35">
        <f t="shared" si="225"/>
        <v>6.0645478605851639E-3</v>
      </c>
      <c r="W1204" s="35">
        <f t="shared" si="226"/>
        <v>3.2575063079828437E-2</v>
      </c>
      <c r="X1204" s="35">
        <f t="shared" si="227"/>
        <v>1.7183293181208793E-2</v>
      </c>
      <c r="Y1204" s="32">
        <f t="shared" si="228"/>
        <v>-18082.662355906785</v>
      </c>
      <c r="Z1204" s="32">
        <f t="shared" si="221"/>
        <v>233042.00127309264</v>
      </c>
      <c r="AA1204" s="32">
        <f t="shared" si="222"/>
        <v>123843.43061560801</v>
      </c>
      <c r="AB1204" s="40">
        <f t="shared" si="229"/>
        <v>-5.3372238901242229E-2</v>
      </c>
      <c r="AC1204" s="40">
        <f t="shared" si="230"/>
        <v>0.68783971746882588</v>
      </c>
      <c r="AD1204" s="40">
        <f t="shared" si="231"/>
        <v>0.36553252143241644</v>
      </c>
      <c r="AE1204" s="40"/>
      <c r="AF1204" s="40"/>
      <c r="AG1204" s="40"/>
      <c r="AH1204" s="40"/>
      <c r="AI1204" s="40"/>
      <c r="AJ1204" s="40"/>
      <c r="AK1204" s="33">
        <f t="shared" si="223"/>
        <v>7154000</v>
      </c>
      <c r="AL1204" s="33">
        <f t="shared" si="224"/>
        <v>7207200</v>
      </c>
      <c r="AM1204" s="34"/>
      <c r="AN1204" s="33"/>
      <c r="AO1204" s="15" cm="1">
        <f t="array" ref="AO1204">SUMPRODUCT(I1204:K1204, TRANSPOSE($AY$5:$AY$7))</f>
        <v>1.4563368372749288E-2</v>
      </c>
      <c r="AP1204" s="22">
        <f t="shared" si="232"/>
        <v>11649126.901169214</v>
      </c>
      <c r="AQ1204" s="22">
        <f t="shared" si="233"/>
        <v>167215.30815244466</v>
      </c>
      <c r="AR1204">
        <f t="shared" si="234"/>
        <v>0</v>
      </c>
      <c r="AS1204">
        <f t="shared" si="235"/>
        <v>0</v>
      </c>
      <c r="BJ1204">
        <f t="shared" si="209"/>
        <v>6.8193814602919743E-6</v>
      </c>
      <c r="BK1204">
        <f t="shared" si="211"/>
        <v>4.3207727633283082E-5</v>
      </c>
      <c r="BO1204">
        <f t="shared" si="212"/>
        <v>5.9799520850482103E-5</v>
      </c>
      <c r="BP1204">
        <f t="shared" si="210"/>
        <v>3.8862992250833153</v>
      </c>
    </row>
    <row r="1205" spans="1:68" x14ac:dyDescent="0.15">
      <c r="A1205" s="5">
        <v>45329</v>
      </c>
      <c r="B1205" s="1"/>
      <c r="C1205">
        <v>98.63</v>
      </c>
      <c r="D1205">
        <v>102.45</v>
      </c>
      <c r="E1205">
        <v>90.73</v>
      </c>
      <c r="G1205" s="3">
        <v>-3.0933977532221404E-3</v>
      </c>
      <c r="I1205" s="15">
        <f t="shared" si="213"/>
        <v>-7.6466445316430735E-3</v>
      </c>
      <c r="J1205" s="15">
        <f t="shared" si="214"/>
        <v>2.446183953033268E-3</v>
      </c>
      <c r="K1205" s="15">
        <f t="shared" si="215"/>
        <v>7.1040071040071101E-3</v>
      </c>
      <c r="L1205" s="32">
        <f t="shared" si="216"/>
        <v>340393.10104333196</v>
      </c>
      <c r="M1205" s="15"/>
      <c r="N1205" s="32">
        <f t="shared" si="217"/>
        <v>-2958900</v>
      </c>
      <c r="O1205" s="34">
        <f t="shared" si="218"/>
        <v>-0.25152225887476715</v>
      </c>
      <c r="P1205" s="34">
        <f t="shared" si="219"/>
        <v>0.6096156948597089</v>
      </c>
      <c r="Q1205" s="34">
        <f t="shared" si="220"/>
        <v>0.61700265768245288</v>
      </c>
      <c r="R1205" s="35" cm="1">
        <f t="array" ref="R1205">SQRT(MMULT(O1205:Q1205, MMULT($AU$32:$AW$34,TRANSPOSE(O1205:Q1205))))</f>
        <v>1.2418552144320787E-2</v>
      </c>
      <c r="S1205" s="36" cm="1">
        <f t="array" ref="S1205:U1205">TRANSPOSE(MMULT($AU$32:$AW$34, TRANSPOSE(O1205:Q1205))/MMULT(O1205:Q1205, MMULT($AU$32:$AW$34,TRANSPOSE(O1205:Q1205))))</f>
        <v>0.21241338789080877</v>
      </c>
      <c r="T1205" s="36">
        <v>1.1249255250791528</v>
      </c>
      <c r="U1205" s="36">
        <v>0.59587172749295514</v>
      </c>
      <c r="V1205" s="35">
        <f t="shared" si="225"/>
        <v>6.1462294894600632E-3</v>
      </c>
      <c r="W1205" s="35">
        <f t="shared" si="226"/>
        <v>3.2549974859597861E-2</v>
      </c>
      <c r="X1205" s="35">
        <f t="shared" si="227"/>
        <v>1.7241683397730807E-2</v>
      </c>
      <c r="Y1205" s="32">
        <f t="shared" si="228"/>
        <v>-18186.078436363379</v>
      </c>
      <c r="Z1205" s="32">
        <f t="shared" si="221"/>
        <v>233432.14470560604</v>
      </c>
      <c r="AA1205" s="32">
        <f t="shared" si="222"/>
        <v>125147.03477408929</v>
      </c>
      <c r="AB1205" s="40">
        <f t="shared" si="229"/>
        <v>-5.3426695137538338E-2</v>
      </c>
      <c r="AC1205" s="40">
        <f t="shared" si="230"/>
        <v>0.68577225563655064</v>
      </c>
      <c r="AD1205" s="40">
        <f t="shared" si="231"/>
        <v>0.3676544395009877</v>
      </c>
      <c r="AE1205" s="40"/>
      <c r="AF1205" s="40"/>
      <c r="AG1205" s="40"/>
      <c r="AH1205" s="40"/>
      <c r="AI1205" s="40"/>
      <c r="AJ1205" s="40"/>
      <c r="AK1205" s="33">
        <f t="shared" si="223"/>
        <v>7171500</v>
      </c>
      <c r="AL1205" s="33">
        <f t="shared" si="224"/>
        <v>7258400</v>
      </c>
      <c r="AM1205" s="34"/>
      <c r="AN1205" s="33"/>
      <c r="AO1205" s="15" cm="1">
        <f t="array" ref="AO1205">SUMPRODUCT(I1205:K1205, TRANSPOSE($AY$5:$AY$7))</f>
        <v>9.8584105328233217E-3</v>
      </c>
      <c r="AP1205" s="22">
        <f t="shared" si="232"/>
        <v>11763968.776509896</v>
      </c>
      <c r="AQ1205" s="22">
        <f t="shared" si="233"/>
        <v>114841.87534068152</v>
      </c>
      <c r="AR1205">
        <f t="shared" si="234"/>
        <v>0</v>
      </c>
      <c r="AS1205">
        <f t="shared" si="235"/>
        <v>0</v>
      </c>
      <c r="BJ1205">
        <f t="shared" si="209"/>
        <v>9.5691096596397868E-6</v>
      </c>
      <c r="BK1205">
        <f t="shared" si="211"/>
        <v>4.1024426862903618E-5</v>
      </c>
      <c r="BO1205">
        <f t="shared" si="212"/>
        <v>5.3816520325716081E-5</v>
      </c>
      <c r="BP1205">
        <f t="shared" si="210"/>
        <v>3.9071215552037826</v>
      </c>
    </row>
    <row r="1206" spans="1:68" x14ac:dyDescent="0.15">
      <c r="A1206" s="5">
        <v>45330</v>
      </c>
      <c r="B1206" s="1"/>
      <c r="C1206">
        <v>98.34</v>
      </c>
      <c r="D1206">
        <v>100.2</v>
      </c>
      <c r="E1206">
        <v>87.97</v>
      </c>
      <c r="G1206" s="3">
        <v>-6.3685498910476205E-3</v>
      </c>
      <c r="I1206" s="15">
        <f t="shared" si="213"/>
        <v>-2.9402818615025051E-3</v>
      </c>
      <c r="J1206" s="15">
        <f t="shared" si="214"/>
        <v>-2.1961932650073207E-2</v>
      </c>
      <c r="K1206" s="15">
        <f t="shared" si="215"/>
        <v>-3.0419927256695744E-2</v>
      </c>
      <c r="L1206" s="32">
        <f t="shared" si="216"/>
        <v>331520.74158479425</v>
      </c>
      <c r="M1206" s="15"/>
      <c r="N1206" s="32">
        <f t="shared" si="217"/>
        <v>-2950200</v>
      </c>
      <c r="O1206" s="34">
        <f t="shared" si="218"/>
        <v>-0.26006585674387189</v>
      </c>
      <c r="P1206" s="34">
        <f t="shared" si="219"/>
        <v>0.61829771513847109</v>
      </c>
      <c r="Q1206" s="34">
        <f t="shared" si="220"/>
        <v>0.62037810094931622</v>
      </c>
      <c r="R1206" s="35" cm="1">
        <f t="array" ref="R1206">SQRT(MMULT(O1206:Q1206, MMULT($AU$32:$AW$34,TRANSPOSE(O1206:Q1206))))</f>
        <v>1.2542573775985111E-2</v>
      </c>
      <c r="S1206" s="36" cm="1">
        <f t="array" ref="S1206:U1206">TRANSPOSE(MMULT($AU$32:$AW$34, TRANSPOSE(O1206:Q1206))/MMULT(O1206:Q1206, MMULT($AU$32:$AW$34,TRANSPOSE(O1206:Q1206))))</f>
        <v>0.2049892443580684</v>
      </c>
      <c r="T1206" s="36">
        <v>1.1153936584076687</v>
      </c>
      <c r="U1206" s="36">
        <v>0.58619953287740045</v>
      </c>
      <c r="V1206" s="35">
        <f t="shared" si="225"/>
        <v>5.9906460391017146E-3</v>
      </c>
      <c r="W1206" s="35">
        <f t="shared" si="226"/>
        <v>3.2596483892136797E-2</v>
      </c>
      <c r="X1206" s="35">
        <f t="shared" si="227"/>
        <v>1.7131210570351336E-2</v>
      </c>
      <c r="Y1206" s="32">
        <f t="shared" si="228"/>
        <v>-17673.603944557879</v>
      </c>
      <c r="Z1206" s="32">
        <f t="shared" si="221"/>
        <v>228631.73801944751</v>
      </c>
      <c r="AA1206" s="32">
        <f t="shared" si="222"/>
        <v>120562.60750990457</v>
      </c>
      <c r="AB1206" s="40">
        <f t="shared" si="229"/>
        <v>-5.3310703457259967E-2</v>
      </c>
      <c r="AC1206" s="40">
        <f t="shared" si="230"/>
        <v>0.68964535047340181</v>
      </c>
      <c r="AD1206" s="40">
        <f t="shared" si="231"/>
        <v>0.36366535298385799</v>
      </c>
      <c r="AE1206" s="40"/>
      <c r="AF1206" s="40"/>
      <c r="AG1206" s="40"/>
      <c r="AH1206" s="40"/>
      <c r="AI1206" s="40"/>
      <c r="AJ1206" s="40"/>
      <c r="AK1206" s="33">
        <f t="shared" si="223"/>
        <v>7014000</v>
      </c>
      <c r="AL1206" s="33">
        <f t="shared" si="224"/>
        <v>7037600</v>
      </c>
      <c r="AM1206" s="34"/>
      <c r="AN1206" s="33"/>
      <c r="AO1206" s="15" cm="1">
        <f t="array" ref="AO1206">SUMPRODUCT(I1206:K1206, TRANSPOSE($AY$5:$AY$7))</f>
        <v>-3.569535932500717E-2</v>
      </c>
      <c r="AP1206" s="22">
        <f t="shared" si="232"/>
        <v>11344049.68394421</v>
      </c>
      <c r="AQ1206" s="22">
        <f t="shared" si="233"/>
        <v>-419919.09256568551</v>
      </c>
      <c r="AR1206">
        <f t="shared" si="234"/>
        <v>1</v>
      </c>
      <c r="AS1206">
        <f t="shared" si="235"/>
        <v>1</v>
      </c>
      <c r="BJ1206">
        <f t="shared" si="209"/>
        <v>4.0558427714762656E-5</v>
      </c>
      <c r="BK1206">
        <f t="shared" si="211"/>
        <v>3.9137107830707791E-5</v>
      </c>
      <c r="BO1206">
        <f t="shared" si="212"/>
        <v>4.9515198249007498E-5</v>
      </c>
      <c r="BP1206">
        <f t="shared" si="210"/>
        <v>3.6281215768187622</v>
      </c>
    </row>
    <row r="1207" spans="1:68" x14ac:dyDescent="0.15">
      <c r="A1207" s="5">
        <v>45331</v>
      </c>
      <c r="B1207" s="1"/>
      <c r="C1207">
        <v>95.41</v>
      </c>
      <c r="D1207">
        <v>99.78</v>
      </c>
      <c r="E1207">
        <v>88.31</v>
      </c>
      <c r="G1207" s="3">
        <v>-4.2438768706474202E-3</v>
      </c>
      <c r="I1207" s="15">
        <f t="shared" si="213"/>
        <v>-2.9794590197274828E-2</v>
      </c>
      <c r="J1207" s="15">
        <f t="shared" si="214"/>
        <v>-4.1916167664670829E-3</v>
      </c>
      <c r="K1207" s="15">
        <f t="shared" si="215"/>
        <v>3.8649539615778494E-3</v>
      </c>
      <c r="L1207" s="32">
        <f t="shared" si="216"/>
        <v>331565.57415535307</v>
      </c>
      <c r="M1207" s="15"/>
      <c r="N1207" s="32">
        <f t="shared" si="217"/>
        <v>-2862300</v>
      </c>
      <c r="O1207" s="34">
        <f t="shared" si="218"/>
        <v>-0.24936458967356759</v>
      </c>
      <c r="P1207" s="34">
        <f t="shared" si="219"/>
        <v>0.60850082557174312</v>
      </c>
      <c r="Q1207" s="34">
        <f t="shared" si="220"/>
        <v>0.6154878779742935</v>
      </c>
      <c r="R1207" s="35" cm="1">
        <f t="array" ref="R1207">SQRT(MMULT(O1207:Q1207, MMULT($AU$32:$AW$34,TRANSPOSE(O1207:Q1207))))</f>
        <v>1.239747220738484E-2</v>
      </c>
      <c r="S1207" s="36" cm="1">
        <f t="array" ref="S1207:U1207">TRANSPOSE(MMULT($AU$32:$AW$34, TRANSPOSE(O1207:Q1207))/MMULT(O1207:Q1207, MMULT($AU$32:$AW$34,TRANSPOSE(O1207:Q1207))))</f>
        <v>0.21400700896870523</v>
      </c>
      <c r="T1207" s="36">
        <v>1.1270396031593657</v>
      </c>
      <c r="U1207" s="36">
        <v>0.59718680766540866</v>
      </c>
      <c r="V1207" s="35">
        <f t="shared" si="225"/>
        <v>6.1818300538889395E-3</v>
      </c>
      <c r="W1207" s="35">
        <f t="shared" si="226"/>
        <v>3.2555790225321339E-2</v>
      </c>
      <c r="X1207" s="35">
        <f t="shared" si="227"/>
        <v>1.7250403962011655E-2</v>
      </c>
      <c r="Y1207" s="32">
        <f t="shared" si="228"/>
        <v>-17694.25216324631</v>
      </c>
      <c r="Z1207" s="32">
        <f t="shared" si="221"/>
        <v>227389.17240777944</v>
      </c>
      <c r="AA1207" s="32">
        <f t="shared" si="222"/>
        <v>121870.65391081994</v>
      </c>
      <c r="AB1207" s="40">
        <f t="shared" si="229"/>
        <v>-5.336576997874868E-2</v>
      </c>
      <c r="AC1207" s="40">
        <f t="shared" si="230"/>
        <v>0.68580452897452371</v>
      </c>
      <c r="AD1207" s="40">
        <f t="shared" si="231"/>
        <v>0.36756124100422494</v>
      </c>
      <c r="AE1207" s="40"/>
      <c r="AF1207" s="40"/>
      <c r="AG1207" s="40"/>
      <c r="AH1207" s="40"/>
      <c r="AI1207" s="40"/>
      <c r="AJ1207" s="40"/>
      <c r="AK1207" s="33">
        <f t="shared" si="223"/>
        <v>6984600</v>
      </c>
      <c r="AL1207" s="33">
        <f t="shared" si="224"/>
        <v>7064800</v>
      </c>
      <c r="AM1207" s="34"/>
      <c r="AN1207" s="33"/>
      <c r="AO1207" s="15" cm="1">
        <f t="array" ref="AO1207">SUMPRODUCT(I1207:K1207, TRANSPOSE($AY$5:$AY$7))</f>
        <v>1.1840941202528961E-2</v>
      </c>
      <c r="AP1207" s="22">
        <f t="shared" si="232"/>
        <v>11478373.90925036</v>
      </c>
      <c r="AQ1207" s="22">
        <f t="shared" si="233"/>
        <v>134324.22530614957</v>
      </c>
      <c r="AR1207">
        <f t="shared" si="234"/>
        <v>0</v>
      </c>
      <c r="AS1207">
        <f t="shared" si="235"/>
        <v>0</v>
      </c>
      <c r="BJ1207">
        <f t="shared" si="209"/>
        <v>1.801049089321614E-5</v>
      </c>
      <c r="BK1207">
        <f t="shared" si="211"/>
        <v>3.9222387023751078E-5</v>
      </c>
      <c r="BO1207">
        <f t="shared" si="212"/>
        <v>5.0554836846541286E-5</v>
      </c>
      <c r="BP1207">
        <f t="shared" si="210"/>
        <v>3.8491591667119964</v>
      </c>
    </row>
    <row r="1208" spans="1:68" x14ac:dyDescent="0.15">
      <c r="A1208" s="5">
        <v>45334</v>
      </c>
      <c r="B1208" s="1"/>
      <c r="C1208">
        <v>96.8</v>
      </c>
      <c r="D1208">
        <v>100.45</v>
      </c>
      <c r="E1208">
        <v>87.68</v>
      </c>
      <c r="G1208" s="3">
        <v>7.9081790404378297E-3</v>
      </c>
      <c r="I1208" s="15">
        <f t="shared" si="213"/>
        <v>1.4568703490200195E-2</v>
      </c>
      <c r="J1208" s="15">
        <f t="shared" si="214"/>
        <v>6.7147724994989144E-3</v>
      </c>
      <c r="K1208" s="15">
        <f t="shared" si="215"/>
        <v>-7.1339599139394793E-3</v>
      </c>
      <c r="L1208" s="32">
        <f t="shared" si="216"/>
        <v>331972.75163957983</v>
      </c>
      <c r="M1208" s="15"/>
      <c r="N1208" s="32">
        <f t="shared" si="217"/>
        <v>-2904000</v>
      </c>
      <c r="O1208" s="34">
        <f t="shared" si="218"/>
        <v>-0.25467534319913709</v>
      </c>
      <c r="P1208" s="34">
        <f t="shared" si="219"/>
        <v>0.61664933736388849</v>
      </c>
      <c r="Q1208" s="34">
        <f t="shared" si="220"/>
        <v>0.61514969949587717</v>
      </c>
      <c r="R1208" s="35" cm="1">
        <f t="array" ref="R1208">SQRT(MMULT(O1208:Q1208, MMULT($AU$32:$AW$34,TRANSPOSE(O1208:Q1208))))</f>
        <v>1.249501567418802E-2</v>
      </c>
      <c r="S1208" s="36" cm="1">
        <f t="array" ref="S1208:U1208">TRANSPOSE(MMULT($AU$32:$AW$34, TRANSPOSE(O1208:Q1208))/MMULT(O1208:Q1208, MMULT($AU$32:$AW$34,TRANSPOSE(O1208:Q1208))))</f>
        <v>0.20842749108946398</v>
      </c>
      <c r="T1208" s="36">
        <v>1.1210448991223252</v>
      </c>
      <c r="U1208" s="36">
        <v>0.58813285436518392</v>
      </c>
      <c r="V1208" s="35">
        <f t="shared" si="225"/>
        <v>6.0680301096602699E-3</v>
      </c>
      <c r="W1208" s="35">
        <f t="shared" si="226"/>
        <v>3.2637413455384616E-2</v>
      </c>
      <c r="X1208" s="35">
        <f t="shared" si="227"/>
        <v>1.7122539114749136E-2</v>
      </c>
      <c r="Y1208" s="32">
        <f t="shared" si="228"/>
        <v>-17621.559438453423</v>
      </c>
      <c r="Z1208" s="32">
        <f t="shared" si="221"/>
        <v>229489.97271153692</v>
      </c>
      <c r="AA1208" s="32">
        <f t="shared" si="222"/>
        <v>120104.33836649636</v>
      </c>
      <c r="AB1208" s="40">
        <f t="shared" si="229"/>
        <v>-5.3081342825344324E-2</v>
      </c>
      <c r="AC1208" s="40">
        <f t="shared" si="230"/>
        <v>0.69129159419894903</v>
      </c>
      <c r="AD1208" s="40">
        <f t="shared" si="231"/>
        <v>0.36178974862639535</v>
      </c>
      <c r="AE1208" s="40"/>
      <c r="AF1208" s="40"/>
      <c r="AG1208" s="40"/>
      <c r="AH1208" s="40"/>
      <c r="AI1208" s="40"/>
      <c r="AJ1208" s="40"/>
      <c r="AK1208" s="33">
        <f t="shared" si="223"/>
        <v>7031500</v>
      </c>
      <c r="AL1208" s="33">
        <f t="shared" si="224"/>
        <v>7014400.0000000009</v>
      </c>
      <c r="AM1208" s="34"/>
      <c r="AN1208" s="33"/>
      <c r="AO1208" s="15" cm="1">
        <f t="array" ref="AO1208">SUMPRODUCT(I1208:K1208, TRANSPOSE($AY$5:$AY$7))</f>
        <v>-6.5881319195783801E-3</v>
      </c>
      <c r="AP1208" s="22">
        <f t="shared" si="232"/>
        <v>11402752.867713971</v>
      </c>
      <c r="AQ1208" s="22">
        <f t="shared" si="233"/>
        <v>-75621.041536388919</v>
      </c>
      <c r="AR1208">
        <f t="shared" si="234"/>
        <v>0</v>
      </c>
      <c r="AS1208">
        <f t="shared" si="235"/>
        <v>0</v>
      </c>
      <c r="BJ1208">
        <f t="shared" si="209"/>
        <v>6.2539295735620189E-5</v>
      </c>
      <c r="BK1208">
        <f t="shared" si="211"/>
        <v>3.7949673255918984E-5</v>
      </c>
      <c r="BO1208">
        <f t="shared" si="212"/>
        <v>4.8159025922563091E-5</v>
      </c>
      <c r="BP1208">
        <f t="shared" si="210"/>
        <v>3.4022626174430677</v>
      </c>
    </row>
    <row r="1209" spans="1:68" x14ac:dyDescent="0.15">
      <c r="A1209" s="5">
        <v>45335</v>
      </c>
      <c r="B1209" s="1"/>
      <c r="C1209">
        <v>96.4</v>
      </c>
      <c r="D1209">
        <v>101.95</v>
      </c>
      <c r="E1209">
        <v>88.02</v>
      </c>
      <c r="G1209" s="3">
        <v>-3.2654639241849097E-3</v>
      </c>
      <c r="I1209" s="15">
        <f t="shared" si="213"/>
        <v>-4.1322314049585893E-3</v>
      </c>
      <c r="J1209" s="15">
        <f t="shared" si="214"/>
        <v>1.4932802389248382E-2</v>
      </c>
      <c r="K1209" s="15">
        <f t="shared" si="215"/>
        <v>3.8777372262772487E-3</v>
      </c>
      <c r="L1209" s="32">
        <f t="shared" si="216"/>
        <v>335941.64156042476</v>
      </c>
      <c r="M1209" s="15"/>
      <c r="N1209" s="32">
        <f t="shared" si="217"/>
        <v>-2892000</v>
      </c>
      <c r="O1209" s="34">
        <f t="shared" si="218"/>
        <v>-0.25004661895111224</v>
      </c>
      <c r="P1209" s="34">
        <f t="shared" si="219"/>
        <v>0.61703239839025326</v>
      </c>
      <c r="Q1209" s="34">
        <f t="shared" si="220"/>
        <v>0.60882720332162932</v>
      </c>
      <c r="R1209" s="35" cm="1">
        <f t="array" ref="R1209">SQRT(MMULT(O1209:Q1209, MMULT($AU$32:$AW$34,TRANSPOSE(O1209:Q1209))))</f>
        <v>1.2466100302903179E-2</v>
      </c>
      <c r="S1209" s="36" cm="1">
        <f t="array" ref="S1209:U1209">TRANSPOSE(MMULT($AU$32:$AW$34, TRANSPOSE(O1209:Q1209))/MMULT(O1209:Q1209, MMULT($AU$32:$AW$34,TRANSPOSE(O1209:Q1209))))</f>
        <v>0.21077170354410249</v>
      </c>
      <c r="T1209" s="36">
        <v>1.1260987228545742</v>
      </c>
      <c r="U1209" s="36">
        <v>0.58779133734856959</v>
      </c>
      <c r="V1209" s="35">
        <f t="shared" si="225"/>
        <v>6.122077789929313E-3</v>
      </c>
      <c r="W1209" s="35">
        <f t="shared" si="226"/>
        <v>3.2708678938077752E-2</v>
      </c>
      <c r="X1209" s="35">
        <f t="shared" si="227"/>
        <v>1.7072995240756141E-2</v>
      </c>
      <c r="Y1209" s="32">
        <f t="shared" si="228"/>
        <v>-17705.048968475574</v>
      </c>
      <c r="Z1209" s="32">
        <f t="shared" si="221"/>
        <v>233425.48724159188</v>
      </c>
      <c r="AA1209" s="32">
        <f t="shared" si="222"/>
        <v>120221.20328730844</v>
      </c>
      <c r="AB1209" s="40">
        <f t="shared" si="229"/>
        <v>-5.2702751841768987E-2</v>
      </c>
      <c r="AC1209" s="40">
        <f t="shared" si="230"/>
        <v>0.69483939578715903</v>
      </c>
      <c r="AD1209" s="40">
        <f t="shared" si="231"/>
        <v>0.35786335605460995</v>
      </c>
      <c r="AE1209" s="40"/>
      <c r="AF1209" s="40"/>
      <c r="AG1209" s="40"/>
      <c r="AH1209" s="40"/>
      <c r="AI1209" s="40"/>
      <c r="AJ1209" s="40"/>
      <c r="AK1209" s="33">
        <f t="shared" si="223"/>
        <v>7136500</v>
      </c>
      <c r="AL1209" s="33">
        <f t="shared" si="224"/>
        <v>7041600</v>
      </c>
      <c r="AM1209" s="34"/>
      <c r="AN1209" s="33"/>
      <c r="AO1209" s="15" cm="1">
        <f t="array" ref="AO1209">SUMPRODUCT(I1209:K1209, TRANSPOSE($AY$5:$AY$7))</f>
        <v>1.4302720075922828E-2</v>
      </c>
      <c r="AP1209" s="22">
        <f t="shared" si="232"/>
        <v>11565843.250075812</v>
      </c>
      <c r="AQ1209" s="22">
        <f t="shared" si="233"/>
        <v>163090.38236184046</v>
      </c>
      <c r="AR1209">
        <f t="shared" si="234"/>
        <v>0</v>
      </c>
      <c r="AS1209">
        <f t="shared" si="235"/>
        <v>0</v>
      </c>
      <c r="BJ1209">
        <f t="shared" si="209"/>
        <v>1.0663254640153109E-5</v>
      </c>
      <c r="BK1209">
        <f t="shared" si="211"/>
        <v>3.9425050604701056E-5</v>
      </c>
      <c r="BO1209">
        <f t="shared" si="212"/>
        <v>5.262160337238371E-5</v>
      </c>
      <c r="BP1209">
        <f t="shared" si="210"/>
        <v>3.9059332499294364</v>
      </c>
    </row>
    <row r="1210" spans="1:68" x14ac:dyDescent="0.15">
      <c r="A1210" s="5">
        <v>45336</v>
      </c>
      <c r="B1210" s="1"/>
      <c r="C1210">
        <v>96.83</v>
      </c>
      <c r="D1210">
        <v>102.5</v>
      </c>
      <c r="E1210">
        <v>87.8</v>
      </c>
      <c r="G1210" s="3">
        <v>6.3585931856979805E-3</v>
      </c>
      <c r="I1210" s="15">
        <f t="shared" si="213"/>
        <v>4.460580912862994E-3</v>
      </c>
      <c r="J1210" s="15">
        <f t="shared" si="214"/>
        <v>5.3948013732221401E-3</v>
      </c>
      <c r="K1210" s="15">
        <f t="shared" si="215"/>
        <v>-2.499431947284695E-3</v>
      </c>
      <c r="L1210" s="32">
        <f t="shared" si="216"/>
        <v>336823.13297782862</v>
      </c>
      <c r="M1210" s="15"/>
      <c r="N1210" s="32">
        <f t="shared" si="217"/>
        <v>-2904900</v>
      </c>
      <c r="O1210" s="34">
        <f t="shared" si="218"/>
        <v>-0.25117570776733694</v>
      </c>
      <c r="P1210" s="34">
        <f t="shared" si="219"/>
        <v>0.62039509216518385</v>
      </c>
      <c r="Q1210" s="34">
        <f t="shared" si="220"/>
        <v>0.60733869370986082</v>
      </c>
      <c r="R1210" s="35" cm="1">
        <f t="array" ref="R1210">SQRT(MMULT(O1210:Q1210, MMULT($AU$32:$AW$34,TRANSPOSE(O1210:Q1210))))</f>
        <v>1.2499494168003826E-2</v>
      </c>
      <c r="S1210" s="36" cm="1">
        <f t="array" ref="S1210:U1210">TRANSPOSE(MMULT($AU$32:$AW$34, TRANSPOSE(O1210:Q1210))/MMULT(O1210:Q1210, MMULT($AU$32:$AW$34,TRANSPOSE(O1210:Q1210))))</f>
        <v>0.20904972331492233</v>
      </c>
      <c r="T1210" s="36">
        <v>1.1247027243404863</v>
      </c>
      <c r="U1210" s="36">
        <v>0.58410268530661624</v>
      </c>
      <c r="V1210" s="35">
        <f t="shared" si="225"/>
        <v>6.0883268079366063E-3</v>
      </c>
      <c r="W1210" s="35">
        <f t="shared" si="226"/>
        <v>3.2755641284662379E-2</v>
      </c>
      <c r="X1210" s="35">
        <f t="shared" si="227"/>
        <v>1.7011302292817637E-2</v>
      </c>
      <c r="Y1210" s="32">
        <f t="shared" si="228"/>
        <v>-17685.980544375048</v>
      </c>
      <c r="Z1210" s="32">
        <f t="shared" si="221"/>
        <v>235021.72621745258</v>
      </c>
      <c r="AA1210" s="32">
        <f t="shared" si="222"/>
        <v>119487.38730475109</v>
      </c>
      <c r="AB1210" s="40">
        <f t="shared" si="229"/>
        <v>-5.2508212212191575E-2</v>
      </c>
      <c r="AC1210" s="40">
        <f t="shared" si="230"/>
        <v>0.69776005032564936</v>
      </c>
      <c r="AD1210" s="40">
        <f t="shared" si="231"/>
        <v>0.35474816188654223</v>
      </c>
      <c r="AE1210" s="40"/>
      <c r="AF1210" s="40"/>
      <c r="AG1210" s="40"/>
      <c r="AH1210" s="40"/>
      <c r="AI1210" s="40"/>
      <c r="AJ1210" s="40"/>
      <c r="AK1210" s="33">
        <f t="shared" si="223"/>
        <v>7175000</v>
      </c>
      <c r="AL1210" s="33">
        <f t="shared" si="224"/>
        <v>7024000</v>
      </c>
      <c r="AM1210" s="34"/>
      <c r="AN1210" s="33"/>
      <c r="AO1210" s="15" cm="1">
        <f t="array" ref="AO1210">SUMPRODUCT(I1210:K1210, TRANSPOSE($AY$5:$AY$7))</f>
        <v>-5.4685385491845106E-5</v>
      </c>
      <c r="AP1210" s="22">
        <f t="shared" si="232"/>
        <v>11565210.767479144</v>
      </c>
      <c r="AQ1210" s="22">
        <f t="shared" si="233"/>
        <v>-632.48259666748345</v>
      </c>
      <c r="AR1210">
        <f t="shared" si="234"/>
        <v>0</v>
      </c>
      <c r="AS1210">
        <f t="shared" si="235"/>
        <v>0</v>
      </c>
      <c r="BJ1210">
        <f t="shared" si="209"/>
        <v>4.0431707301204794E-5</v>
      </c>
      <c r="BK1210">
        <f t="shared" si="211"/>
        <v>3.7699342846828177E-5</v>
      </c>
      <c r="BO1210">
        <f t="shared" si="212"/>
        <v>4.873375903499013E-5</v>
      </c>
      <c r="BP1210">
        <f t="shared" si="210"/>
        <v>3.630808374115877</v>
      </c>
    </row>
    <row r="1211" spans="1:68" x14ac:dyDescent="0.15">
      <c r="A1211" s="5">
        <v>45337</v>
      </c>
      <c r="B1211" s="1"/>
      <c r="C1211">
        <v>98.11</v>
      </c>
      <c r="D1211">
        <v>103.6</v>
      </c>
      <c r="E1211">
        <v>87.96</v>
      </c>
      <c r="G1211" s="3">
        <v>6.2902317948576505E-3</v>
      </c>
      <c r="I1211" s="15">
        <f t="shared" si="213"/>
        <v>1.3219043684808439E-2</v>
      </c>
      <c r="J1211" s="15">
        <f t="shared" si="214"/>
        <v>1.0731707317073116E-2</v>
      </c>
      <c r="K1211" s="15">
        <f t="shared" si="215"/>
        <v>1.8223234624145399E-3</v>
      </c>
      <c r="L1211" s="32">
        <f t="shared" si="216"/>
        <v>339331.86986691749</v>
      </c>
      <c r="M1211" s="15"/>
      <c r="N1211" s="32">
        <f t="shared" si="217"/>
        <v>-2943300</v>
      </c>
      <c r="O1211" s="34">
        <f t="shared" si="218"/>
        <v>-0.25368801792027246</v>
      </c>
      <c r="P1211" s="34">
        <f t="shared" si="219"/>
        <v>0.62506217713376688</v>
      </c>
      <c r="Q1211" s="34">
        <f t="shared" si="220"/>
        <v>0.6065137242215789</v>
      </c>
      <c r="R1211" s="35" cm="1">
        <f t="array" ref="R1211">SQRT(MMULT(O1211:Q1211, MMULT($AU$32:$AW$34,TRANSPOSE(O1211:Q1211))))</f>
        <v>1.2552613418461298E-2</v>
      </c>
      <c r="S1211" s="36" cm="1">
        <f t="array" ref="S1211:U1211">TRANSPOSE(MMULT($AU$32:$AW$34, TRANSPOSE(O1211:Q1211))/MMULT(O1211:Q1211, MMULT($AU$32:$AW$34,TRANSPOSE(O1211:Q1211))))</f>
        <v>0.20618646099210317</v>
      </c>
      <c r="T1211" s="36">
        <v>1.1216916412813553</v>
      </c>
      <c r="U1211" s="36">
        <v>0.57901412814644371</v>
      </c>
      <c r="V1211" s="35">
        <f t="shared" si="225"/>
        <v>6.0304569231040342E-3</v>
      </c>
      <c r="W1211" s="35">
        <f t="shared" si="226"/>
        <v>3.2806776406197426E-2</v>
      </c>
      <c r="X1211" s="35">
        <f t="shared" si="227"/>
        <v>1.6934767398667845E-2</v>
      </c>
      <c r="Y1211" s="32">
        <f t="shared" si="228"/>
        <v>-17749.443861772103</v>
      </c>
      <c r="Z1211" s="32">
        <f t="shared" si="221"/>
        <v>237914.74249774372</v>
      </c>
      <c r="AA1211" s="32">
        <f t="shared" si="222"/>
        <v>119166.57123094588</v>
      </c>
      <c r="AB1211" s="40">
        <f t="shared" si="229"/>
        <v>-5.2307034611082222E-2</v>
      </c>
      <c r="AC1211" s="40">
        <f t="shared" si="230"/>
        <v>0.70112701937207211</v>
      </c>
      <c r="AD1211" s="40">
        <f t="shared" si="231"/>
        <v>0.3511800152390101</v>
      </c>
      <c r="AE1211" s="40"/>
      <c r="AF1211" s="40"/>
      <c r="AG1211" s="40"/>
      <c r="AH1211" s="40"/>
      <c r="AI1211" s="40"/>
      <c r="AJ1211" s="40"/>
      <c r="AK1211" s="33">
        <f t="shared" si="223"/>
        <v>7252000</v>
      </c>
      <c r="AL1211" s="33">
        <f t="shared" si="224"/>
        <v>7036799.9999999991</v>
      </c>
      <c r="AM1211" s="34"/>
      <c r="AN1211" s="33"/>
      <c r="AO1211" s="15" cm="1">
        <f t="array" ref="AO1211">SUMPRODUCT(I1211:K1211, TRANSPOSE($AY$5:$AY$7))</f>
        <v>3.1849848772024575E-3</v>
      </c>
      <c r="AP1211" s="22">
        <f t="shared" si="232"/>
        <v>11602045.788875226</v>
      </c>
      <c r="AQ1211" s="22">
        <f t="shared" si="233"/>
        <v>36835.021396081895</v>
      </c>
      <c r="AR1211">
        <f t="shared" si="234"/>
        <v>0</v>
      </c>
      <c r="AS1211">
        <f t="shared" si="235"/>
        <v>0</v>
      </c>
      <c r="BJ1211">
        <f t="shared" si="209"/>
        <v>3.95670160330381E-5</v>
      </c>
      <c r="BK1211">
        <f t="shared" si="211"/>
        <v>3.7863284714090777E-5</v>
      </c>
      <c r="BO1211">
        <f t="shared" si="212"/>
        <v>4.9923844933461125E-5</v>
      </c>
      <c r="BP1211">
        <f t="shared" si="210"/>
        <v>3.6372936489089183</v>
      </c>
    </row>
    <row r="1212" spans="1:68" x14ac:dyDescent="0.15">
      <c r="A1212" s="5">
        <v>45338</v>
      </c>
      <c r="B1212" s="1"/>
      <c r="C1212">
        <v>97.15</v>
      </c>
      <c r="D1212">
        <v>100.95</v>
      </c>
      <c r="E1212">
        <v>88.44</v>
      </c>
      <c r="G1212" s="3">
        <v>2.3420661192996499E-3</v>
      </c>
      <c r="I1212" s="15">
        <f t="shared" si="213"/>
        <v>-9.7849352767301369E-3</v>
      </c>
      <c r="J1212" s="15">
        <f t="shared" si="214"/>
        <v>-2.5579150579150497E-2</v>
      </c>
      <c r="K1212" s="15">
        <f t="shared" si="215"/>
        <v>5.4570259208731701E-3</v>
      </c>
      <c r="L1212" s="32">
        <f t="shared" si="216"/>
        <v>334092.8694135212</v>
      </c>
      <c r="M1212" s="15"/>
      <c r="N1212" s="32">
        <f t="shared" si="217"/>
        <v>-2914500</v>
      </c>
      <c r="O1212" s="34">
        <f t="shared" si="218"/>
        <v>-0.2534701616633222</v>
      </c>
      <c r="P1212" s="34">
        <f t="shared" si="219"/>
        <v>0.61456404096547146</v>
      </c>
      <c r="Q1212" s="34">
        <f t="shared" si="220"/>
        <v>0.61532066831372012</v>
      </c>
      <c r="R1212" s="35" cm="1">
        <f t="array" ref="R1212">SQRT(MMULT(O1212:Q1212, MMULT($AU$32:$AW$34,TRANSPOSE(O1212:Q1212))))</f>
        <v>1.2470218630218511E-2</v>
      </c>
      <c r="S1212" s="36" cm="1">
        <f t="array" ref="S1212:U1212">TRANSPOSE(MMULT($AU$32:$AW$34, TRANSPOSE(O1212:Q1212))/MMULT(O1212:Q1212, MMULT($AU$32:$AW$34,TRANSPOSE(O1212:Q1212))))</f>
        <v>0.20974265347114421</v>
      </c>
      <c r="T1212" s="36">
        <v>1.1225292245032437</v>
      </c>
      <c r="U1212" s="36">
        <v>0.59041964081279363</v>
      </c>
      <c r="V1212" s="35">
        <f t="shared" si="225"/>
        <v>6.0942006155408736E-3</v>
      </c>
      <c r="W1212" s="35">
        <f t="shared" si="226"/>
        <v>3.2615770696690652E-2</v>
      </c>
      <c r="X1212" s="35">
        <f t="shared" si="227"/>
        <v>1.7155002470509748E-2</v>
      </c>
      <c r="Y1212" s="32">
        <f t="shared" si="228"/>
        <v>-17761.547693993874</v>
      </c>
      <c r="Z1212" s="32">
        <f t="shared" si="221"/>
        <v>230479.3436281645</v>
      </c>
      <c r="AA1212" s="32">
        <f t="shared" si="222"/>
        <v>121375.07347935057</v>
      </c>
      <c r="AB1212" s="40">
        <f t="shared" si="229"/>
        <v>-5.3163504283025083E-2</v>
      </c>
      <c r="AC1212" s="40">
        <f t="shared" si="230"/>
        <v>0.68986609631255025</v>
      </c>
      <c r="AD1212" s="40">
        <f t="shared" si="231"/>
        <v>0.36329740797047477</v>
      </c>
      <c r="AE1212" s="40"/>
      <c r="AF1212" s="40"/>
      <c r="AG1212" s="40"/>
      <c r="AH1212" s="40"/>
      <c r="AI1212" s="40"/>
      <c r="AJ1212" s="40"/>
      <c r="AK1212" s="33">
        <f t="shared" si="223"/>
        <v>7066500</v>
      </c>
      <c r="AL1212" s="33">
        <f t="shared" si="224"/>
        <v>7075200</v>
      </c>
      <c r="AM1212" s="34"/>
      <c r="AN1212" s="33"/>
      <c r="AO1212" s="15" cm="1">
        <f t="array" ref="AO1212">SUMPRODUCT(I1212:K1212, TRANSPOSE($AY$5:$AY$7))</f>
        <v>-8.9338506908337063E-3</v>
      </c>
      <c r="AP1212" s="22">
        <f t="shared" si="232"/>
        <v>11498394.844089199</v>
      </c>
      <c r="AQ1212" s="22">
        <f t="shared" si="233"/>
        <v>-103650.94478602707</v>
      </c>
      <c r="AR1212">
        <f t="shared" si="234"/>
        <v>0</v>
      </c>
      <c r="AS1212">
        <f t="shared" si="235"/>
        <v>0</v>
      </c>
      <c r="BJ1212">
        <f t="shared" si="209"/>
        <v>5.485273707171322E-6</v>
      </c>
      <c r="BK1212">
        <f t="shared" si="211"/>
        <v>3.7965508593227618E-5</v>
      </c>
      <c r="BO1212">
        <f t="shared" si="212"/>
        <v>5.0734173611406642E-5</v>
      </c>
      <c r="BP1212">
        <f t="shared" si="210"/>
        <v>3.9714579223665609</v>
      </c>
    </row>
    <row r="1213" spans="1:68" x14ac:dyDescent="0.15">
      <c r="A1213" s="5">
        <v>45342</v>
      </c>
      <c r="B1213" s="1"/>
      <c r="C1213">
        <v>99.6</v>
      </c>
      <c r="D1213">
        <v>102.75</v>
      </c>
      <c r="E1213">
        <v>90.77</v>
      </c>
      <c r="G1213" s="3">
        <v>1.29394631328048E-2</v>
      </c>
      <c r="I1213" s="15">
        <f t="shared" si="213"/>
        <v>2.5218733916623659E-2</v>
      </c>
      <c r="J1213" s="15">
        <f t="shared" si="214"/>
        <v>1.7830609212481398E-2</v>
      </c>
      <c r="K1213" s="15">
        <f t="shared" si="215"/>
        <v>2.6345545002261401E-2</v>
      </c>
      <c r="L1213" s="32">
        <f t="shared" si="216"/>
        <v>340953.80780098226</v>
      </c>
      <c r="M1213" s="15"/>
      <c r="N1213" s="32">
        <f t="shared" si="217"/>
        <v>-2988000</v>
      </c>
      <c r="O1213" s="34">
        <f t="shared" si="218"/>
        <v>-0.25446943645503406</v>
      </c>
      <c r="P1213" s="34">
        <f t="shared" si="219"/>
        <v>0.61254063644673118</v>
      </c>
      <c r="Q1213" s="34">
        <f t="shared" si="220"/>
        <v>0.6184254550742555</v>
      </c>
      <c r="R1213" s="35" cm="1">
        <f t="array" ref="R1213">SQRT(MMULT(O1213:Q1213, MMULT($AU$32:$AW$34,TRANSPOSE(O1213:Q1213))))</f>
        <v>1.2462198339612235E-2</v>
      </c>
      <c r="S1213" s="36" cm="1">
        <f t="array" ref="S1213:U1213">TRANSPOSE(MMULT($AU$32:$AW$34, TRANSPOSE(O1213:Q1213))/MMULT(O1213:Q1213, MMULT($AU$32:$AW$34,TRANSPOSE(O1213:Q1213))))</f>
        <v>0.2098795684160954</v>
      </c>
      <c r="T1213" s="36">
        <v>1.1214350293653592</v>
      </c>
      <c r="U1213" s="36">
        <v>0.59260725099543243</v>
      </c>
      <c r="V1213" s="35">
        <f t="shared" si="225"/>
        <v>6.0942566850482795E-3</v>
      </c>
      <c r="W1213" s="35">
        <f t="shared" si="226"/>
        <v>3.2563021622990143E-2</v>
      </c>
      <c r="X1213" s="35">
        <f t="shared" si="227"/>
        <v>1.7207490601596053E-2</v>
      </c>
      <c r="Y1213" s="32">
        <f t="shared" si="228"/>
        <v>-18209.638974924259</v>
      </c>
      <c r="Z1213" s="32">
        <f t="shared" si="221"/>
        <v>234209.53302335661</v>
      </c>
      <c r="AA1213" s="32">
        <f t="shared" si="222"/>
        <v>124953.9137525499</v>
      </c>
      <c r="AB1213" s="40">
        <f t="shared" si="229"/>
        <v>-5.3407935498269561E-2</v>
      </c>
      <c r="AC1213" s="40">
        <f t="shared" si="230"/>
        <v>0.68692452662111569</v>
      </c>
      <c r="AD1213" s="40">
        <f t="shared" si="231"/>
        <v>0.3664834088771538</v>
      </c>
      <c r="AE1213" s="40"/>
      <c r="AF1213" s="40"/>
      <c r="AG1213" s="40"/>
      <c r="AH1213" s="40"/>
      <c r="AI1213" s="40"/>
      <c r="AJ1213" s="40"/>
      <c r="AK1213" s="33">
        <f t="shared" si="223"/>
        <v>7192500</v>
      </c>
      <c r="AL1213" s="33">
        <f t="shared" si="224"/>
        <v>7261600</v>
      </c>
      <c r="AM1213" s="34"/>
      <c r="AN1213" s="33"/>
      <c r="AO1213" s="15" cm="1">
        <f t="array" ref="AO1213">SUMPRODUCT(I1213:K1213, TRANSPOSE($AY$5:$AY$7))</f>
        <v>2.1192807459343009E-2</v>
      </c>
      <c r="AP1213" s="22">
        <f t="shared" si="232"/>
        <v>11742078.112111485</v>
      </c>
      <c r="AQ1213" s="22">
        <f t="shared" si="233"/>
        <v>243683.26802228577</v>
      </c>
      <c r="AR1213">
        <f t="shared" si="234"/>
        <v>0</v>
      </c>
      <c r="AS1213">
        <f t="shared" si="235"/>
        <v>0</v>
      </c>
      <c r="BJ1213">
        <f t="shared" si="209"/>
        <v>1.674297061652146E-4</v>
      </c>
      <c r="BK1213">
        <f t="shared" si="211"/>
        <v>3.6016694500064237E-5</v>
      </c>
      <c r="BO1213">
        <f t="shared" si="212"/>
        <v>4.6515850085902866E-5</v>
      </c>
      <c r="BP1213">
        <f t="shared" si="210"/>
        <v>2.2692142178469679</v>
      </c>
    </row>
    <row r="1214" spans="1:68" x14ac:dyDescent="0.15">
      <c r="A1214" s="5">
        <v>45343</v>
      </c>
      <c r="B1214" s="1"/>
      <c r="C1214">
        <v>99.12</v>
      </c>
      <c r="D1214">
        <v>101.9</v>
      </c>
      <c r="E1214">
        <v>90.04</v>
      </c>
      <c r="G1214" s="3">
        <v>-2.4632161845770102E-3</v>
      </c>
      <c r="I1214" s="15">
        <f t="shared" si="213"/>
        <v>-4.8192771084336321E-3</v>
      </c>
      <c r="J1214" s="15">
        <f t="shared" si="214"/>
        <v>-8.2725060827250063E-3</v>
      </c>
      <c r="K1214" s="15">
        <f t="shared" si="215"/>
        <v>-8.0423047262310216E-3</v>
      </c>
      <c r="L1214" s="32">
        <f t="shared" si="216"/>
        <v>338099.24129787768</v>
      </c>
      <c r="M1214" s="15"/>
      <c r="N1214" s="32">
        <f t="shared" si="217"/>
        <v>-2973600</v>
      </c>
      <c r="O1214" s="34">
        <f t="shared" si="218"/>
        <v>-0.25566278230444206</v>
      </c>
      <c r="P1214" s="34">
        <f t="shared" si="219"/>
        <v>0.61327771932256703</v>
      </c>
      <c r="Q1214" s="34">
        <f t="shared" si="220"/>
        <v>0.61931334190723619</v>
      </c>
      <c r="R1214" s="35" cm="1">
        <f t="array" ref="R1214">SQRT(MMULT(O1214:Q1214, MMULT($AU$32:$AW$34,TRANSPOSE(O1214:Q1214))))</f>
        <v>1.2475938866493863E-2</v>
      </c>
      <c r="S1214" s="36" cm="1">
        <f t="array" ref="S1214:U1214">TRANSPOSE(MMULT($AU$32:$AW$34, TRANSPOSE(O1214:Q1214))/MMULT(O1214:Q1214, MMULT($AU$32:$AW$34,TRANSPOSE(O1214:Q1214))))</f>
        <v>0.20899564073381999</v>
      </c>
      <c r="T1214" s="36">
        <v>1.1201133575619515</v>
      </c>
      <c r="U1214" s="36">
        <v>0.59177126809915614</v>
      </c>
      <c r="V1214" s="35">
        <f t="shared" si="225"/>
        <v>6.0752812305801271E-3</v>
      </c>
      <c r="W1214" s="35">
        <f t="shared" si="226"/>
        <v>3.2560505249892582E-2</v>
      </c>
      <c r="X1214" s="35">
        <f t="shared" si="227"/>
        <v>1.7202162041543609E-2</v>
      </c>
      <c r="Y1214" s="32">
        <f t="shared" si="228"/>
        <v>-18065.456267253066</v>
      </c>
      <c r="Z1214" s="32">
        <f t="shared" si="221"/>
        <v>232254.0839474838</v>
      </c>
      <c r="AA1214" s="32">
        <f t="shared" si="222"/>
        <v>123910.61361764694</v>
      </c>
      <c r="AB1214" s="40">
        <f t="shared" si="229"/>
        <v>-5.3432406999508006E-2</v>
      </c>
      <c r="AC1214" s="40">
        <f t="shared" si="230"/>
        <v>0.68694056530833658</v>
      </c>
      <c r="AD1214" s="40">
        <f t="shared" si="231"/>
        <v>0.36649184169117138</v>
      </c>
      <c r="AE1214" s="40"/>
      <c r="AF1214" s="40"/>
      <c r="AG1214" s="40"/>
      <c r="AH1214" s="40"/>
      <c r="AI1214" s="40"/>
      <c r="AJ1214" s="40"/>
      <c r="AK1214" s="33">
        <f t="shared" si="223"/>
        <v>7133000</v>
      </c>
      <c r="AL1214" s="33">
        <f t="shared" si="224"/>
        <v>7203200.0000000009</v>
      </c>
      <c r="AM1214" s="34"/>
      <c r="AN1214" s="33"/>
      <c r="AO1214" s="15" cm="1">
        <f t="array" ref="AO1214">SUMPRODUCT(I1214:K1214, TRANSPOSE($AY$5:$AY$7))</f>
        <v>-9.4644381067182787E-3</v>
      </c>
      <c r="AP1214" s="22">
        <f t="shared" si="232"/>
        <v>11630945.940575154</v>
      </c>
      <c r="AQ1214" s="22">
        <f t="shared" si="233"/>
        <v>-111132.17153633013</v>
      </c>
      <c r="AR1214">
        <f t="shared" si="234"/>
        <v>0</v>
      </c>
      <c r="AS1214">
        <f t="shared" si="235"/>
        <v>0</v>
      </c>
      <c r="BJ1214">
        <f t="shared" si="209"/>
        <v>6.0674339719621238E-6</v>
      </c>
      <c r="BK1214">
        <f t="shared" si="211"/>
        <v>4.3901475199973262E-5</v>
      </c>
      <c r="BO1214">
        <f t="shared" si="212"/>
        <v>6.6271243107661907E-5</v>
      </c>
      <c r="BP1214">
        <f t="shared" si="210"/>
        <v>3.8461614377115536</v>
      </c>
    </row>
    <row r="1215" spans="1:68" x14ac:dyDescent="0.15">
      <c r="A1215" s="5">
        <v>45344</v>
      </c>
      <c r="B1215" s="1"/>
      <c r="C1215">
        <v>94.24</v>
      </c>
      <c r="D1215">
        <v>103.95</v>
      </c>
      <c r="E1215">
        <v>90.57</v>
      </c>
      <c r="G1215" s="3">
        <v>-3.7251146126925298E-3</v>
      </c>
      <c r="I1215" s="15">
        <f t="shared" si="213"/>
        <v>-4.9233252623083229E-2</v>
      </c>
      <c r="J1215" s="15">
        <f t="shared" si="214"/>
        <v>2.01177625122669E-2</v>
      </c>
      <c r="K1215" s="15">
        <f t="shared" si="215"/>
        <v>5.8862727676586724E-3</v>
      </c>
      <c r="L1215" s="32">
        <f t="shared" si="216"/>
        <v>344422.51932501793</v>
      </c>
      <c r="M1215" s="15"/>
      <c r="N1215" s="32">
        <f t="shared" si="217"/>
        <v>-2827200</v>
      </c>
      <c r="O1215" s="34">
        <f t="shared" si="218"/>
        <v>-0.23440861173213468</v>
      </c>
      <c r="P1215" s="34">
        <f t="shared" si="219"/>
        <v>0.60330866697399477</v>
      </c>
      <c r="Q1215" s="34">
        <f t="shared" si="220"/>
        <v>0.60074668830162525</v>
      </c>
      <c r="R1215" s="35" cm="1">
        <f t="array" ref="R1215">SQRT(MMULT(O1215:Q1215, MMULT($AU$32:$AW$34,TRANSPOSE(O1215:Q1215))))</f>
        <v>1.2256109960060239E-2</v>
      </c>
      <c r="S1215" s="36" cm="1">
        <f t="array" ref="S1215:U1215">TRANSPOSE(MMULT($AU$32:$AW$34, TRANSPOSE(O1215:Q1215))/MMULT(O1215:Q1215, MMULT($AU$32:$AW$34,TRANSPOSE(O1215:Q1215))))</f>
        <v>0.22410267570853304</v>
      </c>
      <c r="T1215" s="36">
        <v>1.1438393540721483</v>
      </c>
      <c r="U1215" s="36">
        <v>0.6033215134074178</v>
      </c>
      <c r="V1215" s="35">
        <f t="shared" si="225"/>
        <v>6.3996409934780783E-3</v>
      </c>
      <c r="W1215" s="35">
        <f t="shared" si="226"/>
        <v>3.2664318697355386E-2</v>
      </c>
      <c r="X1215" s="35">
        <f t="shared" si="227"/>
        <v>1.7228893306347661E-2</v>
      </c>
      <c r="Y1215" s="32">
        <f t="shared" si="228"/>
        <v>-18093.065016761222</v>
      </c>
      <c r="Z1215" s="32">
        <f t="shared" si="221"/>
        <v>237681.91500130648</v>
      </c>
      <c r="AA1215" s="32">
        <f t="shared" si="222"/>
        <v>124833.6693404726</v>
      </c>
      <c r="AB1215" s="40">
        <f t="shared" si="229"/>
        <v>-5.2531597098294004E-2</v>
      </c>
      <c r="AC1215" s="40">
        <f t="shared" si="230"/>
        <v>0.69008819593766291</v>
      </c>
      <c r="AD1215" s="40">
        <f t="shared" si="231"/>
        <v>0.36244340116063084</v>
      </c>
      <c r="AE1215" s="40"/>
      <c r="AF1215" s="40"/>
      <c r="AG1215" s="40"/>
      <c r="AH1215" s="40"/>
      <c r="AI1215" s="40"/>
      <c r="AJ1215" s="40"/>
      <c r="AK1215" s="33">
        <f t="shared" si="223"/>
        <v>7276500</v>
      </c>
      <c r="AL1215" s="33">
        <f t="shared" si="224"/>
        <v>7245599.9999999991</v>
      </c>
      <c r="AM1215" s="34"/>
      <c r="AN1215" s="33"/>
      <c r="AO1215" s="15" cm="1">
        <f t="array" ref="AO1215">SUMPRODUCT(I1215:K1215, TRANSPOSE($AY$5:$AY$7))</f>
        <v>3.6974154493507203E-2</v>
      </c>
      <c r="AP1215" s="22">
        <f t="shared" si="232"/>
        <v>12060990.332687611</v>
      </c>
      <c r="AQ1215" s="22">
        <f t="shared" si="233"/>
        <v>430044.39211245626</v>
      </c>
      <c r="AR1215">
        <f t="shared" si="234"/>
        <v>0</v>
      </c>
      <c r="AS1215">
        <f t="shared" si="235"/>
        <v>0</v>
      </c>
      <c r="BJ1215">
        <f t="shared" si="209"/>
        <v>1.3876478877695416E-5</v>
      </c>
      <c r="BK1215">
        <f t="shared" si="211"/>
        <v>4.1631432726292592E-5</v>
      </c>
      <c r="BO1215">
        <f t="shared" si="212"/>
        <v>5.878570968380299E-5</v>
      </c>
      <c r="BP1215">
        <f t="shared" si="210"/>
        <v>3.8338413958668296</v>
      </c>
    </row>
    <row r="1216" spans="1:68" x14ac:dyDescent="0.15">
      <c r="A1216" s="5">
        <v>45345</v>
      </c>
      <c r="B1216" s="1"/>
      <c r="C1216">
        <v>95.35</v>
      </c>
      <c r="D1216">
        <v>106.5</v>
      </c>
      <c r="E1216">
        <v>91.63</v>
      </c>
      <c r="G1216" s="3">
        <v>9.7125687078576297E-3</v>
      </c>
      <c r="I1216" s="15">
        <f t="shared" si="213"/>
        <v>1.1778438030560267E-2</v>
      </c>
      <c r="J1216" s="15">
        <f t="shared" si="214"/>
        <v>2.4531024531024504E-2</v>
      </c>
      <c r="K1216" s="15">
        <f t="shared" si="215"/>
        <v>1.1703654631776552E-2</v>
      </c>
      <c r="L1216" s="32">
        <f t="shared" si="216"/>
        <v>351504.67920632695</v>
      </c>
      <c r="M1216" s="15"/>
      <c r="N1216" s="32">
        <f t="shared" si="217"/>
        <v>-2860500</v>
      </c>
      <c r="O1216" s="34">
        <f t="shared" si="218"/>
        <v>-0.2324950691015141</v>
      </c>
      <c r="P1216" s="34">
        <f t="shared" si="219"/>
        <v>0.60592579624254062</v>
      </c>
      <c r="Q1216" s="34">
        <f t="shared" si="220"/>
        <v>0.59579858575135081</v>
      </c>
      <c r="R1216" s="35" cm="1">
        <f t="array" ref="R1216">SQRT(MMULT(O1216:Q1216, MMULT($AU$32:$AW$34,TRANSPOSE(O1216:Q1216))))</f>
        <v>1.226159547448194E-2</v>
      </c>
      <c r="S1216" s="36" cm="1">
        <f t="array" ref="S1216:U1216">TRANSPOSE(MMULT($AU$32:$AW$34, TRANSPOSE(O1216:Q1216))/MMULT(O1216:Q1216, MMULT($AU$32:$AW$34,TRANSPOSE(O1216:Q1216))))</f>
        <v>0.22422112548898815</v>
      </c>
      <c r="T1216" s="36">
        <v>1.1460738580571797</v>
      </c>
      <c r="U1216" s="36">
        <v>0.60036159806831757</v>
      </c>
      <c r="V1216" s="35">
        <f t="shared" si="225"/>
        <v>6.4058893585591265E-3</v>
      </c>
      <c r="W1216" s="35">
        <f t="shared" si="226"/>
        <v>3.2742777093106017E-2</v>
      </c>
      <c r="X1216" s="35">
        <f t="shared" si="227"/>
        <v>1.7152041155650444E-2</v>
      </c>
      <c r="Y1216" s="32">
        <f t="shared" si="228"/>
        <v>-18324.046510158383</v>
      </c>
      <c r="Z1216" s="32">
        <f t="shared" si="221"/>
        <v>244097.40322910534</v>
      </c>
      <c r="AA1216" s="32">
        <f t="shared" si="222"/>
        <v>125731.32248738001</v>
      </c>
      <c r="AB1216" s="40">
        <f t="shared" si="229"/>
        <v>-5.2130306064581564E-2</v>
      </c>
      <c r="AC1216" s="40">
        <f t="shared" si="230"/>
        <v>0.69443571499605705</v>
      </c>
      <c r="AD1216" s="40">
        <f t="shared" si="231"/>
        <v>0.35769459106852453</v>
      </c>
      <c r="AE1216" s="40"/>
      <c r="AF1216" s="40"/>
      <c r="AG1216" s="40"/>
      <c r="AH1216" s="40"/>
      <c r="AI1216" s="40"/>
      <c r="AJ1216" s="40"/>
      <c r="AK1216" s="33">
        <f t="shared" si="223"/>
        <v>7455000</v>
      </c>
      <c r="AL1216" s="33">
        <f t="shared" si="224"/>
        <v>7330400</v>
      </c>
      <c r="AM1216" s="34"/>
      <c r="AN1216" s="33"/>
      <c r="AO1216" s="15" cm="1">
        <f t="array" ref="AO1216">SUMPRODUCT(I1216:K1216, TRANSPOSE($AY$5:$AY$7))</f>
        <v>2.0105845495141113E-2</v>
      </c>
      <c r="AP1216" s="22">
        <f t="shared" si="232"/>
        <v>12303486.740835018</v>
      </c>
      <c r="AQ1216" s="22">
        <f t="shared" si="233"/>
        <v>242496.4081474077</v>
      </c>
      <c r="AR1216">
        <f t="shared" si="234"/>
        <v>0</v>
      </c>
      <c r="AS1216">
        <f t="shared" si="235"/>
        <v>0</v>
      </c>
      <c r="BJ1216">
        <f t="shared" si="209"/>
        <v>9.4333990904855232E-5</v>
      </c>
      <c r="BK1216">
        <f t="shared" si="211"/>
        <v>3.9966135495376756E-5</v>
      </c>
      <c r="BO1216">
        <f t="shared" si="212"/>
        <v>5.4026381466673612E-5</v>
      </c>
      <c r="BP1216">
        <f t="shared" si="210"/>
        <v>3.1210441486985974</v>
      </c>
    </row>
    <row r="1217" spans="1:68" x14ac:dyDescent="0.15">
      <c r="A1217" s="5">
        <v>45348</v>
      </c>
      <c r="B1217" s="1"/>
      <c r="C1217">
        <v>94.29</v>
      </c>
      <c r="D1217">
        <v>105.85</v>
      </c>
      <c r="E1217">
        <v>91.36</v>
      </c>
      <c r="G1217" s="3">
        <v>-3.8162945194039001E-3</v>
      </c>
      <c r="I1217" s="15">
        <f t="shared" si="213"/>
        <v>-1.1116937598321847E-2</v>
      </c>
      <c r="J1217" s="15">
        <f t="shared" si="214"/>
        <v>-6.1032863849765796E-3</v>
      </c>
      <c r="K1217" s="15">
        <f t="shared" si="215"/>
        <v>-2.946633198733996E-3</v>
      </c>
      <c r="L1217" s="32">
        <f t="shared" si="216"/>
        <v>349848.81043187378</v>
      </c>
      <c r="M1217" s="15"/>
      <c r="N1217" s="32">
        <f t="shared" si="217"/>
        <v>-2828700</v>
      </c>
      <c r="O1217" s="34">
        <f t="shared" si="218"/>
        <v>-0.23032503652007269</v>
      </c>
      <c r="P1217" s="34">
        <f t="shared" si="219"/>
        <v>0.60331366284706001</v>
      </c>
      <c r="Q1217" s="34">
        <f t="shared" si="220"/>
        <v>0.59511423159681387</v>
      </c>
      <c r="R1217" s="35" cm="1">
        <f t="array" ref="R1217">SQRT(MMULT(O1217:Q1217, MMULT($AU$32:$AW$34,TRANSPOSE(O1217:Q1217))))</f>
        <v>1.2225840869776591E-2</v>
      </c>
      <c r="S1217" s="36" cm="1">
        <f t="array" ref="S1217:U1217">TRANSPOSE(MMULT($AU$32:$AW$34, TRANSPOSE(O1217:Q1217))/MMULT(O1217:Q1217, MMULT($AU$32:$AW$34,TRANSPOSE(O1217:Q1217))))</f>
        <v>0.22635694912947663</v>
      </c>
      <c r="T1217" s="36">
        <v>1.1487920937009892</v>
      </c>
      <c r="U1217" s="36">
        <v>0.60333577590795839</v>
      </c>
      <c r="V1217" s="35">
        <f t="shared" si="225"/>
        <v>6.4480514127924745E-3</v>
      </c>
      <c r="W1217" s="35">
        <f t="shared" si="226"/>
        <v>3.272473193900665E-2</v>
      </c>
      <c r="X1217" s="35">
        <f t="shared" si="227"/>
        <v>1.7186749146394762E-2</v>
      </c>
      <c r="Y1217" s="32">
        <f t="shared" si="228"/>
        <v>-18239.603031366074</v>
      </c>
      <c r="Z1217" s="32">
        <f t="shared" si="221"/>
        <v>242473.90130206977</v>
      </c>
      <c r="AA1217" s="32">
        <f t="shared" si="222"/>
        <v>125614.51216117003</v>
      </c>
      <c r="AB1217" s="40">
        <f t="shared" si="229"/>
        <v>-5.2135672574818943E-2</v>
      </c>
      <c r="AC1217" s="40">
        <f t="shared" si="230"/>
        <v>0.69308196590048665</v>
      </c>
      <c r="AD1217" s="40">
        <f t="shared" si="231"/>
        <v>0.35905370667433212</v>
      </c>
      <c r="AE1217" s="40"/>
      <c r="AF1217" s="40"/>
      <c r="AG1217" s="40"/>
      <c r="AH1217" s="40"/>
      <c r="AI1217" s="40"/>
      <c r="AJ1217" s="40"/>
      <c r="AK1217" s="33">
        <f t="shared" si="223"/>
        <v>7409500</v>
      </c>
      <c r="AL1217" s="33">
        <f t="shared" si="224"/>
        <v>7308800</v>
      </c>
      <c r="AM1217" s="34"/>
      <c r="AN1217" s="33"/>
      <c r="AO1217" s="15" cm="1">
        <f t="array" ref="AO1217">SUMPRODUCT(I1217:K1217, TRANSPOSE($AY$5:$AY$7))</f>
        <v>-1.8000674175148302E-3</v>
      </c>
      <c r="AP1217" s="22">
        <f t="shared" si="232"/>
        <v>12281339.635231016</v>
      </c>
      <c r="AQ1217" s="22">
        <f t="shared" si="233"/>
        <v>-22147.105604002252</v>
      </c>
      <c r="AR1217">
        <f t="shared" si="234"/>
        <v>0</v>
      </c>
      <c r="AS1217">
        <f t="shared" si="235"/>
        <v>0</v>
      </c>
      <c r="BJ1217">
        <f t="shared" si="209"/>
        <v>1.4564103858832245E-5</v>
      </c>
      <c r="BK1217">
        <f t="shared" si="211"/>
        <v>4.3228206819945468E-5</v>
      </c>
      <c r="BO1217">
        <f t="shared" si="212"/>
        <v>6.1752039274155787E-5</v>
      </c>
      <c r="BP1217">
        <f t="shared" si="210"/>
        <v>3.8093291738915136</v>
      </c>
    </row>
    <row r="1218" spans="1:68" x14ac:dyDescent="0.15">
      <c r="A1218" s="5">
        <v>45349</v>
      </c>
      <c r="B1218" s="1"/>
      <c r="C1218">
        <v>93.68</v>
      </c>
      <c r="D1218">
        <v>105</v>
      </c>
      <c r="E1218">
        <v>90.65</v>
      </c>
      <c r="G1218" s="3">
        <v>-1.0850788321047299E-3</v>
      </c>
      <c r="I1218" s="15">
        <f t="shared" si="213"/>
        <v>-6.4694029059285119E-3</v>
      </c>
      <c r="J1218" s="15">
        <f t="shared" si="214"/>
        <v>-8.0302314596126054E-3</v>
      </c>
      <c r="K1218" s="15">
        <f t="shared" si="215"/>
        <v>-7.7714535901925764E-3</v>
      </c>
      <c r="L1218" s="32">
        <f t="shared" si="216"/>
        <v>347043.49570770201</v>
      </c>
      <c r="M1218" s="15"/>
      <c r="N1218" s="32">
        <f t="shared" si="217"/>
        <v>-2810400</v>
      </c>
      <c r="O1218" s="34">
        <f t="shared" si="218"/>
        <v>-0.23078625567061967</v>
      </c>
      <c r="P1218" s="34">
        <f t="shared" si="219"/>
        <v>0.60357208197375978</v>
      </c>
      <c r="Q1218" s="34">
        <f t="shared" si="220"/>
        <v>0.5955244542141096</v>
      </c>
      <c r="R1218" s="35" cm="1">
        <f t="array" ref="R1218">SQRT(MMULT(O1218:Q1218, MMULT($AU$32:$AW$34,TRANSPOSE(O1218:Q1218))))</f>
        <v>1.2231220416323567E-2</v>
      </c>
      <c r="S1218" s="36" cm="1">
        <f t="array" ref="S1218:U1218">TRANSPOSE(MMULT($AU$32:$AW$34, TRANSPOSE(O1218:Q1218))/MMULT(O1218:Q1218, MMULT($AU$32:$AW$34,TRANSPOSE(O1218:Q1218))))</f>
        <v>0.22600875370383494</v>
      </c>
      <c r="T1218" s="36">
        <v>1.148221329073317</v>
      </c>
      <c r="U1218" s="36">
        <v>0.60304051885586385</v>
      </c>
      <c r="V1218" s="35">
        <f t="shared" si="225"/>
        <v>6.4409655163885447E-3</v>
      </c>
      <c r="W1218" s="35">
        <f t="shared" si="226"/>
        <v>3.2722865218903982E-2</v>
      </c>
      <c r="X1218" s="35">
        <f t="shared" si="227"/>
        <v>1.7185897109213463E-2</v>
      </c>
      <c r="Y1218" s="32">
        <f t="shared" si="228"/>
        <v>-18101.689487258365</v>
      </c>
      <c r="Z1218" s="32">
        <f t="shared" si="221"/>
        <v>240513.05935894427</v>
      </c>
      <c r="AA1218" s="32">
        <f t="shared" si="222"/>
        <v>124632.12583601604</v>
      </c>
      <c r="AB1218" s="40">
        <f t="shared" si="229"/>
        <v>-5.215971401609136E-2</v>
      </c>
      <c r="AC1218" s="40">
        <f t="shared" si="230"/>
        <v>0.69303433815545934</v>
      </c>
      <c r="AD1218" s="40">
        <f t="shared" si="231"/>
        <v>0.35912537586063181</v>
      </c>
      <c r="AE1218" s="40"/>
      <c r="AF1218" s="40"/>
      <c r="AG1218" s="40"/>
      <c r="AH1218" s="40"/>
      <c r="AI1218" s="40"/>
      <c r="AJ1218" s="40"/>
      <c r="AK1218" s="33">
        <f t="shared" si="223"/>
        <v>7350000</v>
      </c>
      <c r="AL1218" s="33">
        <f t="shared" si="224"/>
        <v>7252000</v>
      </c>
      <c r="AM1218" s="34"/>
      <c r="AN1218" s="33"/>
      <c r="AO1218" s="15" cm="1">
        <f t="array" ref="AO1218">SUMPRODUCT(I1218:K1218, TRANSPOSE($AY$5:$AY$7))</f>
        <v>-8.454942888379488E-3</v>
      </c>
      <c r="AP1218" s="22">
        <f t="shared" si="232"/>
        <v>12177501.610022347</v>
      </c>
      <c r="AQ1218" s="22">
        <f t="shared" si="233"/>
        <v>-103838.02520866878</v>
      </c>
      <c r="AR1218">
        <f t="shared" si="234"/>
        <v>0</v>
      </c>
      <c r="AS1218">
        <f t="shared" si="235"/>
        <v>0</v>
      </c>
      <c r="BJ1218">
        <f t="shared" ref="BJ1218:BJ1281" si="236">G1218^2</f>
        <v>1.1773960718817647E-6</v>
      </c>
      <c r="BK1218">
        <f t="shared" si="211"/>
        <v>4.1508360642278671E-5</v>
      </c>
      <c r="BO1218">
        <f t="shared" si="212"/>
        <v>5.6451039247329662E-5</v>
      </c>
      <c r="BP1218">
        <f t="shared" ref="BP1218:BP1281" si="237" xml:space="preserve"> -0.5 * (LN(2 * PI()) + LN(BO1218) + (BJ1218) / BO1218)</f>
        <v>3.9617014243580737</v>
      </c>
    </row>
    <row r="1219" spans="1:68" x14ac:dyDescent="0.15">
      <c r="A1219" s="5">
        <v>45350</v>
      </c>
      <c r="B1219" s="1"/>
      <c r="C1219">
        <v>92.05</v>
      </c>
      <c r="D1219">
        <v>105.8</v>
      </c>
      <c r="E1219">
        <v>90</v>
      </c>
      <c r="G1219" s="3">
        <v>-2.27886648716268E-3</v>
      </c>
      <c r="I1219" s="15">
        <f t="shared" si="213"/>
        <v>-1.7399658411614106E-2</v>
      </c>
      <c r="J1219" s="15">
        <f t="shared" si="214"/>
        <v>7.6190476190475922E-3</v>
      </c>
      <c r="K1219" s="15">
        <f t="shared" si="215"/>
        <v>-7.1704357418643757E-3</v>
      </c>
      <c r="L1219" s="32">
        <f t="shared" si="216"/>
        <v>348303.23159355752</v>
      </c>
      <c r="M1219" s="15"/>
      <c r="N1219" s="32">
        <f t="shared" si="217"/>
        <v>-2761500</v>
      </c>
      <c r="O1219" s="34">
        <f t="shared" si="218"/>
        <v>-0.22528729704226985</v>
      </c>
      <c r="P1219" s="34">
        <f t="shared" si="219"/>
        <v>0.60419254821475665</v>
      </c>
      <c r="Q1219" s="34">
        <f t="shared" si="220"/>
        <v>0.58738676034920978</v>
      </c>
      <c r="R1219" s="35" cm="1">
        <f t="array" ref="R1219">SQRT(MMULT(O1219:Q1219, MMULT($AU$32:$AW$34,TRANSPOSE(O1219:Q1219))))</f>
        <v>1.2195321103057958E-2</v>
      </c>
      <c r="S1219" s="36" cm="1">
        <f t="array" ref="S1219:U1219">TRANSPOSE(MMULT($AU$32:$AW$34, TRANSPOSE(O1219:Q1219))/MMULT(O1219:Q1219, MMULT($AU$32:$AW$34,TRANSPOSE(O1219:Q1219))))</f>
        <v>0.22883311026957748</v>
      </c>
      <c r="T1219" s="36">
        <v>1.1548679594947922</v>
      </c>
      <c r="U1219" s="36">
        <v>0.60231282260659136</v>
      </c>
      <c r="V1219" s="35">
        <f t="shared" si="225"/>
        <v>6.5023152928850927E-3</v>
      </c>
      <c r="W1219" s="35">
        <f t="shared" si="226"/>
        <v>3.2815686442576507E-2</v>
      </c>
      <c r="X1219" s="35">
        <f t="shared" si="227"/>
        <v>1.7114777983491404E-2</v>
      </c>
      <c r="Y1219" s="32">
        <f t="shared" si="228"/>
        <v>-17956.143681302183</v>
      </c>
      <c r="Z1219" s="32">
        <f t="shared" si="221"/>
        <v>243032.97379372161</v>
      </c>
      <c r="AA1219" s="32">
        <f t="shared" si="222"/>
        <v>123226.40148113811</v>
      </c>
      <c r="AB1219" s="40">
        <f t="shared" si="229"/>
        <v>-5.1553192886408791E-2</v>
      </c>
      <c r="AC1219" s="40">
        <f t="shared" si="230"/>
        <v>0.69776261529873485</v>
      </c>
      <c r="AD1219" s="40">
        <f t="shared" si="231"/>
        <v>0.35379057758767402</v>
      </c>
      <c r="AE1219" s="40"/>
      <c r="AF1219" s="40"/>
      <c r="AG1219" s="40"/>
      <c r="AH1219" s="40"/>
      <c r="AI1219" s="40"/>
      <c r="AJ1219" s="40"/>
      <c r="AK1219" s="33">
        <f t="shared" si="223"/>
        <v>7406000</v>
      </c>
      <c r="AL1219" s="33">
        <f t="shared" si="224"/>
        <v>7200000</v>
      </c>
      <c r="AM1219" s="34"/>
      <c r="AN1219" s="33"/>
      <c r="AO1219" s="15" cm="1">
        <f t="array" ref="AO1219">SUMPRODUCT(I1219:K1219, TRANSPOSE($AY$5:$AY$7))</f>
        <v>6.5842887417983179E-3</v>
      </c>
      <c r="AP1219" s="22">
        <f t="shared" si="232"/>
        <v>12257681.796776449</v>
      </c>
      <c r="AQ1219" s="22">
        <f t="shared" si="233"/>
        <v>80180.186754101887</v>
      </c>
      <c r="AR1219">
        <f t="shared" si="234"/>
        <v>0</v>
      </c>
      <c r="AS1219">
        <f t="shared" si="235"/>
        <v>0</v>
      </c>
      <c r="BJ1219">
        <f t="shared" si="236"/>
        <v>5.193232466313173E-6</v>
      </c>
      <c r="BK1219">
        <f t="shared" ref="BK1219:BK1282" si="238">$BM$2 * BK1218 + (1 - $BM$2) * BJ1218</f>
        <v>3.9088502768054852E-5</v>
      </c>
      <c r="BO1219">
        <f t="shared" ref="BO1219:BO1282" si="239" xml:space="preserve"> $BR$2 + $BS$2 * BJ1218 + $BT$2 * BO1218</f>
        <v>5.0386509655933018E-5</v>
      </c>
      <c r="BP1219">
        <f t="shared" si="237"/>
        <v>3.9774210517100155</v>
      </c>
    </row>
    <row r="1220" spans="1:68" x14ac:dyDescent="0.15">
      <c r="A1220" s="5">
        <v>45351</v>
      </c>
      <c r="B1220" s="1"/>
      <c r="C1220">
        <v>91.76</v>
      </c>
      <c r="D1220">
        <v>106.6</v>
      </c>
      <c r="E1220">
        <v>89.49</v>
      </c>
      <c r="G1220" s="3">
        <v>2.1442194595631099E-3</v>
      </c>
      <c r="I1220" s="15">
        <f t="shared" ref="I1220:I1283" si="240">(C1220-C1219)/C1219</f>
        <v>-3.1504617055946992E-3</v>
      </c>
      <c r="J1220" s="15">
        <f t="shared" ref="J1220:J1283" si="241">(D1220-D1219)/D1219</f>
        <v>7.5614366729678372E-3</v>
      </c>
      <c r="K1220" s="15">
        <f t="shared" ref="K1220:K1283" si="242">(E1220-E1219)/E1219</f>
        <v>-5.6666666666667235E-3</v>
      </c>
      <c r="L1220" s="32">
        <f t="shared" si="216"/>
        <v>349503.14096122654</v>
      </c>
      <c r="M1220" s="15"/>
      <c r="N1220" s="32">
        <f t="shared" si="217"/>
        <v>-2752800</v>
      </c>
      <c r="O1220" s="34">
        <f t="shared" si="218"/>
        <v>-0.22412116050156228</v>
      </c>
      <c r="P1220" s="34">
        <f t="shared" si="219"/>
        <v>0.60752401179259574</v>
      </c>
      <c r="Q1220" s="34">
        <f t="shared" si="220"/>
        <v>0.58287133546308656</v>
      </c>
      <c r="R1220" s="35" cm="1">
        <f t="array" ref="R1220">SQRT(MMULT(O1220:Q1220, MMULT($AU$32:$AW$34,TRANSPOSE(O1220:Q1220))))</f>
        <v>1.2212465926409255E-2</v>
      </c>
      <c r="S1220" s="36" cm="1">
        <f t="array" ref="S1220:U1220">TRANSPOSE(MMULT($AU$32:$AW$34, TRANSPOSE(O1220:Q1220))/MMULT(O1220:Q1220, MMULT($AU$32:$AW$34,TRANSPOSE(O1220:Q1220))))</f>
        <v>0.22825795748081559</v>
      </c>
      <c r="T1220" s="36">
        <v>1.1560452218870609</v>
      </c>
      <c r="U1220" s="36">
        <v>0.59847205735839393</v>
      </c>
      <c r="V1220" s="35">
        <f t="shared" si="225"/>
        <v>6.4950905906273233E-3</v>
      </c>
      <c r="W1220" s="35">
        <f t="shared" si="226"/>
        <v>3.2895319514323625E-2</v>
      </c>
      <c r="X1220" s="35">
        <f t="shared" si="227"/>
        <v>1.7029549687566016E-2</v>
      </c>
      <c r="Y1220" s="32">
        <f t="shared" si="228"/>
        <v>-17879.685377878897</v>
      </c>
      <c r="Z1220" s="32">
        <f t="shared" si="221"/>
        <v>245464.87421588288</v>
      </c>
      <c r="AA1220" s="32">
        <f t="shared" si="222"/>
        <v>121917.95212322263</v>
      </c>
      <c r="AB1220" s="40">
        <f t="shared" si="229"/>
        <v>-5.1157438324316656E-2</v>
      </c>
      <c r="AC1220" s="40">
        <f t="shared" si="230"/>
        <v>0.70232523101448885</v>
      </c>
      <c r="AD1220" s="40">
        <f t="shared" si="231"/>
        <v>0.348832207309828</v>
      </c>
      <c r="AE1220" s="40"/>
      <c r="AF1220" s="40"/>
      <c r="AG1220" s="40"/>
      <c r="AH1220" s="40"/>
      <c r="AI1220" s="40"/>
      <c r="AJ1220" s="40"/>
      <c r="AK1220" s="33">
        <f t="shared" si="223"/>
        <v>7462000</v>
      </c>
      <c r="AL1220" s="33">
        <f t="shared" si="224"/>
        <v>7159200</v>
      </c>
      <c r="AM1220" s="34"/>
      <c r="AN1220" s="33"/>
      <c r="AO1220" s="15" cm="1">
        <f t="array" ref="AO1220">SUMPRODUCT(I1220:K1220, TRANSPOSE($AY$5:$AY$7))</f>
        <v>2.0362983022112835E-3</v>
      </c>
      <c r="AP1220" s="22">
        <f t="shared" si="232"/>
        <v>12282642.093408272</v>
      </c>
      <c r="AQ1220" s="22">
        <f t="shared" si="233"/>
        <v>24960.296631822363</v>
      </c>
      <c r="AR1220">
        <f t="shared" si="234"/>
        <v>0</v>
      </c>
      <c r="AS1220">
        <f t="shared" si="235"/>
        <v>0</v>
      </c>
      <c r="BJ1220">
        <f t="shared" si="236"/>
        <v>4.597677090769115E-6</v>
      </c>
      <c r="BK1220">
        <f t="shared" si="238"/>
        <v>3.7054786549950349E-5</v>
      </c>
      <c r="BO1220">
        <f t="shared" si="239"/>
        <v>4.6201557274417185E-5</v>
      </c>
      <c r="BP1220">
        <f t="shared" si="237"/>
        <v>4.0225532604872249</v>
      </c>
    </row>
    <row r="1221" spans="1:68" x14ac:dyDescent="0.15">
      <c r="A1221" s="5">
        <v>45352</v>
      </c>
      <c r="B1221" s="1"/>
      <c r="C1221">
        <v>92.54</v>
      </c>
      <c r="D1221">
        <v>106.3</v>
      </c>
      <c r="E1221">
        <v>90.14</v>
      </c>
      <c r="G1221" s="3">
        <v>4.8140604932180803E-3</v>
      </c>
      <c r="I1221" s="15">
        <f t="shared" si="240"/>
        <v>8.5004359197907702E-3</v>
      </c>
      <c r="J1221" s="15">
        <f t="shared" si="241"/>
        <v>-2.814258911819861E-3</v>
      </c>
      <c r="K1221" s="15">
        <f t="shared" si="242"/>
        <v>7.2633813833948568E-3</v>
      </c>
      <c r="L1221" s="32">
        <f t="shared" si="216"/>
        <v>349548.19510545389</v>
      </c>
      <c r="M1221" s="15"/>
      <c r="N1221" s="32">
        <f t="shared" si="217"/>
        <v>-2776200</v>
      </c>
      <c r="O1221" s="34">
        <f t="shared" si="218"/>
        <v>-0.22599207464581023</v>
      </c>
      <c r="P1221" s="34">
        <f t="shared" si="219"/>
        <v>0.6057225803038232</v>
      </c>
      <c r="Q1221" s="34">
        <f t="shared" si="220"/>
        <v>0.58701608266186389</v>
      </c>
      <c r="R1221" s="35" cm="1">
        <f t="array" ref="R1221">SQRT(MMULT(O1221:Q1221, MMULT($AU$32:$AW$34,TRANSPOSE(O1221:Q1221))))</f>
        <v>1.2212191395188343E-2</v>
      </c>
      <c r="S1221" s="36" cm="1">
        <f t="array" ref="S1221:U1221">TRANSPOSE(MMULT($AU$32:$AW$34, TRANSPOSE(O1221:Q1221))/MMULT(O1221:Q1221, MMULT($AU$32:$AW$34,TRANSPOSE(O1221:Q1221))))</f>
        <v>0.22788122211264503</v>
      </c>
      <c r="T1221" s="36">
        <v>1.1539269357815916</v>
      </c>
      <c r="U1221" s="36">
        <v>0.60056233474172371</v>
      </c>
      <c r="V1221" s="35">
        <f t="shared" si="225"/>
        <v>6.4842248025550799E-3</v>
      </c>
      <c r="W1221" s="35">
        <f t="shared" si="226"/>
        <v>3.283430546827925E-2</v>
      </c>
      <c r="X1221" s="35">
        <f t="shared" si="227"/>
        <v>1.7088644471494541E-2</v>
      </c>
      <c r="Y1221" s="32">
        <f t="shared" si="228"/>
        <v>-18001.504896853414</v>
      </c>
      <c r="Z1221" s="32">
        <f t="shared" si="221"/>
        <v>244320.06698946591</v>
      </c>
      <c r="AA1221" s="32">
        <f t="shared" si="222"/>
        <v>123229.63301284144</v>
      </c>
      <c r="AB1221" s="40">
        <f t="shared" si="229"/>
        <v>-5.1499350158059343E-2</v>
      </c>
      <c r="AC1221" s="40">
        <f t="shared" si="230"/>
        <v>0.6989596010237098</v>
      </c>
      <c r="AD1221" s="40">
        <f t="shared" si="231"/>
        <v>0.35253974913434971</v>
      </c>
      <c r="AE1221" s="40"/>
      <c r="AF1221" s="40"/>
      <c r="AG1221" s="40"/>
      <c r="AH1221" s="40"/>
      <c r="AI1221" s="40"/>
      <c r="AJ1221" s="40"/>
      <c r="AK1221" s="33">
        <f t="shared" si="223"/>
        <v>7441000</v>
      </c>
      <c r="AL1221" s="33">
        <f t="shared" si="224"/>
        <v>7211200</v>
      </c>
      <c r="AM1221" s="34"/>
      <c r="AN1221" s="33"/>
      <c r="AO1221" s="15" cm="1">
        <f t="array" ref="AO1221">SUMPRODUCT(I1221:K1221, TRANSPOSE($AY$5:$AY$7))</f>
        <v>1.5139211814553348E-4</v>
      </c>
      <c r="AP1221" s="22">
        <f t="shared" si="232"/>
        <v>12284501.588611215</v>
      </c>
      <c r="AQ1221" s="22">
        <f t="shared" si="233"/>
        <v>1859.4952029436827</v>
      </c>
      <c r="AR1221">
        <f t="shared" si="234"/>
        <v>0</v>
      </c>
      <c r="AS1221">
        <f t="shared" si="235"/>
        <v>0</v>
      </c>
      <c r="BJ1221">
        <f t="shared" si="236"/>
        <v>2.3175178432363107E-5</v>
      </c>
      <c r="BK1221">
        <f t="shared" si="238"/>
        <v>3.5107359982399475E-5</v>
      </c>
      <c r="BO1221">
        <f t="shared" si="239"/>
        <v>4.28341501585653E-5</v>
      </c>
      <c r="BP1221">
        <f t="shared" si="237"/>
        <v>3.8396266872310809</v>
      </c>
    </row>
    <row r="1222" spans="1:68" x14ac:dyDescent="0.15">
      <c r="A1222" s="5">
        <v>45355</v>
      </c>
      <c r="B1222" s="1"/>
      <c r="C1222">
        <v>92.02</v>
      </c>
      <c r="D1222">
        <v>106.65</v>
      </c>
      <c r="E1222">
        <v>90.18</v>
      </c>
      <c r="G1222" s="3">
        <v>-1.4027777548787301E-3</v>
      </c>
      <c r="I1222" s="15">
        <f t="shared" si="240"/>
        <v>-5.6191917008862136E-3</v>
      </c>
      <c r="J1222" s="15">
        <f t="shared" si="241"/>
        <v>3.2925682031985752E-3</v>
      </c>
      <c r="K1222" s="15">
        <f t="shared" si="242"/>
        <v>4.4375416019532118E-4</v>
      </c>
      <c r="L1222" s="32">
        <f t="shared" si="216"/>
        <v>350508.94280556001</v>
      </c>
      <c r="M1222" s="15"/>
      <c r="N1222" s="32">
        <f t="shared" si="217"/>
        <v>-2760600</v>
      </c>
      <c r="O1222" s="34">
        <f t="shared" si="218"/>
        <v>-0.22366938964757929</v>
      </c>
      <c r="P1222" s="34">
        <f t="shared" si="219"/>
        <v>0.60486989365138133</v>
      </c>
      <c r="Q1222" s="34">
        <f t="shared" si="220"/>
        <v>0.58452526431699492</v>
      </c>
      <c r="R1222" s="35" cm="1">
        <f t="array" ref="R1222">SQRT(MMULT(O1222:Q1222, MMULT($AU$32:$AW$34,TRANSPOSE(O1222:Q1222))))</f>
        <v>1.2188387438219079E-2</v>
      </c>
      <c r="S1222" s="36" cm="1">
        <f t="array" ref="S1222:U1222">TRANSPOSE(MMULT($AU$32:$AW$34, TRANSPOSE(O1222:Q1222))/MMULT(O1222:Q1222, MMULT($AU$32:$AW$34,TRANSPOSE(O1222:Q1222))))</f>
        <v>0.22947921415486053</v>
      </c>
      <c r="T1222" s="36">
        <v>1.1568235773093398</v>
      </c>
      <c r="U1222" s="36">
        <v>0.60151330156302074</v>
      </c>
      <c r="V1222" s="35">
        <f t="shared" si="225"/>
        <v>6.5169670607503477E-3</v>
      </c>
      <c r="W1222" s="35">
        <f t="shared" si="226"/>
        <v>3.2852566521936861E-2</v>
      </c>
      <c r="X1222" s="35">
        <f t="shared" si="227"/>
        <v>1.7082341803053309E-2</v>
      </c>
      <c r="Y1222" s="32">
        <f t="shared" si="228"/>
        <v>-17990.739267907411</v>
      </c>
      <c r="Z1222" s="32">
        <f t="shared" si="221"/>
        <v>245260.83536951963</v>
      </c>
      <c r="AA1222" s="32">
        <f t="shared" si="222"/>
        <v>123238.84670394781</v>
      </c>
      <c r="AB1222" s="40">
        <f t="shared" si="229"/>
        <v>-5.1327475766823803E-2</v>
      </c>
      <c r="AC1222" s="40">
        <f t="shared" si="230"/>
        <v>0.69972775418051081</v>
      </c>
      <c r="AD1222" s="40">
        <f t="shared" si="231"/>
        <v>0.35159972158631303</v>
      </c>
      <c r="AE1222" s="40"/>
      <c r="AF1222" s="40"/>
      <c r="AG1222" s="40"/>
      <c r="AH1222" s="40"/>
      <c r="AI1222" s="40"/>
      <c r="AJ1222" s="40"/>
      <c r="AK1222" s="33">
        <f t="shared" si="223"/>
        <v>7465500</v>
      </c>
      <c r="AL1222" s="33">
        <f t="shared" si="224"/>
        <v>7214400.0000000009</v>
      </c>
      <c r="AM1222" s="34"/>
      <c r="AN1222" s="33"/>
      <c r="AO1222" s="15" cm="1">
        <f t="array" ref="AO1222">SUMPRODUCT(I1222:K1222, TRANSPOSE($AY$5:$AY$7))</f>
        <v>4.7069123297289774E-3</v>
      </c>
      <c r="AP1222" s="22">
        <f t="shared" si="232"/>
        <v>12342323.660603225</v>
      </c>
      <c r="AQ1222" s="22">
        <f t="shared" si="233"/>
        <v>57822.071992009878</v>
      </c>
      <c r="AR1222">
        <f t="shared" si="234"/>
        <v>0</v>
      </c>
      <c r="AS1222">
        <f t="shared" si="235"/>
        <v>0</v>
      </c>
      <c r="BJ1222">
        <f t="shared" si="236"/>
        <v>1.9677854295826104E-6</v>
      </c>
      <c r="BK1222">
        <f t="shared" si="238"/>
        <v>3.4391429089397291E-5</v>
      </c>
      <c r="BO1222">
        <f t="shared" si="239"/>
        <v>4.2838638590403022E-5</v>
      </c>
      <c r="BP1222">
        <f t="shared" si="237"/>
        <v>4.0871290994761749</v>
      </c>
    </row>
    <row r="1223" spans="1:68" x14ac:dyDescent="0.15">
      <c r="A1223" s="5">
        <v>45356</v>
      </c>
      <c r="B1223" s="1"/>
      <c r="C1223">
        <v>91.93</v>
      </c>
      <c r="D1223">
        <v>107.3</v>
      </c>
      <c r="E1223">
        <v>90.54</v>
      </c>
      <c r="G1223" s="3">
        <v>-1.2248969159351899E-3</v>
      </c>
      <c r="I1223" s="15">
        <f t="shared" si="240"/>
        <v>-9.780482503802348E-4</v>
      </c>
      <c r="J1223" s="15">
        <f t="shared" si="241"/>
        <v>6.0947022972338621E-3</v>
      </c>
      <c r="K1223" s="15">
        <f t="shared" si="242"/>
        <v>3.9920159680638658E-3</v>
      </c>
      <c r="L1223" s="32">
        <f t="shared" si="216"/>
        <v>352513.58840397553</v>
      </c>
      <c r="M1223" s="15"/>
      <c r="N1223" s="32">
        <f t="shared" si="217"/>
        <v>-2757900</v>
      </c>
      <c r="O1223" s="34">
        <f t="shared" si="218"/>
        <v>-0.22182381552045724</v>
      </c>
      <c r="P1223" s="34">
        <f t="shared" si="219"/>
        <v>0.60412584878862696</v>
      </c>
      <c r="Q1223" s="34">
        <f t="shared" si="220"/>
        <v>0.58258612008331567</v>
      </c>
      <c r="R1223" s="35" cm="1">
        <f t="array" ref="R1223">SQRT(MMULT(O1223:Q1223, MMULT($AU$32:$AW$34,TRANSPOSE(O1223:Q1223))))</f>
        <v>1.2168851681572402E-2</v>
      </c>
      <c r="S1223" s="36" cm="1">
        <f t="array" ref="S1223:U1223">TRANSPOSE(MMULT($AU$32:$AW$34, TRANSPOSE(O1223:Q1223))/MMULT(O1223:Q1223, MMULT($AU$32:$AW$34,TRANSPOSE(O1223:Q1223))))</f>
        <v>0.23077779268216056</v>
      </c>
      <c r="T1223" s="36">
        <v>1.1591543196081235</v>
      </c>
      <c r="U1223" s="36">
        <v>0.60234343250350753</v>
      </c>
      <c r="V1223" s="35">
        <f t="shared" si="225"/>
        <v>6.5433407021812124E-3</v>
      </c>
      <c r="W1223" s="35">
        <f t="shared" si="226"/>
        <v>3.2865994389880977E-2</v>
      </c>
      <c r="X1223" s="35">
        <f t="shared" si="227"/>
        <v>1.7078498987205253E-2</v>
      </c>
      <c r="Y1223" s="32">
        <f t="shared" si="228"/>
        <v>-18045.879322545567</v>
      </c>
      <c r="Z1223" s="32">
        <f t="shared" si="221"/>
        <v>246856.48386239601</v>
      </c>
      <c r="AA1223" s="32">
        <f t="shared" si="222"/>
        <v>123702.9838641251</v>
      </c>
      <c r="AB1223" s="40">
        <f t="shared" si="229"/>
        <v>-5.1192010510145915E-2</v>
      </c>
      <c r="AC1223" s="40">
        <f t="shared" si="230"/>
        <v>0.70027508721026099</v>
      </c>
      <c r="AD1223" s="40">
        <f t="shared" si="231"/>
        <v>0.35091692329988494</v>
      </c>
      <c r="AE1223" s="40"/>
      <c r="AF1223" s="40"/>
      <c r="AG1223" s="40"/>
      <c r="AH1223" s="40"/>
      <c r="AI1223" s="40"/>
      <c r="AJ1223" s="40"/>
      <c r="AK1223" s="33">
        <f t="shared" si="223"/>
        <v>7511000</v>
      </c>
      <c r="AL1223" s="33">
        <f t="shared" si="224"/>
        <v>7243200.0000000009</v>
      </c>
      <c r="AM1223" s="34"/>
      <c r="AN1223" s="33"/>
      <c r="AO1223" s="15" cm="1">
        <f t="array" ref="AO1223">SUMPRODUCT(I1223:K1223, TRANSPOSE($AY$5:$AY$7))</f>
        <v>7.3338143070735568E-3</v>
      </c>
      <c r="AP1223" s="22">
        <f t="shared" si="232"/>
        <v>12432839.97044789</v>
      </c>
      <c r="AQ1223" s="22">
        <f t="shared" si="233"/>
        <v>90516.309844665229</v>
      </c>
      <c r="AR1223">
        <f t="shared" si="234"/>
        <v>0</v>
      </c>
      <c r="AS1223">
        <f t="shared" si="235"/>
        <v>0</v>
      </c>
      <c r="BJ1223">
        <f t="shared" si="236"/>
        <v>1.5003724546675398E-6</v>
      </c>
      <c r="BK1223">
        <f t="shared" si="238"/>
        <v>3.2446010469808411E-5</v>
      </c>
      <c r="BO1223">
        <f t="shared" si="239"/>
        <v>3.9821798305684128E-5</v>
      </c>
      <c r="BP1223">
        <f t="shared" si="237"/>
        <v>4.1277709341705533</v>
      </c>
    </row>
    <row r="1224" spans="1:68" x14ac:dyDescent="0.15">
      <c r="A1224" s="5">
        <v>45357</v>
      </c>
      <c r="B1224" s="1"/>
      <c r="C1224">
        <v>92.83</v>
      </c>
      <c r="D1224">
        <v>108.1</v>
      </c>
      <c r="E1224">
        <v>91.06</v>
      </c>
      <c r="G1224" s="3">
        <v>7.2169044373546695E-3</v>
      </c>
      <c r="I1224" s="15">
        <f t="shared" si="240"/>
        <v>9.790057652561638E-3</v>
      </c>
      <c r="J1224" s="15">
        <f t="shared" si="241"/>
        <v>7.4557315936626019E-3</v>
      </c>
      <c r="K1224" s="15">
        <f t="shared" si="242"/>
        <v>5.7433178705544067E-3</v>
      </c>
      <c r="L1224" s="32">
        <f t="shared" si="216"/>
        <v>354888.05257670023</v>
      </c>
      <c r="M1224" s="15"/>
      <c r="N1224" s="32">
        <f t="shared" si="217"/>
        <v>-2784900</v>
      </c>
      <c r="O1224" s="34">
        <f t="shared" si="218"/>
        <v>-0.22282048003972962</v>
      </c>
      <c r="P1224" s="34">
        <f t="shared" si="219"/>
        <v>0.60543738463163277</v>
      </c>
      <c r="Q1224" s="34">
        <f t="shared" si="220"/>
        <v>0.58285849868699857</v>
      </c>
      <c r="R1224" s="35" cm="1">
        <f t="array" ref="R1224">SQRT(MMULT(O1224:Q1224, MMULT($AU$32:$AW$34,TRANSPOSE(O1224:Q1224))))</f>
        <v>1.2186555151039882E-2</v>
      </c>
      <c r="S1224" s="36" cm="1">
        <f t="array" ref="S1224:U1224">TRANSPOSE(MMULT($AU$32:$AW$34, TRANSPOSE(O1224:Q1224))/MMULT(O1224:Q1224, MMULT($AU$32:$AW$34,TRANSPOSE(O1224:Q1224))))</f>
        <v>0.22974237071050926</v>
      </c>
      <c r="T1224" s="36">
        <v>1.1578104942541219</v>
      </c>
      <c r="U1224" s="36">
        <v>0.60084831665974225</v>
      </c>
      <c r="V1224" s="35">
        <f t="shared" si="225"/>
        <v>6.523459605882651E-3</v>
      </c>
      <c r="W1224" s="35">
        <f t="shared" si="226"/>
        <v>3.2875650961445797E-2</v>
      </c>
      <c r="X1224" s="35">
        <f t="shared" si="227"/>
        <v>1.7060891775733378E-2</v>
      </c>
      <c r="Y1224" s="32">
        <f t="shared" si="228"/>
        <v>-18167.182656422596</v>
      </c>
      <c r="Z1224" s="32">
        <f t="shared" si="221"/>
        <v>248770.05082526035</v>
      </c>
      <c r="AA1224" s="32">
        <f t="shared" si="222"/>
        <v>124285.18440786251</v>
      </c>
      <c r="AB1224" s="40">
        <f t="shared" si="229"/>
        <v>-5.1191305327181198E-2</v>
      </c>
      <c r="AC1224" s="40">
        <f t="shared" si="230"/>
        <v>0.70098175754027359</v>
      </c>
      <c r="AD1224" s="40">
        <f t="shared" si="231"/>
        <v>0.35020954778690772</v>
      </c>
      <c r="AE1224" s="40"/>
      <c r="AF1224" s="40"/>
      <c r="AG1224" s="40"/>
      <c r="AH1224" s="40"/>
      <c r="AI1224" s="40"/>
      <c r="AJ1224" s="40"/>
      <c r="AK1224" s="33">
        <f t="shared" si="223"/>
        <v>7567000</v>
      </c>
      <c r="AL1224" s="33">
        <f t="shared" si="224"/>
        <v>7284800</v>
      </c>
      <c r="AM1224" s="34"/>
      <c r="AN1224" s="33"/>
      <c r="AO1224" s="15" cm="1">
        <f t="array" ref="AO1224">SUMPRODUCT(I1224:K1224, TRANSPOSE($AY$5:$AY$7))</f>
        <v>5.2733187863818268E-3</v>
      </c>
      <c r="AP1224" s="22">
        <f t="shared" si="232"/>
        <v>12498402.299032131</v>
      </c>
      <c r="AQ1224" s="22">
        <f t="shared" si="233"/>
        <v>65562.328584240749</v>
      </c>
      <c r="AR1224">
        <f t="shared" si="234"/>
        <v>0</v>
      </c>
      <c r="AS1224">
        <f t="shared" si="235"/>
        <v>0</v>
      </c>
      <c r="BJ1224">
        <f t="shared" si="236"/>
        <v>5.208370965790952E-5</v>
      </c>
      <c r="BK1224">
        <f t="shared" si="238"/>
        <v>3.0589272188899954E-5</v>
      </c>
      <c r="BO1224">
        <f t="shared" si="239"/>
        <v>3.7388883641735387E-5</v>
      </c>
      <c r="BP1224">
        <f t="shared" si="237"/>
        <v>3.4816167273896301</v>
      </c>
    </row>
    <row r="1225" spans="1:68" x14ac:dyDescent="0.15">
      <c r="A1225" s="5">
        <v>45358</v>
      </c>
      <c r="B1225" s="1"/>
      <c r="C1225">
        <v>93.31</v>
      </c>
      <c r="D1225">
        <v>109</v>
      </c>
      <c r="E1225">
        <v>87.78</v>
      </c>
      <c r="G1225" s="3">
        <v>2.5028896401975099E-3</v>
      </c>
      <c r="I1225" s="15">
        <f t="shared" si="240"/>
        <v>5.1707422169557683E-3</v>
      </c>
      <c r="J1225" s="15">
        <f t="shared" si="241"/>
        <v>8.3256244218316896E-3</v>
      </c>
      <c r="K1225" s="15">
        <f t="shared" si="242"/>
        <v>-3.6020206457280927E-2</v>
      </c>
      <c r="L1225" s="32">
        <f t="shared" si="216"/>
        <v>352443.7608844873</v>
      </c>
      <c r="M1225" s="15"/>
      <c r="N1225" s="32">
        <f t="shared" si="217"/>
        <v>-2799300</v>
      </c>
      <c r="O1225" s="34">
        <f t="shared" si="218"/>
        <v>-0.22927158532840572</v>
      </c>
      <c r="P1225" s="34">
        <f t="shared" si="219"/>
        <v>0.62492130034499183</v>
      </c>
      <c r="Q1225" s="34">
        <f t="shared" si="220"/>
        <v>0.57515692523495032</v>
      </c>
      <c r="R1225" s="35" cm="1">
        <f t="array" ref="R1225">SQRT(MMULT(O1225:Q1225, MMULT($AU$32:$AW$34,TRANSPOSE(O1225:Q1225))))</f>
        <v>1.238895557689115E-2</v>
      </c>
      <c r="S1225" s="36" cm="1">
        <f t="array" ref="S1225:U1225">TRANSPOSE(MMULT($AU$32:$AW$34, TRANSPOSE(O1225:Q1225))/MMULT(O1225:Q1225, MMULT($AU$32:$AW$34,TRANSPOSE(O1225:Q1225))))</f>
        <v>0.21922801060362923</v>
      </c>
      <c r="T1225" s="36">
        <v>1.1478258544851776</v>
      </c>
      <c r="U1225" s="36">
        <v>0.57890623128460805</v>
      </c>
      <c r="V1225" s="35">
        <f t="shared" si="225"/>
        <v>6.3282941770681023E-3</v>
      </c>
      <c r="W1225" s="35">
        <f t="shared" si="226"/>
        <v>3.3133447004451901E-2</v>
      </c>
      <c r="X1225" s="35">
        <f t="shared" si="227"/>
        <v>1.6710861547389225E-2</v>
      </c>
      <c r="Y1225" s="32">
        <f t="shared" si="228"/>
        <v>-17714.793889866738</v>
      </c>
      <c r="Z1225" s="32">
        <f t="shared" si="221"/>
        <v>252808.20064396801</v>
      </c>
      <c r="AA1225" s="32">
        <f t="shared" si="222"/>
        <v>117350.3541303861</v>
      </c>
      <c r="AB1225" s="40">
        <f t="shared" si="229"/>
        <v>-5.0262753539486615E-2</v>
      </c>
      <c r="AC1225" s="40">
        <f t="shared" si="230"/>
        <v>0.7173008255544786</v>
      </c>
      <c r="AD1225" s="40">
        <f t="shared" si="231"/>
        <v>0.33296192798500818</v>
      </c>
      <c r="AE1225" s="40"/>
      <c r="AF1225" s="40"/>
      <c r="AG1225" s="40"/>
      <c r="AH1225" s="40"/>
      <c r="AI1225" s="40"/>
      <c r="AJ1225" s="40"/>
      <c r="AK1225" s="33">
        <f t="shared" si="223"/>
        <v>7630000</v>
      </c>
      <c r="AL1225" s="33">
        <f t="shared" si="224"/>
        <v>7022400</v>
      </c>
      <c r="AM1225" s="34"/>
      <c r="AN1225" s="33"/>
      <c r="AO1225" s="15" cm="1">
        <f t="array" ref="AO1225">SUMPRODUCT(I1225:K1225, TRANSPOSE($AY$5:$AY$7))</f>
        <v>-2.3112144569254721E-2</v>
      </c>
      <c r="AP1225" s="22">
        <f t="shared" si="232"/>
        <v>12209537.418212196</v>
      </c>
      <c r="AQ1225" s="22">
        <f t="shared" si="233"/>
        <v>-288864.88081993535</v>
      </c>
      <c r="AR1225">
        <f t="shared" si="234"/>
        <v>0</v>
      </c>
      <c r="AS1225">
        <f t="shared" si="235"/>
        <v>0</v>
      </c>
      <c r="BJ1225">
        <f t="shared" si="236"/>
        <v>6.2644565510080209E-6</v>
      </c>
      <c r="BK1225">
        <f t="shared" si="238"/>
        <v>3.1878938437040528E-5</v>
      </c>
      <c r="BO1225">
        <f t="shared" si="239"/>
        <v>4.2684645345790505E-5</v>
      </c>
      <c r="BP1225">
        <f t="shared" si="237"/>
        <v>4.0385164354806289</v>
      </c>
    </row>
    <row r="1226" spans="1:68" x14ac:dyDescent="0.15">
      <c r="A1226" s="5">
        <v>45359</v>
      </c>
      <c r="B1226" s="1"/>
      <c r="C1226">
        <v>93.81</v>
      </c>
      <c r="D1226">
        <v>109</v>
      </c>
      <c r="E1226">
        <v>88.11</v>
      </c>
      <c r="G1226" s="3">
        <v>6.1998323782053097E-3</v>
      </c>
      <c r="I1226" s="15">
        <f t="shared" si="240"/>
        <v>5.358482477762298E-3</v>
      </c>
      <c r="J1226" s="15">
        <f t="shared" si="241"/>
        <v>0</v>
      </c>
      <c r="K1226" s="15">
        <f t="shared" si="242"/>
        <v>3.7593984962405822E-3</v>
      </c>
      <c r="L1226" s="32">
        <f t="shared" si="216"/>
        <v>352790.34096060734</v>
      </c>
      <c r="M1226" s="15"/>
      <c r="N1226" s="32">
        <f t="shared" si="217"/>
        <v>-2814300</v>
      </c>
      <c r="O1226" s="34">
        <f t="shared" si="218"/>
        <v>-0.23034861770130047</v>
      </c>
      <c r="P1226" s="34">
        <f t="shared" si="219"/>
        <v>0.62451051880074004</v>
      </c>
      <c r="Q1226" s="34">
        <f t="shared" si="220"/>
        <v>0.57693967823363779</v>
      </c>
      <c r="R1226" s="35" cm="1">
        <f t="array" ref="R1226">SQRT(MMULT(O1226:Q1226, MMULT($AU$32:$AW$34,TRANSPOSE(O1226:Q1226))))</f>
        <v>1.2392986734158638E-2</v>
      </c>
      <c r="S1226" s="36" cm="1">
        <f t="array" ref="S1226:U1226">TRANSPOSE(MMULT($AU$32:$AW$34, TRANSPOSE(O1226:Q1226))/MMULT(O1226:Q1226, MMULT($AU$32:$AW$34,TRANSPOSE(O1226:Q1226))))</f>
        <v>0.21879842133546509</v>
      </c>
      <c r="T1226" s="36">
        <v>1.146691737983639</v>
      </c>
      <c r="U1226" s="36">
        <v>0.57940002105696164</v>
      </c>
      <c r="V1226" s="35">
        <f t="shared" si="225"/>
        <v>6.3179486240420822E-3</v>
      </c>
      <c r="W1226" s="35">
        <f t="shared" si="226"/>
        <v>3.3111479708011288E-2</v>
      </c>
      <c r="X1226" s="35">
        <f t="shared" si="227"/>
        <v>1.6730557485121277E-2</v>
      </c>
      <c r="Y1226" s="32">
        <f t="shared" si="228"/>
        <v>-17780.602812641631</v>
      </c>
      <c r="Z1226" s="32">
        <f t="shared" si="221"/>
        <v>252640.59017212613</v>
      </c>
      <c r="AA1226" s="32">
        <f t="shared" si="222"/>
        <v>117930.35360112286</v>
      </c>
      <c r="AB1226" s="40">
        <f t="shared" si="229"/>
        <v>-5.0399913909851116E-2</v>
      </c>
      <c r="AC1226" s="40">
        <f t="shared" si="230"/>
        <v>0.71612105219268474</v>
      </c>
      <c r="AD1226" s="40">
        <f t="shared" si="231"/>
        <v>0.33427886171716642</v>
      </c>
      <c r="AE1226" s="40"/>
      <c r="AF1226" s="40"/>
      <c r="AG1226" s="40"/>
      <c r="AH1226" s="40"/>
      <c r="AI1226" s="40"/>
      <c r="AJ1226" s="40"/>
      <c r="AK1226" s="33">
        <f t="shared" si="223"/>
        <v>7630000</v>
      </c>
      <c r="AL1226" s="33">
        <f t="shared" si="224"/>
        <v>7048800</v>
      </c>
      <c r="AM1226" s="34"/>
      <c r="AN1226" s="33"/>
      <c r="AO1226" s="15" cm="1">
        <f t="array" ref="AO1226">SUMPRODUCT(I1226:K1226, TRANSPOSE($AY$5:$AY$7))</f>
        <v>6.5776561304456242E-4</v>
      </c>
      <c r="AP1226" s="22">
        <f t="shared" si="232"/>
        <v>12217568.432077078</v>
      </c>
      <c r="AQ1226" s="22">
        <f t="shared" si="233"/>
        <v>8031.0138648822904</v>
      </c>
      <c r="AR1226">
        <f t="shared" si="234"/>
        <v>0</v>
      </c>
      <c r="AS1226">
        <f t="shared" si="235"/>
        <v>0</v>
      </c>
      <c r="BJ1226">
        <f t="shared" si="236"/>
        <v>3.8437921517842907E-5</v>
      </c>
      <c r="BK1226">
        <f t="shared" si="238"/>
        <v>3.0342069523878579E-5</v>
      </c>
      <c r="BO1226">
        <f t="shared" si="239"/>
        <v>4.031294197869191E-5</v>
      </c>
      <c r="BP1226">
        <f t="shared" si="237"/>
        <v>3.6637362793823525</v>
      </c>
    </row>
    <row r="1227" spans="1:68" x14ac:dyDescent="0.15">
      <c r="A1227" s="5">
        <v>45362</v>
      </c>
      <c r="B1227" s="1"/>
      <c r="C1227">
        <v>93.99</v>
      </c>
      <c r="D1227">
        <v>109.85</v>
      </c>
      <c r="E1227">
        <v>88.8</v>
      </c>
      <c r="G1227" s="3">
        <v>3.26714422199625E-3</v>
      </c>
      <c r="I1227" s="15">
        <f t="shared" si="240"/>
        <v>1.9187719859289267E-3</v>
      </c>
      <c r="J1227" s="15">
        <f t="shared" si="241"/>
        <v>7.7981651376146264E-3</v>
      </c>
      <c r="K1227" s="15">
        <f t="shared" si="242"/>
        <v>7.8311201906707262E-3</v>
      </c>
      <c r="L1227" s="32">
        <f t="shared" si="216"/>
        <v>355650.13937696459</v>
      </c>
      <c r="M1227" s="15"/>
      <c r="N1227" s="32">
        <f t="shared" si="217"/>
        <v>-2819700</v>
      </c>
      <c r="O1227" s="34">
        <f t="shared" si="218"/>
        <v>-0.22847373058281631</v>
      </c>
      <c r="P1227" s="34">
        <f t="shared" si="219"/>
        <v>0.62306229432796612</v>
      </c>
      <c r="Q1227" s="34">
        <f t="shared" si="220"/>
        <v>0.57562059157368761</v>
      </c>
      <c r="R1227" s="35" cm="1">
        <f t="array" ref="R1227">SQRT(MMULT(O1227:Q1227, MMULT($AU$32:$AW$34,TRANSPOSE(O1227:Q1227))))</f>
        <v>1.236802717814982E-2</v>
      </c>
      <c r="S1227" s="36" cm="1">
        <f t="array" ref="S1227:U1227">TRANSPOSE(MMULT($AU$32:$AW$34, TRANSPOSE(O1227:Q1227))/MMULT(O1227:Q1227, MMULT($AU$32:$AW$34,TRANSPOSE(O1227:Q1227))))</f>
        <v>0.22030612558586543</v>
      </c>
      <c r="T1227" s="36">
        <v>1.1490392273679781</v>
      </c>
      <c r="U1227" s="36">
        <v>0.58095757865763176</v>
      </c>
      <c r="V1227" s="35">
        <f t="shared" si="225"/>
        <v>6.3486725066081691E-3</v>
      </c>
      <c r="W1227" s="35">
        <f t="shared" si="226"/>
        <v>3.3112441755334496E-2</v>
      </c>
      <c r="X1227" s="35">
        <f t="shared" si="227"/>
        <v>1.6741746954702003E-2</v>
      </c>
      <c r="Y1227" s="32">
        <f t="shared" si="228"/>
        <v>-17901.351866883055</v>
      </c>
      <c r="Z1227" s="32">
        <f t="shared" si="221"/>
        <v>254618.1208776446</v>
      </c>
      <c r="AA1227" s="32">
        <f t="shared" si="222"/>
        <v>118933.37036620303</v>
      </c>
      <c r="AB1227" s="40">
        <f t="shared" si="229"/>
        <v>-5.0334162382849108E-2</v>
      </c>
      <c r="AC1227" s="40">
        <f t="shared" si="230"/>
        <v>0.71592301727672591</v>
      </c>
      <c r="AD1227" s="40">
        <f t="shared" si="231"/>
        <v>0.33441114510612313</v>
      </c>
      <c r="AE1227" s="40"/>
      <c r="AF1227" s="40"/>
      <c r="AG1227" s="40"/>
      <c r="AH1227" s="40"/>
      <c r="AI1227" s="40"/>
      <c r="AJ1227" s="40"/>
      <c r="AK1227" s="33">
        <f t="shared" si="223"/>
        <v>7689500</v>
      </c>
      <c r="AL1227" s="33">
        <f t="shared" si="224"/>
        <v>7104000</v>
      </c>
      <c r="AM1227" s="34"/>
      <c r="AN1227" s="33"/>
      <c r="AO1227" s="15" cm="1">
        <f t="array" ref="AO1227">SUMPRODUCT(I1227:K1227, TRANSPOSE($AY$5:$AY$7))</f>
        <v>1.0140656377504546E-2</v>
      </c>
      <c r="AP1227" s="22">
        <f t="shared" si="232"/>
        <v>12341462.595315419</v>
      </c>
      <c r="AQ1227" s="22">
        <f t="shared" si="233"/>
        <v>123894.16323834099</v>
      </c>
      <c r="AR1227">
        <f t="shared" si="234"/>
        <v>0</v>
      </c>
      <c r="AS1227">
        <f t="shared" si="235"/>
        <v>0</v>
      </c>
      <c r="BJ1227">
        <f t="shared" si="236"/>
        <v>1.0674231367323481E-5</v>
      </c>
      <c r="BK1227">
        <f t="shared" si="238"/>
        <v>3.0827820643516441E-5</v>
      </c>
      <c r="BO1227">
        <f t="shared" si="239"/>
        <v>4.3034779047641523E-5</v>
      </c>
      <c r="BP1227">
        <f t="shared" si="237"/>
        <v>3.9837937826309022</v>
      </c>
    </row>
    <row r="1228" spans="1:68" x14ac:dyDescent="0.15">
      <c r="A1228" s="5">
        <v>45363</v>
      </c>
      <c r="B1228" s="1"/>
      <c r="C1228">
        <v>94.27</v>
      </c>
      <c r="D1228">
        <v>110.5</v>
      </c>
      <c r="E1228">
        <v>87.59</v>
      </c>
      <c r="G1228" s="3">
        <v>6.5777294193958202E-3</v>
      </c>
      <c r="I1228" s="15">
        <f t="shared" si="240"/>
        <v>2.9790403234386761E-3</v>
      </c>
      <c r="J1228" s="15">
        <f t="shared" si="241"/>
        <v>5.9171597633136614E-3</v>
      </c>
      <c r="K1228" s="15">
        <f t="shared" si="242"/>
        <v>-1.3626126126126056E-2</v>
      </c>
      <c r="L1228" s="32">
        <f t="shared" ref="L1228:L1291" si="243">2.33*R1228*AP1228</f>
        <v>355492.86558733543</v>
      </c>
      <c r="M1228" s="15"/>
      <c r="N1228" s="32">
        <f t="shared" ref="N1228:N1291" si="244">C1228*$AV$5</f>
        <v>-2828100</v>
      </c>
      <c r="O1228" s="34">
        <f t="shared" ref="O1228:O1291" si="245">N1228/AP1228</f>
        <v>-0.23084582823670807</v>
      </c>
      <c r="P1228" s="34">
        <f t="shared" ref="P1228:P1291" si="246">AK1228/AP1228</f>
        <v>0.63137529840208506</v>
      </c>
      <c r="Q1228" s="34">
        <f t="shared" ref="Q1228:Q1291" si="247">AL1228/AP1228</f>
        <v>0.57196806605857664</v>
      </c>
      <c r="R1228" s="35" cm="1">
        <f t="array" ref="R1228">SQRT(MMULT(O1228:Q1228, MMULT($AU$32:$AW$34,TRANSPOSE(O1228:Q1228))))</f>
        <v>1.2453810037426238E-2</v>
      </c>
      <c r="S1228" s="36" cm="1">
        <f t="array" ref="S1228:U1228">TRANSPOSE(MMULT($AU$32:$AW$34, TRANSPOSE(O1228:Q1228))/MMULT(O1228:Q1228, MMULT($AU$32:$AW$34,TRANSPOSE(O1228:Q1228))))</f>
        <v>0.2161522468806634</v>
      </c>
      <c r="T1228" s="36">
        <v>1.1448775924361483</v>
      </c>
      <c r="U1228" s="36">
        <v>0.57179837880086171</v>
      </c>
      <c r="V1228" s="35">
        <f t="shared" si="225"/>
        <v>6.2721713208281115E-3</v>
      </c>
      <c r="W1228" s="35">
        <f t="shared" si="226"/>
        <v>3.3221345161872258E-2</v>
      </c>
      <c r="X1228" s="35">
        <f t="shared" si="227"/>
        <v>1.6592089347055538E-2</v>
      </c>
      <c r="Y1228" s="32">
        <f t="shared" si="228"/>
        <v>-17738.327712433984</v>
      </c>
      <c r="Z1228" s="32">
        <f t="shared" ref="Z1228:Z1291" si="248">W1228*AK1228</f>
        <v>256967.10482708193</v>
      </c>
      <c r="AA1228" s="32">
        <f t="shared" ref="AA1228:AA1291" si="249">X1228*AL1228</f>
        <v>116264.08847268757</v>
      </c>
      <c r="AB1228" s="40">
        <f t="shared" si="229"/>
        <v>-4.989784445639215E-2</v>
      </c>
      <c r="AC1228" s="40">
        <f t="shared" si="230"/>
        <v>0.72284743155823405</v>
      </c>
      <c r="AD1228" s="40">
        <f t="shared" si="231"/>
        <v>0.32705041289815839</v>
      </c>
      <c r="AE1228" s="40"/>
      <c r="AF1228" s="40"/>
      <c r="AG1228" s="40"/>
      <c r="AH1228" s="40"/>
      <c r="AI1228" s="40"/>
      <c r="AJ1228" s="40"/>
      <c r="AK1228" s="33">
        <f t="shared" ref="AK1228:AK1291" si="250">D1228*$AV$6</f>
        <v>7735000</v>
      </c>
      <c r="AL1228" s="33">
        <f t="shared" ref="AL1228:AL1291" si="251">E1228*$AV$7</f>
        <v>7007200</v>
      </c>
      <c r="AM1228" s="34"/>
      <c r="AN1228" s="33"/>
      <c r="AO1228" s="15" cm="1">
        <f t="array" ref="AO1228">SUMPRODUCT(I1228:K1228, TRANSPOSE($AY$5:$AY$7))</f>
        <v>-7.3272504448496237E-3</v>
      </c>
      <c r="AP1228" s="22">
        <f t="shared" si="232"/>
        <v>12251033.6080238</v>
      </c>
      <c r="AQ1228" s="22">
        <f t="shared" si="233"/>
        <v>-90428.987291619182</v>
      </c>
      <c r="AR1228">
        <f t="shared" si="234"/>
        <v>0</v>
      </c>
      <c r="AS1228">
        <f t="shared" si="235"/>
        <v>0</v>
      </c>
      <c r="BJ1228">
        <f t="shared" si="236"/>
        <v>4.3266524314785276E-5</v>
      </c>
      <c r="BK1228">
        <f t="shared" si="238"/>
        <v>2.9618605286944861E-5</v>
      </c>
      <c r="BO1228">
        <f t="shared" si="239"/>
        <v>4.1215620400202475E-5</v>
      </c>
      <c r="BP1228">
        <f t="shared" si="237"/>
        <v>3.6045279079183858</v>
      </c>
    </row>
    <row r="1229" spans="1:68" x14ac:dyDescent="0.15">
      <c r="A1229" s="5">
        <v>45364</v>
      </c>
      <c r="B1229" s="1"/>
      <c r="C1229">
        <v>95.48</v>
      </c>
      <c r="D1229">
        <v>111.8</v>
      </c>
      <c r="E1229">
        <v>87.13</v>
      </c>
      <c r="G1229" s="3">
        <v>2.4150256820705198E-3</v>
      </c>
      <c r="I1229" s="15">
        <f t="shared" si="240"/>
        <v>1.2835472578763212E-2</v>
      </c>
      <c r="J1229" s="15">
        <f t="shared" si="241"/>
        <v>1.1764705882352915E-2</v>
      </c>
      <c r="K1229" s="15">
        <f t="shared" si="242"/>
        <v>-5.2517410663318635E-3</v>
      </c>
      <c r="L1229" s="32">
        <f t="shared" si="243"/>
        <v>357685.95617787261</v>
      </c>
      <c r="M1229" s="15"/>
      <c r="N1229" s="32">
        <f t="shared" si="244"/>
        <v>-2864400</v>
      </c>
      <c r="O1229" s="34">
        <f t="shared" si="245"/>
        <v>-0.23408932147582645</v>
      </c>
      <c r="P1229" s="34">
        <f t="shared" si="246"/>
        <v>0.63956955378781521</v>
      </c>
      <c r="Q1229" s="34">
        <f t="shared" si="247"/>
        <v>0.56964676945088</v>
      </c>
      <c r="R1229" s="35" cm="1">
        <f t="array" ref="R1229">SQRT(MMULT(O1229:Q1229, MMULT($AU$32:$AW$34,TRANSPOSE(O1229:Q1229))))</f>
        <v>1.2545671322775188E-2</v>
      </c>
      <c r="S1229" s="36" cm="1">
        <f t="array" ref="S1229:U1229">TRANSPOSE(MMULT($AU$32:$AW$34, TRANSPOSE(O1229:Q1229))/MMULT(O1229:Q1229, MMULT($AU$32:$AW$34,TRANSPOSE(O1229:Q1229))))</f>
        <v>0.21167320746747187</v>
      </c>
      <c r="T1229" s="36">
        <v>1.139616061423316</v>
      </c>
      <c r="U1229" s="36">
        <v>0.56295711450424946</v>
      </c>
      <c r="V1229" s="35">
        <f t="shared" ref="V1229:V1292" si="252">(L1229/AP1229)*S1229</f>
        <v>6.1875071987280957E-3</v>
      </c>
      <c r="W1229" s="35">
        <f t="shared" ref="W1229:W1292" si="253">(L1229/AP1229)*T1229</f>
        <v>3.3312589099999929E-2</v>
      </c>
      <c r="X1229" s="35">
        <f t="shared" ref="X1229:X1292" si="254">(L1229/AP1229)*U1229</f>
        <v>1.6456032580814576E-2</v>
      </c>
      <c r="Y1229" s="32">
        <f t="shared" ref="Y1229:Y1292" si="255">(V1229*N1229)</f>
        <v>-17723.495620036756</v>
      </c>
      <c r="Z1229" s="32">
        <f t="shared" si="248"/>
        <v>260704.32229659945</v>
      </c>
      <c r="AA1229" s="32">
        <f t="shared" si="249"/>
        <v>114705.12950130992</v>
      </c>
      <c r="AB1229" s="40">
        <f t="shared" ref="AB1229:AB1292" si="256">Y1229/L1229</f>
        <v>-4.9550437510672327E-2</v>
      </c>
      <c r="AC1229" s="40">
        <f t="shared" ref="AC1229:AC1292" si="257">Z1229/L1229</f>
        <v>0.72886373589393749</v>
      </c>
      <c r="AD1229" s="40">
        <f t="shared" ref="AD1229:AD1292" si="258">AA1229/L1229</f>
        <v>0.32068670161673479</v>
      </c>
      <c r="AE1229" s="40"/>
      <c r="AF1229" s="40"/>
      <c r="AG1229" s="40"/>
      <c r="AH1229" s="40"/>
      <c r="AI1229" s="40"/>
      <c r="AJ1229" s="40"/>
      <c r="AK1229" s="33">
        <f t="shared" si="250"/>
        <v>7826000</v>
      </c>
      <c r="AL1229" s="33">
        <f t="shared" si="251"/>
        <v>6970400</v>
      </c>
      <c r="AM1229" s="34"/>
      <c r="AN1229" s="33"/>
      <c r="AO1229" s="15" cm="1">
        <f t="array" ref="AO1229">SUMPRODUCT(I1229:K1229, TRANSPOSE($AY$5:$AY$7))</f>
        <v>-1.1981663200011663E-3</v>
      </c>
      <c r="AP1229" s="22">
        <f t="shared" si="232"/>
        <v>12236354.832169464</v>
      </c>
      <c r="AQ1229" s="22">
        <f t="shared" si="233"/>
        <v>-14678.775854336098</v>
      </c>
      <c r="AR1229">
        <f t="shared" si="234"/>
        <v>0</v>
      </c>
      <c r="AS1229">
        <f t="shared" si="235"/>
        <v>0</v>
      </c>
      <c r="BJ1229">
        <f t="shared" si="236"/>
        <v>5.8323490450601791E-6</v>
      </c>
      <c r="BK1229">
        <f t="shared" si="238"/>
        <v>3.0437480428615287E-5</v>
      </c>
      <c r="BO1229">
        <f t="shared" si="239"/>
        <v>4.4430511403913554E-5</v>
      </c>
      <c r="BP1229">
        <f t="shared" si="237"/>
        <v>4.0262190294310889</v>
      </c>
    </row>
    <row r="1230" spans="1:68" x14ac:dyDescent="0.15">
      <c r="A1230" s="5">
        <v>45365</v>
      </c>
      <c r="B1230" s="1"/>
      <c r="C1230">
        <v>95.08</v>
      </c>
      <c r="D1230">
        <v>113.15</v>
      </c>
      <c r="E1230">
        <v>86.8</v>
      </c>
      <c r="G1230" s="3">
        <v>-5.9170019012618705E-3</v>
      </c>
      <c r="I1230" s="15">
        <f t="shared" si="240"/>
        <v>-4.1893590280687645E-3</v>
      </c>
      <c r="J1230" s="15">
        <f t="shared" si="241"/>
        <v>1.2075134168157501E-2</v>
      </c>
      <c r="K1230" s="15">
        <f t="shared" si="242"/>
        <v>-3.7874440491219821E-3</v>
      </c>
      <c r="L1230" s="32">
        <f t="shared" si="243"/>
        <v>360479.249364844</v>
      </c>
      <c r="M1230" s="15"/>
      <c r="N1230" s="32">
        <f t="shared" si="244"/>
        <v>-2852400</v>
      </c>
      <c r="O1230" s="34">
        <f t="shared" si="245"/>
        <v>-0.23153470908461771</v>
      </c>
      <c r="P1230" s="34">
        <f t="shared" si="246"/>
        <v>0.6429219826478455</v>
      </c>
      <c r="Q1230" s="34">
        <f t="shared" si="247"/>
        <v>0.56365762862276869</v>
      </c>
      <c r="R1230" s="35" cm="1">
        <f t="array" ref="R1230">SQRT(MMULT(O1230:Q1230, MMULT($AU$32:$AW$34,TRANSPOSE(O1230:Q1230))))</f>
        <v>1.2558276071521508E-2</v>
      </c>
      <c r="S1230" s="36" cm="1">
        <f t="array" ref="S1230:U1230">TRANSPOSE(MMULT($AU$32:$AW$34, TRANSPOSE(O1230:Q1230))/MMULT(O1230:Q1230, MMULT($AU$32:$AW$34,TRANSPOSE(O1230:Q1230))))</f>
        <v>0.21186120527858288</v>
      </c>
      <c r="T1230" s="36">
        <v>1.141447978665435</v>
      </c>
      <c r="U1230" s="36">
        <v>0.55918914069817316</v>
      </c>
      <c r="V1230" s="35">
        <f t="shared" si="252"/>
        <v>6.1992248060295978E-3</v>
      </c>
      <c r="W1230" s="35">
        <f t="shared" si="253"/>
        <v>3.3399661891050487E-2</v>
      </c>
      <c r="X1230" s="35">
        <f t="shared" si="254"/>
        <v>1.6362312239846979E-2</v>
      </c>
      <c r="Y1230" s="32">
        <f t="shared" si="255"/>
        <v>-17682.668836718825</v>
      </c>
      <c r="Z1230" s="32">
        <f t="shared" si="248"/>
        <v>264542.02200806537</v>
      </c>
      <c r="AA1230" s="32">
        <f t="shared" si="249"/>
        <v>113619.89619349742</v>
      </c>
      <c r="AB1230" s="40">
        <f t="shared" si="256"/>
        <v>-4.905322253049315E-2</v>
      </c>
      <c r="AC1230" s="40">
        <f t="shared" si="257"/>
        <v>0.73386199753295711</v>
      </c>
      <c r="AD1230" s="40">
        <f t="shared" si="258"/>
        <v>0.31519122499753599</v>
      </c>
      <c r="AE1230" s="40"/>
      <c r="AF1230" s="40"/>
      <c r="AG1230" s="40"/>
      <c r="AH1230" s="40"/>
      <c r="AI1230" s="40"/>
      <c r="AJ1230" s="40"/>
      <c r="AK1230" s="33">
        <f t="shared" si="250"/>
        <v>7920500</v>
      </c>
      <c r="AL1230" s="33">
        <f t="shared" si="251"/>
        <v>6944000</v>
      </c>
      <c r="AM1230" s="34"/>
      <c r="AN1230" s="33"/>
      <c r="AO1230" s="15" cm="1">
        <f t="array" ref="AO1230">SUMPRODUCT(I1230:K1230, TRANSPOSE($AY$5:$AY$7))</f>
        <v>6.7978066231714537E-3</v>
      </c>
      <c r="AP1230" s="22">
        <f t="shared" ref="AP1230:AP1293" si="259">AP1229 * (1 + AO1230)</f>
        <v>12319535.206091063</v>
      </c>
      <c r="AQ1230" s="22">
        <f t="shared" ref="AQ1230:AQ1293" si="260">AP1230 - AP1229</f>
        <v>83180.373921599239</v>
      </c>
      <c r="AR1230">
        <f t="shared" ref="AR1230:AR1293" si="261">IF(-AQ1230 &gt; L1230, 1, 0)</f>
        <v>0</v>
      </c>
      <c r="AS1230">
        <f t="shared" ref="AS1230:AS1293" si="262">IF(-AQ1230 &gt; L1229, 1, 0)</f>
        <v>0</v>
      </c>
      <c r="BJ1230">
        <f t="shared" si="236"/>
        <v>3.5010911499536594E-5</v>
      </c>
      <c r="BK1230">
        <f t="shared" si="238"/>
        <v>2.8961172545601978E-5</v>
      </c>
      <c r="BO1230">
        <f t="shared" si="239"/>
        <v>4.1620821503010879E-5</v>
      </c>
      <c r="BP1230">
        <f t="shared" si="237"/>
        <v>3.7039227558084029</v>
      </c>
    </row>
    <row r="1231" spans="1:68" x14ac:dyDescent="0.15">
      <c r="A1231" s="5">
        <v>45366</v>
      </c>
      <c r="B1231" s="1"/>
      <c r="C1231">
        <v>95.23</v>
      </c>
      <c r="D1231">
        <v>113.75</v>
      </c>
      <c r="E1231">
        <v>85.64</v>
      </c>
      <c r="G1231" s="3">
        <v>-3.8022083406130604E-3</v>
      </c>
      <c r="I1231" s="15">
        <f t="shared" si="240"/>
        <v>1.5776188472865554E-3</v>
      </c>
      <c r="J1231" s="15">
        <f t="shared" si="241"/>
        <v>5.302695536897873E-3</v>
      </c>
      <c r="K1231" s="15">
        <f t="shared" si="242"/>
        <v>-1.3364055299539131E-2</v>
      </c>
      <c r="L1231" s="32">
        <f t="shared" si="243"/>
        <v>360344.42891987076</v>
      </c>
      <c r="M1231" s="15"/>
      <c r="N1231" s="32">
        <f t="shared" si="244"/>
        <v>-2856900</v>
      </c>
      <c r="O1231" s="34">
        <f t="shared" si="245"/>
        <v>-0.23353130136916569</v>
      </c>
      <c r="P1231" s="34">
        <f t="shared" si="246"/>
        <v>0.65087787012215403</v>
      </c>
      <c r="Q1231" s="34">
        <f t="shared" si="247"/>
        <v>0.56003698132256219</v>
      </c>
      <c r="R1231" s="35" cm="1">
        <f t="array" ref="R1231">SQRT(MMULT(O1231:Q1231, MMULT($AU$32:$AW$34,TRANSPOSE(O1231:Q1231))))</f>
        <v>1.2641888379986628E-2</v>
      </c>
      <c r="S1231" s="36" cm="1">
        <f t="array" ref="S1231:U1231">TRANSPOSE(MMULT($AU$32:$AW$34, TRANSPOSE(O1231:Q1231))/MMULT(O1231:Q1231, MMULT($AU$32:$AW$34,TRANSPOSE(O1231:Q1231))))</f>
        <v>0.20818978898497859</v>
      </c>
      <c r="T1231" s="36">
        <v>1.1372194329628347</v>
      </c>
      <c r="U1231" s="36">
        <v>0.5507276845123491</v>
      </c>
      <c r="V1231" s="35">
        <f t="shared" si="252"/>
        <v>6.1323551328884901E-3</v>
      </c>
      <c r="W1231" s="35">
        <f t="shared" si="253"/>
        <v>3.3497480644708068E-2</v>
      </c>
      <c r="X1231" s="35">
        <f t="shared" si="254"/>
        <v>1.6222014342820505E-2</v>
      </c>
      <c r="Y1231" s="32">
        <f t="shared" si="255"/>
        <v>-17519.525379149127</v>
      </c>
      <c r="Z1231" s="32">
        <f t="shared" si="248"/>
        <v>266723.68963348801</v>
      </c>
      <c r="AA1231" s="32">
        <f t="shared" si="249"/>
        <v>111140.26466553184</v>
      </c>
      <c r="AB1231" s="40">
        <f t="shared" si="256"/>
        <v>-4.8618832353434047E-2</v>
      </c>
      <c r="AC1231" s="40">
        <f t="shared" si="257"/>
        <v>0.74019096238837356</v>
      </c>
      <c r="AD1231" s="40">
        <f t="shared" si="258"/>
        <v>0.30842786996506039</v>
      </c>
      <c r="AE1231" s="40"/>
      <c r="AF1231" s="40"/>
      <c r="AG1231" s="40"/>
      <c r="AH1231" s="40"/>
      <c r="AI1231" s="40"/>
      <c r="AJ1231" s="40"/>
      <c r="AK1231" s="33">
        <f t="shared" si="250"/>
        <v>7962500</v>
      </c>
      <c r="AL1231" s="33">
        <f t="shared" si="251"/>
        <v>6851200</v>
      </c>
      <c r="AM1231" s="34"/>
      <c r="AN1231" s="33"/>
      <c r="AO1231" s="15" cm="1">
        <f t="array" ref="AO1231">SUMPRODUCT(I1231:K1231, TRANSPOSE($AY$5:$AY$7))</f>
        <v>-6.9854394427252284E-3</v>
      </c>
      <c r="AP1231" s="22">
        <f t="shared" si="259"/>
        <v>12233477.838946393</v>
      </c>
      <c r="AQ1231" s="22">
        <f t="shared" si="260"/>
        <v>-86057.367144670337</v>
      </c>
      <c r="AR1231">
        <f t="shared" si="261"/>
        <v>0</v>
      </c>
      <c r="AS1231">
        <f t="shared" si="262"/>
        <v>0</v>
      </c>
      <c r="BJ1231">
        <f t="shared" si="236"/>
        <v>1.4456788265427522E-5</v>
      </c>
      <c r="BK1231">
        <f t="shared" si="238"/>
        <v>2.9324156882838056E-5</v>
      </c>
      <c r="BO1231">
        <f t="shared" si="239"/>
        <v>4.3572576630540689E-5</v>
      </c>
      <c r="BP1231">
        <f t="shared" si="237"/>
        <v>3.9357095585700721</v>
      </c>
    </row>
    <row r="1232" spans="1:68" x14ac:dyDescent="0.15">
      <c r="A1232" s="5">
        <v>45369</v>
      </c>
      <c r="B1232" s="1"/>
      <c r="C1232">
        <v>94.69</v>
      </c>
      <c r="D1232">
        <v>114.6</v>
      </c>
      <c r="E1232">
        <v>85.53</v>
      </c>
      <c r="G1232" s="3">
        <v>-4.4964697128533297E-3</v>
      </c>
      <c r="I1232" s="15">
        <f t="shared" si="240"/>
        <v>-5.6704819909692977E-3</v>
      </c>
      <c r="J1232" s="15">
        <f t="shared" si="241"/>
        <v>7.4725274725274222E-3</v>
      </c>
      <c r="K1232" s="15">
        <f t="shared" si="242"/>
        <v>-1.284446520317602E-3</v>
      </c>
      <c r="L1232" s="32">
        <f t="shared" si="243"/>
        <v>362295.95372427109</v>
      </c>
      <c r="M1232" s="15"/>
      <c r="N1232" s="32">
        <f t="shared" si="244"/>
        <v>-2840700</v>
      </c>
      <c r="O1232" s="34">
        <f t="shared" si="245"/>
        <v>-0.23077600933584591</v>
      </c>
      <c r="P1232" s="34">
        <f t="shared" si="246"/>
        <v>0.65170033685083106</v>
      </c>
      <c r="Q1232" s="34">
        <f t="shared" si="247"/>
        <v>0.5558706538105368</v>
      </c>
      <c r="R1232" s="35" cm="1">
        <f t="array" ref="R1232">SQRT(MMULT(O1232:Q1232, MMULT($AU$32:$AW$34,TRANSPOSE(O1232:Q1232))))</f>
        <v>1.2632021334131598E-2</v>
      </c>
      <c r="S1232" s="36" cm="1">
        <f t="array" ref="S1232:U1232">TRANSPOSE(MMULT($AU$32:$AW$34, TRANSPOSE(O1232:Q1232))/MMULT(O1232:Q1232, MMULT($AU$32:$AW$34,TRANSPOSE(O1232:Q1232))))</f>
        <v>0.2093152366706518</v>
      </c>
      <c r="T1232" s="36">
        <v>1.1397163184382462</v>
      </c>
      <c r="U1232" s="36">
        <v>0.54968080123832441</v>
      </c>
      <c r="V1232" s="35">
        <f t="shared" si="252"/>
        <v>6.1606936669751739E-3</v>
      </c>
      <c r="W1232" s="35">
        <f t="shared" si="253"/>
        <v>3.3544825579031746E-2</v>
      </c>
      <c r="X1232" s="35">
        <f t="shared" si="254"/>
        <v>1.6178540487117803E-2</v>
      </c>
      <c r="Y1232" s="32">
        <f t="shared" si="255"/>
        <v>-17500.682499776376</v>
      </c>
      <c r="Z1232" s="32">
        <f t="shared" si="248"/>
        <v>269096.59079499269</v>
      </c>
      <c r="AA1232" s="32">
        <f t="shared" si="249"/>
        <v>110700.04542905485</v>
      </c>
      <c r="AB1232" s="40">
        <f t="shared" si="256"/>
        <v>-4.8304935012041132E-2</v>
      </c>
      <c r="AC1232" s="40">
        <f t="shared" si="257"/>
        <v>0.7427535086405942</v>
      </c>
      <c r="AD1232" s="40">
        <f t="shared" si="258"/>
        <v>0.30555142637144717</v>
      </c>
      <c r="AE1232" s="40"/>
      <c r="AF1232" s="40"/>
      <c r="AG1232" s="40"/>
      <c r="AH1232" s="40"/>
      <c r="AI1232" s="40"/>
      <c r="AJ1232" s="40"/>
      <c r="AK1232" s="33">
        <f t="shared" si="250"/>
        <v>8022000</v>
      </c>
      <c r="AL1232" s="33">
        <f t="shared" si="251"/>
        <v>6842400</v>
      </c>
      <c r="AM1232" s="34"/>
      <c r="AN1232" s="33"/>
      <c r="AO1232" s="15" cm="1">
        <f t="array" ref="AO1232">SUMPRODUCT(I1232:K1232, TRANSPOSE($AY$5:$AY$7))</f>
        <v>6.2010648277385167E-3</v>
      </c>
      <c r="AP1232" s="22">
        <f t="shared" si="259"/>
        <v>12309338.4280944</v>
      </c>
      <c r="AQ1232" s="22">
        <f t="shared" si="260"/>
        <v>75860.589148007333</v>
      </c>
      <c r="AR1232">
        <f t="shared" si="261"/>
        <v>0</v>
      </c>
      <c r="AS1232">
        <f t="shared" si="262"/>
        <v>0</v>
      </c>
      <c r="BJ1232">
        <f t="shared" si="236"/>
        <v>2.0218239878607306E-5</v>
      </c>
      <c r="BK1232">
        <f t="shared" si="238"/>
        <v>2.8432114765793421E-5</v>
      </c>
      <c r="BO1232">
        <f t="shared" si="239"/>
        <v>4.2176169900773677E-5</v>
      </c>
      <c r="BP1232">
        <f t="shared" si="237"/>
        <v>3.8782011065358915</v>
      </c>
    </row>
    <row r="1233" spans="1:68" x14ac:dyDescent="0.15">
      <c r="A1233" s="5">
        <v>45370</v>
      </c>
      <c r="B1233" s="1"/>
      <c r="C1233">
        <v>93.81</v>
      </c>
      <c r="D1233">
        <v>116</v>
      </c>
      <c r="E1233">
        <v>85.52</v>
      </c>
      <c r="G1233" s="3">
        <v>-3.9431074429614396E-3</v>
      </c>
      <c r="I1233" s="15">
        <f t="shared" si="240"/>
        <v>-9.2934840004223838E-3</v>
      </c>
      <c r="J1233" s="15">
        <f t="shared" si="241"/>
        <v>1.2216404886562005E-2</v>
      </c>
      <c r="K1233" s="15">
        <f t="shared" si="242"/>
        <v>-1.1691804045370181E-4</v>
      </c>
      <c r="L1233" s="32">
        <f t="shared" si="243"/>
        <v>365737.04529029125</v>
      </c>
      <c r="M1233" s="15"/>
      <c r="N1233" s="32">
        <f t="shared" si="244"/>
        <v>-2814300</v>
      </c>
      <c r="O1233" s="34">
        <f t="shared" si="245"/>
        <v>-0.22600773744553593</v>
      </c>
      <c r="P1233" s="34">
        <f t="shared" si="246"/>
        <v>0.65209211102503351</v>
      </c>
      <c r="Q1233" s="34">
        <f t="shared" si="247"/>
        <v>0.54942775699370305</v>
      </c>
      <c r="R1233" s="35" cm="1">
        <f t="array" ref="R1233">SQRT(MMULT(O1233:Q1233, MMULT($AU$32:$AW$34,TRANSPOSE(O1233:Q1233))))</f>
        <v>1.260567041287365E-2</v>
      </c>
      <c r="S1233" s="36" cm="1">
        <f t="array" ref="S1233:U1233">TRANSPOSE(MMULT($AU$32:$AW$34, TRANSPOSE(O1233:Q1233))/MMULT(O1233:Q1233, MMULT($AU$32:$AW$34,TRANSPOSE(O1233:Q1233))))</f>
        <v>0.21160469074906918</v>
      </c>
      <c r="T1233" s="36">
        <v>1.1443501722360456</v>
      </c>
      <c r="U1233" s="36">
        <v>0.5489394628951233</v>
      </c>
      <c r="V1233" s="35">
        <f t="shared" si="252"/>
        <v>6.2150862453039099E-3</v>
      </c>
      <c r="W1233" s="35">
        <f t="shared" si="253"/>
        <v>3.3610951581926091E-2</v>
      </c>
      <c r="X1233" s="35">
        <f t="shared" si="254"/>
        <v>1.6123017373890634E-2</v>
      </c>
      <c r="Y1233" s="32">
        <f t="shared" si="255"/>
        <v>-17491.117220158794</v>
      </c>
      <c r="Z1233" s="32">
        <f t="shared" si="248"/>
        <v>272920.92684523988</v>
      </c>
      <c r="AA1233" s="32">
        <f t="shared" si="249"/>
        <v>110307.23566521016</v>
      </c>
      <c r="AB1233" s="40">
        <f t="shared" si="256"/>
        <v>-4.7824297389059453E-2</v>
      </c>
      <c r="AC1233" s="40">
        <f t="shared" si="257"/>
        <v>0.74622171956526373</v>
      </c>
      <c r="AD1233" s="40">
        <f t="shared" si="258"/>
        <v>0.30160257782379568</v>
      </c>
      <c r="AE1233" s="40"/>
      <c r="AF1233" s="40"/>
      <c r="AG1233" s="40"/>
      <c r="AH1233" s="40"/>
      <c r="AI1233" s="40"/>
      <c r="AJ1233" s="40"/>
      <c r="AK1233" s="33">
        <f t="shared" si="250"/>
        <v>8120000</v>
      </c>
      <c r="AL1233" s="33">
        <f t="shared" si="251"/>
        <v>6841600</v>
      </c>
      <c r="AM1233" s="34"/>
      <c r="AN1233" s="33"/>
      <c r="AO1233" s="15" cm="1">
        <f t="array" ref="AO1233">SUMPRODUCT(I1233:K1233, TRANSPOSE($AY$5:$AY$7))</f>
        <v>1.1608269564214294E-2</v>
      </c>
      <c r="AP1233" s="22">
        <f t="shared" si="259"/>
        <v>12452228.546724861</v>
      </c>
      <c r="AQ1233" s="22">
        <f t="shared" si="260"/>
        <v>142890.11863046139</v>
      </c>
      <c r="AR1233">
        <f t="shared" si="261"/>
        <v>0</v>
      </c>
      <c r="AS1233">
        <f t="shared" si="262"/>
        <v>0</v>
      </c>
      <c r="BJ1233">
        <f t="shared" si="236"/>
        <v>1.5548096306737901E-5</v>
      </c>
      <c r="BK1233">
        <f t="shared" si="238"/>
        <v>2.7939282272562252E-5</v>
      </c>
      <c r="BO1233">
        <f t="shared" si="239"/>
        <v>4.1901405065714116E-5</v>
      </c>
      <c r="BP1233">
        <f t="shared" si="237"/>
        <v>3.9356251452034754</v>
      </c>
    </row>
    <row r="1234" spans="1:68" x14ac:dyDescent="0.15">
      <c r="A1234" s="5">
        <v>45371</v>
      </c>
      <c r="B1234" s="1"/>
      <c r="C1234">
        <v>94.55</v>
      </c>
      <c r="D1234">
        <v>116.1</v>
      </c>
      <c r="E1234">
        <v>85.11</v>
      </c>
      <c r="G1234" s="3">
        <v>3.5265571503373299E-3</v>
      </c>
      <c r="I1234" s="15">
        <f t="shared" si="240"/>
        <v>7.8882848310414116E-3</v>
      </c>
      <c r="J1234" s="15">
        <f t="shared" si="241"/>
        <v>8.6206896551719236E-4</v>
      </c>
      <c r="K1234" s="15">
        <f t="shared" si="242"/>
        <v>-4.794200187090699E-3</v>
      </c>
      <c r="L1234" s="32">
        <f t="shared" si="243"/>
        <v>365307.22199679184</v>
      </c>
      <c r="M1234" s="15"/>
      <c r="N1234" s="32">
        <f t="shared" si="244"/>
        <v>-2836500</v>
      </c>
      <c r="O1234" s="34">
        <f t="shared" si="245"/>
        <v>-0.22918326131218339</v>
      </c>
      <c r="P1234" s="34">
        <f t="shared" si="246"/>
        <v>0.6566445847643626</v>
      </c>
      <c r="Q1234" s="34">
        <f t="shared" si="247"/>
        <v>0.55013678463683913</v>
      </c>
      <c r="R1234" s="35" cm="1">
        <f t="array" ref="R1234">SQRT(MMULT(O1234:Q1234, MMULT($AU$32:$AW$34,TRANSPOSE(O1234:Q1234))))</f>
        <v>1.266783635428697E-2</v>
      </c>
      <c r="S1234" s="36" cm="1">
        <f t="array" ref="S1234:U1234">TRANSPOSE(MMULT($AU$32:$AW$34, TRANSPOSE(O1234:Q1234))/MMULT(O1234:Q1234, MMULT($AU$32:$AW$34,TRANSPOSE(O1234:Q1234))))</f>
        <v>0.20849385287811489</v>
      </c>
      <c r="T1234" s="36">
        <v>1.1396420106251322</v>
      </c>
      <c r="U1234" s="36">
        <v>0.54430744258785901</v>
      </c>
      <c r="V1234" s="35">
        <f t="shared" si="252"/>
        <v>6.1539168012839512E-3</v>
      </c>
      <c r="W1234" s="35">
        <f t="shared" si="253"/>
        <v>3.3637740488852513E-2</v>
      </c>
      <c r="X1234" s="35">
        <f t="shared" si="254"/>
        <v>1.6065810429257636E-2</v>
      </c>
      <c r="Y1234" s="32">
        <f t="shared" si="255"/>
        <v>-17455.585006841928</v>
      </c>
      <c r="Z1234" s="32">
        <f t="shared" si="248"/>
        <v>273373.91695290437</v>
      </c>
      <c r="AA1234" s="32">
        <f t="shared" si="249"/>
        <v>109388.89005072939</v>
      </c>
      <c r="AB1234" s="40">
        <f t="shared" si="256"/>
        <v>-4.7783301166148928E-2</v>
      </c>
      <c r="AC1234" s="40">
        <f t="shared" si="257"/>
        <v>0.74833975484696325</v>
      </c>
      <c r="AD1234" s="40">
        <f t="shared" si="258"/>
        <v>0.29944354631918568</v>
      </c>
      <c r="AE1234" s="40"/>
      <c r="AF1234" s="40"/>
      <c r="AG1234" s="40"/>
      <c r="AH1234" s="40"/>
      <c r="AI1234" s="40"/>
      <c r="AJ1234" s="40"/>
      <c r="AK1234" s="33">
        <f t="shared" si="250"/>
        <v>8127000</v>
      </c>
      <c r="AL1234" s="33">
        <f t="shared" si="251"/>
        <v>6808800</v>
      </c>
      <c r="AM1234" s="34"/>
      <c r="AN1234" s="33"/>
      <c r="AO1234" s="15" cm="1">
        <f t="array" ref="AO1234">SUMPRODUCT(I1234:K1234, TRANSPOSE($AY$5:$AY$7))</f>
        <v>-6.0768419634309786E-3</v>
      </c>
      <c r="AP1234" s="22">
        <f t="shared" si="259"/>
        <v>12376558.321753891</v>
      </c>
      <c r="AQ1234" s="22">
        <f t="shared" si="260"/>
        <v>-75670.224970970303</v>
      </c>
      <c r="AR1234">
        <f t="shared" si="261"/>
        <v>0</v>
      </c>
      <c r="AS1234">
        <f t="shared" si="262"/>
        <v>0</v>
      </c>
      <c r="BJ1234">
        <f t="shared" si="236"/>
        <v>1.2436605334595349E-5</v>
      </c>
      <c r="BK1234">
        <f t="shared" si="238"/>
        <v>2.7195811114612792E-5</v>
      </c>
      <c r="BO1234">
        <f t="shared" si="239"/>
        <v>4.1020762619605341E-5</v>
      </c>
      <c r="BP1234">
        <f t="shared" si="237"/>
        <v>3.9801884206816833</v>
      </c>
    </row>
    <row r="1235" spans="1:68" x14ac:dyDescent="0.15">
      <c r="A1235" s="5">
        <v>45372</v>
      </c>
      <c r="B1235" s="1"/>
      <c r="C1235">
        <v>94.96</v>
      </c>
      <c r="D1235">
        <v>116.5</v>
      </c>
      <c r="E1235">
        <v>86.72</v>
      </c>
      <c r="G1235" s="3">
        <v>7.31874855726233E-3</v>
      </c>
      <c r="I1235" s="15">
        <f t="shared" si="240"/>
        <v>4.3363299841353425E-3</v>
      </c>
      <c r="J1235" s="15">
        <f t="shared" si="241"/>
        <v>3.4453057708872152E-3</v>
      </c>
      <c r="K1235" s="15">
        <f t="shared" si="242"/>
        <v>1.8916696040418277E-2</v>
      </c>
      <c r="L1235" s="32">
        <f t="shared" si="243"/>
        <v>368248.79328473384</v>
      </c>
      <c r="M1235" s="15"/>
      <c r="N1235" s="32">
        <f t="shared" si="244"/>
        <v>-2848800</v>
      </c>
      <c r="O1235" s="34">
        <f t="shared" si="245"/>
        <v>-0.22688810760038697</v>
      </c>
      <c r="P1235" s="34">
        <f t="shared" si="246"/>
        <v>0.64949189745898472</v>
      </c>
      <c r="Q1235" s="34">
        <f t="shared" si="247"/>
        <v>0.55253402670894569</v>
      </c>
      <c r="R1235" s="35" cm="1">
        <f t="array" ref="R1235">SQRT(MMULT(O1235:Q1235, MMULT($AU$32:$AW$34,TRANSPOSE(O1235:Q1235))))</f>
        <v>1.2587375368726799E-2</v>
      </c>
      <c r="S1235" s="36" cm="1">
        <f t="array" ref="S1235:U1235">TRANSPOSE(MMULT($AU$32:$AW$34, TRANSPOSE(O1235:Q1235))/MMULT(O1235:Q1235, MMULT($AU$32:$AW$34,TRANSPOSE(O1235:Q1235))))</f>
        <v>0.21202957155381119</v>
      </c>
      <c r="T1235" s="36">
        <v>1.1443081818849477</v>
      </c>
      <c r="U1235" s="36">
        <v>0.55179967418635201</v>
      </c>
      <c r="V1235" s="35">
        <f t="shared" si="252"/>
        <v>6.218527228954265E-3</v>
      </c>
      <c r="W1235" s="35">
        <f t="shared" si="253"/>
        <v>3.3560939331336345E-2</v>
      </c>
      <c r="X1235" s="35">
        <f t="shared" si="254"/>
        <v>1.618350343166669E-2</v>
      </c>
      <c r="Y1235" s="32">
        <f t="shared" si="255"/>
        <v>-17715.340369844911</v>
      </c>
      <c r="Z1235" s="32">
        <f t="shared" si="248"/>
        <v>273689.46024704789</v>
      </c>
      <c r="AA1235" s="32">
        <f t="shared" si="249"/>
        <v>112274.67340753083</v>
      </c>
      <c r="AB1235" s="40">
        <f t="shared" si="256"/>
        <v>-4.8106988245165065E-2</v>
      </c>
      <c r="AC1235" s="40">
        <f t="shared" si="257"/>
        <v>0.74321889233029559</v>
      </c>
      <c r="AD1235" s="40">
        <f t="shared" si="258"/>
        <v>0.30488809591486937</v>
      </c>
      <c r="AE1235" s="40"/>
      <c r="AF1235" s="40"/>
      <c r="AG1235" s="40"/>
      <c r="AH1235" s="40"/>
      <c r="AI1235" s="40"/>
      <c r="AJ1235" s="40"/>
      <c r="AK1235" s="33">
        <f t="shared" si="250"/>
        <v>8155000</v>
      </c>
      <c r="AL1235" s="33">
        <f t="shared" si="251"/>
        <v>6937600</v>
      </c>
      <c r="AM1235" s="34"/>
      <c r="AN1235" s="33"/>
      <c r="AO1235" s="15" cm="1">
        <f t="array" ref="AO1235">SUMPRODUCT(I1235:K1235, TRANSPOSE($AY$5:$AY$7))</f>
        <v>1.4495990973132835E-2</v>
      </c>
      <c r="AP1235" s="22">
        <f t="shared" si="259"/>
        <v>12555968.799464487</v>
      </c>
      <c r="AQ1235" s="22">
        <f t="shared" si="260"/>
        <v>179410.47771059535</v>
      </c>
      <c r="AR1235">
        <f t="shared" si="261"/>
        <v>0</v>
      </c>
      <c r="AS1235">
        <f t="shared" si="262"/>
        <v>0</v>
      </c>
      <c r="BJ1235">
        <f t="shared" si="236"/>
        <v>5.3564080444429435E-5</v>
      </c>
      <c r="BK1235">
        <f t="shared" si="238"/>
        <v>2.6310258767811744E-5</v>
      </c>
      <c r="BO1235">
        <f t="shared" si="239"/>
        <v>3.9886866205988302E-5</v>
      </c>
      <c r="BP1235">
        <f t="shared" si="237"/>
        <v>3.474343096825991</v>
      </c>
    </row>
    <row r="1236" spans="1:68" x14ac:dyDescent="0.15">
      <c r="A1236" s="5">
        <v>45373</v>
      </c>
      <c r="B1236" s="1"/>
      <c r="C1236">
        <v>94.36</v>
      </c>
      <c r="D1236">
        <v>115.6</v>
      </c>
      <c r="E1236">
        <v>86.51</v>
      </c>
      <c r="G1236" s="3">
        <v>-4.4145656118649203E-3</v>
      </c>
      <c r="I1236" s="15">
        <f t="shared" si="240"/>
        <v>-6.318449873630943E-3</v>
      </c>
      <c r="J1236" s="15">
        <f t="shared" si="241"/>
        <v>-7.7253218884120655E-3</v>
      </c>
      <c r="K1236" s="15">
        <f t="shared" si="242"/>
        <v>-2.4215867158670864E-3</v>
      </c>
      <c r="L1236" s="32">
        <f t="shared" si="243"/>
        <v>365975.18883718894</v>
      </c>
      <c r="M1236" s="15"/>
      <c r="N1236" s="32">
        <f t="shared" si="244"/>
        <v>-2830800</v>
      </c>
      <c r="O1236" s="34">
        <f t="shared" si="245"/>
        <v>-0.22644438910814163</v>
      </c>
      <c r="P1236" s="34">
        <f t="shared" si="246"/>
        <v>0.64730394116966306</v>
      </c>
      <c r="Q1236" s="34">
        <f t="shared" si="247"/>
        <v>0.55361605487481513</v>
      </c>
      <c r="R1236" s="35" cm="1">
        <f t="array" ref="R1236">SQRT(MMULT(O1236:Q1236, MMULT($AU$32:$AW$34,TRANSPOSE(O1236:Q1236))))</f>
        <v>1.2564583581973827E-2</v>
      </c>
      <c r="S1236" s="36" cm="1">
        <f t="array" ref="S1236:U1236">TRANSPOSE(MMULT($AU$32:$AW$34, TRANSPOSE(O1236:Q1236))/MMULT(O1236:Q1236, MMULT($AU$32:$AW$34,TRANSPOSE(O1236:Q1236))))</f>
        <v>0.21299263206847999</v>
      </c>
      <c r="T1236" s="36">
        <v>1.1454498177383197</v>
      </c>
      <c r="U1236" s="36">
        <v>0.5541327826711322</v>
      </c>
      <c r="V1236" s="35">
        <f t="shared" si="252"/>
        <v>6.2354614861678068E-3</v>
      </c>
      <c r="W1236" s="35">
        <f t="shared" si="253"/>
        <v>3.3533592939256444E-2</v>
      </c>
      <c r="X1236" s="35">
        <f t="shared" si="254"/>
        <v>1.6222503055682808E-2</v>
      </c>
      <c r="Y1236" s="32">
        <f t="shared" si="255"/>
        <v>-17651.344375043827</v>
      </c>
      <c r="Z1236" s="32">
        <f t="shared" si="248"/>
        <v>271353.83406446315</v>
      </c>
      <c r="AA1236" s="32">
        <f t="shared" si="249"/>
        <v>112272.69914776958</v>
      </c>
      <c r="AB1236" s="40">
        <f t="shared" si="256"/>
        <v>-4.8230986453282124E-2</v>
      </c>
      <c r="AC1236" s="40">
        <f t="shared" si="257"/>
        <v>0.74145418143408648</v>
      </c>
      <c r="AD1236" s="40">
        <f t="shared" si="258"/>
        <v>0.30677680501919558</v>
      </c>
      <c r="AE1236" s="40"/>
      <c r="AF1236" s="40"/>
      <c r="AG1236" s="40"/>
      <c r="AH1236" s="40"/>
      <c r="AI1236" s="40"/>
      <c r="AJ1236" s="40"/>
      <c r="AK1236" s="33">
        <f t="shared" si="250"/>
        <v>8092000</v>
      </c>
      <c r="AL1236" s="33">
        <f t="shared" si="251"/>
        <v>6920800</v>
      </c>
      <c r="AM1236" s="34"/>
      <c r="AN1236" s="33"/>
      <c r="AO1236" s="15" cm="1">
        <f t="array" ref="AO1236">SUMPRODUCT(I1236:K1236, TRANSPOSE($AY$5:$AY$7))</f>
        <v>-4.3713277526960109E-3</v>
      </c>
      <c r="AP1236" s="22">
        <f t="shared" si="259"/>
        <v>12501082.544589402</v>
      </c>
      <c r="AQ1236" s="22">
        <f t="shared" si="260"/>
        <v>-54886.254875084385</v>
      </c>
      <c r="AR1236">
        <f t="shared" si="261"/>
        <v>0</v>
      </c>
      <c r="AS1236">
        <f t="shared" si="262"/>
        <v>0</v>
      </c>
      <c r="BJ1236">
        <f t="shared" si="236"/>
        <v>1.9488389541460297E-5</v>
      </c>
      <c r="BK1236">
        <f t="shared" si="238"/>
        <v>2.7945488068408806E-5</v>
      </c>
      <c r="BO1236">
        <f t="shared" si="239"/>
        <v>4.4854844646485161E-5</v>
      </c>
      <c r="BP1236">
        <f t="shared" si="237"/>
        <v>3.8698625430547531</v>
      </c>
    </row>
    <row r="1237" spans="1:68" x14ac:dyDescent="0.15">
      <c r="A1237" s="5">
        <v>45376</v>
      </c>
      <c r="B1237" s="1"/>
      <c r="C1237">
        <v>94.75</v>
      </c>
      <c r="D1237">
        <v>115.4</v>
      </c>
      <c r="E1237">
        <v>86.41</v>
      </c>
      <c r="G1237" s="3">
        <v>-1.2827509746995399E-3</v>
      </c>
      <c r="I1237" s="15">
        <f t="shared" si="240"/>
        <v>4.1331072488342575E-3</v>
      </c>
      <c r="J1237" s="15">
        <f t="shared" si="241"/>
        <v>-1.7301038062282755E-3</v>
      </c>
      <c r="K1237" s="15">
        <f t="shared" si="242"/>
        <v>-1.1559357299735121E-3</v>
      </c>
      <c r="L1237" s="32">
        <f t="shared" si="243"/>
        <v>365303.1974386879</v>
      </c>
      <c r="M1237" s="15"/>
      <c r="N1237" s="32">
        <f t="shared" si="244"/>
        <v>-2842500</v>
      </c>
      <c r="O1237" s="34">
        <f t="shared" si="245"/>
        <v>-0.22820613601308681</v>
      </c>
      <c r="P1237" s="34">
        <f t="shared" si="246"/>
        <v>0.64853092936278467</v>
      </c>
      <c r="Q1237" s="34">
        <f t="shared" si="247"/>
        <v>0.55498447740765755</v>
      </c>
      <c r="R1237" s="35" cm="1">
        <f t="array" ref="R1237">SQRT(MMULT(O1237:Q1237, MMULT($AU$32:$AW$34,TRANSPOSE(O1237:Q1237))))</f>
        <v>1.2587062733525651E-2</v>
      </c>
      <c r="S1237" s="36" cm="1">
        <f t="array" ref="S1237:U1237">TRANSPOSE(MMULT($AU$32:$AW$34, TRANSPOSE(O1237:Q1237))/MMULT(O1237:Q1237, MMULT($AU$32:$AW$34,TRANSPOSE(O1237:Q1237))))</f>
        <v>0.21168133564920871</v>
      </c>
      <c r="T1237" s="36">
        <v>1.1432645001712407</v>
      </c>
      <c r="U1237" s="36">
        <v>0.55292463728793106</v>
      </c>
      <c r="V1237" s="35">
        <f t="shared" si="252"/>
        <v>6.2081597656060989E-3</v>
      </c>
      <c r="W1237" s="35">
        <f t="shared" si="253"/>
        <v>3.3529496824277027E-2</v>
      </c>
      <c r="X1237" s="35">
        <f t="shared" si="254"/>
        <v>1.6216094234740391E-2</v>
      </c>
      <c r="Y1237" s="32">
        <f t="shared" si="255"/>
        <v>-17646.694133735335</v>
      </c>
      <c r="Z1237" s="32">
        <f t="shared" si="248"/>
        <v>270851.27534650982</v>
      </c>
      <c r="AA1237" s="32">
        <f t="shared" si="249"/>
        <v>112098.61622591337</v>
      </c>
      <c r="AB1237" s="40">
        <f t="shared" si="256"/>
        <v>-4.8306979674595199E-2</v>
      </c>
      <c r="AC1237" s="40">
        <f t="shared" si="257"/>
        <v>0.74144238880353408</v>
      </c>
      <c r="AD1237" s="40">
        <f t="shared" si="258"/>
        <v>0.30686459087106099</v>
      </c>
      <c r="AE1237" s="40"/>
      <c r="AF1237" s="40"/>
      <c r="AG1237" s="40"/>
      <c r="AH1237" s="40"/>
      <c r="AI1237" s="40"/>
      <c r="AJ1237" s="40"/>
      <c r="AK1237" s="33">
        <f t="shared" si="250"/>
        <v>8078000</v>
      </c>
      <c r="AL1237" s="33">
        <f t="shared" si="251"/>
        <v>6912800</v>
      </c>
      <c r="AM1237" s="34"/>
      <c r="AN1237" s="33"/>
      <c r="AO1237" s="15" cm="1">
        <f t="array" ref="AO1237">SUMPRODUCT(I1237:K1237, TRANSPOSE($AY$5:$AY$7))</f>
        <v>-3.6187806922821182E-3</v>
      </c>
      <c r="AP1237" s="22">
        <f t="shared" si="259"/>
        <v>12455843.868444417</v>
      </c>
      <c r="AQ1237" s="22">
        <f t="shared" si="260"/>
        <v>-45238.676144985482</v>
      </c>
      <c r="AR1237">
        <f t="shared" si="261"/>
        <v>0</v>
      </c>
      <c r="AS1237">
        <f t="shared" si="262"/>
        <v>0</v>
      </c>
      <c r="BJ1237">
        <f t="shared" si="236"/>
        <v>1.6454500630926196E-6</v>
      </c>
      <c r="BK1237">
        <f t="shared" si="238"/>
        <v>2.7438062156791894E-5</v>
      </c>
      <c r="BO1237">
        <f t="shared" si="239"/>
        <v>4.3898555376573735E-5</v>
      </c>
      <c r="BP1237">
        <f t="shared" si="237"/>
        <v>4.0791345337467719</v>
      </c>
    </row>
    <row r="1238" spans="1:68" x14ac:dyDescent="0.15">
      <c r="A1238" s="5">
        <v>45377</v>
      </c>
      <c r="B1238" s="1"/>
      <c r="C1238">
        <v>95.48</v>
      </c>
      <c r="D1238">
        <v>116.1</v>
      </c>
      <c r="E1238">
        <v>86.15</v>
      </c>
      <c r="G1238" s="3">
        <v>3.7221788596548599E-3</v>
      </c>
      <c r="I1238" s="15">
        <f t="shared" si="240"/>
        <v>7.7044854881266915E-3</v>
      </c>
      <c r="J1238" s="15">
        <f t="shared" si="241"/>
        <v>6.0658578856151524E-3</v>
      </c>
      <c r="K1238" s="15">
        <f t="shared" si="242"/>
        <v>-3.0089110056705348E-3</v>
      </c>
      <c r="L1238" s="32">
        <f t="shared" si="243"/>
        <v>366475.31951936299</v>
      </c>
      <c r="M1238" s="15"/>
      <c r="N1238" s="32">
        <f t="shared" si="244"/>
        <v>-2864400</v>
      </c>
      <c r="O1238" s="34">
        <f t="shared" si="245"/>
        <v>-0.23025633700471565</v>
      </c>
      <c r="P1238" s="34">
        <f t="shared" si="246"/>
        <v>0.65329327287994843</v>
      </c>
      <c r="Q1238" s="34">
        <f t="shared" si="247"/>
        <v>0.55401713260595598</v>
      </c>
      <c r="R1238" s="35" cm="1">
        <f t="array" ref="R1238">SQRT(MMULT(O1238:Q1238, MMULT($AU$32:$AW$34,TRANSPOSE(O1238:Q1238))))</f>
        <v>1.2643483250529258E-2</v>
      </c>
      <c r="S1238" s="36" cm="1">
        <f t="array" ref="S1238:U1238">TRANSPOSE(MMULT($AU$32:$AW$34, TRANSPOSE(O1238:Q1238))/MMULT(O1238:Q1238, MMULT($AU$32:$AW$34,TRANSPOSE(O1238:Q1238))))</f>
        <v>0.20905530643348494</v>
      </c>
      <c r="T1238" s="36">
        <v>1.1397079604160816</v>
      </c>
      <c r="U1238" s="36">
        <v>0.54794833523521347</v>
      </c>
      <c r="V1238" s="35">
        <f t="shared" si="252"/>
        <v>6.1586263282096456E-3</v>
      </c>
      <c r="W1238" s="35">
        <f t="shared" si="253"/>
        <v>3.3575016923676322E-2</v>
      </c>
      <c r="X1238" s="35">
        <f t="shared" si="254"/>
        <v>1.6142183144975224E-2</v>
      </c>
      <c r="Y1238" s="32">
        <f t="shared" si="255"/>
        <v>-17640.769254523708</v>
      </c>
      <c r="Z1238" s="32">
        <f t="shared" si="248"/>
        <v>272864.16253871744</v>
      </c>
      <c r="AA1238" s="32">
        <f t="shared" si="249"/>
        <v>111251.92623516925</v>
      </c>
      <c r="AB1238" s="40">
        <f t="shared" si="256"/>
        <v>-4.8136309090772607E-2</v>
      </c>
      <c r="AC1238" s="40">
        <f t="shared" si="257"/>
        <v>0.7445635435875525</v>
      </c>
      <c r="AD1238" s="40">
        <f t="shared" si="258"/>
        <v>0.3035727655032201</v>
      </c>
      <c r="AE1238" s="40"/>
      <c r="AF1238" s="40"/>
      <c r="AG1238" s="40"/>
      <c r="AH1238" s="40"/>
      <c r="AI1238" s="40"/>
      <c r="AJ1238" s="40"/>
      <c r="AK1238" s="33">
        <f t="shared" si="250"/>
        <v>8127000</v>
      </c>
      <c r="AL1238" s="33">
        <f t="shared" si="251"/>
        <v>6892000</v>
      </c>
      <c r="AM1238" s="34"/>
      <c r="AN1238" s="33"/>
      <c r="AO1238" s="15" cm="1">
        <f t="array" ref="AO1238">SUMPRODUCT(I1238:K1238, TRANSPOSE($AY$5:$AY$7))</f>
        <v>-1.2681089789446276E-3</v>
      </c>
      <c r="AP1238" s="22">
        <f t="shared" si="259"/>
        <v>12440048.500994511</v>
      </c>
      <c r="AQ1238" s="22">
        <f t="shared" si="260"/>
        <v>-15795.367449905723</v>
      </c>
      <c r="AR1238">
        <f t="shared" si="261"/>
        <v>0</v>
      </c>
      <c r="AS1238">
        <f t="shared" si="262"/>
        <v>0</v>
      </c>
      <c r="BJ1238">
        <f t="shared" si="236"/>
        <v>1.3854615463261554E-5</v>
      </c>
      <c r="BK1238">
        <f t="shared" si="238"/>
        <v>2.5890505431169934E-5</v>
      </c>
      <c r="BO1238">
        <f t="shared" si="239"/>
        <v>4.060726751896389E-5</v>
      </c>
      <c r="BP1238">
        <f t="shared" si="237"/>
        <v>3.9662504124867213</v>
      </c>
    </row>
    <row r="1239" spans="1:68" x14ac:dyDescent="0.15">
      <c r="A1239" s="5">
        <v>45378</v>
      </c>
      <c r="B1239" s="1"/>
      <c r="C1239">
        <v>96</v>
      </c>
      <c r="D1239">
        <v>116.75</v>
      </c>
      <c r="E1239">
        <v>86.66</v>
      </c>
      <c r="G1239" s="3">
        <v>2.1702100874338901E-3</v>
      </c>
      <c r="I1239" s="15">
        <f t="shared" si="240"/>
        <v>5.4461667364892755E-3</v>
      </c>
      <c r="J1239" s="15">
        <f t="shared" si="241"/>
        <v>5.5986218776916943E-3</v>
      </c>
      <c r="K1239" s="15">
        <f t="shared" si="242"/>
        <v>5.9199071387114437E-3</v>
      </c>
      <c r="L1239" s="32">
        <f t="shared" si="243"/>
        <v>368565.51286022662</v>
      </c>
      <c r="M1239" s="15"/>
      <c r="N1239" s="32">
        <f t="shared" si="244"/>
        <v>-2880000</v>
      </c>
      <c r="O1239" s="34">
        <f t="shared" si="245"/>
        <v>-0.23015347864662419</v>
      </c>
      <c r="P1239" s="34">
        <f t="shared" si="246"/>
        <v>0.65310045286095009</v>
      </c>
      <c r="Q1239" s="34">
        <f t="shared" si="247"/>
        <v>0.55403056831990138</v>
      </c>
      <c r="R1239" s="35" cm="1">
        <f t="array" ref="R1239">SQRT(MMULT(O1239:Q1239, MMULT($AU$32:$AW$34,TRANSPOSE(O1239:Q1239))))</f>
        <v>1.2641069816100121E-2</v>
      </c>
      <c r="S1239" s="36" cm="1">
        <f t="array" ref="S1239:U1239">TRANSPOSE(MMULT($AU$32:$AW$34, TRANSPOSE(O1239:Q1239))/MMULT(O1239:Q1239, MMULT($AU$32:$AW$34,TRANSPOSE(O1239:Q1239))))</f>
        <v>0.20917099244671164</v>
      </c>
      <c r="T1239" s="36">
        <v>1.1398721021756382</v>
      </c>
      <c r="U1239" s="36">
        <v>0.54814745390321462</v>
      </c>
      <c r="V1239" s="35">
        <f t="shared" si="252"/>
        <v>6.1608581273208708E-3</v>
      </c>
      <c r="W1239" s="35">
        <f t="shared" si="253"/>
        <v>3.3573442582313033E-2</v>
      </c>
      <c r="X1239" s="35">
        <f t="shared" si="254"/>
        <v>1.6144966645937776E-2</v>
      </c>
      <c r="Y1239" s="32">
        <f t="shared" si="255"/>
        <v>-17743.271406684107</v>
      </c>
      <c r="Z1239" s="32">
        <f t="shared" si="248"/>
        <v>274378.95950395329</v>
      </c>
      <c r="AA1239" s="32">
        <f t="shared" si="249"/>
        <v>111929.82476295742</v>
      </c>
      <c r="AB1239" s="40">
        <f t="shared" si="256"/>
        <v>-4.8141431543577431E-2</v>
      </c>
      <c r="AC1239" s="40">
        <f t="shared" si="257"/>
        <v>0.74445098613447247</v>
      </c>
      <c r="AD1239" s="40">
        <f t="shared" si="258"/>
        <v>0.30369044540910495</v>
      </c>
      <c r="AE1239" s="40"/>
      <c r="AF1239" s="40"/>
      <c r="AG1239" s="40"/>
      <c r="AH1239" s="40"/>
      <c r="AI1239" s="40"/>
      <c r="AJ1239" s="40"/>
      <c r="AK1239" s="33">
        <f t="shared" si="250"/>
        <v>8172500</v>
      </c>
      <c r="AL1239" s="33">
        <f t="shared" si="251"/>
        <v>6932800</v>
      </c>
      <c r="AM1239" s="34"/>
      <c r="AN1239" s="33"/>
      <c r="AO1239" s="15" cm="1">
        <f t="array" ref="AO1239">SUMPRODUCT(I1239:K1239, TRANSPOSE($AY$5:$AY$7))</f>
        <v>5.8955127227763313E-3</v>
      </c>
      <c r="AP1239" s="22">
        <f t="shared" si="259"/>
        <v>12513388.965204081</v>
      </c>
      <c r="AQ1239" s="22">
        <f t="shared" si="260"/>
        <v>73340.464209569618</v>
      </c>
      <c r="AR1239">
        <f t="shared" si="261"/>
        <v>0</v>
      </c>
      <c r="AS1239">
        <f t="shared" si="262"/>
        <v>0</v>
      </c>
      <c r="BJ1239">
        <f t="shared" si="236"/>
        <v>4.7098118235998133E-6</v>
      </c>
      <c r="BK1239">
        <f t="shared" si="238"/>
        <v>2.516835203309543E-5</v>
      </c>
      <c r="BO1239">
        <f t="shared" si="239"/>
        <v>3.9764482677517903E-5</v>
      </c>
      <c r="BP1239">
        <f t="shared" si="237"/>
        <v>4.0881083472863207</v>
      </c>
    </row>
    <row r="1240" spans="1:68" x14ac:dyDescent="0.15">
      <c r="A1240" s="5">
        <v>45379</v>
      </c>
      <c r="B1240" s="1"/>
      <c r="C1240">
        <v>95.75</v>
      </c>
      <c r="D1240">
        <v>115.95</v>
      </c>
      <c r="E1240">
        <v>87.37</v>
      </c>
      <c r="G1240" s="3">
        <v>2.1119449397442001E-3</v>
      </c>
      <c r="I1240" s="15">
        <f t="shared" si="240"/>
        <v>-2.6041666666666665E-3</v>
      </c>
      <c r="J1240" s="15">
        <f t="shared" si="241"/>
        <v>-6.8522483940042581E-3</v>
      </c>
      <c r="K1240" s="15">
        <f t="shared" si="242"/>
        <v>8.1929379183014999E-3</v>
      </c>
      <c r="L1240" s="32">
        <f t="shared" si="243"/>
        <v>367654.08628629375</v>
      </c>
      <c r="M1240" s="15"/>
      <c r="N1240" s="32">
        <f t="shared" si="244"/>
        <v>-2872500</v>
      </c>
      <c r="O1240" s="34">
        <f t="shared" si="245"/>
        <v>-0.2289678094036558</v>
      </c>
      <c r="P1240" s="34">
        <f t="shared" si="246"/>
        <v>0.64696857268051255</v>
      </c>
      <c r="Q1240" s="34">
        <f t="shared" si="247"/>
        <v>0.55714304633865708</v>
      </c>
      <c r="R1240" s="35" cm="1">
        <f t="array" ref="R1240">SQRT(MMULT(O1240:Q1240, MMULT($AU$32:$AW$34,TRANSPOSE(O1240:Q1240))))</f>
        <v>1.2577602581124893E-2</v>
      </c>
      <c r="S1240" s="36" cm="1">
        <f t="array" ref="S1240:U1240">TRANSPOSE(MMULT($AU$32:$AW$34, TRANSPOSE(O1240:Q1240))/MMULT(O1240:Q1240, MMULT($AU$32:$AW$34,TRANSPOSE(O1240:Q1240))))</f>
        <v>0.21181222548030951</v>
      </c>
      <c r="T1240" s="36">
        <v>1.1429862702304145</v>
      </c>
      <c r="U1240" s="36">
        <v>0.55465465729048724</v>
      </c>
      <c r="V1240" s="35">
        <f t="shared" si="252"/>
        <v>6.2073296858218309E-3</v>
      </c>
      <c r="W1240" s="35">
        <f t="shared" si="253"/>
        <v>3.3496143055952082E-2</v>
      </c>
      <c r="X1240" s="35">
        <f t="shared" si="254"/>
        <v>1.6254606228565577E-2</v>
      </c>
      <c r="Y1240" s="32">
        <f t="shared" si="255"/>
        <v>-17830.554522523209</v>
      </c>
      <c r="Z1240" s="32">
        <f t="shared" si="248"/>
        <v>271871.4451136351</v>
      </c>
      <c r="AA1240" s="32">
        <f t="shared" si="249"/>
        <v>113613.19569518196</v>
      </c>
      <c r="AB1240" s="40">
        <f t="shared" si="256"/>
        <v>-4.8498181273139672E-2</v>
      </c>
      <c r="AC1240" s="40">
        <f t="shared" si="257"/>
        <v>0.73947619584439406</v>
      </c>
      <c r="AD1240" s="40">
        <f t="shared" si="258"/>
        <v>0.30902198542874593</v>
      </c>
      <c r="AE1240" s="40"/>
      <c r="AF1240" s="40"/>
      <c r="AG1240" s="40"/>
      <c r="AH1240" s="40"/>
      <c r="AI1240" s="40"/>
      <c r="AJ1240" s="40"/>
      <c r="AK1240" s="33">
        <f t="shared" si="250"/>
        <v>8116500</v>
      </c>
      <c r="AL1240" s="33">
        <f t="shared" si="251"/>
        <v>6989600</v>
      </c>
      <c r="AM1240" s="34"/>
      <c r="AN1240" s="33"/>
      <c r="AO1240" s="15" cm="1">
        <f t="array" ref="AO1240">SUMPRODUCT(I1240:K1240, TRANSPOSE($AY$5:$AY$7))</f>
        <v>2.5606709833424809E-3</v>
      </c>
      <c r="AP1240" s="22">
        <f t="shared" si="259"/>
        <v>12545431.637230558</v>
      </c>
      <c r="AQ1240" s="22">
        <f t="shared" si="260"/>
        <v>32042.672026477754</v>
      </c>
      <c r="AR1240">
        <f t="shared" si="261"/>
        <v>0</v>
      </c>
      <c r="AS1240">
        <f t="shared" si="262"/>
        <v>0</v>
      </c>
      <c r="BJ1240">
        <f t="shared" si="236"/>
        <v>4.4603114285111334E-6</v>
      </c>
      <c r="BK1240">
        <f t="shared" si="238"/>
        <v>2.3940839620525691E-5</v>
      </c>
      <c r="BO1240">
        <f t="shared" si="239"/>
        <v>3.7801015437892297E-5</v>
      </c>
      <c r="BP1240">
        <f t="shared" si="237"/>
        <v>4.1136515193761838</v>
      </c>
    </row>
    <row r="1241" spans="1:68" x14ac:dyDescent="0.15">
      <c r="A1241" s="5">
        <v>45384</v>
      </c>
      <c r="B1241" s="1"/>
      <c r="C1241">
        <v>94.82</v>
      </c>
      <c r="D1241">
        <v>115.35</v>
      </c>
      <c r="E1241">
        <v>85.7</v>
      </c>
      <c r="G1241" s="3">
        <v>-1.15451445871019E-2</v>
      </c>
      <c r="I1241" s="15">
        <f t="shared" si="240"/>
        <v>-9.712793733681533E-3</v>
      </c>
      <c r="J1241" s="15">
        <f t="shared" si="241"/>
        <v>-5.1746442432083527E-3</v>
      </c>
      <c r="K1241" s="15">
        <f t="shared" si="242"/>
        <v>-1.9114112395559137E-2</v>
      </c>
      <c r="L1241" s="32">
        <f t="shared" si="243"/>
        <v>364253.50362332101</v>
      </c>
      <c r="M1241" s="15"/>
      <c r="N1241" s="32">
        <f t="shared" si="244"/>
        <v>-2844600</v>
      </c>
      <c r="O1241" s="34">
        <f t="shared" si="245"/>
        <v>-0.22988371454098175</v>
      </c>
      <c r="P1241" s="34">
        <f t="shared" si="246"/>
        <v>0.65253323949277831</v>
      </c>
      <c r="Q1241" s="34">
        <f t="shared" si="247"/>
        <v>0.55406129047773711</v>
      </c>
      <c r="R1241" s="35" cm="1">
        <f t="array" ref="R1241">SQRT(MMULT(O1241:Q1241, MMULT($AU$32:$AW$34,TRANSPOSE(O1241:Q1241))))</f>
        <v>1.2633823841437988E-2</v>
      </c>
      <c r="S1241" s="36" cm="1">
        <f t="array" ref="S1241:U1241">TRANSPOSE(MMULT($AU$32:$AW$34, TRANSPOSE(O1241:Q1241))/MMULT(O1241:Q1241, MMULT($AU$32:$AW$34,TRANSPOSE(O1241:Q1241))))</f>
        <v>0.20948672548762245</v>
      </c>
      <c r="T1241" s="36">
        <v>1.1403699739593522</v>
      </c>
      <c r="U1241" s="36">
        <v>0.5487267897960949</v>
      </c>
      <c r="V1241" s="35">
        <f t="shared" si="252"/>
        <v>6.1666208415475984E-3</v>
      </c>
      <c r="W1241" s="35">
        <f t="shared" si="253"/>
        <v>3.3568853740607703E-2</v>
      </c>
      <c r="X1241" s="35">
        <f t="shared" si="254"/>
        <v>1.6152766006512609E-2</v>
      </c>
      <c r="Y1241" s="32">
        <f t="shared" si="255"/>
        <v>-17541.569645866297</v>
      </c>
      <c r="Z1241" s="32">
        <f t="shared" si="248"/>
        <v>271051.70952853689</v>
      </c>
      <c r="AA1241" s="32">
        <f t="shared" si="249"/>
        <v>110743.36374065044</v>
      </c>
      <c r="AB1241" s="40">
        <f t="shared" si="256"/>
        <v>-4.8157586602121605E-2</v>
      </c>
      <c r="AC1241" s="40">
        <f t="shared" si="257"/>
        <v>0.74412931332799137</v>
      </c>
      <c r="AD1241" s="40">
        <f t="shared" si="258"/>
        <v>0.30402827327413029</v>
      </c>
      <c r="AE1241" s="40"/>
      <c r="AF1241" s="40"/>
      <c r="AG1241" s="40"/>
      <c r="AH1241" s="40"/>
      <c r="AI1241" s="40"/>
      <c r="AJ1241" s="40"/>
      <c r="AK1241" s="33">
        <f t="shared" si="250"/>
        <v>8074500</v>
      </c>
      <c r="AL1241" s="33">
        <f t="shared" si="251"/>
        <v>6856000</v>
      </c>
      <c r="AM1241" s="34"/>
      <c r="AN1241" s="33"/>
      <c r="AO1241" s="15" cm="1">
        <f t="array" ref="AO1241">SUMPRODUCT(I1241:K1241, TRANSPOSE($AY$5:$AY$7))</f>
        <v>-1.3658306539834611E-2</v>
      </c>
      <c r="AP1241" s="22">
        <f t="shared" si="259"/>
        <v>12374082.286254724</v>
      </c>
      <c r="AQ1241" s="22">
        <f t="shared" si="260"/>
        <v>-171349.35097583383</v>
      </c>
      <c r="AR1241">
        <f t="shared" si="261"/>
        <v>0</v>
      </c>
      <c r="AS1241">
        <f t="shared" si="262"/>
        <v>0</v>
      </c>
      <c r="BJ1241">
        <f t="shared" si="236"/>
        <v>1.3329036353708831E-4</v>
      </c>
      <c r="BK1241">
        <f t="shared" si="238"/>
        <v>2.2772007929004815E-5</v>
      </c>
      <c r="BO1241">
        <f t="shared" si="239"/>
        <v>3.6225379429842349E-5</v>
      </c>
      <c r="BP1241">
        <f t="shared" si="237"/>
        <v>2.3541994638897492</v>
      </c>
    </row>
    <row r="1242" spans="1:68" x14ac:dyDescent="0.15">
      <c r="A1242" s="5">
        <v>45385</v>
      </c>
      <c r="B1242" s="1"/>
      <c r="C1242">
        <v>94.24</v>
      </c>
      <c r="D1242">
        <v>111.25</v>
      </c>
      <c r="E1242">
        <v>85.8</v>
      </c>
      <c r="G1242" s="3">
        <v>1.8859752706417098E-3</v>
      </c>
      <c r="I1242" s="15">
        <f t="shared" si="240"/>
        <v>-6.1168529846023873E-3</v>
      </c>
      <c r="J1242" s="15">
        <f t="shared" si="241"/>
        <v>-3.5543996532292975E-2</v>
      </c>
      <c r="K1242" s="15">
        <f t="shared" si="242"/>
        <v>1.1668611435238542E-3</v>
      </c>
      <c r="L1242" s="32">
        <f t="shared" si="243"/>
        <v>354885.01847602008</v>
      </c>
      <c r="M1242" s="15"/>
      <c r="N1242" s="32">
        <f t="shared" si="244"/>
        <v>-2827200</v>
      </c>
      <c r="O1242" s="34">
        <f t="shared" si="245"/>
        <v>-0.23316223949043749</v>
      </c>
      <c r="P1242" s="34">
        <f t="shared" si="246"/>
        <v>0.64224354132420125</v>
      </c>
      <c r="Q1242" s="34">
        <f t="shared" si="247"/>
        <v>0.56608149825352394</v>
      </c>
      <c r="R1242" s="35" cm="1">
        <f t="array" ref="R1242">SQRT(MMULT(O1242:Q1242, MMULT($AU$32:$AW$34,TRANSPOSE(O1242:Q1242))))</f>
        <v>1.2561266530022595E-2</v>
      </c>
      <c r="S1242" s="36" cm="1">
        <f t="array" ref="S1242:U1242">TRANSPOSE(MMULT($AU$32:$AW$34, TRANSPOSE(O1242:Q1242))/MMULT(O1242:Q1242, MMULT($AU$32:$AW$34,TRANSPOSE(O1242:Q1242))))</f>
        <v>0.21121492958216487</v>
      </c>
      <c r="T1242" s="36">
        <v>1.140156127085959</v>
      </c>
      <c r="U1242" s="36">
        <v>0.55997137912296502</v>
      </c>
      <c r="V1242" s="35">
        <f t="shared" si="252"/>
        <v>6.1817859696515582E-3</v>
      </c>
      <c r="W1242" s="35">
        <f t="shared" si="253"/>
        <v>3.336980564572456E-2</v>
      </c>
      <c r="X1242" s="35">
        <f t="shared" si="254"/>
        <v>1.6389102899670594E-2</v>
      </c>
      <c r="Y1242" s="32">
        <f t="shared" si="255"/>
        <v>-17477.145293398884</v>
      </c>
      <c r="Z1242" s="32">
        <f t="shared" si="248"/>
        <v>259867.36146608001</v>
      </c>
      <c r="AA1242" s="32">
        <f t="shared" si="249"/>
        <v>112494.80230333896</v>
      </c>
      <c r="AB1242" s="40">
        <f t="shared" si="256"/>
        <v>-4.9247345995192614E-2</v>
      </c>
      <c r="AC1242" s="40">
        <f t="shared" si="257"/>
        <v>0.73225790872217245</v>
      </c>
      <c r="AD1242" s="40">
        <f t="shared" si="258"/>
        <v>0.31698943727302015</v>
      </c>
      <c r="AE1242" s="40"/>
      <c r="AF1242" s="40"/>
      <c r="AG1242" s="40"/>
      <c r="AH1242" s="40"/>
      <c r="AI1242" s="40"/>
      <c r="AJ1242" s="40"/>
      <c r="AK1242" s="33">
        <f t="shared" si="250"/>
        <v>7787500</v>
      </c>
      <c r="AL1242" s="33">
        <f t="shared" si="251"/>
        <v>6864000</v>
      </c>
      <c r="AM1242" s="34"/>
      <c r="AN1242" s="33"/>
      <c r="AO1242" s="15" cm="1">
        <f t="array" ref="AO1242">SUMPRODUCT(I1242:K1242, TRANSPOSE($AY$5:$AY$7))</f>
        <v>-2.0091974777285328E-2</v>
      </c>
      <c r="AP1242" s="22">
        <f t="shared" si="259"/>
        <v>12125462.537067242</v>
      </c>
      <c r="AQ1242" s="22">
        <f t="shared" si="260"/>
        <v>-248619.74918748252</v>
      </c>
      <c r="AR1242">
        <f t="shared" si="261"/>
        <v>0</v>
      </c>
      <c r="AS1242">
        <f t="shared" si="262"/>
        <v>0</v>
      </c>
      <c r="BJ1242">
        <f t="shared" si="236"/>
        <v>3.5569027214720707E-6</v>
      </c>
      <c r="BK1242">
        <f t="shared" si="238"/>
        <v>2.9403109265489834E-5</v>
      </c>
      <c r="BO1242">
        <f t="shared" si="239"/>
        <v>5.3337484264043682E-5</v>
      </c>
      <c r="BP1242">
        <f t="shared" si="237"/>
        <v>3.9671537011323763</v>
      </c>
    </row>
    <row r="1243" spans="1:68" x14ac:dyDescent="0.15">
      <c r="A1243" s="5">
        <v>45386</v>
      </c>
      <c r="B1243" s="1"/>
      <c r="C1243">
        <v>94.78</v>
      </c>
      <c r="D1243">
        <v>110.45</v>
      </c>
      <c r="E1243">
        <v>88.24</v>
      </c>
      <c r="G1243" s="3">
        <v>6.3926205849698103E-3</v>
      </c>
      <c r="I1243" s="15">
        <f t="shared" si="240"/>
        <v>5.7300509337861452E-3</v>
      </c>
      <c r="J1243" s="15">
        <f t="shared" si="241"/>
        <v>-7.1910112359550304E-3</v>
      </c>
      <c r="K1243" s="15">
        <f t="shared" si="242"/>
        <v>2.8438228438228411E-2</v>
      </c>
      <c r="L1243" s="32">
        <f t="shared" si="243"/>
        <v>356144.77436353808</v>
      </c>
      <c r="M1243" s="15"/>
      <c r="N1243" s="32">
        <f t="shared" si="244"/>
        <v>-2843400</v>
      </c>
      <c r="O1243" s="34">
        <f t="shared" si="245"/>
        <v>-0.23126698086168224</v>
      </c>
      <c r="P1243" s="34">
        <f t="shared" si="246"/>
        <v>0.62883894722237321</v>
      </c>
      <c r="Q1243" s="34">
        <f t="shared" si="247"/>
        <v>0.5741576532667888</v>
      </c>
      <c r="R1243" s="35" cm="1">
        <f t="array" ref="R1243">SQRT(MMULT(O1243:Q1243, MMULT($AU$32:$AW$34,TRANSPOSE(O1243:Q1243))))</f>
        <v>1.2432152451942846E-2</v>
      </c>
      <c r="S1243" s="36" cm="1">
        <f t="array" ref="S1243:U1243">TRANSPOSE(MMULT($AU$32:$AW$34, TRANSPOSE(O1243:Q1243))/MMULT(O1243:Q1243, MMULT($AU$32:$AW$34,TRANSPOSE(O1243:Q1243))))</f>
        <v>0.21673744698817579</v>
      </c>
      <c r="T1243" s="36">
        <v>1.1453464436276883</v>
      </c>
      <c r="U1243" s="36">
        <v>0.57455606715672281</v>
      </c>
      <c r="V1243" s="35">
        <f t="shared" si="252"/>
        <v>6.278215250394386E-3</v>
      </c>
      <c r="W1243" s="35">
        <f t="shared" si="253"/>
        <v>3.3177153322105066E-2</v>
      </c>
      <c r="X1243" s="35">
        <f t="shared" si="254"/>
        <v>1.6643116882458939E-2</v>
      </c>
      <c r="Y1243" s="32">
        <f t="shared" si="255"/>
        <v>-17851.477242971396</v>
      </c>
      <c r="Z1243" s="32">
        <f t="shared" si="248"/>
        <v>256509.1609098553</v>
      </c>
      <c r="AA1243" s="32">
        <f t="shared" si="249"/>
        <v>117487.09069665414</v>
      </c>
      <c r="AB1243" s="40">
        <f t="shared" si="256"/>
        <v>-5.0124215004624315E-2</v>
      </c>
      <c r="AC1243" s="40">
        <f t="shared" si="257"/>
        <v>0.72023845181572477</v>
      </c>
      <c r="AD1243" s="40">
        <f t="shared" si="258"/>
        <v>0.32988576318889939</v>
      </c>
      <c r="AE1243" s="40"/>
      <c r="AF1243" s="40"/>
      <c r="AG1243" s="40"/>
      <c r="AH1243" s="40"/>
      <c r="AI1243" s="40"/>
      <c r="AJ1243" s="40"/>
      <c r="AK1243" s="33">
        <f t="shared" si="250"/>
        <v>7731500</v>
      </c>
      <c r="AL1243" s="33">
        <f t="shared" si="251"/>
        <v>7059200</v>
      </c>
      <c r="AM1243" s="34"/>
      <c r="AN1243" s="33"/>
      <c r="AO1243" s="15" cm="1">
        <f t="array" ref="AO1243">SUMPRODUCT(I1243:K1243, TRANSPOSE($AY$5:$AY$7))</f>
        <v>1.3972120554484505E-2</v>
      </c>
      <c r="AP1243" s="22">
        <f t="shared" si="259"/>
        <v>12294880.961414032</v>
      </c>
      <c r="AQ1243" s="22">
        <f t="shared" si="260"/>
        <v>169418.42434678972</v>
      </c>
      <c r="AR1243">
        <f t="shared" si="261"/>
        <v>0</v>
      </c>
      <c r="AS1243">
        <f t="shared" si="262"/>
        <v>0</v>
      </c>
      <c r="BJ1243">
        <f t="shared" si="236"/>
        <v>4.0865597943379763E-5</v>
      </c>
      <c r="BK1243">
        <f t="shared" si="238"/>
        <v>2.7852336872848766E-5</v>
      </c>
      <c r="BO1243">
        <f t="shared" si="239"/>
        <v>4.82831928613803E-5</v>
      </c>
      <c r="BP1243">
        <f t="shared" si="237"/>
        <v>3.6270884086088282</v>
      </c>
    </row>
    <row r="1244" spans="1:68" x14ac:dyDescent="0.15">
      <c r="A1244" s="5">
        <v>45387</v>
      </c>
      <c r="B1244" s="1"/>
      <c r="C1244">
        <v>92.92</v>
      </c>
      <c r="D1244">
        <v>108.6</v>
      </c>
      <c r="E1244">
        <v>86.06</v>
      </c>
      <c r="G1244" s="3">
        <v>-1.6708534989821899E-2</v>
      </c>
      <c r="I1244" s="15">
        <f t="shared" si="240"/>
        <v>-1.962439333192656E-2</v>
      </c>
      <c r="J1244" s="15">
        <f t="shared" si="241"/>
        <v>-1.6749660479855214E-2</v>
      </c>
      <c r="K1244" s="15">
        <f t="shared" si="242"/>
        <v>-2.470534904805069E-2</v>
      </c>
      <c r="L1244" s="32">
        <f t="shared" si="243"/>
        <v>349297.65273740498</v>
      </c>
      <c r="M1244" s="15"/>
      <c r="N1244" s="32">
        <f t="shared" si="244"/>
        <v>-2787600</v>
      </c>
      <c r="O1244" s="34">
        <f t="shared" si="245"/>
        <v>-0.23170537771659655</v>
      </c>
      <c r="P1244" s="34">
        <f t="shared" si="246"/>
        <v>0.63187841921422261</v>
      </c>
      <c r="Q1244" s="34">
        <f t="shared" si="247"/>
        <v>0.57226473830650881</v>
      </c>
      <c r="R1244" s="35" cm="1">
        <f t="array" ref="R1244">SQRT(MMULT(O1244:Q1244, MMULT($AU$32:$AW$34,TRANSPOSE(O1244:Q1244))))</f>
        <v>1.2460785034373714E-2</v>
      </c>
      <c r="S1244" s="36" cm="1">
        <f t="array" ref="S1244:U1244">TRANSPOSE(MMULT($AU$32:$AW$34, TRANSPOSE(O1244:Q1244))/MMULT(O1244:Q1244, MMULT($AU$32:$AW$34,TRANSPOSE(O1244:Q1244))))</f>
        <v>0.21545933656757371</v>
      </c>
      <c r="T1244" s="36">
        <v>1.1442679260622526</v>
      </c>
      <c r="U1244" s="36">
        <v>0.5712126867217916</v>
      </c>
      <c r="V1244" s="35">
        <f t="shared" si="252"/>
        <v>6.2555664705183367E-3</v>
      </c>
      <c r="W1244" s="35">
        <f t="shared" si="253"/>
        <v>3.3222250590749555E-2</v>
      </c>
      <c r="X1244" s="35">
        <f t="shared" si="254"/>
        <v>1.6584377300683215E-2</v>
      </c>
      <c r="Y1244" s="32">
        <f t="shared" si="255"/>
        <v>-17438.017093216917</v>
      </c>
      <c r="Z1244" s="32">
        <f t="shared" si="248"/>
        <v>252555.54899087813</v>
      </c>
      <c r="AA1244" s="32">
        <f t="shared" si="249"/>
        <v>114180.1208397438</v>
      </c>
      <c r="AB1244" s="40">
        <f t="shared" si="256"/>
        <v>-4.9923086961956971E-2</v>
      </c>
      <c r="AC1244" s="40">
        <f t="shared" si="257"/>
        <v>0.72303820827775322</v>
      </c>
      <c r="AD1244" s="40">
        <f t="shared" si="258"/>
        <v>0.32688487868420391</v>
      </c>
      <c r="AE1244" s="40"/>
      <c r="AF1244" s="40"/>
      <c r="AG1244" s="40"/>
      <c r="AH1244" s="40"/>
      <c r="AI1244" s="40"/>
      <c r="AJ1244" s="40"/>
      <c r="AK1244" s="33">
        <f t="shared" si="250"/>
        <v>7602000</v>
      </c>
      <c r="AL1244" s="33">
        <f t="shared" si="251"/>
        <v>6884800</v>
      </c>
      <c r="AM1244" s="34"/>
      <c r="AN1244" s="33"/>
      <c r="AO1244" s="15" cm="1">
        <f t="array" ref="AO1244">SUMPRODUCT(I1244:K1244, TRANSPOSE($AY$5:$AY$7))</f>
        <v>-2.1479307476921828E-2</v>
      </c>
      <c r="AP1244" s="22">
        <f t="shared" si="259"/>
        <v>12030795.432851667</v>
      </c>
      <c r="AQ1244" s="22">
        <f t="shared" si="260"/>
        <v>-264085.5285623651</v>
      </c>
      <c r="AR1244">
        <f t="shared" si="261"/>
        <v>0</v>
      </c>
      <c r="AS1244">
        <f t="shared" si="262"/>
        <v>0</v>
      </c>
      <c r="BJ1244">
        <f t="shared" si="236"/>
        <v>2.7917514150610268E-4</v>
      </c>
      <c r="BK1244">
        <f t="shared" si="238"/>
        <v>2.8633132537080627E-5</v>
      </c>
      <c r="BO1244">
        <f t="shared" si="239"/>
        <v>4.9632225157478845E-5</v>
      </c>
      <c r="BP1244">
        <f t="shared" si="237"/>
        <v>1.2240582879263688</v>
      </c>
    </row>
    <row r="1245" spans="1:68" x14ac:dyDescent="0.15">
      <c r="A1245" s="5">
        <v>45390</v>
      </c>
      <c r="B1245" s="1"/>
      <c r="C1245">
        <v>93.26</v>
      </c>
      <c r="D1245">
        <v>108.75</v>
      </c>
      <c r="E1245">
        <v>86.35</v>
      </c>
      <c r="G1245" s="3">
        <v>4.4669867003501703E-3</v>
      </c>
      <c r="I1245" s="15">
        <f t="shared" si="240"/>
        <v>3.6590615583297825E-3</v>
      </c>
      <c r="J1245" s="15">
        <f t="shared" si="241"/>
        <v>1.3812154696133121E-3</v>
      </c>
      <c r="K1245" s="15">
        <f t="shared" si="242"/>
        <v>3.3697420404368121E-3</v>
      </c>
      <c r="L1245" s="32">
        <f t="shared" si="243"/>
        <v>349967.52358061256</v>
      </c>
      <c r="M1245" s="15"/>
      <c r="N1245" s="32">
        <f t="shared" si="244"/>
        <v>-2797800</v>
      </c>
      <c r="O1245" s="34">
        <f t="shared" si="245"/>
        <v>-0.23210093737947166</v>
      </c>
      <c r="P1245" s="34">
        <f t="shared" si="246"/>
        <v>0.63152061827193795</v>
      </c>
      <c r="Q1245" s="34">
        <f t="shared" si="247"/>
        <v>0.57307644414089287</v>
      </c>
      <c r="R1245" s="35" cm="1">
        <f t="array" ref="R1245">SQRT(MMULT(O1245:Q1245, MMULT($AU$32:$AW$34,TRANSPOSE(O1245:Q1245))))</f>
        <v>1.2460401946015911E-2</v>
      </c>
      <c r="S1245" s="36" cm="1">
        <f t="array" ref="S1245:U1245">TRANSPOSE(MMULT($AU$32:$AW$34, TRANSPOSE(O1245:Q1245))/MMULT(O1245:Q1245, MMULT($AU$32:$AW$34,TRANSPOSE(O1245:Q1245))))</f>
        <v>0.21537427615897001</v>
      </c>
      <c r="T1245" s="36">
        <v>1.1439138169866054</v>
      </c>
      <c r="U1245" s="36">
        <v>0.57162253619028724</v>
      </c>
      <c r="V1245" s="35">
        <f t="shared" si="252"/>
        <v>6.2529046159710859E-3</v>
      </c>
      <c r="W1245" s="35">
        <f t="shared" si="253"/>
        <v>3.3210948466422724E-2</v>
      </c>
      <c r="X1245" s="35">
        <f t="shared" si="254"/>
        <v>1.6595766490233574E-2</v>
      </c>
      <c r="Y1245" s="32">
        <f t="shared" si="255"/>
        <v>-17494.376534563904</v>
      </c>
      <c r="Z1245" s="32">
        <f t="shared" si="248"/>
        <v>252818.34520064297</v>
      </c>
      <c r="AA1245" s="32">
        <f t="shared" si="249"/>
        <v>114643.55491453352</v>
      </c>
      <c r="AB1245" s="40">
        <f t="shared" si="256"/>
        <v>-4.9988571383922133E-2</v>
      </c>
      <c r="AC1245" s="40">
        <f t="shared" si="257"/>
        <v>0.72240516095319351</v>
      </c>
      <c r="AD1245" s="40">
        <f t="shared" si="258"/>
        <v>0.32758341043072869</v>
      </c>
      <c r="AE1245" s="40"/>
      <c r="AF1245" s="40"/>
      <c r="AG1245" s="40"/>
      <c r="AH1245" s="40"/>
      <c r="AI1245" s="40"/>
      <c r="AJ1245" s="40"/>
      <c r="AK1245" s="33">
        <f t="shared" si="250"/>
        <v>7612500</v>
      </c>
      <c r="AL1245" s="33">
        <f t="shared" si="251"/>
        <v>6908000</v>
      </c>
      <c r="AM1245" s="34"/>
      <c r="AN1245" s="33"/>
      <c r="AO1245" s="15" cm="1">
        <f t="array" ref="AO1245">SUMPRODUCT(I1245:K1245, TRANSPOSE($AY$5:$AY$7))</f>
        <v>1.9485685094263014E-3</v>
      </c>
      <c r="AP1245" s="22">
        <f t="shared" si="259"/>
        <v>12054238.261975471</v>
      </c>
      <c r="AQ1245" s="22">
        <f t="shared" si="260"/>
        <v>23442.829123804346</v>
      </c>
      <c r="AR1245">
        <f t="shared" si="261"/>
        <v>0</v>
      </c>
      <c r="AS1245">
        <f t="shared" si="262"/>
        <v>0</v>
      </c>
      <c r="BJ1245">
        <f t="shared" si="236"/>
        <v>1.9953970181105301E-5</v>
      </c>
      <c r="BK1245">
        <f t="shared" si="238"/>
        <v>4.3665653075221963E-5</v>
      </c>
      <c r="BO1245">
        <f t="shared" si="239"/>
        <v>8.4630467705732414E-5</v>
      </c>
      <c r="BP1245">
        <f t="shared" si="237"/>
        <v>3.6517807661431134</v>
      </c>
    </row>
    <row r="1246" spans="1:68" x14ac:dyDescent="0.15">
      <c r="A1246" s="5">
        <v>45391</v>
      </c>
      <c r="B1246" s="1"/>
      <c r="C1246">
        <v>93.5</v>
      </c>
      <c r="D1246">
        <v>106.1</v>
      </c>
      <c r="E1246">
        <v>86.37</v>
      </c>
      <c r="G1246" s="3">
        <v>-3.56005405845993E-3</v>
      </c>
      <c r="I1246" s="15">
        <f t="shared" si="240"/>
        <v>2.5734505683036122E-3</v>
      </c>
      <c r="J1246" s="15">
        <f t="shared" si="241"/>
        <v>-2.4367816091954077E-2</v>
      </c>
      <c r="K1246" s="15">
        <f t="shared" si="242"/>
        <v>2.3161551823984056E-4</v>
      </c>
      <c r="L1246" s="32">
        <f t="shared" si="243"/>
        <v>343801.86220170173</v>
      </c>
      <c r="M1246" s="15"/>
      <c r="N1246" s="32">
        <f t="shared" si="244"/>
        <v>-2805000</v>
      </c>
      <c r="O1246" s="34">
        <f t="shared" si="245"/>
        <v>-0.23668915634893817</v>
      </c>
      <c r="P1246" s="34">
        <f t="shared" si="246"/>
        <v>0.6266988820690067</v>
      </c>
      <c r="Q1246" s="34">
        <f t="shared" si="247"/>
        <v>0.58304006941483888</v>
      </c>
      <c r="R1246" s="35" cm="1">
        <f t="array" ref="R1246">SQRT(MMULT(O1246:Q1246, MMULT($AU$32:$AW$34,TRANSPOSE(O1246:Q1246))))</f>
        <v>1.245081556015311E-2</v>
      </c>
      <c r="S1246" s="36" cm="1">
        <f t="array" ref="S1246:U1246">TRANSPOSE(MMULT($AU$32:$AW$34, TRANSPOSE(O1246:Q1246))/MMULT(O1246:Q1246, MMULT($AU$32:$AW$34,TRANSPOSE(O1246:Q1246))))</f>
        <v>0.21459917006622059</v>
      </c>
      <c r="T1246" s="36">
        <v>1.1398356296408205</v>
      </c>
      <c r="U1246" s="36">
        <v>0.57707797341530076</v>
      </c>
      <c r="V1246" s="35">
        <f t="shared" si="252"/>
        <v>6.2256078180455126E-3</v>
      </c>
      <c r="W1246" s="35">
        <f t="shared" si="253"/>
        <v>3.306708784096881E-2</v>
      </c>
      <c r="X1246" s="35">
        <f t="shared" si="254"/>
        <v>1.6741262987212579E-2</v>
      </c>
      <c r="Y1246" s="32">
        <f t="shared" si="255"/>
        <v>-17462.829929617663</v>
      </c>
      <c r="Z1246" s="32">
        <f t="shared" si="248"/>
        <v>245589.26139487536</v>
      </c>
      <c r="AA1246" s="32">
        <f t="shared" si="249"/>
        <v>115675.43073644403</v>
      </c>
      <c r="AB1246" s="40">
        <f t="shared" si="256"/>
        <v>-5.0793296516156064E-2</v>
      </c>
      <c r="AC1246" s="40">
        <f t="shared" si="257"/>
        <v>0.71433371483832453</v>
      </c>
      <c r="AD1246" s="40">
        <f t="shared" si="258"/>
        <v>0.33645958167783147</v>
      </c>
      <c r="AE1246" s="40"/>
      <c r="AF1246" s="40"/>
      <c r="AG1246" s="40"/>
      <c r="AH1246" s="40"/>
      <c r="AI1246" s="40"/>
      <c r="AJ1246" s="40"/>
      <c r="AK1246" s="33">
        <f t="shared" si="250"/>
        <v>7427000</v>
      </c>
      <c r="AL1246" s="33">
        <f t="shared" si="251"/>
        <v>6909600</v>
      </c>
      <c r="AM1246" s="34"/>
      <c r="AN1246" s="33"/>
      <c r="AO1246" s="15" cm="1">
        <f t="array" ref="AO1246">SUMPRODUCT(I1246:K1246, TRANSPOSE($AY$5:$AY$7))</f>
        <v>-1.6861434388569546E-2</v>
      </c>
      <c r="AP1246" s="22">
        <f t="shared" si="259"/>
        <v>11850986.514416987</v>
      </c>
      <c r="AQ1246" s="22">
        <f t="shared" si="260"/>
        <v>-203251.74755848385</v>
      </c>
      <c r="AR1246">
        <f t="shared" si="261"/>
        <v>0</v>
      </c>
      <c r="AS1246">
        <f t="shared" si="262"/>
        <v>0</v>
      </c>
      <c r="BJ1246">
        <f t="shared" si="236"/>
        <v>1.2673984899157019E-5</v>
      </c>
      <c r="BK1246">
        <f t="shared" si="238"/>
        <v>4.2242952101574962E-5</v>
      </c>
      <c r="BO1246">
        <f t="shared" si="239"/>
        <v>7.5164019701627686E-5</v>
      </c>
      <c r="BP1246">
        <f t="shared" si="237"/>
        <v>3.7446715631055953</v>
      </c>
    </row>
    <row r="1247" spans="1:68" x14ac:dyDescent="0.15">
      <c r="A1247" s="5">
        <v>45392</v>
      </c>
      <c r="B1247" s="1"/>
      <c r="C1247">
        <v>93.46</v>
      </c>
      <c r="D1247">
        <v>106.55</v>
      </c>
      <c r="E1247">
        <v>86.13</v>
      </c>
      <c r="G1247" s="3">
        <v>-9.40678019467733E-4</v>
      </c>
      <c r="I1247" s="15">
        <f t="shared" si="240"/>
        <v>-4.2780748663108292E-4</v>
      </c>
      <c r="J1247" s="15">
        <f t="shared" si="241"/>
        <v>4.2412818096135988E-3</v>
      </c>
      <c r="K1247" s="15">
        <f t="shared" si="242"/>
        <v>-2.7787426189650236E-3</v>
      </c>
      <c r="L1247" s="32">
        <f t="shared" si="243"/>
        <v>344530.59358901199</v>
      </c>
      <c r="M1247" s="15"/>
      <c r="N1247" s="32">
        <f t="shared" si="244"/>
        <v>-2803800</v>
      </c>
      <c r="O1247" s="34">
        <f t="shared" si="245"/>
        <v>-0.23637310737608502</v>
      </c>
      <c r="P1247" s="34">
        <f t="shared" si="246"/>
        <v>0.62878551300539631</v>
      </c>
      <c r="Q1247" s="34">
        <f t="shared" si="247"/>
        <v>0.58089209610677517</v>
      </c>
      <c r="R1247" s="35" cm="1">
        <f t="array" ref="R1247">SQRT(MMULT(O1247:Q1247, MMULT($AU$32:$AW$34,TRANSPOSE(O1247:Q1247))))</f>
        <v>1.2465878924090732E-2</v>
      </c>
      <c r="S1247" s="36" cm="1">
        <f t="array" ref="S1247:U1247">TRANSPOSE(MMULT($AU$32:$AW$34, TRANSPOSE(O1247:Q1247))/MMULT(O1247:Q1247, MMULT($AU$32:$AW$34,TRANSPOSE(O1247:Q1247))))</f>
        <v>0.21405356630538536</v>
      </c>
      <c r="T1247" s="36">
        <v>1.1398444589299397</v>
      </c>
      <c r="U1247" s="36">
        <v>0.57476909394295683</v>
      </c>
      <c r="V1247" s="35">
        <f t="shared" si="252"/>
        <v>6.2172924091403346E-3</v>
      </c>
      <c r="W1247" s="35">
        <f t="shared" si="253"/>
        <v>3.3107349830347077E-2</v>
      </c>
      <c r="X1247" s="35">
        <f t="shared" si="254"/>
        <v>1.6694454507157203E-2</v>
      </c>
      <c r="Y1247" s="32">
        <f t="shared" si="255"/>
        <v>-17432.04445674767</v>
      </c>
      <c r="Z1247" s="32">
        <f t="shared" si="248"/>
        <v>246931.16870964368</v>
      </c>
      <c r="AA1247" s="32">
        <f t="shared" si="249"/>
        <v>115031.46933611599</v>
      </c>
      <c r="AB1247" s="40">
        <f t="shared" si="256"/>
        <v>-5.0596506612536792E-2</v>
      </c>
      <c r="AC1247" s="40">
        <f t="shared" si="257"/>
        <v>0.71671768285462056</v>
      </c>
      <c r="AD1247" s="40">
        <f t="shared" si="258"/>
        <v>0.33387882375791622</v>
      </c>
      <c r="AE1247" s="40"/>
      <c r="AF1247" s="40"/>
      <c r="AG1247" s="40"/>
      <c r="AH1247" s="40"/>
      <c r="AI1247" s="40"/>
      <c r="AJ1247" s="40"/>
      <c r="AK1247" s="33">
        <f t="shared" si="250"/>
        <v>7458500</v>
      </c>
      <c r="AL1247" s="33">
        <f t="shared" si="251"/>
        <v>6890400</v>
      </c>
      <c r="AM1247" s="34"/>
      <c r="AN1247" s="33"/>
      <c r="AO1247" s="15" cm="1">
        <f t="array" ref="AO1247">SUMPRODUCT(I1247:K1247, TRANSPOSE($AY$5:$AY$7))</f>
        <v>9.0869719549318108E-4</v>
      </c>
      <c r="AP1247" s="22">
        <f t="shared" si="259"/>
        <v>11861755.472626466</v>
      </c>
      <c r="AQ1247" s="22">
        <f t="shared" si="260"/>
        <v>10768.958209479228</v>
      </c>
      <c r="AR1247">
        <f t="shared" si="261"/>
        <v>0</v>
      </c>
      <c r="AS1247">
        <f t="shared" si="262"/>
        <v>0</v>
      </c>
      <c r="BJ1247">
        <f t="shared" si="236"/>
        <v>8.8487513630973666E-7</v>
      </c>
      <c r="BK1247">
        <f t="shared" si="238"/>
        <v>4.0468814069429881E-5</v>
      </c>
      <c r="BO1247">
        <f t="shared" si="239"/>
        <v>6.6701921517132767E-5</v>
      </c>
      <c r="BP1247">
        <f t="shared" si="237"/>
        <v>3.8820668095362825</v>
      </c>
    </row>
    <row r="1248" spans="1:68" x14ac:dyDescent="0.15">
      <c r="A1248" s="5">
        <v>45393</v>
      </c>
      <c r="B1248" s="1"/>
      <c r="C1248">
        <v>93.82</v>
      </c>
      <c r="D1248">
        <v>105.4</v>
      </c>
      <c r="E1248">
        <v>85.63</v>
      </c>
      <c r="G1248" s="3">
        <v>-2.5635776479551097E-3</v>
      </c>
      <c r="I1248" s="15">
        <f t="shared" si="240"/>
        <v>3.8519152578643211E-3</v>
      </c>
      <c r="J1248" s="15">
        <f t="shared" si="241"/>
        <v>-1.0793054903800952E-2</v>
      </c>
      <c r="K1248" s="15">
        <f t="shared" si="242"/>
        <v>-5.8051782189713231E-3</v>
      </c>
      <c r="L1248" s="32">
        <f t="shared" si="243"/>
        <v>341131.86158641201</v>
      </c>
      <c r="M1248" s="15"/>
      <c r="N1248" s="32">
        <f t="shared" si="244"/>
        <v>-2814600</v>
      </c>
      <c r="O1248" s="34">
        <f t="shared" si="245"/>
        <v>-0.24038249497403699</v>
      </c>
      <c r="P1248" s="34">
        <f t="shared" si="246"/>
        <v>0.63012223687857771</v>
      </c>
      <c r="Q1248" s="34">
        <f t="shared" si="247"/>
        <v>0.585062262335729</v>
      </c>
      <c r="R1248" s="35" cm="1">
        <f t="array" ref="R1248">SQRT(MMULT(O1248:Q1248, MMULT($AU$32:$AW$34,TRANSPOSE(O1248:Q1248))))</f>
        <v>1.2504102307020133E-2</v>
      </c>
      <c r="S1248" s="36" cm="1">
        <f t="array" ref="S1248:U1248">TRANSPOSE(MMULT($AU$32:$AW$34, TRANSPOSE(O1248:Q1248))/MMULT(O1248:Q1248, MMULT($AU$32:$AW$34,TRANSPOSE(O1248:Q1248))))</f>
        <v>0.21149800432489638</v>
      </c>
      <c r="T1248" s="36">
        <v>1.135276156120212</v>
      </c>
      <c r="U1248" s="36">
        <v>0.57340506915101308</v>
      </c>
      <c r="V1248" s="35">
        <f t="shared" si="252"/>
        <v>6.1619009532751824E-3</v>
      </c>
      <c r="W1248" s="35">
        <f t="shared" si="253"/>
        <v>3.3075769442635128E-2</v>
      </c>
      <c r="X1248" s="35">
        <f t="shared" si="254"/>
        <v>1.6705903459905757E-2</v>
      </c>
      <c r="Y1248" s="32">
        <f t="shared" si="255"/>
        <v>-17343.286423088328</v>
      </c>
      <c r="Z1248" s="32">
        <f t="shared" si="248"/>
        <v>244033.02694776197</v>
      </c>
      <c r="AA1248" s="32">
        <f t="shared" si="249"/>
        <v>114442.12106173839</v>
      </c>
      <c r="AB1248" s="40">
        <f t="shared" si="256"/>
        <v>-5.0840417961648253E-2</v>
      </c>
      <c r="AC1248" s="40">
        <f t="shared" si="257"/>
        <v>0.71536275096938151</v>
      </c>
      <c r="AD1248" s="40">
        <f t="shared" si="258"/>
        <v>0.33547766699226683</v>
      </c>
      <c r="AE1248" s="40"/>
      <c r="AF1248" s="40"/>
      <c r="AG1248" s="40"/>
      <c r="AH1248" s="40"/>
      <c r="AI1248" s="40"/>
      <c r="AJ1248" s="40"/>
      <c r="AK1248" s="33">
        <f t="shared" si="250"/>
        <v>7378000</v>
      </c>
      <c r="AL1248" s="33">
        <f t="shared" si="251"/>
        <v>6850400</v>
      </c>
      <c r="AM1248" s="34"/>
      <c r="AN1248" s="33"/>
      <c r="AO1248" s="15" cm="1">
        <f t="array" ref="AO1248">SUMPRODUCT(I1248:K1248, TRANSPOSE($AY$5:$AY$7))</f>
        <v>-1.2891531138471322E-2</v>
      </c>
      <c r="AP1248" s="22">
        <f t="shared" si="259"/>
        <v>11708839.28259417</v>
      </c>
      <c r="AQ1248" s="22">
        <f t="shared" si="260"/>
        <v>-152916.19003229588</v>
      </c>
      <c r="AR1248">
        <f t="shared" si="261"/>
        <v>0</v>
      </c>
      <c r="AS1248">
        <f t="shared" si="262"/>
        <v>0</v>
      </c>
      <c r="BJ1248">
        <f t="shared" si="236"/>
        <v>6.5719303570950528E-6</v>
      </c>
      <c r="BK1248">
        <f t="shared" si="238"/>
        <v>3.8093777733442666E-5</v>
      </c>
      <c r="BO1248">
        <f t="shared" si="239"/>
        <v>5.838542369813428E-5</v>
      </c>
      <c r="BP1248">
        <f t="shared" si="237"/>
        <v>3.8990030392068835</v>
      </c>
    </row>
    <row r="1249" spans="1:68" x14ac:dyDescent="0.15">
      <c r="A1249" s="5">
        <v>45394</v>
      </c>
      <c r="B1249" s="1"/>
      <c r="C1249">
        <v>93.04</v>
      </c>
      <c r="D1249">
        <v>106</v>
      </c>
      <c r="E1249">
        <v>86.1</v>
      </c>
      <c r="G1249" s="3">
        <v>-7.5148387072342306E-3</v>
      </c>
      <c r="I1249" s="15">
        <f t="shared" si="240"/>
        <v>-8.3137923683648147E-3</v>
      </c>
      <c r="J1249" s="15">
        <f t="shared" si="241"/>
        <v>5.6925996204933048E-3</v>
      </c>
      <c r="K1249" s="15">
        <f t="shared" si="242"/>
        <v>5.4887305850753109E-3</v>
      </c>
      <c r="L1249" s="32">
        <f t="shared" si="243"/>
        <v>343294.82928357302</v>
      </c>
      <c r="M1249" s="15"/>
      <c r="N1249" s="32">
        <f t="shared" si="244"/>
        <v>-2791200</v>
      </c>
      <c r="O1249" s="34">
        <f t="shared" si="245"/>
        <v>-0.23577515803320828</v>
      </c>
      <c r="P1249" s="34">
        <f t="shared" si="246"/>
        <v>0.62677403002522414</v>
      </c>
      <c r="Q1249" s="34">
        <f t="shared" si="247"/>
        <v>0.581835514664925</v>
      </c>
      <c r="R1249" s="35" cm="1">
        <f t="array" ref="R1249">SQRT(MMULT(O1249:Q1249, MMULT($AU$32:$AW$34,TRANSPOSE(O1249:Q1249))))</f>
        <v>1.2445674238335456E-2</v>
      </c>
      <c r="S1249" s="36" cm="1">
        <f t="array" ref="S1249:U1249">TRANSPOSE(MMULT($AU$32:$AW$34, TRANSPOSE(O1249:Q1249))/MMULT(O1249:Q1249, MMULT($AU$32:$AW$34,TRANSPOSE(O1249:Q1249))))</f>
        <v>0.21506680658830554</v>
      </c>
      <c r="T1249" s="36">
        <v>1.1407608262940359</v>
      </c>
      <c r="U1249" s="36">
        <v>0.57698119392586333</v>
      </c>
      <c r="V1249" s="35">
        <f t="shared" si="252"/>
        <v>6.2365977952657569E-3</v>
      </c>
      <c r="W1249" s="35">
        <f t="shared" si="253"/>
        <v>3.3080262673030186E-2</v>
      </c>
      <c r="X1249" s="35">
        <f t="shared" si="254"/>
        <v>1.6731543556305864E-2</v>
      </c>
      <c r="Y1249" s="32">
        <f t="shared" si="255"/>
        <v>-17407.591766145779</v>
      </c>
      <c r="Z1249" s="32">
        <f t="shared" si="248"/>
        <v>245455.54903388399</v>
      </c>
      <c r="AA1249" s="32">
        <f t="shared" si="249"/>
        <v>115246.87201583479</v>
      </c>
      <c r="AB1249" s="40">
        <f t="shared" si="256"/>
        <v>-5.0707410311055183E-2</v>
      </c>
      <c r="AC1249" s="40">
        <f t="shared" si="257"/>
        <v>0.71499926039121753</v>
      </c>
      <c r="AD1249" s="40">
        <f t="shared" si="258"/>
        <v>0.33570814991983761</v>
      </c>
      <c r="AE1249" s="40"/>
      <c r="AF1249" s="40"/>
      <c r="AG1249" s="40"/>
      <c r="AH1249" s="40"/>
      <c r="AI1249" s="40"/>
      <c r="AJ1249" s="40"/>
      <c r="AK1249" s="33">
        <f t="shared" si="250"/>
        <v>7420000</v>
      </c>
      <c r="AL1249" s="33">
        <f t="shared" si="251"/>
        <v>6888000</v>
      </c>
      <c r="AM1249" s="34"/>
      <c r="AN1249" s="33"/>
      <c r="AO1249" s="15" cm="1">
        <f t="array" ref="AO1249">SUMPRODUCT(I1249:K1249, TRANSPOSE($AY$5:$AY$7))</f>
        <v>1.1064977372457438E-2</v>
      </c>
      <c r="AP1249" s="22">
        <f t="shared" si="259"/>
        <v>11838397.324313816</v>
      </c>
      <c r="AQ1249" s="22">
        <f t="shared" si="260"/>
        <v>129558.04171964526</v>
      </c>
      <c r="AR1249">
        <f t="shared" si="261"/>
        <v>0</v>
      </c>
      <c r="AS1249">
        <f t="shared" si="262"/>
        <v>0</v>
      </c>
      <c r="BJ1249">
        <f t="shared" si="236"/>
        <v>5.647280079574584E-5</v>
      </c>
      <c r="BK1249">
        <f t="shared" si="238"/>
        <v>3.6202466890861805E-5</v>
      </c>
      <c r="BO1249">
        <f t="shared" si="239"/>
        <v>5.2672090438488214E-5</v>
      </c>
      <c r="BP1249">
        <f t="shared" si="237"/>
        <v>3.4706949070011883</v>
      </c>
    </row>
    <row r="1250" spans="1:68" x14ac:dyDescent="0.15">
      <c r="A1250" s="5">
        <v>45397</v>
      </c>
      <c r="B1250" s="1"/>
      <c r="C1250">
        <v>92.5</v>
      </c>
      <c r="D1250">
        <v>107.4</v>
      </c>
      <c r="E1250">
        <v>86.5</v>
      </c>
      <c r="G1250" s="3">
        <v>1.42665743865855E-3</v>
      </c>
      <c r="I1250" s="15">
        <f t="shared" si="240"/>
        <v>-5.8039552880482185E-3</v>
      </c>
      <c r="J1250" s="15">
        <f t="shared" si="241"/>
        <v>1.3207547169811375E-2</v>
      </c>
      <c r="K1250" s="15">
        <f t="shared" si="242"/>
        <v>4.6457607433217848E-3</v>
      </c>
      <c r="L1250" s="32">
        <f t="shared" si="243"/>
        <v>347175.65944491286</v>
      </c>
      <c r="M1250" s="15"/>
      <c r="N1250" s="32">
        <f t="shared" si="244"/>
        <v>-2775000</v>
      </c>
      <c r="O1250" s="34">
        <f t="shared" si="245"/>
        <v>-0.23108059270443462</v>
      </c>
      <c r="P1250" s="34">
        <f t="shared" si="246"/>
        <v>0.62604104358628454</v>
      </c>
      <c r="Q1250" s="34">
        <f t="shared" si="247"/>
        <v>0.57624421676204962</v>
      </c>
      <c r="R1250" s="35" cm="1">
        <f t="array" ref="R1250">SQRT(MMULT(O1250:Q1250, MMULT($AU$32:$AW$34,TRANSPOSE(O1250:Q1250))))</f>
        <v>1.2407772827140458E-2</v>
      </c>
      <c r="S1250" s="36" cm="1">
        <f t="array" ref="S1250:U1250">TRANSPOSE(MMULT($AU$32:$AW$34, TRANSPOSE(O1250:Q1250))/MMULT(O1250:Q1250, MMULT($AU$32:$AW$34,TRANSPOSE(O1250:Q1250))))</f>
        <v>0.21781215839602908</v>
      </c>
      <c r="T1250" s="36">
        <v>1.146024093745885</v>
      </c>
      <c r="U1250" s="36">
        <v>0.57766140354019635</v>
      </c>
      <c r="V1250" s="35">
        <f t="shared" si="252"/>
        <v>6.2969736082552569E-3</v>
      </c>
      <c r="W1250" s="35">
        <f t="shared" si="253"/>
        <v>3.3131683400434313E-2</v>
      </c>
      <c r="X1250" s="35">
        <f t="shared" si="254"/>
        <v>1.6700255116091911E-2</v>
      </c>
      <c r="Y1250" s="32">
        <f t="shared" si="255"/>
        <v>-17474.101762908336</v>
      </c>
      <c r="Z1250" s="32">
        <f t="shared" si="248"/>
        <v>249083.99580446517</v>
      </c>
      <c r="AA1250" s="32">
        <f t="shared" si="249"/>
        <v>115565.76540335602</v>
      </c>
      <c r="AB1250" s="40">
        <f t="shared" si="256"/>
        <v>-5.0332162660386599E-2</v>
      </c>
      <c r="AC1250" s="40">
        <f t="shared" si="257"/>
        <v>0.71745811962369987</v>
      </c>
      <c r="AD1250" s="40">
        <f t="shared" si="258"/>
        <v>0.33287404303668677</v>
      </c>
      <c r="AE1250" s="40"/>
      <c r="AF1250" s="40"/>
      <c r="AG1250" s="40"/>
      <c r="AH1250" s="40"/>
      <c r="AI1250" s="40"/>
      <c r="AJ1250" s="40"/>
      <c r="AK1250" s="33">
        <f t="shared" si="250"/>
        <v>7518000</v>
      </c>
      <c r="AL1250" s="33">
        <f t="shared" si="251"/>
        <v>6920000</v>
      </c>
      <c r="AM1250" s="34"/>
      <c r="AN1250" s="33"/>
      <c r="AO1250" s="15" cm="1">
        <f t="array" ref="AO1250">SUMPRODUCT(I1250:K1250, TRANSPOSE($AY$5:$AY$7))</f>
        <v>1.4393839026416035E-2</v>
      </c>
      <c r="AP1250" s="22">
        <f t="shared" si="259"/>
        <v>12008797.309730742</v>
      </c>
      <c r="AQ1250" s="22">
        <f t="shared" si="260"/>
        <v>170399.98541692644</v>
      </c>
      <c r="AR1250">
        <f t="shared" si="261"/>
        <v>0</v>
      </c>
      <c r="AS1250">
        <f t="shared" si="262"/>
        <v>0</v>
      </c>
      <c r="BJ1250">
        <f t="shared" si="236"/>
        <v>2.0353514472797743E-6</v>
      </c>
      <c r="BK1250">
        <f t="shared" si="238"/>
        <v>3.7418686925154853E-5</v>
      </c>
      <c r="BO1250">
        <f t="shared" si="239"/>
        <v>5.5297564232970848E-5</v>
      </c>
      <c r="BP1250">
        <f t="shared" si="237"/>
        <v>3.9640486886154958</v>
      </c>
    </row>
    <row r="1251" spans="1:68" x14ac:dyDescent="0.15">
      <c r="A1251" s="5">
        <v>45398</v>
      </c>
      <c r="B1251" s="1"/>
      <c r="C1251">
        <v>91.92</v>
      </c>
      <c r="D1251">
        <v>97.84</v>
      </c>
      <c r="E1251">
        <v>85</v>
      </c>
      <c r="G1251" s="3">
        <v>-1.7475582221706001E-2</v>
      </c>
      <c r="I1251" s="15">
        <f t="shared" si="240"/>
        <v>-6.270270270270252E-3</v>
      </c>
      <c r="J1251" s="15">
        <f t="shared" si="241"/>
        <v>-8.9013035381750483E-2</v>
      </c>
      <c r="K1251" s="15">
        <f t="shared" si="242"/>
        <v>-1.7341040462427744E-2</v>
      </c>
      <c r="L1251" s="32">
        <f t="shared" si="243"/>
        <v>323231.26438334986</v>
      </c>
      <c r="M1251" s="15"/>
      <c r="N1251" s="32">
        <f t="shared" si="244"/>
        <v>-2757600</v>
      </c>
      <c r="O1251" s="34">
        <f t="shared" si="245"/>
        <v>-0.24660221584994382</v>
      </c>
      <c r="P1251" s="34">
        <f t="shared" si="246"/>
        <v>0.61246346675119501</v>
      </c>
      <c r="Q1251" s="34">
        <f t="shared" si="247"/>
        <v>0.60809945886989336</v>
      </c>
      <c r="R1251" s="35" cm="1">
        <f t="array" ref="R1251">SQRT(MMULT(O1251:Q1251, MMULT($AU$32:$AW$34,TRANSPOSE(O1251:Q1251))))</f>
        <v>1.2405753405790613E-2</v>
      </c>
      <c r="S1251" s="36" cm="1">
        <f t="array" ref="S1251:U1251">TRANSPOSE(MMULT($AU$32:$AW$34, TRANSPOSE(O1251:Q1251))/MMULT(O1251:Q1251, MMULT($AU$32:$AW$34,TRANSPOSE(O1251:Q1251))))</f>
        <v>0.21412278828906536</v>
      </c>
      <c r="T1251" s="36">
        <v>1.1303502406879988</v>
      </c>
      <c r="U1251" s="36">
        <v>0.59283875646132556</v>
      </c>
      <c r="V1251" s="35">
        <f t="shared" si="252"/>
        <v>6.1893060084734809E-3</v>
      </c>
      <c r="W1251" s="35">
        <f t="shared" si="253"/>
        <v>3.2673231991192722E-2</v>
      </c>
      <c r="X1251" s="35">
        <f t="shared" si="254"/>
        <v>1.7136244613387596E-2</v>
      </c>
      <c r="Y1251" s="32">
        <f t="shared" si="255"/>
        <v>-17067.63024896647</v>
      </c>
      <c r="Z1251" s="32">
        <f t="shared" si="248"/>
        <v>223772.43126128073</v>
      </c>
      <c r="AA1251" s="32">
        <f t="shared" si="249"/>
        <v>116526.46337103566</v>
      </c>
      <c r="AB1251" s="40">
        <f t="shared" si="256"/>
        <v>-5.2803154056051918E-2</v>
      </c>
      <c r="AC1251" s="40">
        <f t="shared" si="257"/>
        <v>0.69229822705481947</v>
      </c>
      <c r="AD1251" s="40">
        <f t="shared" si="258"/>
        <v>0.3605049270012326</v>
      </c>
      <c r="AE1251" s="40"/>
      <c r="AF1251" s="40"/>
      <c r="AG1251" s="40"/>
      <c r="AH1251" s="40"/>
      <c r="AI1251" s="40"/>
      <c r="AJ1251" s="40"/>
      <c r="AK1251" s="33">
        <f t="shared" si="250"/>
        <v>6848800</v>
      </c>
      <c r="AL1251" s="33">
        <f t="shared" si="251"/>
        <v>6800000</v>
      </c>
      <c r="AM1251" s="34"/>
      <c r="AN1251" s="33"/>
      <c r="AO1251" s="15" cm="1">
        <f t="array" ref="AO1251">SUMPRODUCT(I1251:K1251, TRANSPOSE($AY$5:$AY$7))</f>
        <v>-6.881755241934541E-2</v>
      </c>
      <c r="AP1251" s="22">
        <f t="shared" si="259"/>
        <v>11182381.271375053</v>
      </c>
      <c r="AQ1251" s="22">
        <f t="shared" si="260"/>
        <v>-826416.0383556895</v>
      </c>
      <c r="AR1251">
        <f t="shared" si="261"/>
        <v>1</v>
      </c>
      <c r="AS1251">
        <f t="shared" si="262"/>
        <v>1</v>
      </c>
      <c r="BJ1251">
        <f t="shared" si="236"/>
        <v>3.0539597398760685E-4</v>
      </c>
      <c r="BK1251">
        <f t="shared" si="238"/>
        <v>3.529568679648235E-5</v>
      </c>
      <c r="BO1251">
        <f t="shared" si="239"/>
        <v>4.960393845291212E-5</v>
      </c>
      <c r="BP1251">
        <f t="shared" si="237"/>
        <v>0.95843761461493271</v>
      </c>
    </row>
    <row r="1252" spans="1:68" x14ac:dyDescent="0.15">
      <c r="A1252" s="5">
        <v>45399</v>
      </c>
      <c r="B1252" s="1"/>
      <c r="C1252">
        <v>93.36</v>
      </c>
      <c r="D1252">
        <v>98.04</v>
      </c>
      <c r="E1252">
        <v>84.85</v>
      </c>
      <c r="G1252" s="3">
        <v>3.1407042274635899E-3</v>
      </c>
      <c r="I1252" s="15">
        <f t="shared" si="240"/>
        <v>1.5665796344647494E-2</v>
      </c>
      <c r="J1252" s="15">
        <f t="shared" si="241"/>
        <v>2.0441537203598E-3</v>
      </c>
      <c r="K1252" s="15">
        <f t="shared" si="242"/>
        <v>-1.764705882353008E-3</v>
      </c>
      <c r="L1252" s="32">
        <f t="shared" si="243"/>
        <v>323218.21857209015</v>
      </c>
      <c r="M1252" s="15"/>
      <c r="N1252" s="32">
        <f t="shared" si="244"/>
        <v>-2800800</v>
      </c>
      <c r="O1252" s="34">
        <f t="shared" si="245"/>
        <v>-0.2520112213743983</v>
      </c>
      <c r="P1252" s="34">
        <f t="shared" si="246"/>
        <v>0.61750307413889627</v>
      </c>
      <c r="Q1252" s="34">
        <f t="shared" si="247"/>
        <v>0.61077269733269623</v>
      </c>
      <c r="R1252" s="35" cm="1">
        <f t="array" ref="R1252">SQRT(MMULT(O1252:Q1252, MMULT($AU$32:$AW$34,TRANSPOSE(O1252:Q1252))))</f>
        <v>1.2481813600897854E-2</v>
      </c>
      <c r="S1252" s="36" cm="1">
        <f t="array" ref="S1252:U1252">TRANSPOSE(MMULT($AU$32:$AW$34, TRANSPOSE(O1252:Q1252))/MMULT(O1252:Q1252, MMULT($AU$32:$AW$34,TRANSPOSE(O1252:Q1252))))</f>
        <v>0.20953669473382899</v>
      </c>
      <c r="T1252" s="36">
        <v>1.1241114188737809</v>
      </c>
      <c r="U1252" s="36">
        <v>0.5872288383219294</v>
      </c>
      <c r="V1252" s="35">
        <f t="shared" si="252"/>
        <v>6.0938772612830188E-3</v>
      </c>
      <c r="W1252" s="35">
        <f t="shared" si="253"/>
        <v>3.269211162906438E-2</v>
      </c>
      <c r="X1252" s="35">
        <f t="shared" si="254"/>
        <v>1.7078156499344223E-2</v>
      </c>
      <c r="Y1252" s="32">
        <f t="shared" si="255"/>
        <v>-17067.731433401477</v>
      </c>
      <c r="Z1252" s="32">
        <f t="shared" si="248"/>
        <v>224359.42368794302</v>
      </c>
      <c r="AA1252" s="32">
        <f t="shared" si="249"/>
        <v>115926.52631754859</v>
      </c>
      <c r="AB1252" s="40">
        <f t="shared" si="256"/>
        <v>-5.2805598362626688E-2</v>
      </c>
      <c r="AC1252" s="40">
        <f t="shared" si="257"/>
        <v>0.69414225682919606</v>
      </c>
      <c r="AD1252" s="40">
        <f t="shared" si="258"/>
        <v>0.3586633415334306</v>
      </c>
      <c r="AE1252" s="40"/>
      <c r="AF1252" s="40"/>
      <c r="AG1252" s="40"/>
      <c r="AH1252" s="40"/>
      <c r="AI1252" s="40"/>
      <c r="AJ1252" s="40"/>
      <c r="AK1252" s="33">
        <f t="shared" si="250"/>
        <v>6862800</v>
      </c>
      <c r="AL1252" s="33">
        <f t="shared" si="251"/>
        <v>6788000</v>
      </c>
      <c r="AM1252" s="34"/>
      <c r="AN1252" s="33"/>
      <c r="AO1252" s="15" cm="1">
        <f t="array" ref="AO1252">SUMPRODUCT(I1252:K1252, TRANSPOSE($AY$5:$AY$7))</f>
        <v>-6.1337960443988487E-3</v>
      </c>
      <c r="AP1252" s="22">
        <f t="shared" si="259"/>
        <v>11113790.825365731</v>
      </c>
      <c r="AQ1252" s="22">
        <f t="shared" si="260"/>
        <v>-68590.446009321138</v>
      </c>
      <c r="AR1252">
        <f t="shared" si="261"/>
        <v>0</v>
      </c>
      <c r="AS1252">
        <f t="shared" si="262"/>
        <v>0</v>
      </c>
      <c r="BJ1252">
        <f t="shared" si="236"/>
        <v>9.8640230444076643E-6</v>
      </c>
      <c r="BK1252">
        <f t="shared" si="238"/>
        <v>5.150170402794983E-5</v>
      </c>
      <c r="BO1252">
        <f t="shared" si="239"/>
        <v>8.8342656126530266E-5</v>
      </c>
      <c r="BP1252">
        <f t="shared" si="237"/>
        <v>3.6923770088384038</v>
      </c>
    </row>
    <row r="1253" spans="1:68" x14ac:dyDescent="0.15">
      <c r="A1253" s="5">
        <v>45400</v>
      </c>
      <c r="B1253" s="1"/>
      <c r="C1253">
        <v>93.24</v>
      </c>
      <c r="D1253">
        <v>98</v>
      </c>
      <c r="E1253">
        <v>84.52</v>
      </c>
      <c r="G1253" s="3">
        <v>-1.24358757342624E-4</v>
      </c>
      <c r="I1253" s="15">
        <f t="shared" si="240"/>
        <v>-1.2853470437018482E-3</v>
      </c>
      <c r="J1253" s="15">
        <f t="shared" si="241"/>
        <v>-4.0799673602617554E-4</v>
      </c>
      <c r="K1253" s="15">
        <f t="shared" si="242"/>
        <v>-3.8892162639952658E-3</v>
      </c>
      <c r="L1253" s="32">
        <f t="shared" si="243"/>
        <v>322698.05161659</v>
      </c>
      <c r="M1253" s="15"/>
      <c r="N1253" s="32">
        <f t="shared" si="244"/>
        <v>-2797200</v>
      </c>
      <c r="O1253" s="34">
        <f t="shared" si="245"/>
        <v>-0.25235038325635711</v>
      </c>
      <c r="P1253" s="34">
        <f t="shared" si="246"/>
        <v>0.61887731629436926</v>
      </c>
      <c r="Q1253" s="34">
        <f t="shared" si="247"/>
        <v>0.61000012563498651</v>
      </c>
      <c r="R1253" s="35" cm="1">
        <f t="array" ref="R1253">SQRT(MMULT(O1253:Q1253, MMULT($AU$32:$AW$34,TRANSPOSE(O1253:Q1253))))</f>
        <v>1.2494557249083263E-2</v>
      </c>
      <c r="S1253" s="36" cm="1">
        <f t="array" ref="S1253:U1253">TRANSPOSE(MMULT($AU$32:$AW$34, TRANSPOSE(O1253:Q1253))/MMULT(O1253:Q1253, MMULT($AU$32:$AW$34,TRANSPOSE(O1253:Q1253))))</f>
        <v>0.20889969313641699</v>
      </c>
      <c r="T1253" s="36">
        <v>1.1236868241899425</v>
      </c>
      <c r="U1253" s="36">
        <v>0.58572386545522281</v>
      </c>
      <c r="V1253" s="35">
        <f t="shared" si="252"/>
        <v>6.0815543782367096E-3</v>
      </c>
      <c r="W1253" s="35">
        <f t="shared" si="253"/>
        <v>3.2713128596874586E-2</v>
      </c>
      <c r="X1253" s="35">
        <f t="shared" si="254"/>
        <v>1.7051779659967178E-2</v>
      </c>
      <c r="Y1253" s="32">
        <f t="shared" si="255"/>
        <v>-17011.323906803726</v>
      </c>
      <c r="Z1253" s="32">
        <f t="shared" si="248"/>
        <v>224412.06217455966</v>
      </c>
      <c r="AA1253" s="32">
        <f t="shared" si="249"/>
        <v>115297.31334883407</v>
      </c>
      <c r="AB1253" s="40">
        <f t="shared" si="256"/>
        <v>-5.2715917625110222E-2</v>
      </c>
      <c r="AC1253" s="40">
        <f t="shared" si="257"/>
        <v>0.69542428611001428</v>
      </c>
      <c r="AD1253" s="40">
        <f t="shared" si="258"/>
        <v>0.35729163151509591</v>
      </c>
      <c r="AE1253" s="40"/>
      <c r="AF1253" s="40"/>
      <c r="AG1253" s="40"/>
      <c r="AH1253" s="40"/>
      <c r="AI1253" s="40"/>
      <c r="AJ1253" s="40"/>
      <c r="AK1253" s="33">
        <f t="shared" si="250"/>
        <v>6860000</v>
      </c>
      <c r="AL1253" s="33">
        <f t="shared" si="251"/>
        <v>6761600</v>
      </c>
      <c r="AM1253" s="34"/>
      <c r="AN1253" s="33"/>
      <c r="AO1253" s="15" cm="1">
        <f t="array" ref="AO1253">SUMPRODUCT(I1253:K1253, TRANSPOSE($AY$5:$AY$7))</f>
        <v>-2.6276312790793942E-3</v>
      </c>
      <c r="AP1253" s="22">
        <f t="shared" si="259"/>
        <v>11084587.880963854</v>
      </c>
      <c r="AQ1253" s="22">
        <f t="shared" si="260"/>
        <v>-29202.944401877001</v>
      </c>
      <c r="AR1253">
        <f t="shared" si="261"/>
        <v>0</v>
      </c>
      <c r="AS1253">
        <f t="shared" si="262"/>
        <v>0</v>
      </c>
      <c r="BJ1253">
        <f t="shared" si="236"/>
        <v>1.546510052780164E-8</v>
      </c>
      <c r="BK1253">
        <f t="shared" si="238"/>
        <v>4.9003443168937303E-5</v>
      </c>
      <c r="BO1253">
        <f t="shared" si="239"/>
        <v>7.6638769494976412E-5</v>
      </c>
      <c r="BP1253">
        <f t="shared" si="237"/>
        <v>3.8191643107707178</v>
      </c>
    </row>
    <row r="1254" spans="1:68" x14ac:dyDescent="0.15">
      <c r="A1254" s="5">
        <v>45401</v>
      </c>
      <c r="B1254" s="1"/>
      <c r="C1254">
        <v>95.24</v>
      </c>
      <c r="D1254">
        <v>98.12</v>
      </c>
      <c r="E1254">
        <v>85.53</v>
      </c>
      <c r="G1254" s="3">
        <v>5.8738636396162801E-3</v>
      </c>
      <c r="I1254" s="15">
        <f t="shared" si="240"/>
        <v>2.145002145002145E-2</v>
      </c>
      <c r="J1254" s="15">
        <f t="shared" si="241"/>
        <v>1.2244897959184137E-3</v>
      </c>
      <c r="K1254" s="15">
        <f t="shared" si="242"/>
        <v>1.1949834358731723E-2</v>
      </c>
      <c r="L1254" s="32">
        <f t="shared" si="243"/>
        <v>323989.11824577849</v>
      </c>
      <c r="M1254" s="15"/>
      <c r="N1254" s="32">
        <f t="shared" si="244"/>
        <v>-2857200</v>
      </c>
      <c r="O1254" s="34">
        <f t="shared" si="245"/>
        <v>-0.25746618832168644</v>
      </c>
      <c r="P1254" s="34">
        <f t="shared" si="246"/>
        <v>0.61892089033622821</v>
      </c>
      <c r="Q1254" s="34">
        <f t="shared" si="247"/>
        <v>0.61657799488040999</v>
      </c>
      <c r="R1254" s="35" cm="1">
        <f t="array" ref="R1254">SQRT(MMULT(O1254:Q1254, MMULT($AU$32:$AW$34,TRANSPOSE(O1254:Q1254))))</f>
        <v>1.2530086379540933E-2</v>
      </c>
      <c r="S1254" s="36" cm="1">
        <f t="array" ref="S1254:U1254">TRANSPOSE(MMULT($AU$32:$AW$34, TRANSPOSE(O1254:Q1254))/MMULT(O1254:Q1254, MMULT($AU$32:$AW$34,TRANSPOSE(O1254:Q1254))))</f>
        <v>0.20617559287570542</v>
      </c>
      <c r="T1254" s="36">
        <v>1.1181056212940406</v>
      </c>
      <c r="U1254" s="36">
        <v>0.58559390766362585</v>
      </c>
      <c r="V1254" s="35">
        <f t="shared" si="252"/>
        <v>6.0193173122395716E-3</v>
      </c>
      <c r="W1254" s="35">
        <f t="shared" si="253"/>
        <v>3.2643206837896545E-2</v>
      </c>
      <c r="X1254" s="35">
        <f t="shared" si="254"/>
        <v>1.7096473434014488E-2</v>
      </c>
      <c r="Y1254" s="32">
        <f t="shared" si="255"/>
        <v>-17198.393424530903</v>
      </c>
      <c r="Z1254" s="32">
        <f t="shared" si="248"/>
        <v>224206.60184540862</v>
      </c>
      <c r="AA1254" s="32">
        <f t="shared" si="249"/>
        <v>116980.90982490074</v>
      </c>
      <c r="AB1254" s="40">
        <f t="shared" si="256"/>
        <v>-5.308324402267172E-2</v>
      </c>
      <c r="AC1254" s="40">
        <f t="shared" si="257"/>
        <v>0.6920189266212492</v>
      </c>
      <c r="AD1254" s="40">
        <f t="shared" si="258"/>
        <v>0.36106431740142242</v>
      </c>
      <c r="AE1254" s="40"/>
      <c r="AF1254" s="40"/>
      <c r="AG1254" s="40"/>
      <c r="AH1254" s="40"/>
      <c r="AI1254" s="40"/>
      <c r="AJ1254" s="40"/>
      <c r="AK1254" s="33">
        <f t="shared" si="250"/>
        <v>6868400</v>
      </c>
      <c r="AL1254" s="33">
        <f t="shared" si="251"/>
        <v>6842400</v>
      </c>
      <c r="AM1254" s="34"/>
      <c r="AN1254" s="33"/>
      <c r="AO1254" s="15" cm="1">
        <f t="array" ref="AO1254">SUMPRODUCT(I1254:K1254, TRANSPOSE($AY$5:$AY$7))</f>
        <v>1.1540003383644524E-3</v>
      </c>
      <c r="AP1254" s="22">
        <f t="shared" si="259"/>
        <v>11097379.499129118</v>
      </c>
      <c r="AQ1254" s="22">
        <f t="shared" si="260"/>
        <v>12791.618165263906</v>
      </c>
      <c r="AR1254">
        <f t="shared" si="261"/>
        <v>0</v>
      </c>
      <c r="AS1254">
        <f t="shared" si="262"/>
        <v>0</v>
      </c>
      <c r="BJ1254">
        <f t="shared" si="236"/>
        <v>3.4502274056806209E-5</v>
      </c>
      <c r="BK1254">
        <f t="shared" si="238"/>
        <v>4.6064164484832728E-5</v>
      </c>
      <c r="BO1254">
        <f t="shared" si="239"/>
        <v>6.6055855238691908E-5</v>
      </c>
      <c r="BP1254">
        <f t="shared" si="237"/>
        <v>3.6324065612584318</v>
      </c>
    </row>
    <row r="1255" spans="1:68" x14ac:dyDescent="0.15">
      <c r="A1255" s="5">
        <v>45404</v>
      </c>
      <c r="B1255" s="1"/>
      <c r="C1255">
        <v>93.84</v>
      </c>
      <c r="D1255">
        <v>99.3</v>
      </c>
      <c r="E1255">
        <v>87.36</v>
      </c>
      <c r="G1255" s="3">
        <v>2.7765228793676898E-3</v>
      </c>
      <c r="I1255" s="15">
        <f t="shared" si="240"/>
        <v>-1.4699706005879793E-2</v>
      </c>
      <c r="J1255" s="15">
        <f t="shared" si="241"/>
        <v>1.2026090501426749E-2</v>
      </c>
      <c r="K1255" s="15">
        <f t="shared" si="242"/>
        <v>2.1396001403016465E-2</v>
      </c>
      <c r="L1255" s="32">
        <f t="shared" si="243"/>
        <v>329452.96276355028</v>
      </c>
      <c r="M1255" s="15"/>
      <c r="N1255" s="32">
        <f t="shared" si="244"/>
        <v>-2815200</v>
      </c>
      <c r="O1255" s="34">
        <f t="shared" si="245"/>
        <v>-0.24641970296965213</v>
      </c>
      <c r="P1255" s="34">
        <f t="shared" si="246"/>
        <v>0.60843398527353365</v>
      </c>
      <c r="Q1255" s="34">
        <f t="shared" si="247"/>
        <v>0.61174268972517221</v>
      </c>
      <c r="R1255" s="35" cm="1">
        <f t="array" ref="R1255">SQRT(MMULT(O1255:Q1255, MMULT($AU$32:$AW$34,TRANSPOSE(O1255:Q1255))))</f>
        <v>1.2376666036529154E-2</v>
      </c>
      <c r="S1255" s="36" cm="1">
        <f t="array" ref="S1255:U1255">TRANSPOSE(MMULT($AU$32:$AW$34, TRANSPOSE(O1255:Q1255))/MMULT(O1255:Q1255, MMULT($AU$32:$AW$34,TRANSPOSE(O1255:Q1255))))</f>
        <v>0.2156415766939489</v>
      </c>
      <c r="T1255" s="36">
        <v>1.1303157392363963</v>
      </c>
      <c r="U1255" s="36">
        <v>0.59733582366140581</v>
      </c>
      <c r="V1255" s="35">
        <f t="shared" si="252"/>
        <v>6.218592403512615E-3</v>
      </c>
      <c r="W1255" s="35">
        <f t="shared" si="253"/>
        <v>3.2595629179442177E-2</v>
      </c>
      <c r="X1255" s="35">
        <f t="shared" si="254"/>
        <v>1.7225750582591636E-2</v>
      </c>
      <c r="Y1255" s="32">
        <f t="shared" si="255"/>
        <v>-17506.581334368715</v>
      </c>
      <c r="Z1255" s="32">
        <f t="shared" si="248"/>
        <v>226572.21842630257</v>
      </c>
      <c r="AA1255" s="32">
        <f t="shared" si="249"/>
        <v>120387.32567161643</v>
      </c>
      <c r="AB1255" s="40">
        <f t="shared" si="256"/>
        <v>-5.3138333276830353E-2</v>
      </c>
      <c r="AC1255" s="40">
        <f t="shared" si="257"/>
        <v>0.68772250984100081</v>
      </c>
      <c r="AD1255" s="40">
        <f t="shared" si="258"/>
        <v>0.36541582343582957</v>
      </c>
      <c r="AE1255" s="40"/>
      <c r="AF1255" s="40"/>
      <c r="AG1255" s="40"/>
      <c r="AH1255" s="40"/>
      <c r="AI1255" s="40"/>
      <c r="AJ1255" s="40"/>
      <c r="AK1255" s="33">
        <f t="shared" si="250"/>
        <v>6951000</v>
      </c>
      <c r="AL1255" s="33">
        <f t="shared" si="251"/>
        <v>6988800</v>
      </c>
      <c r="AM1255" s="34"/>
      <c r="AN1255" s="33"/>
      <c r="AO1255" s="15" cm="1">
        <f t="array" ref="AO1255">SUMPRODUCT(I1255:K1255, TRANSPOSE($AY$5:$AY$7))</f>
        <v>2.946926722878699E-2</v>
      </c>
      <c r="AP1255" s="22">
        <f t="shared" si="259"/>
        <v>11424411.141128218</v>
      </c>
      <c r="AQ1255" s="22">
        <f t="shared" si="260"/>
        <v>327031.6419990994</v>
      </c>
      <c r="AR1255">
        <f t="shared" si="261"/>
        <v>0</v>
      </c>
      <c r="AS1255">
        <f t="shared" si="262"/>
        <v>0</v>
      </c>
      <c r="BJ1255">
        <f t="shared" si="236"/>
        <v>7.7090792996522467E-6</v>
      </c>
      <c r="BK1255">
        <f t="shared" si="238"/>
        <v>4.5370451059151138E-5</v>
      </c>
      <c r="BO1255">
        <f t="shared" si="239"/>
        <v>6.2666459295112277E-5</v>
      </c>
      <c r="BP1255">
        <f t="shared" si="237"/>
        <v>3.8583947482860772</v>
      </c>
    </row>
    <row r="1256" spans="1:68" x14ac:dyDescent="0.15">
      <c r="A1256" s="5">
        <v>45405</v>
      </c>
      <c r="B1256" s="1"/>
      <c r="C1256">
        <v>94.26</v>
      </c>
      <c r="D1256">
        <v>101.85</v>
      </c>
      <c r="E1256">
        <v>88.94</v>
      </c>
      <c r="G1256" s="3">
        <v>1.2480993515636201E-2</v>
      </c>
      <c r="I1256" s="15">
        <f t="shared" si="240"/>
        <v>4.4757033248082022E-3</v>
      </c>
      <c r="J1256" s="15">
        <f t="shared" si="241"/>
        <v>2.5679758308157073E-2</v>
      </c>
      <c r="K1256" s="15">
        <f t="shared" si="242"/>
        <v>1.8086080586080567E-2</v>
      </c>
      <c r="L1256" s="32">
        <f t="shared" si="243"/>
        <v>337373.1293700909</v>
      </c>
      <c r="M1256" s="15"/>
      <c r="N1256" s="32">
        <f t="shared" si="244"/>
        <v>-2827800</v>
      </c>
      <c r="O1256" s="34">
        <f t="shared" si="245"/>
        <v>-0.24067678687213204</v>
      </c>
      <c r="P1256" s="34">
        <f t="shared" si="246"/>
        <v>0.60679862508128768</v>
      </c>
      <c r="Q1256" s="34">
        <f t="shared" si="247"/>
        <v>0.60558153828155947</v>
      </c>
      <c r="R1256" s="35" cm="1">
        <f t="array" ref="R1256">SQRT(MMULT(O1256:Q1256, MMULT($AU$32:$AW$34,TRANSPOSE(O1256:Q1256))))</f>
        <v>1.2323670648559139E-2</v>
      </c>
      <c r="S1256" s="36" cm="1">
        <f t="array" ref="S1256:U1256">TRANSPOSE(MMULT($AU$32:$AW$34, TRANSPOSE(O1256:Q1256))/MMULT(O1256:Q1256, MMULT($AU$32:$AW$34,TRANSPOSE(O1256:Q1256))))</f>
        <v>0.21934352103120291</v>
      </c>
      <c r="T1256" s="36">
        <v>1.1369334735792924</v>
      </c>
      <c r="U1256" s="36">
        <v>0.59926071444647522</v>
      </c>
      <c r="V1256" s="35">
        <f t="shared" si="252"/>
        <v>6.2982633371553697E-3</v>
      </c>
      <c r="W1256" s="35">
        <f t="shared" si="253"/>
        <v>3.2646081269072487E-2</v>
      </c>
      <c r="X1256" s="35">
        <f t="shared" si="254"/>
        <v>1.7207263608478553E-2</v>
      </c>
      <c r="Y1256" s="32">
        <f t="shared" si="255"/>
        <v>-17810.229064807954</v>
      </c>
      <c r="Z1256" s="32">
        <f t="shared" si="248"/>
        <v>232750.2364078523</v>
      </c>
      <c r="AA1256" s="32">
        <f t="shared" si="249"/>
        <v>122433.1220270466</v>
      </c>
      <c r="AB1256" s="40">
        <f t="shared" si="256"/>
        <v>-5.2790893863009836E-2</v>
      </c>
      <c r="AC1256" s="40">
        <f t="shared" si="257"/>
        <v>0.68988966857680711</v>
      </c>
      <c r="AD1256" s="40">
        <f t="shared" si="258"/>
        <v>0.36290122528620278</v>
      </c>
      <c r="AE1256" s="40"/>
      <c r="AF1256" s="40"/>
      <c r="AG1256" s="40"/>
      <c r="AH1256" s="40"/>
      <c r="AI1256" s="40"/>
      <c r="AJ1256" s="40"/>
      <c r="AK1256" s="33">
        <f t="shared" si="250"/>
        <v>7129500</v>
      </c>
      <c r="AL1256" s="33">
        <f t="shared" si="251"/>
        <v>7115200</v>
      </c>
      <c r="AM1256" s="34"/>
      <c r="AN1256" s="33"/>
      <c r="AO1256" s="15" cm="1">
        <f t="array" ref="AO1256">SUMPRODUCT(I1256:K1256, TRANSPOSE($AY$5:$AY$7))</f>
        <v>2.8444029315700833E-2</v>
      </c>
      <c r="AP1256" s="22">
        <f t="shared" si="259"/>
        <v>11749367.426541088</v>
      </c>
      <c r="AQ1256" s="22">
        <f t="shared" si="260"/>
        <v>324956.28541287035</v>
      </c>
      <c r="AR1256">
        <f t="shared" si="261"/>
        <v>0</v>
      </c>
      <c r="AS1256">
        <f t="shared" si="262"/>
        <v>0</v>
      </c>
      <c r="BJ1256">
        <f t="shared" si="236"/>
        <v>1.5577519913735291E-4</v>
      </c>
      <c r="BK1256">
        <f t="shared" si="238"/>
        <v>4.3110768753581198E-5</v>
      </c>
      <c r="BO1256">
        <f t="shared" si="239"/>
        <v>5.619199705148672E-5</v>
      </c>
      <c r="BP1256">
        <f t="shared" si="237"/>
        <v>2.5883318428035391</v>
      </c>
    </row>
    <row r="1257" spans="1:68" x14ac:dyDescent="0.15">
      <c r="A1257" s="5">
        <v>45406</v>
      </c>
      <c r="B1257" s="1"/>
      <c r="C1257">
        <v>93.98</v>
      </c>
      <c r="D1257">
        <v>100.75</v>
      </c>
      <c r="E1257">
        <v>89.12</v>
      </c>
      <c r="G1257" s="3">
        <v>-8.5803469285853293E-3</v>
      </c>
      <c r="I1257" s="15">
        <f t="shared" si="240"/>
        <v>-2.9705071079991633E-3</v>
      </c>
      <c r="J1257" s="15">
        <f t="shared" si="241"/>
        <v>-1.0800196367206621E-2</v>
      </c>
      <c r="K1257" s="15">
        <f t="shared" si="242"/>
        <v>2.0238362941309516E-3</v>
      </c>
      <c r="L1257" s="32">
        <f t="shared" si="243"/>
        <v>335163.87242569943</v>
      </c>
      <c r="M1257" s="15"/>
      <c r="N1257" s="32">
        <f t="shared" si="244"/>
        <v>-2819400</v>
      </c>
      <c r="O1257" s="34">
        <f t="shared" si="245"/>
        <v>-0.24103116840874669</v>
      </c>
      <c r="P1257" s="34">
        <f t="shared" si="246"/>
        <v>0.60291988196165358</v>
      </c>
      <c r="Q1257" s="34">
        <f t="shared" si="247"/>
        <v>0.60951117907604468</v>
      </c>
      <c r="R1257" s="35" cm="1">
        <f t="array" ref="R1257">SQRT(MMULT(O1257:Q1257, MMULT($AU$32:$AW$34,TRANSPOSE(O1257:Q1257))))</f>
        <v>1.2297527124172229E-2</v>
      </c>
      <c r="S1257" s="36" cm="1">
        <f t="array" ref="S1257:U1257">TRANSPOSE(MMULT($AU$32:$AW$34, TRANSPOSE(O1257:Q1257))/MMULT(O1257:Q1257, MMULT($AU$32:$AW$34,TRANSPOSE(O1257:Q1257))))</f>
        <v>0.22050095935639305</v>
      </c>
      <c r="T1257" s="36">
        <v>1.1365426853802596</v>
      </c>
      <c r="U1257" s="36">
        <v>0.60360405975289433</v>
      </c>
      <c r="V1257" s="35">
        <f t="shared" si="252"/>
        <v>6.3180665116175936E-3</v>
      </c>
      <c r="W1257" s="35">
        <f t="shared" si="253"/>
        <v>3.2565628287896858E-2</v>
      </c>
      <c r="X1257" s="35">
        <f t="shared" si="254"/>
        <v>1.7295210902177043E-2</v>
      </c>
      <c r="Y1257" s="32">
        <f t="shared" si="255"/>
        <v>-17813.156722854645</v>
      </c>
      <c r="Z1257" s="32">
        <f t="shared" si="248"/>
        <v>229669.0935003926</v>
      </c>
      <c r="AA1257" s="32">
        <f t="shared" si="249"/>
        <v>123307.93564816145</v>
      </c>
      <c r="AB1257" s="40">
        <f t="shared" si="256"/>
        <v>-5.3147603868920992E-2</v>
      </c>
      <c r="AC1257" s="40">
        <f t="shared" si="257"/>
        <v>0.68524418171384693</v>
      </c>
      <c r="AD1257" s="40">
        <f t="shared" si="258"/>
        <v>0.36790342215507399</v>
      </c>
      <c r="AE1257" s="40"/>
      <c r="AF1257" s="40"/>
      <c r="AG1257" s="40"/>
      <c r="AH1257" s="40"/>
      <c r="AI1257" s="40"/>
      <c r="AJ1257" s="40"/>
      <c r="AK1257" s="33">
        <f t="shared" si="250"/>
        <v>7052500</v>
      </c>
      <c r="AL1257" s="33">
        <f t="shared" si="251"/>
        <v>7129600</v>
      </c>
      <c r="AM1257" s="34"/>
      <c r="AN1257" s="33"/>
      <c r="AO1257" s="15" cm="1">
        <f t="array" ref="AO1257">SUMPRODUCT(I1257:K1257, TRANSPOSE($AY$5:$AY$7))</f>
        <v>-4.4364123105247117E-3</v>
      </c>
      <c r="AP1257" s="22">
        <f t="shared" si="259"/>
        <v>11697242.388249103</v>
      </c>
      <c r="AQ1257" s="22">
        <f t="shared" si="260"/>
        <v>-52125.038291985169</v>
      </c>
      <c r="AR1257">
        <f t="shared" si="261"/>
        <v>0</v>
      </c>
      <c r="AS1257">
        <f t="shared" si="262"/>
        <v>0</v>
      </c>
      <c r="BJ1257">
        <f t="shared" si="236"/>
        <v>7.3622353414883697E-5</v>
      </c>
      <c r="BK1257">
        <f t="shared" si="238"/>
        <v>4.9870634576607511E-5</v>
      </c>
      <c r="BO1257">
        <f t="shared" si="239"/>
        <v>7.2201170746170887E-5</v>
      </c>
      <c r="BP1257">
        <f t="shared" si="237"/>
        <v>3.3392467895813129</v>
      </c>
    </row>
    <row r="1258" spans="1:68" x14ac:dyDescent="0.15">
      <c r="A1258" s="5">
        <v>45407</v>
      </c>
      <c r="B1258" s="1"/>
      <c r="C1258">
        <v>92.08</v>
      </c>
      <c r="D1258">
        <v>99.5</v>
      </c>
      <c r="E1258">
        <v>90</v>
      </c>
      <c r="G1258" s="3">
        <v>-9.6854034425050087E-3</v>
      </c>
      <c r="I1258" s="15">
        <f t="shared" si="240"/>
        <v>-2.021706746116201E-2</v>
      </c>
      <c r="J1258" s="15">
        <f t="shared" si="241"/>
        <v>-1.2406947890818859E-2</v>
      </c>
      <c r="K1258" s="15">
        <f t="shared" si="242"/>
        <v>9.8743267504487822E-3</v>
      </c>
      <c r="L1258" s="32">
        <f t="shared" si="243"/>
        <v>333909.24857935071</v>
      </c>
      <c r="M1258" s="15"/>
      <c r="N1258" s="32">
        <f t="shared" si="244"/>
        <v>-2762400</v>
      </c>
      <c r="O1258" s="34">
        <f t="shared" si="245"/>
        <v>-0.23449489526818842</v>
      </c>
      <c r="P1258" s="34">
        <f t="shared" si="246"/>
        <v>0.59124563623766735</v>
      </c>
      <c r="Q1258" s="34">
        <f t="shared" si="247"/>
        <v>0.61119434040361875</v>
      </c>
      <c r="R1258" s="35" cm="1">
        <f t="array" ref="R1258">SQRT(MMULT(O1258:Q1258, MMULT($AU$32:$AW$34,TRANSPOSE(O1258:Q1258))))</f>
        <v>1.2165202845739404E-2</v>
      </c>
      <c r="S1258" s="36" cm="1">
        <f t="array" ref="S1258:U1258">TRANSPOSE(MMULT($AU$32:$AW$34, TRANSPOSE(O1258:Q1258))/MMULT(O1258:Q1258, MMULT($AU$32:$AW$34,TRANSPOSE(O1258:Q1258))))</f>
        <v>0.22830467813460187</v>
      </c>
      <c r="T1258" s="36">
        <v>1.1440673602798186</v>
      </c>
      <c r="U1258" s="36">
        <v>0.6170074268226784</v>
      </c>
      <c r="V1258" s="35">
        <f t="shared" si="252"/>
        <v>6.4712784379231184E-3</v>
      </c>
      <c r="W1258" s="35">
        <f t="shared" si="253"/>
        <v>3.2428500811295127E-2</v>
      </c>
      <c r="X1258" s="35">
        <f t="shared" si="254"/>
        <v>1.7489027775777634E-2</v>
      </c>
      <c r="Y1258" s="32">
        <f t="shared" si="255"/>
        <v>-17876.259556918823</v>
      </c>
      <c r="Z1258" s="32">
        <f t="shared" si="248"/>
        <v>225864.50815067056</v>
      </c>
      <c r="AA1258" s="32">
        <f t="shared" si="249"/>
        <v>125920.99998559896</v>
      </c>
      <c r="AB1258" s="40">
        <f t="shared" si="256"/>
        <v>-5.3536281588410936E-2</v>
      </c>
      <c r="AC1258" s="40">
        <f t="shared" si="257"/>
        <v>0.67642483432738987</v>
      </c>
      <c r="AD1258" s="40">
        <f t="shared" si="258"/>
        <v>0.37711144726102097</v>
      </c>
      <c r="AE1258" s="40"/>
      <c r="AF1258" s="40"/>
      <c r="AG1258" s="40"/>
      <c r="AH1258" s="40"/>
      <c r="AI1258" s="40"/>
      <c r="AJ1258" s="40"/>
      <c r="AK1258" s="33">
        <f t="shared" si="250"/>
        <v>6965000</v>
      </c>
      <c r="AL1258" s="33">
        <f t="shared" si="251"/>
        <v>7200000</v>
      </c>
      <c r="AM1258" s="34"/>
      <c r="AN1258" s="33"/>
      <c r="AO1258" s="15" cm="1">
        <f t="array" ref="AO1258">SUMPRODUCT(I1258:K1258, TRANSPOSE($AY$5:$AY$7))</f>
        <v>7.0932450222152095E-3</v>
      </c>
      <c r="AP1258" s="22">
        <f t="shared" si="259"/>
        <v>11780213.794593196</v>
      </c>
      <c r="AQ1258" s="22">
        <f t="shared" si="260"/>
        <v>82971.406344093382</v>
      </c>
      <c r="AR1258">
        <f t="shared" si="261"/>
        <v>0</v>
      </c>
      <c r="AS1258">
        <f t="shared" si="262"/>
        <v>0</v>
      </c>
      <c r="BJ1258">
        <f t="shared" si="236"/>
        <v>9.3807039844087873E-5</v>
      </c>
      <c r="BK1258">
        <f t="shared" si="238"/>
        <v>5.1295737706904084E-5</v>
      </c>
      <c r="BO1258">
        <f t="shared" si="239"/>
        <v>7.305820370396299E-5</v>
      </c>
      <c r="BP1258">
        <f t="shared" si="237"/>
        <v>3.2011864323453993</v>
      </c>
    </row>
    <row r="1259" spans="1:68" x14ac:dyDescent="0.15">
      <c r="A1259" s="5">
        <v>45408</v>
      </c>
      <c r="B1259" s="1"/>
      <c r="C1259">
        <v>92.7</v>
      </c>
      <c r="D1259">
        <v>99.5</v>
      </c>
      <c r="E1259">
        <v>89.5</v>
      </c>
      <c r="G1259" s="3">
        <v>7.4338647131280099E-3</v>
      </c>
      <c r="I1259" s="15">
        <f t="shared" si="240"/>
        <v>6.7332754126846715E-3</v>
      </c>
      <c r="J1259" s="15">
        <f t="shared" si="241"/>
        <v>0</v>
      </c>
      <c r="K1259" s="15">
        <f t="shared" si="242"/>
        <v>-5.5555555555555558E-3</v>
      </c>
      <c r="L1259" s="32">
        <f t="shared" si="243"/>
        <v>333091.06025614101</v>
      </c>
      <c r="M1259" s="15"/>
      <c r="N1259" s="32">
        <f t="shared" si="244"/>
        <v>-2781000</v>
      </c>
      <c r="O1259" s="34">
        <f t="shared" si="245"/>
        <v>-0.23767794599035913</v>
      </c>
      <c r="P1259" s="34">
        <f t="shared" si="246"/>
        <v>0.59526317649149629</v>
      </c>
      <c r="Q1259" s="34">
        <f t="shared" si="247"/>
        <v>0.61192883613483329</v>
      </c>
      <c r="R1259" s="35" cm="1">
        <f t="array" ref="R1259">SQRT(MMULT(O1259:Q1259, MMULT($AU$32:$AW$34,TRANSPOSE(O1259:Q1259))))</f>
        <v>1.2217854606508378E-2</v>
      </c>
      <c r="S1259" s="36" cm="1">
        <f t="array" ref="S1259:U1259">TRANSPOSE(MMULT($AU$32:$AW$34, TRANSPOSE(O1259:Q1259))/MMULT(O1259:Q1259, MMULT($AU$32:$AW$34,TRANSPOSE(O1259:Q1259))))</f>
        <v>0.22507374539663758</v>
      </c>
      <c r="T1259" s="36">
        <v>1.1403174475681392</v>
      </c>
      <c r="U1259" s="36">
        <v>0.61233603864940389</v>
      </c>
      <c r="V1259" s="35">
        <f t="shared" si="252"/>
        <v>6.407309632006278E-3</v>
      </c>
      <c r="W1259" s="35">
        <f t="shared" si="253"/>
        <v>3.2462102376589787E-2</v>
      </c>
      <c r="X1259" s="35">
        <f t="shared" si="254"/>
        <v>1.743173816896685E-2</v>
      </c>
      <c r="Y1259" s="32">
        <f t="shared" si="255"/>
        <v>-17818.728086609459</v>
      </c>
      <c r="Z1259" s="32">
        <f t="shared" si="248"/>
        <v>226098.54305294788</v>
      </c>
      <c r="AA1259" s="32">
        <f t="shared" si="249"/>
        <v>124811.24528980264</v>
      </c>
      <c r="AB1259" s="40">
        <f t="shared" si="256"/>
        <v>-5.349506550222987E-2</v>
      </c>
      <c r="AC1259" s="40">
        <f t="shared" si="257"/>
        <v>0.67878898604808602</v>
      </c>
      <c r="AD1259" s="40">
        <f t="shared" si="258"/>
        <v>0.37470607945414403</v>
      </c>
      <c r="AE1259" s="40"/>
      <c r="AF1259" s="40"/>
      <c r="AG1259" s="40"/>
      <c r="AH1259" s="40"/>
      <c r="AI1259" s="40"/>
      <c r="AJ1259" s="40"/>
      <c r="AK1259" s="33">
        <f t="shared" si="250"/>
        <v>6965000</v>
      </c>
      <c r="AL1259" s="33">
        <f t="shared" si="251"/>
        <v>7160000</v>
      </c>
      <c r="AM1259" s="34"/>
      <c r="AN1259" s="33"/>
      <c r="AO1259" s="15" cm="1">
        <f t="array" ref="AO1259">SUMPRODUCT(I1259:K1259, TRANSPOSE($AY$5:$AY$7))</f>
        <v>-6.7491832394345388E-3</v>
      </c>
      <c r="AP1259" s="22">
        <f t="shared" si="259"/>
        <v>11700706.973093772</v>
      </c>
      <c r="AQ1259" s="22">
        <f t="shared" si="260"/>
        <v>-79506.821499424055</v>
      </c>
      <c r="AR1259">
        <f t="shared" si="261"/>
        <v>0</v>
      </c>
      <c r="AS1259">
        <f t="shared" si="262"/>
        <v>0</v>
      </c>
      <c r="BJ1259">
        <f t="shared" si="236"/>
        <v>5.5262344573089788E-5</v>
      </c>
      <c r="BK1259">
        <f t="shared" si="238"/>
        <v>5.384641583513511E-5</v>
      </c>
      <c r="BO1259">
        <f t="shared" si="239"/>
        <v>7.6605149055567655E-5</v>
      </c>
      <c r="BP1259">
        <f t="shared" si="237"/>
        <v>3.4587885796762716</v>
      </c>
    </row>
    <row r="1260" spans="1:68" x14ac:dyDescent="0.15">
      <c r="A1260" s="5">
        <v>45411</v>
      </c>
      <c r="B1260" s="1"/>
      <c r="C1260">
        <v>92.08</v>
      </c>
      <c r="D1260">
        <v>100.3</v>
      </c>
      <c r="E1260">
        <v>88.87</v>
      </c>
      <c r="G1260" s="3">
        <v>-1.0544284506530601E-3</v>
      </c>
      <c r="I1260" s="15">
        <f t="shared" si="240"/>
        <v>-6.6882416396979996E-3</v>
      </c>
      <c r="J1260" s="15">
        <f t="shared" si="241"/>
        <v>8.040201005025097E-3</v>
      </c>
      <c r="K1260" s="15">
        <f t="shared" si="242"/>
        <v>-7.0391061452513455E-3</v>
      </c>
      <c r="L1260" s="32">
        <f t="shared" si="243"/>
        <v>334154.66363476473</v>
      </c>
      <c r="M1260" s="15"/>
      <c r="N1260" s="32">
        <f t="shared" si="244"/>
        <v>-2762400</v>
      </c>
      <c r="O1260" s="34">
        <f t="shared" si="245"/>
        <v>-0.23544448267635987</v>
      </c>
      <c r="P1260" s="34">
        <f t="shared" si="246"/>
        <v>0.59841287028334877</v>
      </c>
      <c r="Q1260" s="34">
        <f t="shared" si="247"/>
        <v>0.60596441284240088</v>
      </c>
      <c r="R1260" s="35" cm="1">
        <f t="array" ref="R1260">SQRT(MMULT(O1260:Q1260, MMULT($AU$32:$AW$34,TRANSPOSE(O1260:Q1260))))</f>
        <v>1.2223443182668213E-2</v>
      </c>
      <c r="S1260" s="36" cm="1">
        <f t="array" ref="S1260:U1260">TRANSPOSE(MMULT($AU$32:$AW$34, TRANSPOSE(O1260:Q1260))/MMULT(O1260:Q1260, MMULT($AU$32:$AW$34,TRANSPOSE(O1260:Q1260))))</f>
        <v>0.22519054006148176</v>
      </c>
      <c r="T1260" s="36">
        <v>1.143196874884614</v>
      </c>
      <c r="U1260" s="36">
        <v>0.60880827189050957</v>
      </c>
      <c r="V1260" s="35">
        <f t="shared" si="252"/>
        <v>6.4135667880980294E-3</v>
      </c>
      <c r="W1260" s="35">
        <f t="shared" si="253"/>
        <v>3.255895876894134E-2</v>
      </c>
      <c r="X1260" s="35">
        <f t="shared" si="254"/>
        <v>1.7339238636979511E-2</v>
      </c>
      <c r="Y1260" s="32">
        <f t="shared" si="255"/>
        <v>-17716.836895441997</v>
      </c>
      <c r="Z1260" s="32">
        <f t="shared" si="248"/>
        <v>228596.44951673714</v>
      </c>
      <c r="AA1260" s="32">
        <f t="shared" si="249"/>
        <v>123275.05101346954</v>
      </c>
      <c r="AB1260" s="40">
        <f t="shared" si="256"/>
        <v>-5.3019870208385667E-2</v>
      </c>
      <c r="AC1260" s="40">
        <f t="shared" si="257"/>
        <v>0.68410372319865609</v>
      </c>
      <c r="AD1260" s="40">
        <f t="shared" si="258"/>
        <v>0.36891614700972936</v>
      </c>
      <c r="AE1260" s="40"/>
      <c r="AF1260" s="40"/>
      <c r="AG1260" s="40"/>
      <c r="AH1260" s="40"/>
      <c r="AI1260" s="40"/>
      <c r="AJ1260" s="40"/>
      <c r="AK1260" s="33">
        <f t="shared" si="250"/>
        <v>7021000</v>
      </c>
      <c r="AL1260" s="33">
        <f t="shared" si="251"/>
        <v>7109600</v>
      </c>
      <c r="AM1260" s="34"/>
      <c r="AN1260" s="33"/>
      <c r="AO1260" s="15" cm="1">
        <f t="array" ref="AO1260">SUMPRODUCT(I1260:K1260, TRANSPOSE($AY$5:$AY$7))</f>
        <v>2.7344695932996488E-3</v>
      </c>
      <c r="AP1260" s="22">
        <f t="shared" si="259"/>
        <v>11732702.200531805</v>
      </c>
      <c r="AQ1260" s="22">
        <f t="shared" si="260"/>
        <v>31995.227438032627</v>
      </c>
      <c r="AR1260">
        <f t="shared" si="261"/>
        <v>0</v>
      </c>
      <c r="AS1260">
        <f t="shared" si="262"/>
        <v>0</v>
      </c>
      <c r="BJ1260">
        <f t="shared" si="236"/>
        <v>1.1118193575466127E-6</v>
      </c>
      <c r="BK1260">
        <f t="shared" si="238"/>
        <v>5.3931371559412391E-5</v>
      </c>
      <c r="BO1260">
        <f t="shared" si="239"/>
        <v>7.3897755083671899E-5</v>
      </c>
      <c r="BP1260">
        <f t="shared" si="237"/>
        <v>3.8299528339470328</v>
      </c>
    </row>
    <row r="1261" spans="1:68" x14ac:dyDescent="0.15">
      <c r="A1261" s="5">
        <v>45412</v>
      </c>
      <c r="B1261" s="1"/>
      <c r="C1261">
        <v>92.2</v>
      </c>
      <c r="D1261">
        <v>99.82</v>
      </c>
      <c r="E1261">
        <v>89.05</v>
      </c>
      <c r="G1261" s="3">
        <v>-6.3049945009573307E-3</v>
      </c>
      <c r="I1261" s="15">
        <f t="shared" si="240"/>
        <v>1.3032145960035245E-3</v>
      </c>
      <c r="J1261" s="15">
        <f t="shared" si="241"/>
        <v>-4.785643070787677E-3</v>
      </c>
      <c r="K1261" s="15">
        <f t="shared" si="242"/>
        <v>2.0254304039607584E-3</v>
      </c>
      <c r="L1261" s="32">
        <f t="shared" si="243"/>
        <v>333288.3172771614</v>
      </c>
      <c r="M1261" s="15"/>
      <c r="N1261" s="32">
        <f t="shared" si="244"/>
        <v>-2766000</v>
      </c>
      <c r="O1261" s="34">
        <f t="shared" si="245"/>
        <v>-0.23626326553816834</v>
      </c>
      <c r="P1261" s="34">
        <f t="shared" si="246"/>
        <v>0.59684235055003521</v>
      </c>
      <c r="Q1261" s="34">
        <f t="shared" si="247"/>
        <v>0.60851030502310599</v>
      </c>
      <c r="R1261" s="35" cm="1">
        <f t="array" ref="R1261">SQRT(MMULT(O1261:Q1261, MMULT($AU$32:$AW$34,TRANSPOSE(O1261:Q1261))))</f>
        <v>1.2218227186284604E-2</v>
      </c>
      <c r="S1261" s="36" cm="1">
        <f t="array" ref="S1261:U1261">TRANSPOSE(MMULT($AU$32:$AW$34, TRANSPOSE(O1261:Q1261))/MMULT(O1261:Q1261, MMULT($AU$32:$AW$34,TRANSPOSE(O1261:Q1261))))</f>
        <v>0.22529542926538618</v>
      </c>
      <c r="T1261" s="36">
        <v>1.1421561391960593</v>
      </c>
      <c r="U1261" s="36">
        <v>0.61057614957239947</v>
      </c>
      <c r="V1261" s="35">
        <f t="shared" si="252"/>
        <v>6.4138160213946822E-3</v>
      </c>
      <c r="W1261" s="35">
        <f t="shared" si="253"/>
        <v>3.2515437034813667E-2</v>
      </c>
      <c r="X1261" s="35">
        <f t="shared" si="254"/>
        <v>1.7382168396305742E-2</v>
      </c>
      <c r="Y1261" s="32">
        <f t="shared" si="255"/>
        <v>-17740.61511517769</v>
      </c>
      <c r="Z1261" s="32">
        <f t="shared" si="248"/>
        <v>227198.36473705698</v>
      </c>
      <c r="AA1261" s="32">
        <f t="shared" si="249"/>
        <v>123830.56765528211</v>
      </c>
      <c r="AB1261" s="40">
        <f t="shared" si="256"/>
        <v>-5.3229033829063549E-2</v>
      </c>
      <c r="AC1261" s="40">
        <f t="shared" si="257"/>
        <v>0.68168715481292919</v>
      </c>
      <c r="AD1261" s="40">
        <f t="shared" si="258"/>
        <v>0.37154187901613439</v>
      </c>
      <c r="AE1261" s="40"/>
      <c r="AF1261" s="40"/>
      <c r="AG1261" s="40"/>
      <c r="AH1261" s="40"/>
      <c r="AI1261" s="40"/>
      <c r="AJ1261" s="40"/>
      <c r="AK1261" s="33">
        <f t="shared" si="250"/>
        <v>6987399.9999999991</v>
      </c>
      <c r="AL1261" s="33">
        <f t="shared" si="251"/>
        <v>7124000</v>
      </c>
      <c r="AM1261" s="34"/>
      <c r="AN1261" s="33"/>
      <c r="AO1261" s="15" cm="1">
        <f t="array" ref="AO1261">SUMPRODUCT(I1261:K1261, TRANSPOSE($AY$5:$AY$7))</f>
        <v>-2.1668547341458372E-3</v>
      </c>
      <c r="AP1261" s="22">
        <f t="shared" si="259"/>
        <v>11707279.139224259</v>
      </c>
      <c r="AQ1261" s="22">
        <f t="shared" si="260"/>
        <v>-25423.061307545751</v>
      </c>
      <c r="AR1261">
        <f t="shared" si="261"/>
        <v>0</v>
      </c>
      <c r="AS1261">
        <f t="shared" si="262"/>
        <v>0</v>
      </c>
      <c r="BJ1261">
        <f t="shared" si="236"/>
        <v>3.9752955657102181E-5</v>
      </c>
      <c r="BK1261">
        <f t="shared" si="238"/>
        <v>5.0762198427300442E-5</v>
      </c>
      <c r="BO1261">
        <f t="shared" si="239"/>
        <v>6.406200457202109E-5</v>
      </c>
      <c r="BP1261">
        <f t="shared" si="237"/>
        <v>3.5986216574274961</v>
      </c>
    </row>
    <row r="1262" spans="1:68" x14ac:dyDescent="0.15">
      <c r="A1262" s="5">
        <v>45414</v>
      </c>
      <c r="B1262" s="1"/>
      <c r="C1262">
        <v>91.82</v>
      </c>
      <c r="D1262">
        <v>99.2</v>
      </c>
      <c r="E1262">
        <v>88.87</v>
      </c>
      <c r="G1262" s="3">
        <v>-4.5538256620175598E-3</v>
      </c>
      <c r="I1262" s="15">
        <f t="shared" si="240"/>
        <v>-4.1214750542300392E-3</v>
      </c>
      <c r="J1262" s="15">
        <f t="shared" si="241"/>
        <v>-6.2111801242235058E-3</v>
      </c>
      <c r="K1262" s="15">
        <f t="shared" si="242"/>
        <v>-2.021336327905588E-3</v>
      </c>
      <c r="L1262" s="32">
        <f t="shared" si="243"/>
        <v>331700.37775384972</v>
      </c>
      <c r="M1262" s="15"/>
      <c r="N1262" s="32">
        <f t="shared" si="244"/>
        <v>-2754600</v>
      </c>
      <c r="O1262" s="34">
        <f t="shared" si="245"/>
        <v>-0.23622195868249937</v>
      </c>
      <c r="P1262" s="34">
        <f t="shared" si="246"/>
        <v>0.59548583500010011</v>
      </c>
      <c r="Q1262" s="34">
        <f t="shared" si="247"/>
        <v>0.60968693728639278</v>
      </c>
      <c r="R1262" s="35" cm="1">
        <f t="array" ref="R1262">SQRT(MMULT(O1262:Q1262, MMULT($AU$32:$AW$34,TRANSPOSE(O1262:Q1262))))</f>
        <v>1.2208203730184816E-2</v>
      </c>
      <c r="S1262" s="36" cm="1">
        <f t="array" ref="S1262:U1262">TRANSPOSE(MMULT($AU$32:$AW$34, TRANSPOSE(O1262:Q1262))/MMULT(O1262:Q1262, MMULT($AU$32:$AW$34,TRANSPOSE(O1262:Q1262))))</f>
        <v>0.22580404348304495</v>
      </c>
      <c r="T1262" s="36">
        <v>1.1421572531980717</v>
      </c>
      <c r="U1262" s="36">
        <v>0.61211973717031098</v>
      </c>
      <c r="V1262" s="35">
        <f t="shared" si="252"/>
        <v>6.42302191464142E-3</v>
      </c>
      <c r="W1262" s="35">
        <f t="shared" si="253"/>
        <v>3.2488794062754296E-2</v>
      </c>
      <c r="X1262" s="35">
        <f t="shared" si="254"/>
        <v>1.741181612863665E-2</v>
      </c>
      <c r="Y1262" s="32">
        <f t="shared" si="255"/>
        <v>-17692.856166071255</v>
      </c>
      <c r="Z1262" s="32">
        <f t="shared" si="248"/>
        <v>225602.18597176584</v>
      </c>
      <c r="AA1262" s="32">
        <f t="shared" si="249"/>
        <v>123791.04794815513</v>
      </c>
      <c r="AB1262" s="40">
        <f t="shared" si="256"/>
        <v>-5.3339873429993134E-2</v>
      </c>
      <c r="AC1262" s="40">
        <f t="shared" si="257"/>
        <v>0.68013846562207447</v>
      </c>
      <c r="AD1262" s="40">
        <f t="shared" si="258"/>
        <v>0.37320140780791861</v>
      </c>
      <c r="AE1262" s="40"/>
      <c r="AF1262" s="40"/>
      <c r="AG1262" s="40"/>
      <c r="AH1262" s="40"/>
      <c r="AI1262" s="40"/>
      <c r="AJ1262" s="40"/>
      <c r="AK1262" s="33">
        <f t="shared" si="250"/>
        <v>6944000</v>
      </c>
      <c r="AL1262" s="33">
        <f t="shared" si="251"/>
        <v>7109600</v>
      </c>
      <c r="AM1262" s="34"/>
      <c r="AN1262" s="33"/>
      <c r="AO1262" s="15" cm="1">
        <f t="array" ref="AO1262">SUMPRODUCT(I1262:K1262, TRANSPOSE($AY$5:$AY$7))</f>
        <v>-3.9473311654773472E-3</v>
      </c>
      <c r="AP1262" s="22">
        <f t="shared" si="259"/>
        <v>11661066.631415058</v>
      </c>
      <c r="AQ1262" s="22">
        <f t="shared" si="260"/>
        <v>-46212.507809201255</v>
      </c>
      <c r="AR1262">
        <f t="shared" si="261"/>
        <v>0</v>
      </c>
      <c r="AS1262">
        <f t="shared" si="262"/>
        <v>0</v>
      </c>
      <c r="BJ1262">
        <f t="shared" si="236"/>
        <v>2.0737328160049666E-5</v>
      </c>
      <c r="BK1262">
        <f t="shared" si="238"/>
        <v>5.010164386108855E-5</v>
      </c>
      <c r="BO1262">
        <f t="shared" si="239"/>
        <v>6.1850328128699205E-5</v>
      </c>
      <c r="BP1262">
        <f t="shared" si="237"/>
        <v>3.7588168299710563</v>
      </c>
    </row>
    <row r="1263" spans="1:68" x14ac:dyDescent="0.15">
      <c r="A1263" s="5">
        <v>45415</v>
      </c>
      <c r="B1263" s="1"/>
      <c r="C1263">
        <v>91.72</v>
      </c>
      <c r="D1263">
        <v>99.58</v>
      </c>
      <c r="E1263">
        <v>87.97</v>
      </c>
      <c r="G1263" s="3">
        <v>5.6489508081118897E-3</v>
      </c>
      <c r="I1263" s="15">
        <f t="shared" si="240"/>
        <v>-1.0890873448049915E-3</v>
      </c>
      <c r="J1263" s="15">
        <f t="shared" si="241"/>
        <v>3.8306451612902764E-3</v>
      </c>
      <c r="K1263" s="15">
        <f t="shared" si="242"/>
        <v>-1.0127152019804271E-2</v>
      </c>
      <c r="L1263" s="32">
        <f t="shared" si="243"/>
        <v>331334.99451788538</v>
      </c>
      <c r="M1263" s="15"/>
      <c r="N1263" s="32">
        <f t="shared" si="244"/>
        <v>-2751600</v>
      </c>
      <c r="O1263" s="34">
        <f t="shared" si="245"/>
        <v>-0.23703515961400834</v>
      </c>
      <c r="P1263" s="34">
        <f t="shared" si="246"/>
        <v>0.60047873368418614</v>
      </c>
      <c r="Q1263" s="34">
        <f t="shared" si="247"/>
        <v>0.60625041404984192</v>
      </c>
      <c r="R1263" s="35" cm="1">
        <f t="array" ref="R1263">SQRT(MMULT(O1263:Q1263, MMULT($AU$32:$AW$34,TRANSPOSE(O1263:Q1263))))</f>
        <v>1.2250078036727683E-2</v>
      </c>
      <c r="S1263" s="36" cm="1">
        <f t="array" ref="S1263:U1263">TRANSPOSE(MMULT($AU$32:$AW$34, TRANSPOSE(O1263:Q1263))/MMULT(O1263:Q1263, MMULT($AU$32:$AW$34,TRANSPOSE(O1263:Q1263))))</f>
        <v>0.22356510991457523</v>
      </c>
      <c r="T1263" s="36">
        <v>1.1413281821110801</v>
      </c>
      <c r="U1263" s="36">
        <v>0.60643173428061925</v>
      </c>
      <c r="V1263" s="35">
        <f t="shared" si="252"/>
        <v>6.3811477995915356E-3</v>
      </c>
      <c r="W1263" s="35">
        <f t="shared" si="253"/>
        <v>3.2576567160559053E-2</v>
      </c>
      <c r="X1263" s="35">
        <f t="shared" si="254"/>
        <v>1.7309188040503663E-2</v>
      </c>
      <c r="Y1263" s="32">
        <f t="shared" si="255"/>
        <v>-17558.366285356071</v>
      </c>
      <c r="Z1263" s="32">
        <f t="shared" si="248"/>
        <v>227078.21904939294</v>
      </c>
      <c r="AA1263" s="32">
        <f t="shared" si="249"/>
        <v>121815.14175384857</v>
      </c>
      <c r="AB1263" s="40">
        <f t="shared" si="256"/>
        <v>-5.2992791512724666E-2</v>
      </c>
      <c r="AC1263" s="40">
        <f t="shared" si="257"/>
        <v>0.68534330151213563</v>
      </c>
      <c r="AD1263" s="40">
        <f t="shared" si="258"/>
        <v>0.36764949000058916</v>
      </c>
      <c r="AE1263" s="40"/>
      <c r="AF1263" s="40"/>
      <c r="AG1263" s="40"/>
      <c r="AH1263" s="40"/>
      <c r="AI1263" s="40"/>
      <c r="AJ1263" s="40"/>
      <c r="AK1263" s="33">
        <f t="shared" si="250"/>
        <v>6970600</v>
      </c>
      <c r="AL1263" s="33">
        <f t="shared" si="251"/>
        <v>7037600</v>
      </c>
      <c r="AM1263" s="34"/>
      <c r="AN1263" s="33"/>
      <c r="AO1263" s="15" cm="1">
        <f t="array" ref="AO1263">SUMPRODUCT(I1263:K1263, TRANSPOSE($AY$5:$AY$7))</f>
        <v>-4.5160695949845965E-3</v>
      </c>
      <c r="AP1263" s="22">
        <f t="shared" si="259"/>
        <v>11608404.442955835</v>
      </c>
      <c r="AQ1263" s="22">
        <f t="shared" si="260"/>
        <v>-52662.188459223136</v>
      </c>
      <c r="AR1263">
        <f t="shared" si="261"/>
        <v>0</v>
      </c>
      <c r="AS1263">
        <f t="shared" si="262"/>
        <v>0</v>
      </c>
      <c r="BJ1263">
        <f t="shared" si="236"/>
        <v>3.1910645232467971E-5</v>
      </c>
      <c r="BK1263">
        <f t="shared" si="238"/>
        <v>4.8339784919026218E-5</v>
      </c>
      <c r="BO1263">
        <f t="shared" si="239"/>
        <v>5.7407326713516864E-5</v>
      </c>
      <c r="BP1263">
        <f t="shared" si="237"/>
        <v>3.6857989597521312</v>
      </c>
    </row>
    <row r="1264" spans="1:68" x14ac:dyDescent="0.15">
      <c r="A1264" s="5">
        <v>45418</v>
      </c>
      <c r="B1264" s="1"/>
      <c r="C1264">
        <v>91.36</v>
      </c>
      <c r="D1264">
        <v>101.55</v>
      </c>
      <c r="E1264">
        <v>88.1</v>
      </c>
      <c r="G1264" s="3">
        <v>4.8533668626646797E-3</v>
      </c>
      <c r="I1264" s="15">
        <f t="shared" si="240"/>
        <v>-3.9249890972525014E-3</v>
      </c>
      <c r="J1264" s="15">
        <f t="shared" si="241"/>
        <v>1.9783088973689484E-2</v>
      </c>
      <c r="K1264" s="15">
        <f t="shared" si="242"/>
        <v>1.4777765147208758E-3</v>
      </c>
      <c r="L1264" s="32">
        <f t="shared" si="243"/>
        <v>336083.92834195745</v>
      </c>
      <c r="M1264" s="15"/>
      <c r="N1264" s="32">
        <f t="shared" si="244"/>
        <v>-2740800</v>
      </c>
      <c r="O1264" s="34">
        <f t="shared" si="245"/>
        <v>-0.23246887339885788</v>
      </c>
      <c r="P1264" s="34">
        <f t="shared" si="246"/>
        <v>0.60292797232770767</v>
      </c>
      <c r="Q1264" s="34">
        <f t="shared" si="247"/>
        <v>0.59779648997196089</v>
      </c>
      <c r="R1264" s="35" cm="1">
        <f t="array" ref="R1264">SQRT(MMULT(O1264:Q1264, MMULT($AU$32:$AW$34,TRANSPOSE(O1264:Q1264))))</f>
        <v>1.2234304602822228E-2</v>
      </c>
      <c r="S1264" s="36" cm="1">
        <f t="array" ref="S1264:U1264">TRANSPOSE(MMULT($AU$32:$AW$34, TRANSPOSE(O1264:Q1264))/MMULT(O1264:Q1264, MMULT($AU$32:$AW$34,TRANSPOSE(O1264:Q1264))))</f>
        <v>0.22521880636915317</v>
      </c>
      <c r="T1264" s="36">
        <v>1.146843952432379</v>
      </c>
      <c r="U1264" s="36">
        <v>0.6037038848880687</v>
      </c>
      <c r="V1264" s="35">
        <f t="shared" si="252"/>
        <v>6.4200714670119233E-3</v>
      </c>
      <c r="W1264" s="35">
        <f t="shared" si="253"/>
        <v>3.269185311309214E-2</v>
      </c>
      <c r="X1264" s="35">
        <f t="shared" si="254"/>
        <v>1.7209140517072678E-2</v>
      </c>
      <c r="Y1264" s="32">
        <f t="shared" si="255"/>
        <v>-17596.131876786279</v>
      </c>
      <c r="Z1264" s="32">
        <f t="shared" si="248"/>
        <v>232390.03785441548</v>
      </c>
      <c r="AA1264" s="32">
        <f t="shared" si="249"/>
        <v>121290.02236432824</v>
      </c>
      <c r="AB1264" s="40">
        <f t="shared" si="256"/>
        <v>-5.2356362184872558E-2</v>
      </c>
      <c r="AC1264" s="40">
        <f t="shared" si="257"/>
        <v>0.69146429881634841</v>
      </c>
      <c r="AD1264" s="40">
        <f t="shared" si="258"/>
        <v>0.36089206336852414</v>
      </c>
      <c r="AE1264" s="40"/>
      <c r="AF1264" s="40"/>
      <c r="AG1264" s="40"/>
      <c r="AH1264" s="40"/>
      <c r="AI1264" s="40"/>
      <c r="AJ1264" s="40"/>
      <c r="AK1264" s="33">
        <f t="shared" si="250"/>
        <v>7108500</v>
      </c>
      <c r="AL1264" s="33">
        <f t="shared" si="251"/>
        <v>7048000</v>
      </c>
      <c r="AM1264" s="34"/>
      <c r="AN1264" s="33"/>
      <c r="AO1264" s="15" cm="1">
        <f t="array" ref="AO1264">SUMPRODUCT(I1264:K1264, TRANSPOSE($AY$5:$AY$7))</f>
        <v>1.5640484443530913E-2</v>
      </c>
      <c r="AP1264" s="22">
        <f t="shared" si="259"/>
        <v>11789965.5120601</v>
      </c>
      <c r="AQ1264" s="22">
        <f t="shared" si="260"/>
        <v>181561.06910426542</v>
      </c>
      <c r="AR1264">
        <f t="shared" si="261"/>
        <v>0</v>
      </c>
      <c r="AS1264">
        <f t="shared" si="262"/>
        <v>0</v>
      </c>
      <c r="BJ1264">
        <f t="shared" si="236"/>
        <v>2.3555169903611597E-5</v>
      </c>
      <c r="BK1264">
        <f t="shared" si="238"/>
        <v>4.7354036537832724E-5</v>
      </c>
      <c r="BO1264">
        <f t="shared" si="239"/>
        <v>5.5513636437475992E-5</v>
      </c>
      <c r="BP1264">
        <f t="shared" si="237"/>
        <v>3.768345789046295</v>
      </c>
    </row>
    <row r="1265" spans="1:68" x14ac:dyDescent="0.15">
      <c r="A1265" s="5">
        <v>45419</v>
      </c>
      <c r="B1265" s="1"/>
      <c r="C1265">
        <v>92.16</v>
      </c>
      <c r="D1265">
        <v>102.5</v>
      </c>
      <c r="E1265">
        <v>89.78</v>
      </c>
      <c r="G1265" s="3">
        <v>1.6359419418423102E-2</v>
      </c>
      <c r="I1265" s="15">
        <f t="shared" si="240"/>
        <v>8.7565674255691457E-3</v>
      </c>
      <c r="J1265" s="15">
        <f t="shared" si="241"/>
        <v>9.3549975381585701E-3</v>
      </c>
      <c r="K1265" s="15">
        <f t="shared" si="242"/>
        <v>1.9069239500567617E-2</v>
      </c>
      <c r="L1265" s="32">
        <f t="shared" si="243"/>
        <v>340419.45911972603</v>
      </c>
      <c r="M1265" s="15"/>
      <c r="N1265" s="32">
        <f t="shared" si="244"/>
        <v>-2764800</v>
      </c>
      <c r="O1265" s="34">
        <f t="shared" si="245"/>
        <v>-0.23064123971295164</v>
      </c>
      <c r="P1265" s="34">
        <f t="shared" si="246"/>
        <v>0.59854271373713397</v>
      </c>
      <c r="Q1265" s="34">
        <f t="shared" si="247"/>
        <v>0.59916002608300922</v>
      </c>
      <c r="R1265" s="35" cm="1">
        <f t="array" ref="R1265">SQRT(MMULT(O1265:Q1265, MMULT($AU$32:$AW$34,TRANSPOSE(O1265:Q1265))))</f>
        <v>1.2187979056418965E-2</v>
      </c>
      <c r="S1265" s="36" cm="1">
        <f t="array" ref="S1265:U1265">TRANSPOSE(MMULT($AU$32:$AW$34, TRANSPOSE(O1265:Q1265))/MMULT(O1265:Q1265, MMULT($AU$32:$AW$34,TRANSPOSE(O1265:Q1265))))</f>
        <v>0.22781623667946743</v>
      </c>
      <c r="T1265" s="36">
        <v>1.1491580192115192</v>
      </c>
      <c r="U1265" s="36">
        <v>0.60872495501278601</v>
      </c>
      <c r="V1265" s="35">
        <f t="shared" si="252"/>
        <v>6.4695234847723772E-3</v>
      </c>
      <c r="W1265" s="35">
        <f t="shared" si="253"/>
        <v>3.2633779318651544E-2</v>
      </c>
      <c r="X1265" s="35">
        <f t="shared" si="254"/>
        <v>1.7286565916559912E-2</v>
      </c>
      <c r="Y1265" s="32">
        <f t="shared" si="255"/>
        <v>-17886.93853069867</v>
      </c>
      <c r="Z1265" s="32">
        <f t="shared" si="248"/>
        <v>234147.36661132483</v>
      </c>
      <c r="AA1265" s="32">
        <f t="shared" si="249"/>
        <v>124159.03103909991</v>
      </c>
      <c r="AB1265" s="40">
        <f t="shared" si="256"/>
        <v>-5.2543819254491579E-2</v>
      </c>
      <c r="AC1265" s="40">
        <f t="shared" si="257"/>
        <v>0.68782015933165219</v>
      </c>
      <c r="AD1265" s="40">
        <f t="shared" si="258"/>
        <v>0.36472365992283945</v>
      </c>
      <c r="AE1265" s="40"/>
      <c r="AF1265" s="40"/>
      <c r="AG1265" s="40"/>
      <c r="AH1265" s="40"/>
      <c r="AI1265" s="40"/>
      <c r="AJ1265" s="40"/>
      <c r="AK1265" s="33">
        <f t="shared" si="250"/>
        <v>7175000</v>
      </c>
      <c r="AL1265" s="33">
        <f t="shared" si="251"/>
        <v>7182400</v>
      </c>
      <c r="AM1265" s="34"/>
      <c r="AN1265" s="33"/>
      <c r="AO1265" s="15" cm="1">
        <f t="array" ref="AO1265">SUMPRODUCT(I1265:K1265, TRANSPOSE($AY$5:$AY$7))</f>
        <v>1.6750096621825063E-2</v>
      </c>
      <c r="AP1265" s="22">
        <f t="shared" si="259"/>
        <v>11987448.573555091</v>
      </c>
      <c r="AQ1265" s="22">
        <f t="shared" si="260"/>
        <v>197483.06149499118</v>
      </c>
      <c r="AR1265">
        <f t="shared" si="261"/>
        <v>0</v>
      </c>
      <c r="AS1265">
        <f t="shared" si="262"/>
        <v>0</v>
      </c>
      <c r="BJ1265">
        <f t="shared" si="236"/>
        <v>2.6763060370787886E-4</v>
      </c>
      <c r="BK1265">
        <f t="shared" si="238"/>
        <v>4.5926104539779455E-5</v>
      </c>
      <c r="BO1265">
        <f t="shared" si="239"/>
        <v>5.2838277521179219E-5</v>
      </c>
      <c r="BP1265">
        <f t="shared" si="237"/>
        <v>1.47265406433098</v>
      </c>
    </row>
    <row r="1266" spans="1:68" x14ac:dyDescent="0.15">
      <c r="A1266" s="5">
        <v>45420</v>
      </c>
      <c r="B1266" s="1"/>
      <c r="C1266">
        <v>94.2</v>
      </c>
      <c r="D1266">
        <v>103.5</v>
      </c>
      <c r="E1266">
        <v>90.54</v>
      </c>
      <c r="G1266" s="3">
        <v>7.7512250658067208E-3</v>
      </c>
      <c r="I1266" s="15">
        <f t="shared" si="240"/>
        <v>2.2135416666666734E-2</v>
      </c>
      <c r="J1266" s="15">
        <f t="shared" si="241"/>
        <v>9.7560975609756097E-3</v>
      </c>
      <c r="K1266" s="15">
        <f t="shared" si="242"/>
        <v>8.4651370015594238E-3</v>
      </c>
      <c r="L1266" s="32">
        <f t="shared" si="243"/>
        <v>343360.28876148741</v>
      </c>
      <c r="M1266" s="15"/>
      <c r="N1266" s="32">
        <f t="shared" si="244"/>
        <v>-2826000</v>
      </c>
      <c r="O1266" s="34">
        <f t="shared" si="245"/>
        <v>-0.23482521635170631</v>
      </c>
      <c r="P1266" s="34">
        <f t="shared" si="246"/>
        <v>0.60202006102905603</v>
      </c>
      <c r="Q1266" s="34">
        <f t="shared" si="247"/>
        <v>0.60187049082755817</v>
      </c>
      <c r="R1266" s="35" cm="1">
        <f t="array" ref="R1266">SQRT(MMULT(O1266:Q1266, MMULT($AU$32:$AW$34,TRANSPOSE(O1266:Q1266))))</f>
        <v>1.224522355184395E-2</v>
      </c>
      <c r="S1266" s="36" cm="1">
        <f t="array" ref="S1266:U1266">TRANSPOSE(MMULT($AU$32:$AW$34, TRANSPOSE(O1266:Q1266))/MMULT(O1266:Q1266, MMULT($AU$32:$AW$34,TRANSPOSE(O1266:Q1266))))</f>
        <v>0.22424428804603369</v>
      </c>
      <c r="T1266" s="36">
        <v>1.1439743760079455</v>
      </c>
      <c r="U1266" s="36">
        <v>0.6047192798829929</v>
      </c>
      <c r="V1266" s="35">
        <f t="shared" si="252"/>
        <v>6.3979969490203055E-3</v>
      </c>
      <c r="W1266" s="35">
        <f t="shared" si="253"/>
        <v>3.2639157194290461E-2</v>
      </c>
      <c r="X1266" s="35">
        <f t="shared" si="254"/>
        <v>1.7253470050086199E-2</v>
      </c>
      <c r="Y1266" s="32">
        <f t="shared" si="255"/>
        <v>-18080.739377931382</v>
      </c>
      <c r="Z1266" s="32">
        <f t="shared" si="248"/>
        <v>236470.69387263438</v>
      </c>
      <c r="AA1266" s="32">
        <f t="shared" si="249"/>
        <v>124970.33426678437</v>
      </c>
      <c r="AB1266" s="40">
        <f t="shared" si="256"/>
        <v>-5.2658213456044212E-2</v>
      </c>
      <c r="AC1266" s="40">
        <f t="shared" si="257"/>
        <v>0.68869552365997966</v>
      </c>
      <c r="AD1266" s="40">
        <f t="shared" si="258"/>
        <v>0.3639626897960645</v>
      </c>
      <c r="AE1266" s="40"/>
      <c r="AF1266" s="40"/>
      <c r="AG1266" s="40"/>
      <c r="AH1266" s="40"/>
      <c r="AI1266" s="40"/>
      <c r="AJ1266" s="40"/>
      <c r="AK1266" s="33">
        <f t="shared" si="250"/>
        <v>7245000</v>
      </c>
      <c r="AL1266" s="33">
        <f t="shared" si="251"/>
        <v>7243200.0000000009</v>
      </c>
      <c r="AM1266" s="34"/>
      <c r="AN1266" s="33"/>
      <c r="AO1266" s="15" cm="1">
        <f t="array" ref="AO1266">SUMPRODUCT(I1266:K1266, TRANSPOSE($AY$5:$AY$7))</f>
        <v>3.923613132876134E-3</v>
      </c>
      <c r="AP1266" s="22">
        <f t="shared" si="259"/>
        <v>12034482.68420797</v>
      </c>
      <c r="AQ1266" s="22">
        <f t="shared" si="260"/>
        <v>47034.110652878881</v>
      </c>
      <c r="AR1266">
        <f t="shared" si="261"/>
        <v>0</v>
      </c>
      <c r="AS1266">
        <f t="shared" si="262"/>
        <v>0</v>
      </c>
      <c r="BJ1266">
        <f t="shared" si="236"/>
        <v>6.00814900207904E-5</v>
      </c>
      <c r="BK1266">
        <f t="shared" si="238"/>
        <v>5.9228374489865424E-5</v>
      </c>
      <c r="BO1266">
        <f t="shared" si="239"/>
        <v>8.5501052019680061E-5</v>
      </c>
      <c r="BP1266">
        <f t="shared" si="237"/>
        <v>3.4132029859874513</v>
      </c>
    </row>
    <row r="1267" spans="1:68" x14ac:dyDescent="0.15">
      <c r="A1267" s="5">
        <v>45422</v>
      </c>
      <c r="B1267" s="1"/>
      <c r="C1267">
        <v>95.18</v>
      </c>
      <c r="D1267">
        <v>106.05</v>
      </c>
      <c r="E1267">
        <v>92.32</v>
      </c>
      <c r="G1267" s="3">
        <v>1.30567351611792E-2</v>
      </c>
      <c r="I1267" s="15">
        <f t="shared" si="240"/>
        <v>1.0403397027600892E-2</v>
      </c>
      <c r="J1267" s="15">
        <f t="shared" si="241"/>
        <v>2.4637681159420263E-2</v>
      </c>
      <c r="K1267" s="15">
        <f t="shared" si="242"/>
        <v>1.965981886459009E-2</v>
      </c>
      <c r="L1267" s="32">
        <f t="shared" si="243"/>
        <v>351456.43077148253</v>
      </c>
      <c r="M1267" s="15"/>
      <c r="N1267" s="32">
        <f t="shared" si="244"/>
        <v>-2855400</v>
      </c>
      <c r="O1267" s="34">
        <f t="shared" si="245"/>
        <v>-0.23112453474399516</v>
      </c>
      <c r="P1267" s="34">
        <f t="shared" si="246"/>
        <v>0.60088008113470903</v>
      </c>
      <c r="Q1267" s="34">
        <f t="shared" si="247"/>
        <v>0.59781234286098284</v>
      </c>
      <c r="R1267" s="35" cm="1">
        <f t="array" ref="R1267">SQRT(MMULT(O1267:Q1267, MMULT($AU$32:$AW$34,TRANSPOSE(O1267:Q1267))))</f>
        <v>1.2209409720914914E-2</v>
      </c>
      <c r="S1267" s="36" cm="1">
        <f t="array" ref="S1267:U1267">TRANSPOSE(MMULT($AU$32:$AW$34, TRANSPOSE(O1267:Q1267))/MMULT(O1267:Q1267, MMULT($AU$32:$AW$34,TRANSPOSE(O1267:Q1267))))</f>
        <v>0.22670991733485288</v>
      </c>
      <c r="T1267" s="36">
        <v>1.1484691159427158</v>
      </c>
      <c r="U1267" s="36">
        <v>0.60605307488900828</v>
      </c>
      <c r="V1267" s="35">
        <f t="shared" si="252"/>
        <v>6.4494266456888083E-3</v>
      </c>
      <c r="W1267" s="35">
        <f t="shared" si="253"/>
        <v>3.267156287288242E-2</v>
      </c>
      <c r="X1267" s="35">
        <f t="shared" si="254"/>
        <v>1.724095220818074E-2</v>
      </c>
      <c r="Y1267" s="32">
        <f t="shared" si="255"/>
        <v>-18415.692844099824</v>
      </c>
      <c r="Z1267" s="32">
        <f t="shared" si="248"/>
        <v>242537.34698684266</v>
      </c>
      <c r="AA1267" s="32">
        <f t="shared" si="249"/>
        <v>127334.77662873967</v>
      </c>
      <c r="AB1267" s="40">
        <f t="shared" si="256"/>
        <v>-5.2398224165867473E-2</v>
      </c>
      <c r="AC1267" s="40">
        <f t="shared" si="257"/>
        <v>0.69009221556836664</v>
      </c>
      <c r="AD1267" s="40">
        <f t="shared" si="258"/>
        <v>0.36230600859750073</v>
      </c>
      <c r="AE1267" s="40"/>
      <c r="AF1267" s="40"/>
      <c r="AG1267" s="40"/>
      <c r="AH1267" s="40"/>
      <c r="AI1267" s="40"/>
      <c r="AJ1267" s="40"/>
      <c r="AK1267" s="33">
        <f t="shared" si="250"/>
        <v>7423500</v>
      </c>
      <c r="AL1267" s="33">
        <f t="shared" si="251"/>
        <v>7385599.9999999991</v>
      </c>
      <c r="AM1267" s="34"/>
      <c r="AN1267" s="33"/>
      <c r="AO1267" s="15" cm="1">
        <f t="array" ref="AO1267">SUMPRODUCT(I1267:K1267, TRANSPOSE($AY$5:$AY$7))</f>
        <v>2.658160706441344E-2</v>
      </c>
      <c r="AP1267" s="22">
        <f t="shared" si="259"/>
        <v>12354378.574143073</v>
      </c>
      <c r="AQ1267" s="22">
        <f t="shared" si="260"/>
        <v>319895.88993510231</v>
      </c>
      <c r="AR1267">
        <f t="shared" si="261"/>
        <v>0</v>
      </c>
      <c r="AS1267">
        <f t="shared" si="262"/>
        <v>0</v>
      </c>
      <c r="BJ1267">
        <f t="shared" si="236"/>
        <v>1.7047833306917324E-4</v>
      </c>
      <c r="BK1267">
        <f t="shared" si="238"/>
        <v>5.9279561421720927E-5</v>
      </c>
      <c r="BO1267">
        <f t="shared" si="239"/>
        <v>8.1561856549659055E-5</v>
      </c>
      <c r="BP1267">
        <f t="shared" si="237"/>
        <v>2.7430497429523131</v>
      </c>
    </row>
    <row r="1268" spans="1:68" x14ac:dyDescent="0.15">
      <c r="A1268" s="5">
        <v>45425</v>
      </c>
      <c r="B1268" s="1"/>
      <c r="C1268">
        <v>95</v>
      </c>
      <c r="D1268">
        <v>104.85</v>
      </c>
      <c r="E1268">
        <v>93.07</v>
      </c>
      <c r="G1268" s="3">
        <v>1.22340542403787E-3</v>
      </c>
      <c r="I1268" s="15">
        <f t="shared" si="240"/>
        <v>-1.8911536036983275E-3</v>
      </c>
      <c r="J1268" s="15">
        <f t="shared" si="241"/>
        <v>-1.1315417256011342E-2</v>
      </c>
      <c r="K1268" s="15">
        <f t="shared" si="242"/>
        <v>8.1239168110918553E-3</v>
      </c>
      <c r="L1268" s="32">
        <f t="shared" si="243"/>
        <v>349790.61278004426</v>
      </c>
      <c r="M1268" s="15"/>
      <c r="N1268" s="32">
        <f t="shared" si="244"/>
        <v>-2850000</v>
      </c>
      <c r="O1268" s="34">
        <f t="shared" si="245"/>
        <v>-0.23085020571946871</v>
      </c>
      <c r="P1268" s="34">
        <f t="shared" si="246"/>
        <v>0.59450002978176864</v>
      </c>
      <c r="Q1268" s="34">
        <f t="shared" si="247"/>
        <v>0.60309413744030738</v>
      </c>
      <c r="R1268" s="35" cm="1">
        <f t="array" ref="R1268">SQRT(MMULT(O1268:Q1268, MMULT($AU$32:$AW$34,TRANSPOSE(O1268:Q1268))))</f>
        <v>1.2160113684061778E-2</v>
      </c>
      <c r="S1268" s="36" cm="1">
        <f t="array" ref="S1268:U1268">TRANSPOSE(MMULT($AU$32:$AW$34, TRANSPOSE(O1268:Q1268))/MMULT(O1268:Q1268, MMULT($AU$32:$AW$34,TRANSPOSE(O1268:Q1268))))</f>
        <v>0.22917077681542505</v>
      </c>
      <c r="T1268" s="36">
        <v>1.1488473480584016</v>
      </c>
      <c r="U1268" s="36">
        <v>0.61336085923056871</v>
      </c>
      <c r="V1268" s="35">
        <f t="shared" si="252"/>
        <v>6.4931104889969409E-3</v>
      </c>
      <c r="W1268" s="35">
        <f t="shared" si="253"/>
        <v>3.2550366454193722E-2</v>
      </c>
      <c r="X1268" s="35">
        <f t="shared" si="254"/>
        <v>1.7378393021802243E-2</v>
      </c>
      <c r="Y1268" s="32">
        <f t="shared" si="255"/>
        <v>-18505.364893641283</v>
      </c>
      <c r="Z1268" s="32">
        <f t="shared" si="248"/>
        <v>238903.41459055481</v>
      </c>
      <c r="AA1268" s="32">
        <f t="shared" si="249"/>
        <v>129392.56308313076</v>
      </c>
      <c r="AB1268" s="40">
        <f t="shared" si="256"/>
        <v>-5.2904120972731332E-2</v>
      </c>
      <c r="AC1268" s="40">
        <f t="shared" si="257"/>
        <v>0.68298978263542576</v>
      </c>
      <c r="AD1268" s="40">
        <f t="shared" si="258"/>
        <v>0.36991433833730564</v>
      </c>
      <c r="AE1268" s="40"/>
      <c r="AF1268" s="40"/>
      <c r="AG1268" s="40"/>
      <c r="AH1268" s="40"/>
      <c r="AI1268" s="40"/>
      <c r="AJ1268" s="40"/>
      <c r="AK1268" s="33">
        <f t="shared" si="250"/>
        <v>7339500</v>
      </c>
      <c r="AL1268" s="33">
        <f t="shared" si="251"/>
        <v>7445599.9999999991</v>
      </c>
      <c r="AM1268" s="34"/>
      <c r="AN1268" s="33"/>
      <c r="AO1268" s="15" cm="1">
        <f t="array" ref="AO1268">SUMPRODUCT(I1268:K1268, TRANSPOSE($AY$5:$AY$7))</f>
        <v>-7.0505881400658756E-4</v>
      </c>
      <c r="AP1268" s="22">
        <f t="shared" si="259"/>
        <v>12345668.010637799</v>
      </c>
      <c r="AQ1268" s="22">
        <f t="shared" si="260"/>
        <v>-8710.5635052733123</v>
      </c>
      <c r="AR1268">
        <f t="shared" si="261"/>
        <v>0</v>
      </c>
      <c r="AS1268">
        <f t="shared" si="262"/>
        <v>0</v>
      </c>
      <c r="BJ1268">
        <f t="shared" si="236"/>
        <v>1.4967208315652806E-6</v>
      </c>
      <c r="BK1268">
        <f t="shared" si="238"/>
        <v>6.5951487720568067E-5</v>
      </c>
      <c r="BO1268">
        <f t="shared" si="239"/>
        <v>9.4194774289617922E-5</v>
      </c>
      <c r="BP1268">
        <f t="shared" si="237"/>
        <v>3.7081895742491766</v>
      </c>
    </row>
    <row r="1269" spans="1:68" x14ac:dyDescent="0.15">
      <c r="A1269" s="5">
        <v>45426</v>
      </c>
      <c r="B1269" s="1"/>
      <c r="C1269">
        <v>94.64</v>
      </c>
      <c r="D1269">
        <v>103.4</v>
      </c>
      <c r="E1269">
        <v>93.49</v>
      </c>
      <c r="G1269" s="3">
        <v>1.3587001055666002E-3</v>
      </c>
      <c r="I1269" s="15">
        <f t="shared" si="240"/>
        <v>-3.7894736842105205E-3</v>
      </c>
      <c r="J1269" s="15">
        <f t="shared" si="241"/>
        <v>-1.3829279923700416E-2</v>
      </c>
      <c r="K1269" s="15">
        <f t="shared" si="242"/>
        <v>4.5127323519931423E-3</v>
      </c>
      <c r="L1269" s="32">
        <f t="shared" si="243"/>
        <v>347149.04925119376</v>
      </c>
      <c r="M1269" s="15"/>
      <c r="N1269" s="32">
        <f t="shared" si="244"/>
        <v>-2839200</v>
      </c>
      <c r="O1269" s="34">
        <f t="shared" si="245"/>
        <v>-0.23096168597195663</v>
      </c>
      <c r="P1269" s="34">
        <f t="shared" si="246"/>
        <v>0.58879285822239436</v>
      </c>
      <c r="Q1269" s="34">
        <f t="shared" si="247"/>
        <v>0.60841386366633488</v>
      </c>
      <c r="R1269" s="35" cm="1">
        <f t="array" ref="R1269">SQRT(MMULT(O1269:Q1269, MMULT($AU$32:$AW$34,TRANSPOSE(O1269:Q1269))))</f>
        <v>1.2120038906356006E-2</v>
      </c>
      <c r="S1269" s="36" cm="1">
        <f t="array" ref="S1269:U1269">TRANSPOSE(MMULT($AU$32:$AW$34, TRANSPOSE(O1269:Q1269))/MMULT(O1269:Q1269, MMULT($AU$32:$AW$34,TRANSPOSE(O1269:Q1269))))</f>
        <v>0.23118856363541956</v>
      </c>
      <c r="T1269" s="36">
        <v>1.1484960778709223</v>
      </c>
      <c r="U1269" s="36">
        <v>0.61992244853691869</v>
      </c>
      <c r="V1269" s="35">
        <f t="shared" si="252"/>
        <v>6.5286935193004216E-3</v>
      </c>
      <c r="W1269" s="35">
        <f t="shared" si="253"/>
        <v>3.243317395389135E-2</v>
      </c>
      <c r="X1269" s="35">
        <f t="shared" si="254"/>
        <v>1.7506418174794876E-2</v>
      </c>
      <c r="Y1269" s="32">
        <f t="shared" si="255"/>
        <v>-18536.266639997757</v>
      </c>
      <c r="Z1269" s="32">
        <f t="shared" si="248"/>
        <v>234751.31307826561</v>
      </c>
      <c r="AA1269" s="32">
        <f t="shared" si="249"/>
        <v>130934.00281292583</v>
      </c>
      <c r="AB1269" s="40">
        <f t="shared" si="256"/>
        <v>-5.3395700434671477E-2</v>
      </c>
      <c r="AC1269" s="40">
        <f t="shared" si="257"/>
        <v>0.67622628834682985</v>
      </c>
      <c r="AD1269" s="40">
        <f t="shared" si="258"/>
        <v>0.37716941208784133</v>
      </c>
      <c r="AE1269" s="40"/>
      <c r="AF1269" s="40"/>
      <c r="AG1269" s="40"/>
      <c r="AH1269" s="40"/>
      <c r="AI1269" s="40"/>
      <c r="AJ1269" s="40"/>
      <c r="AK1269" s="33">
        <f t="shared" si="250"/>
        <v>7238000</v>
      </c>
      <c r="AL1269" s="33">
        <f t="shared" si="251"/>
        <v>7479200</v>
      </c>
      <c r="AM1269" s="34"/>
      <c r="AN1269" s="33"/>
      <c r="AO1269" s="15" cm="1">
        <f t="array" ref="AO1269">SUMPRODUCT(I1269:K1269, TRANSPOSE($AY$5:$AY$7))</f>
        <v>-4.2703231399868914E-3</v>
      </c>
      <c r="AP1269" s="22">
        <f t="shared" si="259"/>
        <v>12292948.018853378</v>
      </c>
      <c r="AQ1269" s="22">
        <f t="shared" si="260"/>
        <v>-52719.991784421727</v>
      </c>
      <c r="AR1269">
        <f t="shared" si="261"/>
        <v>0</v>
      </c>
      <c r="AS1269">
        <f t="shared" si="262"/>
        <v>0</v>
      </c>
      <c r="BJ1269">
        <f t="shared" si="236"/>
        <v>1.8460659768666905E-6</v>
      </c>
      <c r="BK1269">
        <f t="shared" si="238"/>
        <v>6.2084201707227903E-5</v>
      </c>
      <c r="BO1269">
        <f t="shared" si="239"/>
        <v>8.0037374267751129E-5</v>
      </c>
      <c r="BP1269">
        <f t="shared" si="237"/>
        <v>3.786037369204359</v>
      </c>
    </row>
    <row r="1270" spans="1:68" x14ac:dyDescent="0.15">
      <c r="A1270" s="5">
        <v>45427</v>
      </c>
      <c r="B1270" s="1"/>
      <c r="C1270">
        <v>95.54</v>
      </c>
      <c r="D1270">
        <v>103.7</v>
      </c>
      <c r="E1270">
        <v>93.3</v>
      </c>
      <c r="G1270" s="3">
        <v>9.7750933915878805E-3</v>
      </c>
      <c r="I1270" s="15">
        <f t="shared" si="240"/>
        <v>9.5097210481826459E-3</v>
      </c>
      <c r="J1270" s="15">
        <f t="shared" si="241"/>
        <v>2.9013539651837248E-3</v>
      </c>
      <c r="K1270" s="15">
        <f t="shared" si="242"/>
        <v>-2.0323029200983822E-3</v>
      </c>
      <c r="L1270" s="32">
        <f t="shared" si="243"/>
        <v>347389.28158433927</v>
      </c>
      <c r="M1270" s="15"/>
      <c r="N1270" s="32">
        <f t="shared" si="244"/>
        <v>-2866200</v>
      </c>
      <c r="O1270" s="34">
        <f t="shared" si="245"/>
        <v>-0.23393948488283453</v>
      </c>
      <c r="P1270" s="34">
        <f t="shared" si="246"/>
        <v>0.59248019006506725</v>
      </c>
      <c r="Q1270" s="34">
        <f t="shared" si="247"/>
        <v>0.60921230729379561</v>
      </c>
      <c r="R1270" s="35" cm="1">
        <f t="array" ref="R1270">SQRT(MMULT(O1270:Q1270, MMULT($AU$32:$AW$34,TRANSPOSE(O1270:Q1270))))</f>
        <v>1.2169073973564058E-2</v>
      </c>
      <c r="S1270" s="36" cm="1">
        <f t="array" ref="S1270:U1270">TRANSPOSE(MMULT($AU$32:$AW$34, TRANSPOSE(O1270:Q1270))/MMULT(O1270:Q1270, MMULT($AU$32:$AW$34,TRANSPOSE(O1270:Q1270))))</f>
        <v>0.22816039001109448</v>
      </c>
      <c r="T1270" s="36">
        <v>1.1449188198283007</v>
      </c>
      <c r="U1270" s="36">
        <v>0.61560477298114713</v>
      </c>
      <c r="V1270" s="35">
        <f t="shared" si="252"/>
        <v>6.4692465468456075E-3</v>
      </c>
      <c r="W1270" s="35">
        <f t="shared" si="253"/>
        <v>3.2462962222463865E-2</v>
      </c>
      <c r="X1270" s="35">
        <f t="shared" si="254"/>
        <v>1.7454822248665985E-2</v>
      </c>
      <c r="Y1270" s="32">
        <f t="shared" si="255"/>
        <v>-18542.154452568881</v>
      </c>
      <c r="Z1270" s="32">
        <f t="shared" si="248"/>
        <v>235648.64277286519</v>
      </c>
      <c r="AA1270" s="32">
        <f t="shared" si="249"/>
        <v>130282.79326404292</v>
      </c>
      <c r="AB1270" s="40">
        <f t="shared" si="256"/>
        <v>-5.337572410986207E-2</v>
      </c>
      <c r="AC1270" s="40">
        <f t="shared" si="257"/>
        <v>0.67834171998094406</v>
      </c>
      <c r="AD1270" s="40">
        <f t="shared" si="258"/>
        <v>0.37503400412891791</v>
      </c>
      <c r="AE1270" s="40"/>
      <c r="AF1270" s="40"/>
      <c r="AG1270" s="40"/>
      <c r="AH1270" s="40"/>
      <c r="AI1270" s="40"/>
      <c r="AJ1270" s="40"/>
      <c r="AK1270" s="33">
        <f t="shared" si="250"/>
        <v>7259000</v>
      </c>
      <c r="AL1270" s="33">
        <f t="shared" si="251"/>
        <v>7464000</v>
      </c>
      <c r="AM1270" s="34"/>
      <c r="AN1270" s="33"/>
      <c r="AO1270" s="15" cm="1">
        <f t="array" ref="AO1270">SUMPRODUCT(I1270:K1270, TRANSPOSE($AY$5:$AY$7))</f>
        <v>-3.3402557283479838E-3</v>
      </c>
      <c r="AP1270" s="22">
        <f t="shared" si="259"/>
        <v>12251886.428815119</v>
      </c>
      <c r="AQ1270" s="22">
        <f t="shared" si="260"/>
        <v>-41061.590038258582</v>
      </c>
      <c r="AR1270">
        <f t="shared" si="261"/>
        <v>0</v>
      </c>
      <c r="AS1270">
        <f t="shared" si="262"/>
        <v>0</v>
      </c>
      <c r="BJ1270">
        <f t="shared" si="236"/>
        <v>9.5552450814265051E-5</v>
      </c>
      <c r="BK1270">
        <f t="shared" si="238"/>
        <v>5.8469913563406224E-5</v>
      </c>
      <c r="BO1270">
        <f t="shared" si="239"/>
        <v>6.898236335924128E-5</v>
      </c>
      <c r="BP1270">
        <f t="shared" si="237"/>
        <v>3.1793052202665022</v>
      </c>
    </row>
    <row r="1271" spans="1:68" x14ac:dyDescent="0.15">
      <c r="A1271" s="5">
        <v>45428</v>
      </c>
      <c r="B1271" s="1"/>
      <c r="C1271">
        <v>95.42</v>
      </c>
      <c r="D1271">
        <v>107.65</v>
      </c>
      <c r="E1271">
        <v>92.62</v>
      </c>
      <c r="G1271" s="3">
        <v>3.98326930550396E-3</v>
      </c>
      <c r="I1271" s="15">
        <f t="shared" si="240"/>
        <v>-1.2560184216035644E-3</v>
      </c>
      <c r="J1271" s="15">
        <f t="shared" si="241"/>
        <v>3.8090646094503404E-2</v>
      </c>
      <c r="K1271" s="15">
        <f t="shared" si="242"/>
        <v>-7.2883172561628365E-3</v>
      </c>
      <c r="L1271" s="32">
        <f t="shared" si="243"/>
        <v>355486.22764794627</v>
      </c>
      <c r="M1271" s="15"/>
      <c r="N1271" s="32">
        <f t="shared" si="244"/>
        <v>-2862600</v>
      </c>
      <c r="O1271" s="34">
        <f t="shared" si="245"/>
        <v>-0.22902806746800239</v>
      </c>
      <c r="P1271" s="34">
        <f t="shared" si="246"/>
        <v>0.60289282554500523</v>
      </c>
      <c r="Q1271" s="34">
        <f t="shared" si="247"/>
        <v>0.5928199429577693</v>
      </c>
      <c r="R1271" s="35" cm="1">
        <f t="array" ref="R1271">SQRT(MMULT(O1271:Q1271, MMULT($AU$32:$AW$34,TRANSPOSE(O1271:Q1271))))</f>
        <v>1.220660525751815E-2</v>
      </c>
      <c r="S1271" s="36" cm="1">
        <f t="array" ref="S1271:U1271">TRANSPOSE(MMULT($AU$32:$AW$34, TRANSPOSE(O1271:Q1271))/MMULT(O1271:Q1271, MMULT($AU$32:$AW$34,TRANSPOSE(O1271:Q1271))))</f>
        <v>0.22709980694946091</v>
      </c>
      <c r="T1271" s="36">
        <v>1.1513030381354947</v>
      </c>
      <c r="U1271" s="36">
        <v>0.60372444017698967</v>
      </c>
      <c r="V1271" s="35">
        <f t="shared" si="252"/>
        <v>6.4590342351532057E-3</v>
      </c>
      <c r="W1271" s="35">
        <f t="shared" si="253"/>
        <v>3.2744659003642144E-2</v>
      </c>
      <c r="X1271" s="35">
        <f t="shared" si="254"/>
        <v>1.7170762406546979E-2</v>
      </c>
      <c r="Y1271" s="32">
        <f t="shared" si="255"/>
        <v>-18489.631401549566</v>
      </c>
      <c r="Z1271" s="32">
        <f t="shared" si="248"/>
        <v>246747.37792194539</v>
      </c>
      <c r="AA1271" s="32">
        <f t="shared" si="249"/>
        <v>127228.48112755049</v>
      </c>
      <c r="AB1271" s="40">
        <f t="shared" si="256"/>
        <v>-5.2012229907991446E-2</v>
      </c>
      <c r="AC1271" s="40">
        <f t="shared" si="257"/>
        <v>0.69411234172005731</v>
      </c>
      <c r="AD1271" s="40">
        <f t="shared" si="258"/>
        <v>0.35789988818793417</v>
      </c>
      <c r="AE1271" s="40"/>
      <c r="AF1271" s="40"/>
      <c r="AG1271" s="40"/>
      <c r="AH1271" s="40"/>
      <c r="AI1271" s="40"/>
      <c r="AJ1271" s="40"/>
      <c r="AK1271" s="33">
        <f t="shared" si="250"/>
        <v>7535500</v>
      </c>
      <c r="AL1271" s="33">
        <f t="shared" si="251"/>
        <v>7409600</v>
      </c>
      <c r="AM1271" s="34"/>
      <c r="AN1271" s="33"/>
      <c r="AO1271" s="15" cm="1">
        <f t="array" ref="AO1271">SUMPRODUCT(I1271:K1271, TRANSPOSE($AY$5:$AY$7))</f>
        <v>2.0161656007179139E-2</v>
      </c>
      <c r="AP1271" s="22">
        <f t="shared" si="259"/>
        <v>12498904.748431915</v>
      </c>
      <c r="AQ1271" s="22">
        <f t="shared" si="260"/>
        <v>247018.31961679645</v>
      </c>
      <c r="AR1271">
        <f t="shared" si="261"/>
        <v>0</v>
      </c>
      <c r="AS1271">
        <f t="shared" si="262"/>
        <v>0</v>
      </c>
      <c r="BJ1271">
        <f t="shared" si="236"/>
        <v>1.5866434360170001E-5</v>
      </c>
      <c r="BK1271">
        <f t="shared" si="238"/>
        <v>6.0694865798457754E-5</v>
      </c>
      <c r="BO1271">
        <f t="shared" si="239"/>
        <v>7.3656727979232194E-5</v>
      </c>
      <c r="BP1271">
        <f t="shared" si="237"/>
        <v>3.731403739125676</v>
      </c>
    </row>
    <row r="1272" spans="1:68" x14ac:dyDescent="0.15">
      <c r="A1272" s="5">
        <v>45429</v>
      </c>
      <c r="B1272" s="1"/>
      <c r="C1272">
        <v>96.62</v>
      </c>
      <c r="D1272">
        <v>110.1</v>
      </c>
      <c r="E1272">
        <v>93.37</v>
      </c>
      <c r="G1272" s="3">
        <v>7.6448613050601397E-3</v>
      </c>
      <c r="I1272" s="15">
        <f t="shared" si="240"/>
        <v>1.2575979878432224E-2</v>
      </c>
      <c r="J1272" s="15">
        <f t="shared" si="241"/>
        <v>2.2758941012540536E-2</v>
      </c>
      <c r="K1272" s="15">
        <f t="shared" si="242"/>
        <v>8.0976031094795939E-3</v>
      </c>
      <c r="L1272" s="32">
        <f t="shared" si="243"/>
        <v>361904.63341794221</v>
      </c>
      <c r="M1272" s="15"/>
      <c r="N1272" s="32">
        <f t="shared" si="244"/>
        <v>-2898600</v>
      </c>
      <c r="O1272" s="34">
        <f t="shared" si="245"/>
        <v>-0.22826318729273948</v>
      </c>
      <c r="P1272" s="34">
        <f t="shared" si="246"/>
        <v>0.60692209496485994</v>
      </c>
      <c r="Q1272" s="34">
        <f t="shared" si="247"/>
        <v>0.58822697295309689</v>
      </c>
      <c r="R1272" s="35" cm="1">
        <f t="array" ref="R1272">SQRT(MMULT(O1272:Q1272, MMULT($AU$32:$AW$34,TRANSPOSE(O1272:Q1272))))</f>
        <v>1.2231671575058133E-2</v>
      </c>
      <c r="S1272" s="36" cm="1">
        <f t="array" ref="S1272:U1272">TRANSPOSE(MMULT($AU$32:$AW$34, TRANSPOSE(O1272:Q1272))/MMULT(O1272:Q1272, MMULT($AU$32:$AW$34,TRANSPOSE(O1272:Q1272))))</f>
        <v>0.22606104300069257</v>
      </c>
      <c r="T1272" s="36">
        <v>1.1520225365253367</v>
      </c>
      <c r="U1272" s="36">
        <v>0.599111395919395</v>
      </c>
      <c r="V1272" s="35">
        <f t="shared" si="252"/>
        <v>6.442693330985988E-3</v>
      </c>
      <c r="W1272" s="35">
        <f t="shared" si="253"/>
        <v>3.2832405861254958E-2</v>
      </c>
      <c r="X1272" s="35">
        <f t="shared" si="254"/>
        <v>1.7074551828002344E-2</v>
      </c>
      <c r="Y1272" s="32">
        <f t="shared" si="255"/>
        <v>-18674.790889195985</v>
      </c>
      <c r="Z1272" s="32">
        <f t="shared" si="248"/>
        <v>253039.35197269198</v>
      </c>
      <c r="AA1272" s="32">
        <f t="shared" si="249"/>
        <v>127540.0723344463</v>
      </c>
      <c r="AB1272" s="40">
        <f t="shared" si="256"/>
        <v>-5.1601414198059123E-2</v>
      </c>
      <c r="AC1272" s="40">
        <f t="shared" si="257"/>
        <v>0.69918793131468926</v>
      </c>
      <c r="AD1272" s="40">
        <f t="shared" si="258"/>
        <v>0.3524134828833701</v>
      </c>
      <c r="AE1272" s="40"/>
      <c r="AF1272" s="40"/>
      <c r="AG1272" s="40"/>
      <c r="AH1272" s="40"/>
      <c r="AI1272" s="40"/>
      <c r="AJ1272" s="40"/>
      <c r="AK1272" s="33">
        <f t="shared" si="250"/>
        <v>7707000</v>
      </c>
      <c r="AL1272" s="33">
        <f t="shared" si="251"/>
        <v>7469600</v>
      </c>
      <c r="AM1272" s="34"/>
      <c r="AN1272" s="33"/>
      <c r="AO1272" s="15" cm="1">
        <f t="array" ref="AO1272">SUMPRODUCT(I1272:K1272, TRANSPOSE($AY$5:$AY$7))</f>
        <v>1.5968989947826938E-2</v>
      </c>
      <c r="AP1272" s="22">
        <f t="shared" si="259"/>
        <v>12698499.632718472</v>
      </c>
      <c r="AQ1272" s="22">
        <f t="shared" si="260"/>
        <v>199594.88428655639</v>
      </c>
      <c r="AR1272">
        <f t="shared" si="261"/>
        <v>0</v>
      </c>
      <c r="AS1272">
        <f t="shared" si="262"/>
        <v>0</v>
      </c>
      <c r="BJ1272">
        <f t="shared" si="236"/>
        <v>5.8443904373605825E-5</v>
      </c>
      <c r="BK1272">
        <f t="shared" si="238"/>
        <v>5.800515991216049E-5</v>
      </c>
      <c r="BO1272">
        <f t="shared" si="239"/>
        <v>6.5974303070944238E-5</v>
      </c>
      <c r="BP1272">
        <f t="shared" si="237"/>
        <v>3.4512547816841481</v>
      </c>
    </row>
    <row r="1273" spans="1:68" x14ac:dyDescent="0.15">
      <c r="A1273" s="5">
        <v>45433</v>
      </c>
      <c r="B1273" s="1"/>
      <c r="C1273">
        <v>95.3</v>
      </c>
      <c r="D1273">
        <v>110.3</v>
      </c>
      <c r="E1273">
        <v>93.89</v>
      </c>
      <c r="G1273" s="3">
        <v>-3.03138938980129E-3</v>
      </c>
      <c r="I1273" s="15">
        <f t="shared" si="240"/>
        <v>-1.3661767749948327E-2</v>
      </c>
      <c r="J1273" s="15">
        <f t="shared" si="241"/>
        <v>1.8165304268846763E-3</v>
      </c>
      <c r="K1273" s="15">
        <f t="shared" si="242"/>
        <v>5.5692406554567423E-3</v>
      </c>
      <c r="L1273" s="32">
        <f t="shared" si="243"/>
        <v>363332.75038658839</v>
      </c>
      <c r="M1273" s="15"/>
      <c r="N1273" s="32">
        <f t="shared" si="244"/>
        <v>-2859000</v>
      </c>
      <c r="O1273" s="34">
        <f t="shared" si="245"/>
        <v>-0.22276443367397775</v>
      </c>
      <c r="P1273" s="34">
        <f t="shared" si="246"/>
        <v>0.60159642965959503</v>
      </c>
      <c r="Q1273" s="34">
        <f t="shared" si="247"/>
        <v>0.58524946282335844</v>
      </c>
      <c r="R1273" s="35" cm="1">
        <f t="array" ref="R1273">SQRT(MMULT(O1273:Q1273, MMULT($AU$32:$AW$34,TRANSPOSE(O1273:Q1273))))</f>
        <v>1.2150113169477169E-2</v>
      </c>
      <c r="S1273" s="36" cm="1">
        <f t="array" ref="S1273:U1273">TRANSPOSE(MMULT($AU$32:$AW$34, TRANSPOSE(O1273:Q1273))/MMULT(O1273:Q1273, MMULT($AU$32:$AW$34,TRANSPOSE(O1273:Q1273))))</f>
        <v>0.2310654157109889</v>
      </c>
      <c r="T1273" s="36">
        <v>1.1590657087200984</v>
      </c>
      <c r="U1273" s="36">
        <v>0.60518357873746886</v>
      </c>
      <c r="V1273" s="35">
        <f t="shared" si="252"/>
        <v>6.5414073145270719E-3</v>
      </c>
      <c r="W1273" s="35">
        <f t="shared" si="253"/>
        <v>3.2812876309116036E-2</v>
      </c>
      <c r="X1273" s="35">
        <f t="shared" si="254"/>
        <v>1.7132604100028804E-2</v>
      </c>
      <c r="Y1273" s="32">
        <f t="shared" si="255"/>
        <v>-18701.8835122329</v>
      </c>
      <c r="Z1273" s="32">
        <f t="shared" si="248"/>
        <v>253348.2179826849</v>
      </c>
      <c r="AA1273" s="32">
        <f t="shared" si="249"/>
        <v>128686.41591613635</v>
      </c>
      <c r="AB1273" s="40">
        <f t="shared" si="256"/>
        <v>-5.147315647250069E-2</v>
      </c>
      <c r="AC1273" s="40">
        <f t="shared" si="257"/>
        <v>0.69728979210687936</v>
      </c>
      <c r="AD1273" s="40">
        <f t="shared" si="258"/>
        <v>0.35418336436562126</v>
      </c>
      <c r="AE1273" s="40"/>
      <c r="AF1273" s="40"/>
      <c r="AG1273" s="40"/>
      <c r="AH1273" s="40"/>
      <c r="AI1273" s="40"/>
      <c r="AJ1273" s="40"/>
      <c r="AK1273" s="33">
        <f t="shared" si="250"/>
        <v>7721000</v>
      </c>
      <c r="AL1273" s="33">
        <f t="shared" si="251"/>
        <v>7511200</v>
      </c>
      <c r="AM1273" s="34"/>
      <c r="AN1273" s="33"/>
      <c r="AO1273" s="15" cm="1">
        <f t="array" ref="AO1273">SUMPRODUCT(I1273:K1273, TRANSPOSE($AY$5:$AY$7))</f>
        <v>1.0685166069144568E-2</v>
      </c>
      <c r="AP1273" s="22">
        <f t="shared" si="259"/>
        <v>12834185.21012304</v>
      </c>
      <c r="AQ1273" s="22">
        <f t="shared" si="260"/>
        <v>135685.57740456797</v>
      </c>
      <c r="AR1273">
        <f t="shared" si="261"/>
        <v>0</v>
      </c>
      <c r="AS1273">
        <f t="shared" si="262"/>
        <v>0</v>
      </c>
      <c r="BJ1273">
        <f t="shared" si="236"/>
        <v>9.1893216325998374E-6</v>
      </c>
      <c r="BK1273">
        <f t="shared" si="238"/>
        <v>5.803148457984721E-5</v>
      </c>
      <c r="BO1273">
        <f t="shared" si="239"/>
        <v>6.6012263012174747E-5</v>
      </c>
      <c r="BP1273">
        <f t="shared" si="237"/>
        <v>3.8242933412995264</v>
      </c>
    </row>
    <row r="1274" spans="1:68" x14ac:dyDescent="0.15">
      <c r="A1274" s="5">
        <v>45434</v>
      </c>
      <c r="B1274" s="1"/>
      <c r="C1274">
        <v>95.06</v>
      </c>
      <c r="D1274">
        <v>110.7</v>
      </c>
      <c r="E1274">
        <v>93.16</v>
      </c>
      <c r="G1274" s="3">
        <v>-3.5685913551364301E-3</v>
      </c>
      <c r="I1274" s="15">
        <f t="shared" si="240"/>
        <v>-2.5183630640083408E-3</v>
      </c>
      <c r="J1274" s="15">
        <f t="shared" si="241"/>
        <v>3.6264732547597977E-3</v>
      </c>
      <c r="K1274" s="15">
        <f t="shared" si="242"/>
        <v>-7.7750559164980722E-3</v>
      </c>
      <c r="L1274" s="32">
        <f t="shared" si="243"/>
        <v>363301.25863406569</v>
      </c>
      <c r="M1274" s="15"/>
      <c r="N1274" s="32">
        <f t="shared" si="244"/>
        <v>-2851800</v>
      </c>
      <c r="O1274" s="34">
        <f t="shared" si="245"/>
        <v>-0.22272757426972487</v>
      </c>
      <c r="P1274" s="34">
        <f t="shared" si="246"/>
        <v>0.6052023188919623</v>
      </c>
      <c r="Q1274" s="34">
        <f t="shared" si="247"/>
        <v>0.58206889175868071</v>
      </c>
      <c r="R1274" s="35" cm="1">
        <f t="array" ref="R1274">SQRT(MMULT(O1274:Q1274, MMULT($AU$32:$AW$34,TRANSPOSE(O1274:Q1274))))</f>
        <v>1.2177717749636534E-2</v>
      </c>
      <c r="S1274" s="36" cm="1">
        <f t="array" ref="S1274:U1274">TRANSPOSE(MMULT($AU$32:$AW$34, TRANSPOSE(O1274:Q1274))/MMULT(O1274:Q1274, MMULT($AU$32:$AW$34,TRANSPOSE(O1274:Q1274))))</f>
        <v>0.22975362300010671</v>
      </c>
      <c r="T1274" s="36">
        <v>1.158851135673157</v>
      </c>
      <c r="U1274" s="36">
        <v>0.60101661078900759</v>
      </c>
      <c r="V1274" s="35">
        <f t="shared" si="252"/>
        <v>6.5190482207444613E-3</v>
      </c>
      <c r="W1274" s="35">
        <f t="shared" si="253"/>
        <v>3.2881337562691161E-2</v>
      </c>
      <c r="X1274" s="35">
        <f t="shared" si="254"/>
        <v>1.7053294812243838E-2</v>
      </c>
      <c r="Y1274" s="32">
        <f t="shared" si="255"/>
        <v>-18591.021715919054</v>
      </c>
      <c r="Z1274" s="32">
        <f t="shared" si="248"/>
        <v>254797.48477329381</v>
      </c>
      <c r="AA1274" s="32">
        <f t="shared" si="249"/>
        <v>127094.79557669087</v>
      </c>
      <c r="AB1274" s="40">
        <f t="shared" si="256"/>
        <v>-5.1172467130494628E-2</v>
      </c>
      <c r="AC1274" s="40">
        <f t="shared" si="257"/>
        <v>0.70133939455997851</v>
      </c>
      <c r="AD1274" s="40">
        <f t="shared" si="258"/>
        <v>0.34983307257051593</v>
      </c>
      <c r="AE1274" s="40"/>
      <c r="AF1274" s="40"/>
      <c r="AG1274" s="40"/>
      <c r="AH1274" s="40"/>
      <c r="AI1274" s="40"/>
      <c r="AJ1274" s="40"/>
      <c r="AK1274" s="33">
        <f t="shared" si="250"/>
        <v>7749000</v>
      </c>
      <c r="AL1274" s="33">
        <f t="shared" si="251"/>
        <v>7452800</v>
      </c>
      <c r="AM1274" s="34"/>
      <c r="AN1274" s="33"/>
      <c r="AO1274" s="15" cm="1">
        <f t="array" ref="AO1274">SUMPRODUCT(I1274:K1274, TRANSPOSE($AY$5:$AY$7))</f>
        <v>-2.3532888516608367E-3</v>
      </c>
      <c r="AP1274" s="22">
        <f t="shared" si="259"/>
        <v>12803982.665147906</v>
      </c>
      <c r="AQ1274" s="22">
        <f t="shared" si="260"/>
        <v>-30202.544975133613</v>
      </c>
      <c r="AR1274">
        <f t="shared" si="261"/>
        <v>0</v>
      </c>
      <c r="AS1274">
        <f t="shared" si="262"/>
        <v>0</v>
      </c>
      <c r="BJ1274">
        <f t="shared" si="236"/>
        <v>1.2734844259954463E-5</v>
      </c>
      <c r="BK1274">
        <f t="shared" si="238"/>
        <v>5.5100954803012368E-5</v>
      </c>
      <c r="BO1274">
        <f t="shared" si="239"/>
        <v>5.902719101241126E-5</v>
      </c>
      <c r="BP1274">
        <f t="shared" si="237"/>
        <v>3.841944950324057</v>
      </c>
    </row>
    <row r="1275" spans="1:68" x14ac:dyDescent="0.15">
      <c r="A1275" s="5">
        <v>45435</v>
      </c>
      <c r="B1275" s="1"/>
      <c r="C1275">
        <v>93.3</v>
      </c>
      <c r="D1275">
        <v>111.2</v>
      </c>
      <c r="E1275">
        <v>92.77</v>
      </c>
      <c r="G1275" s="3">
        <v>6.7587061444207498E-4</v>
      </c>
      <c r="I1275" s="15">
        <f t="shared" si="240"/>
        <v>-1.8514622343782927E-2</v>
      </c>
      <c r="J1275" s="15">
        <f t="shared" si="241"/>
        <v>4.5167118337850042E-3</v>
      </c>
      <c r="K1275" s="15">
        <f t="shared" si="242"/>
        <v>-4.1863460712752319E-3</v>
      </c>
      <c r="L1275" s="32">
        <f t="shared" si="243"/>
        <v>364267.66372427088</v>
      </c>
      <c r="M1275" s="15"/>
      <c r="N1275" s="32">
        <f t="shared" si="244"/>
        <v>-2799000</v>
      </c>
      <c r="O1275" s="34">
        <f t="shared" si="245"/>
        <v>-0.21704463424715939</v>
      </c>
      <c r="P1275" s="34">
        <f t="shared" si="246"/>
        <v>0.60359965451228603</v>
      </c>
      <c r="Q1275" s="34">
        <f t="shared" si="247"/>
        <v>0.57549784120354341</v>
      </c>
      <c r="R1275" s="35" cm="1">
        <f t="array" ref="R1275">SQRT(MMULT(O1275:Q1275, MMULT($AU$32:$AW$34,TRANSPOSE(O1275:Q1275))))</f>
        <v>1.2123020919657329E-2</v>
      </c>
      <c r="S1275" s="36" cm="1">
        <f t="array" ref="S1275:U1275">TRANSPOSE(MMULT($AU$32:$AW$34, TRANSPOSE(O1275:Q1275))/MMULT(O1275:Q1275, MMULT($AU$32:$AW$34,TRANSPOSE(O1275:Q1275))))</f>
        <v>0.23351841209448521</v>
      </c>
      <c r="T1275" s="36">
        <v>1.1660001641986575</v>
      </c>
      <c r="U1275" s="36">
        <v>0.60275920643941916</v>
      </c>
      <c r="V1275" s="35">
        <f t="shared" si="252"/>
        <v>6.5961102262255909E-3</v>
      </c>
      <c r="W1275" s="35">
        <f t="shared" si="253"/>
        <v>3.2935585412166797E-2</v>
      </c>
      <c r="X1275" s="35">
        <f t="shared" si="254"/>
        <v>1.7025921553192033E-2</v>
      </c>
      <c r="Y1275" s="32">
        <f t="shared" si="255"/>
        <v>-18462.512523205431</v>
      </c>
      <c r="Z1275" s="32">
        <f t="shared" si="248"/>
        <v>256370.59684830636</v>
      </c>
      <c r="AA1275" s="32">
        <f t="shared" si="249"/>
        <v>126359.57939916999</v>
      </c>
      <c r="AB1275" s="40">
        <f t="shared" si="256"/>
        <v>-5.0683918343024985E-2</v>
      </c>
      <c r="AC1275" s="40">
        <f t="shared" si="257"/>
        <v>0.70379729627157839</v>
      </c>
      <c r="AD1275" s="40">
        <f t="shared" si="258"/>
        <v>0.34688662207144672</v>
      </c>
      <c r="AE1275" s="40"/>
      <c r="AF1275" s="40"/>
      <c r="AG1275" s="40"/>
      <c r="AH1275" s="40"/>
      <c r="AI1275" s="40"/>
      <c r="AJ1275" s="40"/>
      <c r="AK1275" s="33">
        <f t="shared" si="250"/>
        <v>7784000</v>
      </c>
      <c r="AL1275" s="33">
        <f t="shared" si="251"/>
        <v>7421600</v>
      </c>
      <c r="AM1275" s="34"/>
      <c r="AN1275" s="33"/>
      <c r="AO1275" s="15" cm="1">
        <f t="array" ref="AO1275">SUMPRODUCT(I1275:K1275, TRANSPOSE($AY$5:$AY$7))</f>
        <v>7.1838822683776152E-3</v>
      </c>
      <c r="AP1275" s="22">
        <f t="shared" si="259"/>
        <v>12895964.969180677</v>
      </c>
      <c r="AQ1275" s="22">
        <f t="shared" si="260"/>
        <v>91982.304032770917</v>
      </c>
      <c r="AR1275">
        <f t="shared" si="261"/>
        <v>0</v>
      </c>
      <c r="AS1275">
        <f t="shared" si="262"/>
        <v>0</v>
      </c>
      <c r="BJ1275">
        <f t="shared" si="236"/>
        <v>4.5680108746630798E-7</v>
      </c>
      <c r="BK1275">
        <f t="shared" si="238"/>
        <v>5.2558988170428894E-5</v>
      </c>
      <c r="BO1275">
        <f t="shared" si="239"/>
        <v>5.4053202488223067E-5</v>
      </c>
      <c r="BP1275">
        <f t="shared" si="237"/>
        <v>3.9896068727474332</v>
      </c>
    </row>
    <row r="1276" spans="1:68" x14ac:dyDescent="0.15">
      <c r="A1276" s="5">
        <v>45436</v>
      </c>
      <c r="B1276" s="1"/>
      <c r="C1276">
        <v>92.42</v>
      </c>
      <c r="D1276">
        <v>112.05</v>
      </c>
      <c r="E1276">
        <v>91.74</v>
      </c>
      <c r="G1276" s="3">
        <v>-2.9290271588428003E-3</v>
      </c>
      <c r="I1276" s="15">
        <f t="shared" si="240"/>
        <v>-9.4319399785637251E-3</v>
      </c>
      <c r="J1276" s="15">
        <f t="shared" si="241"/>
        <v>7.6438848920862799E-3</v>
      </c>
      <c r="K1276" s="15">
        <f t="shared" si="242"/>
        <v>-1.1102727174733224E-2</v>
      </c>
      <c r="L1276" s="32">
        <f t="shared" si="243"/>
        <v>365006.65882402973</v>
      </c>
      <c r="M1276" s="15"/>
      <c r="N1276" s="32">
        <f t="shared" si="244"/>
        <v>-2772600</v>
      </c>
      <c r="O1276" s="34">
        <f t="shared" si="245"/>
        <v>-0.21487693582156525</v>
      </c>
      <c r="P1276" s="34">
        <f t="shared" si="246"/>
        <v>0.60787248291006524</v>
      </c>
      <c r="Q1276" s="34">
        <f t="shared" si="247"/>
        <v>0.56878915363977189</v>
      </c>
      <c r="R1276" s="35" cm="1">
        <f t="array" ref="R1276">SQRT(MMULT(O1276:Q1276, MMULT($AU$32:$AW$34,TRANSPOSE(O1276:Q1276))))</f>
        <v>1.214080404884447E-2</v>
      </c>
      <c r="S1276" s="36" cm="1">
        <f t="array" ref="S1276:U1276">TRANSPOSE(MMULT($AU$32:$AW$34, TRANSPOSE(O1276:Q1276))/MMULT(O1276:Q1276, MMULT($AU$32:$AW$34,TRANSPOSE(O1276:Q1276))))</f>
        <v>0.23311629068688006</v>
      </c>
      <c r="T1276" s="36">
        <v>1.1682018553755618</v>
      </c>
      <c r="U1276" s="36">
        <v>0.59771454798329704</v>
      </c>
      <c r="V1276" s="35">
        <f t="shared" si="252"/>
        <v>6.5944107495673051E-3</v>
      </c>
      <c r="W1276" s="35">
        <f t="shared" si="253"/>
        <v>3.3046179870374191E-2</v>
      </c>
      <c r="X1276" s="35">
        <f t="shared" si="254"/>
        <v>1.6908193025806633E-2</v>
      </c>
      <c r="Y1276" s="32">
        <f t="shared" si="255"/>
        <v>-18283.663244250311</v>
      </c>
      <c r="Z1276" s="32">
        <f t="shared" si="248"/>
        <v>259197.71181327998</v>
      </c>
      <c r="AA1276" s="32">
        <f t="shared" si="249"/>
        <v>124092.61025500004</v>
      </c>
      <c r="AB1276" s="40">
        <f t="shared" si="256"/>
        <v>-5.0091314232886069E-2</v>
      </c>
      <c r="AC1276" s="40">
        <f t="shared" si="257"/>
        <v>0.71011776236728763</v>
      </c>
      <c r="AD1276" s="40">
        <f t="shared" si="258"/>
        <v>0.33997355186559836</v>
      </c>
      <c r="AE1276" s="40"/>
      <c r="AF1276" s="40"/>
      <c r="AG1276" s="40"/>
      <c r="AH1276" s="40"/>
      <c r="AI1276" s="40"/>
      <c r="AJ1276" s="40"/>
      <c r="AK1276" s="33">
        <f t="shared" si="250"/>
        <v>7843500</v>
      </c>
      <c r="AL1276" s="33">
        <f t="shared" si="251"/>
        <v>7339200</v>
      </c>
      <c r="AM1276" s="34"/>
      <c r="AN1276" s="33"/>
      <c r="AO1276" s="15" cm="1">
        <f t="array" ref="AO1276">SUMPRODUCT(I1276:K1276, TRANSPOSE($AY$5:$AY$7))</f>
        <v>5.6100233486997171E-4</v>
      </c>
      <c r="AP1276" s="22">
        <f t="shared" si="259"/>
        <v>12903199.635638788</v>
      </c>
      <c r="AQ1276" s="22">
        <f t="shared" si="260"/>
        <v>7234.6664581112564</v>
      </c>
      <c r="AR1276">
        <f t="shared" si="261"/>
        <v>0</v>
      </c>
      <c r="AS1276">
        <f t="shared" si="262"/>
        <v>0</v>
      </c>
      <c r="BJ1276">
        <f t="shared" si="236"/>
        <v>8.5792000972387275E-6</v>
      </c>
      <c r="BK1276">
        <f t="shared" si="238"/>
        <v>4.9432856945451134E-5</v>
      </c>
      <c r="BO1276">
        <f t="shared" si="239"/>
        <v>4.8403070016800026E-5</v>
      </c>
      <c r="BP1276">
        <f t="shared" si="237"/>
        <v>3.9604126460269224</v>
      </c>
    </row>
    <row r="1277" spans="1:68" x14ac:dyDescent="0.15">
      <c r="A1277" s="5">
        <v>45440</v>
      </c>
      <c r="B1277" s="1"/>
      <c r="C1277">
        <v>91.64</v>
      </c>
      <c r="D1277">
        <v>111.8</v>
      </c>
      <c r="E1277">
        <v>91.11</v>
      </c>
      <c r="G1277" s="3">
        <v>-6.4704320265231898E-3</v>
      </c>
      <c r="I1277" s="15">
        <f t="shared" si="240"/>
        <v>-8.4397316598139056E-3</v>
      </c>
      <c r="J1277" s="15">
        <f t="shared" si="241"/>
        <v>-2.2311468094600626E-3</v>
      </c>
      <c r="K1277" s="15">
        <f t="shared" si="242"/>
        <v>-6.867233485938473E-3</v>
      </c>
      <c r="L1277" s="32">
        <f t="shared" si="243"/>
        <v>363731.00507608824</v>
      </c>
      <c r="M1277" s="15"/>
      <c r="N1277" s="32">
        <f t="shared" si="244"/>
        <v>-2749200</v>
      </c>
      <c r="O1277" s="34">
        <f t="shared" si="245"/>
        <v>-0.21374738512322325</v>
      </c>
      <c r="P1277" s="34">
        <f t="shared" si="246"/>
        <v>0.60846320237681695</v>
      </c>
      <c r="Q1277" s="34">
        <f t="shared" si="247"/>
        <v>0.56669647195043993</v>
      </c>
      <c r="R1277" s="35" cm="1">
        <f t="array" ref="R1277">SQRT(MMULT(O1277:Q1277, MMULT($AU$32:$AW$34,TRANSPOSE(O1277:Q1277))))</f>
        <v>1.213721029781519E-2</v>
      </c>
      <c r="S1277" s="36" cm="1">
        <f t="array" ref="S1277:U1277">TRANSPOSE(MMULT($AU$32:$AW$34, TRANSPOSE(O1277:Q1277))/MMULT(O1277:Q1277, MMULT($AU$32:$AW$34,TRANSPOSE(O1277:Q1277))))</f>
        <v>0.23351995899205341</v>
      </c>
      <c r="T1277" s="36">
        <v>1.1695136010240286</v>
      </c>
      <c r="U1277" s="36">
        <v>0.59698322903251955</v>
      </c>
      <c r="V1277" s="35">
        <f t="shared" si="252"/>
        <v>6.6038743828852947E-3</v>
      </c>
      <c r="W1277" s="35">
        <f t="shared" si="253"/>
        <v>3.3073493775756177E-2</v>
      </c>
      <c r="X1277" s="35">
        <f t="shared" si="254"/>
        <v>1.6882506618434955E-2</v>
      </c>
      <c r="Y1277" s="32">
        <f t="shared" si="255"/>
        <v>-18155.371453428252</v>
      </c>
      <c r="Z1277" s="32">
        <f t="shared" si="248"/>
        <v>258833.16228906784</v>
      </c>
      <c r="AA1277" s="32">
        <f t="shared" si="249"/>
        <v>123053.21424044869</v>
      </c>
      <c r="AB1277" s="40">
        <f t="shared" si="256"/>
        <v>-4.9914280608633739E-2</v>
      </c>
      <c r="AC1277" s="40">
        <f t="shared" si="257"/>
        <v>0.71160599090232357</v>
      </c>
      <c r="AD1277" s="40">
        <f t="shared" si="258"/>
        <v>0.33830828970631033</v>
      </c>
      <c r="AE1277" s="40"/>
      <c r="AF1277" s="40"/>
      <c r="AG1277" s="40"/>
      <c r="AH1277" s="40"/>
      <c r="AI1277" s="40"/>
      <c r="AJ1277" s="40"/>
      <c r="AK1277" s="33">
        <f t="shared" si="250"/>
        <v>7826000</v>
      </c>
      <c r="AL1277" s="33">
        <f t="shared" si="251"/>
        <v>7288800</v>
      </c>
      <c r="AM1277" s="34"/>
      <c r="AN1277" s="33"/>
      <c r="AO1277" s="15" cm="1">
        <f t="array" ref="AO1277">SUMPRODUCT(I1277:K1277, TRANSPOSE($AY$5:$AY$7))</f>
        <v>-3.199819167288359E-3</v>
      </c>
      <c r="AP1277" s="22">
        <f t="shared" si="259"/>
        <v>12861911.730125323</v>
      </c>
      <c r="AQ1277" s="22">
        <f t="shared" si="260"/>
        <v>-41287.905513465405</v>
      </c>
      <c r="AR1277">
        <f t="shared" si="261"/>
        <v>0</v>
      </c>
      <c r="AS1277">
        <f t="shared" si="262"/>
        <v>0</v>
      </c>
      <c r="BJ1277">
        <f t="shared" si="236"/>
        <v>4.1866490609856996E-5</v>
      </c>
      <c r="BK1277">
        <f t="shared" si="238"/>
        <v>4.6981637534558385E-5</v>
      </c>
      <c r="BO1277">
        <f t="shared" si="239"/>
        <v>4.5128019381898591E-5</v>
      </c>
      <c r="BP1277">
        <f t="shared" si="237"/>
        <v>3.620201487832547</v>
      </c>
    </row>
    <row r="1278" spans="1:68" x14ac:dyDescent="0.15">
      <c r="A1278" s="5">
        <v>45441</v>
      </c>
      <c r="B1278" s="1"/>
      <c r="C1278">
        <v>91.18</v>
      </c>
      <c r="D1278">
        <v>113.35</v>
      </c>
      <c r="E1278">
        <v>90.51</v>
      </c>
      <c r="G1278" s="3">
        <v>-5.1261894063331301E-3</v>
      </c>
      <c r="I1278" s="15">
        <f t="shared" si="240"/>
        <v>-5.0196420776952612E-3</v>
      </c>
      <c r="J1278" s="15">
        <f t="shared" si="241"/>
        <v>1.386404293381035E-2</v>
      </c>
      <c r="K1278" s="15">
        <f t="shared" si="242"/>
        <v>-6.5854461639775468E-3</v>
      </c>
      <c r="L1278" s="32">
        <f t="shared" si="243"/>
        <v>366609.66741235735</v>
      </c>
      <c r="M1278" s="15"/>
      <c r="N1278" s="32">
        <f t="shared" si="244"/>
        <v>-2735400</v>
      </c>
      <c r="O1278" s="34">
        <f t="shared" si="245"/>
        <v>-0.21135579852833233</v>
      </c>
      <c r="P1278" s="34">
        <f t="shared" si="246"/>
        <v>0.61307398677453129</v>
      </c>
      <c r="Q1278" s="34">
        <f t="shared" si="247"/>
        <v>0.55947395846455683</v>
      </c>
      <c r="R1278" s="35" cm="1">
        <f t="array" ref="R1278">SQRT(MMULT(O1278:Q1278, MMULT($AU$32:$AW$34,TRANSPOSE(O1278:Q1278))))</f>
        <v>1.2157417092280973E-2</v>
      </c>
      <c r="S1278" s="36" cm="1">
        <f t="array" ref="S1278:U1278">TRANSPOSE(MMULT($AU$32:$AW$34, TRANSPOSE(O1278:Q1278))/MMULT(O1278:Q1278, MMULT($AU$32:$AW$34,TRANSPOSE(O1278:Q1278))))</f>
        <v>0.23309992529812823</v>
      </c>
      <c r="T1278" s="36">
        <v>1.1716927298942041</v>
      </c>
      <c r="U1278" s="36">
        <v>0.59150686578072709</v>
      </c>
      <c r="V1278" s="35">
        <f t="shared" si="252"/>
        <v>6.6029707273472949E-3</v>
      </c>
      <c r="W1278" s="35">
        <f t="shared" si="253"/>
        <v>3.3190284325668958E-2</v>
      </c>
      <c r="X1278" s="35">
        <f t="shared" si="254"/>
        <v>1.6755485934968891E-2</v>
      </c>
      <c r="Y1278" s="32">
        <f t="shared" si="255"/>
        <v>-18061.76612758579</v>
      </c>
      <c r="Z1278" s="32">
        <f t="shared" si="248"/>
        <v>263348.31098202034</v>
      </c>
      <c r="AA1278" s="32">
        <f t="shared" si="249"/>
        <v>121323.12255792275</v>
      </c>
      <c r="AB1278" s="40">
        <f t="shared" si="256"/>
        <v>-4.9267020848280503E-2</v>
      </c>
      <c r="AC1278" s="40">
        <f t="shared" si="257"/>
        <v>0.71833433319097362</v>
      </c>
      <c r="AD1278" s="40">
        <f t="shared" si="258"/>
        <v>0.33093268765730671</v>
      </c>
      <c r="AE1278" s="40"/>
      <c r="AF1278" s="40"/>
      <c r="AG1278" s="40"/>
      <c r="AH1278" s="40"/>
      <c r="AI1278" s="40"/>
      <c r="AJ1278" s="40"/>
      <c r="AK1278" s="33">
        <f t="shared" si="250"/>
        <v>7934500</v>
      </c>
      <c r="AL1278" s="33">
        <f t="shared" si="251"/>
        <v>7240800</v>
      </c>
      <c r="AM1278" s="34"/>
      <c r="AN1278" s="33"/>
      <c r="AO1278" s="15" cm="1">
        <f t="array" ref="AO1278">SUMPRODUCT(I1278:K1278, TRANSPOSE($AY$5:$AY$7))</f>
        <v>6.2390113529451983E-3</v>
      </c>
      <c r="AP1278" s="22">
        <f t="shared" si="259"/>
        <v>12942157.343430152</v>
      </c>
      <c r="AQ1278" s="22">
        <f t="shared" si="260"/>
        <v>80245.613304829225</v>
      </c>
      <c r="AR1278">
        <f t="shared" si="261"/>
        <v>0</v>
      </c>
      <c r="AS1278">
        <f t="shared" si="262"/>
        <v>0</v>
      </c>
      <c r="BJ1278">
        <f t="shared" si="236"/>
        <v>2.627781782960201E-5</v>
      </c>
      <c r="BK1278">
        <f t="shared" si="238"/>
        <v>4.66747287190763E-5</v>
      </c>
      <c r="BO1278">
        <f t="shared" si="239"/>
        <v>4.7299921232260793E-5</v>
      </c>
      <c r="BP1278">
        <f t="shared" si="237"/>
        <v>3.7827837669313547</v>
      </c>
    </row>
    <row r="1279" spans="1:68" x14ac:dyDescent="0.15">
      <c r="A1279" s="5">
        <v>45442</v>
      </c>
      <c r="B1279" s="1"/>
      <c r="C1279">
        <v>94.14</v>
      </c>
      <c r="D1279">
        <v>112.15</v>
      </c>
      <c r="E1279">
        <v>91.23</v>
      </c>
      <c r="G1279" s="3">
        <v>7.6457179490947401E-3</v>
      </c>
      <c r="I1279" s="15">
        <f t="shared" si="240"/>
        <v>3.2463259486729477E-2</v>
      </c>
      <c r="J1279" s="15">
        <f t="shared" si="241"/>
        <v>-1.05866784296426E-2</v>
      </c>
      <c r="K1279" s="15">
        <f t="shared" si="242"/>
        <v>7.9549221080543464E-3</v>
      </c>
      <c r="L1279" s="32">
        <f t="shared" si="243"/>
        <v>364212.68840586569</v>
      </c>
      <c r="M1279" s="15"/>
      <c r="N1279" s="32">
        <f t="shared" si="244"/>
        <v>-2824200</v>
      </c>
      <c r="O1279" s="34">
        <f t="shared" si="245"/>
        <v>-0.22129223954243377</v>
      </c>
      <c r="P1279" s="34">
        <f t="shared" si="246"/>
        <v>0.61513162188509185</v>
      </c>
      <c r="Q1279" s="34">
        <f t="shared" si="247"/>
        <v>0.57187142591760454</v>
      </c>
      <c r="R1279" s="35" cm="1">
        <f t="array" ref="R1279">SQRT(MMULT(O1279:Q1279, MMULT($AU$32:$AW$34,TRANSPOSE(O1279:Q1279))))</f>
        <v>1.224813278234812E-2</v>
      </c>
      <c r="S1279" s="36" cm="1">
        <f t="array" ref="S1279:U1279">TRANSPOSE(MMULT($AU$32:$AW$34, TRANSPOSE(O1279:Q1279))/MMULT(O1279:Q1279, MMULT($AU$32:$AW$34,TRANSPOSE(O1279:Q1279))))</f>
        <v>0.226936205633605</v>
      </c>
      <c r="T1279" s="36">
        <v>1.1591669120267365</v>
      </c>
      <c r="U1279" s="36">
        <v>0.58960630530954983</v>
      </c>
      <c r="V1279" s="35">
        <f t="shared" si="252"/>
        <v>6.4763393367537787E-3</v>
      </c>
      <c r="W1279" s="35">
        <f t="shared" si="253"/>
        <v>3.3080478495100436E-2</v>
      </c>
      <c r="X1279" s="35">
        <f t="shared" si="254"/>
        <v>1.6826272818006652E-2</v>
      </c>
      <c r="Y1279" s="32">
        <f t="shared" si="255"/>
        <v>-18290.477554860023</v>
      </c>
      <c r="Z1279" s="32">
        <f t="shared" si="248"/>
        <v>259698.29642578599</v>
      </c>
      <c r="AA1279" s="32">
        <f t="shared" si="249"/>
        <v>122804.86953493975</v>
      </c>
      <c r="AB1279" s="40">
        <f t="shared" si="256"/>
        <v>-5.0219221177922733E-2</v>
      </c>
      <c r="AC1279" s="40">
        <f t="shared" si="257"/>
        <v>0.71304022263054001</v>
      </c>
      <c r="AD1279" s="40">
        <f t="shared" si="258"/>
        <v>0.33717899854738276</v>
      </c>
      <c r="AE1279" s="40"/>
      <c r="AF1279" s="40"/>
      <c r="AG1279" s="40"/>
      <c r="AH1279" s="40"/>
      <c r="AI1279" s="40"/>
      <c r="AJ1279" s="40"/>
      <c r="AK1279" s="33">
        <f t="shared" si="250"/>
        <v>7850500</v>
      </c>
      <c r="AL1279" s="33">
        <f t="shared" si="251"/>
        <v>7298400</v>
      </c>
      <c r="AM1279" s="34"/>
      <c r="AN1279" s="33"/>
      <c r="AO1279" s="15" cm="1">
        <f t="array" ref="AO1279">SUMPRODUCT(I1279:K1279, TRANSPOSE($AY$5:$AY$7))</f>
        <v>-1.3896297894628942E-2</v>
      </c>
      <c r="AP1279" s="22">
        <f t="shared" si="259"/>
        <v>12762309.269586686</v>
      </c>
      <c r="AQ1279" s="22">
        <f t="shared" si="260"/>
        <v>-179848.07384346612</v>
      </c>
      <c r="AR1279">
        <f t="shared" si="261"/>
        <v>0</v>
      </c>
      <c r="AS1279">
        <f t="shared" si="262"/>
        <v>0</v>
      </c>
      <c r="BJ1279">
        <f t="shared" si="236"/>
        <v>5.8457002957109478E-5</v>
      </c>
      <c r="BK1279">
        <f t="shared" si="238"/>
        <v>4.5450914065707843E-5</v>
      </c>
      <c r="BO1279">
        <f t="shared" si="239"/>
        <v>4.6783373320123291E-5</v>
      </c>
      <c r="BP1279">
        <f t="shared" si="237"/>
        <v>3.4412902214715766</v>
      </c>
    </row>
    <row r="1280" spans="1:68" x14ac:dyDescent="0.15">
      <c r="A1280" s="5">
        <v>45443</v>
      </c>
      <c r="B1280" s="1"/>
      <c r="C1280">
        <v>95.56</v>
      </c>
      <c r="D1280">
        <v>114.7</v>
      </c>
      <c r="E1280">
        <v>93.17</v>
      </c>
      <c r="G1280" s="3">
        <v>9.8419593414251702E-3</v>
      </c>
      <c r="I1280" s="15">
        <f t="shared" si="240"/>
        <v>1.5083917569577244E-2</v>
      </c>
      <c r="J1280" s="15">
        <f t="shared" si="241"/>
        <v>2.2737405260811385E-2</v>
      </c>
      <c r="K1280" s="15">
        <f t="shared" si="242"/>
        <v>2.1264934780225776E-2</v>
      </c>
      <c r="L1280" s="32">
        <f t="shared" si="243"/>
        <v>372453.42652164382</v>
      </c>
      <c r="M1280" s="15"/>
      <c r="N1280" s="32">
        <f t="shared" si="244"/>
        <v>-2866800</v>
      </c>
      <c r="O1280" s="34">
        <f t="shared" si="245"/>
        <v>-0.21922199760827918</v>
      </c>
      <c r="P1280" s="34">
        <f t="shared" si="246"/>
        <v>0.61397147300016519</v>
      </c>
      <c r="Q1280" s="34">
        <f t="shared" si="247"/>
        <v>0.56997107624287346</v>
      </c>
      <c r="R1280" s="35" cm="1">
        <f t="array" ref="R1280">SQRT(MMULT(O1280:Q1280, MMULT($AU$32:$AW$34,TRANSPOSE(O1280:Q1280))))</f>
        <v>1.2223702966523841E-2</v>
      </c>
      <c r="S1280" s="36" cm="1">
        <f t="array" ref="S1280:U1280">TRANSPOSE(MMULT($AU$32:$AW$34, TRANSPOSE(O1280:Q1280))/MMULT(O1280:Q1280, MMULT($AU$32:$AW$34,TRANSPOSE(O1280:Q1280))))</f>
        <v>0.22848954102546729</v>
      </c>
      <c r="T1280" s="36">
        <v>1.1618092081386007</v>
      </c>
      <c r="U1280" s="36">
        <v>0.59085844315139546</v>
      </c>
      <c r="V1280" s="35">
        <f t="shared" si="252"/>
        <v>6.5076626934547355E-3</v>
      </c>
      <c r="W1280" s="35">
        <f t="shared" si="253"/>
        <v>3.3089752847256376E-2</v>
      </c>
      <c r="X1280" s="35">
        <f t="shared" si="254"/>
        <v>1.6828373983124718E-2</v>
      </c>
      <c r="Y1280" s="32">
        <f t="shared" si="255"/>
        <v>-18656.167409596037</v>
      </c>
      <c r="Z1280" s="32">
        <f t="shared" si="248"/>
        <v>265677.62561062147</v>
      </c>
      <c r="AA1280" s="32">
        <f t="shared" si="249"/>
        <v>125431.9683206184</v>
      </c>
      <c r="AB1280" s="40">
        <f t="shared" si="256"/>
        <v>-5.0089933616201808E-2</v>
      </c>
      <c r="AC1280" s="40">
        <f t="shared" si="257"/>
        <v>0.71331771086601226</v>
      </c>
      <c r="AD1280" s="40">
        <f t="shared" si="258"/>
        <v>0.33677222275018959</v>
      </c>
      <c r="AE1280" s="40"/>
      <c r="AF1280" s="40"/>
      <c r="AG1280" s="40"/>
      <c r="AH1280" s="40"/>
      <c r="AI1280" s="40"/>
      <c r="AJ1280" s="40"/>
      <c r="AK1280" s="33">
        <f t="shared" si="250"/>
        <v>8029000</v>
      </c>
      <c r="AL1280" s="33">
        <f t="shared" si="251"/>
        <v>7453600</v>
      </c>
      <c r="AM1280" s="34"/>
      <c r="AN1280" s="33"/>
      <c r="AO1280" s="15" cm="1">
        <f t="array" ref="AO1280">SUMPRODUCT(I1280:K1280, TRANSPOSE($AY$5:$AY$7))</f>
        <v>2.4669950521404957E-2</v>
      </c>
      <c r="AP1280" s="22">
        <f t="shared" si="259"/>
        <v>13077154.807806257</v>
      </c>
      <c r="AQ1280" s="22">
        <f t="shared" si="260"/>
        <v>314845.53821957111</v>
      </c>
      <c r="AR1280">
        <f t="shared" si="261"/>
        <v>0</v>
      </c>
      <c r="AS1280">
        <f t="shared" si="262"/>
        <v>0</v>
      </c>
      <c r="BJ1280">
        <f t="shared" si="236"/>
        <v>9.6864163678266171E-5</v>
      </c>
      <c r="BK1280">
        <f t="shared" si="238"/>
        <v>4.6231279399191939E-5</v>
      </c>
      <c r="BO1280">
        <f t="shared" si="239"/>
        <v>5.0961169700364569E-5</v>
      </c>
      <c r="BP1280">
        <f t="shared" si="237"/>
        <v>3.0729125071818424</v>
      </c>
    </row>
    <row r="1281" spans="1:68" x14ac:dyDescent="0.15">
      <c r="A1281" s="5">
        <v>45446</v>
      </c>
      <c r="B1281" s="1"/>
      <c r="C1281">
        <v>96.46</v>
      </c>
      <c r="D1281">
        <v>113.55</v>
      </c>
      <c r="E1281">
        <v>92.73</v>
      </c>
      <c r="G1281" s="3">
        <v>5.14890538259704E-4</v>
      </c>
      <c r="I1281" s="15">
        <f t="shared" si="240"/>
        <v>9.4181665969023803E-3</v>
      </c>
      <c r="J1281" s="15">
        <f t="shared" si="241"/>
        <v>-1.0026155187445559E-2</v>
      </c>
      <c r="K1281" s="15">
        <f t="shared" si="242"/>
        <v>-4.7225501770956071E-3</v>
      </c>
      <c r="L1281" s="32">
        <f t="shared" si="243"/>
        <v>369023.84290805797</v>
      </c>
      <c r="M1281" s="15"/>
      <c r="N1281" s="32">
        <f t="shared" si="244"/>
        <v>-2893800</v>
      </c>
      <c r="O1281" s="34">
        <f t="shared" si="245"/>
        <v>-0.22437958219809548</v>
      </c>
      <c r="P1281" s="34">
        <f t="shared" si="246"/>
        <v>0.61631111656008086</v>
      </c>
      <c r="Q1281" s="34">
        <f t="shared" si="247"/>
        <v>0.57520820118126736</v>
      </c>
      <c r="R1281" s="35" cm="1">
        <f t="array" ref="R1281">SQRT(MMULT(O1281:Q1281, MMULT($AU$32:$AW$34,TRANSPOSE(O1281:Q1281))))</f>
        <v>1.2280423070077847E-2</v>
      </c>
      <c r="S1281" s="36" cm="1">
        <f t="array" ref="S1281:U1281">TRANSPOSE(MMULT($AU$32:$AW$34, TRANSPOSE(O1281:Q1281))/MMULT(O1281:Q1281, MMULT($AU$32:$AW$34,TRANSPOSE(O1281:Q1281))))</f>
        <v>0.22484260941840098</v>
      </c>
      <c r="T1281" s="36">
        <v>1.1552791807323533</v>
      </c>
      <c r="U1281" s="36">
        <v>0.58837597977711187</v>
      </c>
      <c r="V1281" s="35">
        <f t="shared" si="252"/>
        <v>6.4335083170630851E-3</v>
      </c>
      <c r="W1281" s="35">
        <f t="shared" si="253"/>
        <v>3.3056448851029707E-2</v>
      </c>
      <c r="X1281" s="35">
        <f t="shared" si="254"/>
        <v>1.6835428877327387E-2</v>
      </c>
      <c r="Y1281" s="32">
        <f t="shared" si="255"/>
        <v>-18617.286367917157</v>
      </c>
      <c r="Z1281" s="32">
        <f t="shared" si="248"/>
        <v>262749.1836924096</v>
      </c>
      <c r="AA1281" s="32">
        <f t="shared" si="249"/>
        <v>124891.9455835655</v>
      </c>
      <c r="AB1281" s="40">
        <f t="shared" si="256"/>
        <v>-5.045009076163038E-2</v>
      </c>
      <c r="AC1281" s="40">
        <f t="shared" si="257"/>
        <v>0.71201140181577205</v>
      </c>
      <c r="AD1281" s="40">
        <f t="shared" si="258"/>
        <v>0.33843868894585827</v>
      </c>
      <c r="AE1281" s="40"/>
      <c r="AF1281" s="40"/>
      <c r="AG1281" s="40"/>
      <c r="AH1281" s="40"/>
      <c r="AI1281" s="40"/>
      <c r="AJ1281" s="40"/>
      <c r="AK1281" s="33">
        <f t="shared" si="250"/>
        <v>7948500</v>
      </c>
      <c r="AL1281" s="33">
        <f t="shared" si="251"/>
        <v>7418400</v>
      </c>
      <c r="AM1281" s="34"/>
      <c r="AN1281" s="33"/>
      <c r="AO1281" s="15" cm="1">
        <f t="array" ref="AO1281">SUMPRODUCT(I1281:K1281, TRANSPOSE($AY$5:$AY$7))</f>
        <v>-1.3784299196640542E-2</v>
      </c>
      <c r="AP1281" s="22">
        <f t="shared" si="259"/>
        <v>12896895.393294668</v>
      </c>
      <c r="AQ1281" s="22">
        <f t="shared" si="260"/>
        <v>-180259.41451158933</v>
      </c>
      <c r="AR1281">
        <f t="shared" si="261"/>
        <v>0</v>
      </c>
      <c r="AS1281">
        <f t="shared" si="262"/>
        <v>0</v>
      </c>
      <c r="BJ1281">
        <f t="shared" si="236"/>
        <v>2.6511226638936769E-7</v>
      </c>
      <c r="BK1281">
        <f t="shared" si="238"/>
        <v>4.9269252455936397E-5</v>
      </c>
      <c r="BO1281">
        <f t="shared" si="239"/>
        <v>5.9708099772846355E-5</v>
      </c>
      <c r="BP1281">
        <f t="shared" si="237"/>
        <v>3.9418628333528853</v>
      </c>
    </row>
    <row r="1282" spans="1:68" x14ac:dyDescent="0.15">
      <c r="A1282" s="5">
        <v>45447</v>
      </c>
      <c r="B1282" s="1"/>
      <c r="C1282">
        <v>97.6</v>
      </c>
      <c r="D1282">
        <v>111.55</v>
      </c>
      <c r="E1282">
        <v>92.73</v>
      </c>
      <c r="G1282" s="3">
        <v>1.58337338583169E-4</v>
      </c>
      <c r="I1282" s="15">
        <f t="shared" si="240"/>
        <v>1.1818370308936354E-2</v>
      </c>
      <c r="J1282" s="15">
        <f t="shared" si="241"/>
        <v>-1.7613386173491855E-2</v>
      </c>
      <c r="K1282" s="15">
        <f t="shared" si="242"/>
        <v>0</v>
      </c>
      <c r="L1282" s="32">
        <f t="shared" si="243"/>
        <v>364184.54520419927</v>
      </c>
      <c r="M1282" s="15"/>
      <c r="N1282" s="32">
        <f t="shared" si="244"/>
        <v>-2928000</v>
      </c>
      <c r="O1282" s="34">
        <f t="shared" si="245"/>
        <v>-0.23077865628196881</v>
      </c>
      <c r="P1282" s="34">
        <f t="shared" si="246"/>
        <v>0.6154491590087956</v>
      </c>
      <c r="Q1282" s="34">
        <f t="shared" si="247"/>
        <v>0.58470231685866036</v>
      </c>
      <c r="R1282" s="35" cm="1">
        <f t="array" ref="R1282">SQRT(MMULT(O1282:Q1282, MMULT($AU$32:$AW$34,TRANSPOSE(O1282:Q1282))))</f>
        <v>1.2319417080150366E-2</v>
      </c>
      <c r="S1282" s="36" cm="1">
        <f t="array" ref="S1282:U1282">TRANSPOSE(MMULT($AU$32:$AW$34, TRANSPOSE(O1282:Q1282))/MMULT(O1282:Q1282, MMULT($AU$32:$AW$34,TRANSPOSE(O1282:Q1282))))</f>
        <v>0.22169060183399067</v>
      </c>
      <c r="T1282" s="36">
        <v>1.1478944402058446</v>
      </c>
      <c r="U1282" s="36">
        <v>0.58951500859086192</v>
      </c>
      <c r="V1282" s="35">
        <f t="shared" si="252"/>
        <v>6.3634606391099755E-3</v>
      </c>
      <c r="W1282" s="35">
        <f t="shared" si="253"/>
        <v>3.2949439568813958E-2</v>
      </c>
      <c r="X1282" s="35">
        <f t="shared" si="254"/>
        <v>1.6921581349405464E-2</v>
      </c>
      <c r="Y1282" s="32">
        <f t="shared" si="255"/>
        <v>-18632.212751314008</v>
      </c>
      <c r="Z1282" s="32">
        <f t="shared" si="248"/>
        <v>257285.69887308381</v>
      </c>
      <c r="AA1282" s="32">
        <f t="shared" si="249"/>
        <v>125531.05908242949</v>
      </c>
      <c r="AB1282" s="40">
        <f t="shared" si="256"/>
        <v>-5.1161459201589335E-2</v>
      </c>
      <c r="AC1282" s="40">
        <f t="shared" si="257"/>
        <v>0.70647066785555934</v>
      </c>
      <c r="AD1282" s="40">
        <f t="shared" si="258"/>
        <v>0.34469079134603003</v>
      </c>
      <c r="AE1282" s="40"/>
      <c r="AF1282" s="40"/>
      <c r="AG1282" s="40"/>
      <c r="AH1282" s="40"/>
      <c r="AI1282" s="40"/>
      <c r="AJ1282" s="40"/>
      <c r="AK1282" s="33">
        <f t="shared" si="250"/>
        <v>7808500</v>
      </c>
      <c r="AL1282" s="33">
        <f t="shared" si="251"/>
        <v>7418400</v>
      </c>
      <c r="AM1282" s="34"/>
      <c r="AN1282" s="33"/>
      <c r="AO1282" s="15" cm="1">
        <f t="array" ref="AO1282">SUMPRODUCT(I1282:K1282, TRANSPOSE($AY$5:$AY$7))</f>
        <v>-1.623752019386622E-2</v>
      </c>
      <c r="AP1282" s="22">
        <f t="shared" si="259"/>
        <v>12687481.793907864</v>
      </c>
      <c r="AQ1282" s="22">
        <f t="shared" si="260"/>
        <v>-209413.59938680381</v>
      </c>
      <c r="AR1282">
        <f t="shared" si="261"/>
        <v>0</v>
      </c>
      <c r="AS1282">
        <f t="shared" si="262"/>
        <v>0</v>
      </c>
      <c r="BJ1282">
        <f t="shared" ref="BJ1282:BJ1345" si="263">G1282^2</f>
        <v>2.50707127896011E-8</v>
      </c>
      <c r="BK1282">
        <f t="shared" si="238"/>
        <v>4.632900404456357E-5</v>
      </c>
      <c r="BO1282">
        <f t="shared" si="239"/>
        <v>5.281135131270868E-5</v>
      </c>
      <c r="BP1282">
        <f t="shared" ref="BP1282:BP1345" si="264" xml:space="preserve"> -0.5 * (LN(2 * PI()) + LN(BO1282) + (BJ1282) / BO1282)</f>
        <v>4.005216307459591</v>
      </c>
    </row>
    <row r="1283" spans="1:68" x14ac:dyDescent="0.15">
      <c r="A1283" s="5">
        <v>45448</v>
      </c>
      <c r="B1283" s="1"/>
      <c r="C1283">
        <v>97.72</v>
      </c>
      <c r="D1283">
        <v>112.8</v>
      </c>
      <c r="E1283">
        <v>94.5</v>
      </c>
      <c r="G1283" s="3">
        <v>1.1747588784239E-2</v>
      </c>
      <c r="I1283" s="15">
        <f t="shared" si="240"/>
        <v>1.2295081967213582E-3</v>
      </c>
      <c r="J1283" s="15">
        <f t="shared" si="241"/>
        <v>1.1205737337516808E-2</v>
      </c>
      <c r="K1283" s="15">
        <f t="shared" si="242"/>
        <v>1.908767389194431E-2</v>
      </c>
      <c r="L1283" s="32">
        <f t="shared" si="243"/>
        <v>369444.44936604099</v>
      </c>
      <c r="M1283" s="15"/>
      <c r="N1283" s="32">
        <f t="shared" si="244"/>
        <v>-2931600</v>
      </c>
      <c r="O1283" s="34">
        <f t="shared" si="245"/>
        <v>-0.22632140240387907</v>
      </c>
      <c r="P1283" s="34">
        <f t="shared" si="246"/>
        <v>0.60957627008494653</v>
      </c>
      <c r="Q1283" s="34">
        <f t="shared" si="247"/>
        <v>0.58363685433665091</v>
      </c>
      <c r="R1283" s="35" cm="1">
        <f t="array" ref="R1283">SQRT(MMULT(O1283:Q1283, MMULT($AU$32:$AW$34,TRANSPOSE(O1283:Q1283))))</f>
        <v>1.2240922194979919E-2</v>
      </c>
      <c r="S1283" s="36" cm="1">
        <f t="array" ref="S1283:U1283">TRANSPOSE(MMULT($AU$32:$AW$34, TRANSPOSE(O1283:Q1283))/MMULT(O1283:Q1283, MMULT($AU$32:$AW$34,TRANSPOSE(O1283:Q1283))))</f>
        <v>0.22622439112310402</v>
      </c>
      <c r="T1283" s="36">
        <v>1.1537417980744402</v>
      </c>
      <c r="U1283" s="36">
        <v>0.59609977841623785</v>
      </c>
      <c r="V1283" s="35">
        <f t="shared" si="252"/>
        <v>6.4522247469029695E-3</v>
      </c>
      <c r="W1283" s="35">
        <f t="shared" si="253"/>
        <v>3.2906272149148305E-2</v>
      </c>
      <c r="X1283" s="35">
        <f t="shared" si="254"/>
        <v>1.7001569648728392E-2</v>
      </c>
      <c r="Y1283" s="32">
        <f t="shared" si="255"/>
        <v>-18915.342068020746</v>
      </c>
      <c r="Z1283" s="32">
        <f t="shared" si="248"/>
        <v>259827.92488967502</v>
      </c>
      <c r="AA1283" s="32">
        <f t="shared" si="249"/>
        <v>128531.86654438663</v>
      </c>
      <c r="AB1283" s="40">
        <f t="shared" si="256"/>
        <v>-5.1199421456944554E-2</v>
      </c>
      <c r="AC1283" s="40">
        <f t="shared" si="257"/>
        <v>0.70329362191131672</v>
      </c>
      <c r="AD1283" s="40">
        <f t="shared" si="258"/>
        <v>0.34790579954562761</v>
      </c>
      <c r="AE1283" s="40"/>
      <c r="AF1283" s="40"/>
      <c r="AG1283" s="40"/>
      <c r="AH1283" s="40"/>
      <c r="AI1283" s="40"/>
      <c r="AJ1283" s="40"/>
      <c r="AK1283" s="33">
        <f t="shared" si="250"/>
        <v>7896000</v>
      </c>
      <c r="AL1283" s="33">
        <f t="shared" si="251"/>
        <v>7560000</v>
      </c>
      <c r="AM1283" s="34"/>
      <c r="AN1283" s="33"/>
      <c r="AO1283" s="15" cm="1">
        <f t="array" ref="AO1283">SUMPRODUCT(I1283:K1283, TRANSPOSE($AY$5:$AY$7))</f>
        <v>2.0948076837895641E-2</v>
      </c>
      <c r="AP1283" s="22">
        <f t="shared" si="259"/>
        <v>12953260.137406047</v>
      </c>
      <c r="AQ1283" s="22">
        <f t="shared" si="260"/>
        <v>265778.34349818341</v>
      </c>
      <c r="AR1283">
        <f t="shared" si="261"/>
        <v>0</v>
      </c>
      <c r="AS1283">
        <f t="shared" si="262"/>
        <v>0</v>
      </c>
      <c r="BJ1283">
        <f t="shared" si="263"/>
        <v>1.3800584224357793E-4</v>
      </c>
      <c r="BK1283">
        <f t="shared" ref="BK1283:BK1346" si="265">$BM$2 * BK1282 + (1 - $BM$2) * BJ1282</f>
        <v>4.3550768044657131E-5</v>
      </c>
      <c r="BO1283">
        <f t="shared" ref="BO1283:BO1346" si="266" xml:space="preserve"> $BR$2 + $BS$2 * BJ1282 + $BT$2 * BO1282</f>
        <v>4.736750113683044E-5</v>
      </c>
      <c r="BP1283">
        <f t="shared" si="264"/>
        <v>2.603091938360365</v>
      </c>
    </row>
    <row r="1284" spans="1:68" x14ac:dyDescent="0.15">
      <c r="A1284" s="5">
        <v>45449</v>
      </c>
      <c r="B1284" s="1"/>
      <c r="C1284">
        <v>98.34</v>
      </c>
      <c r="D1284">
        <v>113.1</v>
      </c>
      <c r="E1284">
        <v>94.99</v>
      </c>
      <c r="G1284" s="3">
        <v>7.5086245215469907E-3</v>
      </c>
      <c r="I1284" s="15">
        <f t="shared" ref="I1284:I1347" si="267">(C1284-C1283)/C1283</f>
        <v>6.3446582071224368E-3</v>
      </c>
      <c r="J1284" s="15">
        <f t="shared" ref="J1284:J1347" si="268">(D1284-D1283)/D1283</f>
        <v>2.6595744680850812E-3</v>
      </c>
      <c r="K1284" s="15">
        <f t="shared" ref="K1284:K1347" si="269">(E1284-E1283)/E1283</f>
        <v>5.1851851851851313E-3</v>
      </c>
      <c r="L1284" s="32">
        <f t="shared" si="243"/>
        <v>370682.0961769222</v>
      </c>
      <c r="M1284" s="15"/>
      <c r="N1284" s="32">
        <f t="shared" si="244"/>
        <v>-2950200</v>
      </c>
      <c r="O1284" s="34">
        <f t="shared" si="245"/>
        <v>-0.22706073916479319</v>
      </c>
      <c r="P1284" s="34">
        <f t="shared" si="246"/>
        <v>0.60932813774241334</v>
      </c>
      <c r="Q1284" s="34">
        <f t="shared" si="247"/>
        <v>0.58486881196566221</v>
      </c>
      <c r="R1284" s="35" cm="1">
        <f t="array" ref="R1284">SQRT(MMULT(O1284:Q1284, MMULT($AU$32:$AW$34,TRANSPOSE(O1284:Q1284))))</f>
        <v>1.2244365298444438E-2</v>
      </c>
      <c r="S1284" s="36" cm="1">
        <f t="array" ref="S1284:U1284">TRANSPOSE(MMULT($AU$32:$AW$34, TRANSPOSE(O1284:Q1284))/MMULT(O1284:Q1284, MMULT($AU$32:$AW$34,TRANSPOSE(O1284:Q1284))))</f>
        <v>0.2259085296336277</v>
      </c>
      <c r="T1284" s="36">
        <v>1.1528799953209843</v>
      </c>
      <c r="U1284" s="36">
        <v>0.59639483247621761</v>
      </c>
      <c r="V1284" s="35">
        <f t="shared" si="252"/>
        <v>6.4450282868238331E-3</v>
      </c>
      <c r="W1284" s="35">
        <f t="shared" si="253"/>
        <v>3.2890941272591179E-2</v>
      </c>
      <c r="X1284" s="35">
        <f t="shared" si="254"/>
        <v>1.7014769524898082E-2</v>
      </c>
      <c r="Y1284" s="32">
        <f t="shared" si="255"/>
        <v>-19014.122451787673</v>
      </c>
      <c r="Z1284" s="32">
        <f t="shared" si="248"/>
        <v>260397.58205510437</v>
      </c>
      <c r="AA1284" s="32">
        <f t="shared" si="249"/>
        <v>129298.6365736055</v>
      </c>
      <c r="AB1284" s="40">
        <f t="shared" si="256"/>
        <v>-5.1294957722243094E-2</v>
      </c>
      <c r="AC1284" s="40">
        <f t="shared" si="257"/>
        <v>0.70248222058941756</v>
      </c>
      <c r="AD1284" s="40">
        <f t="shared" si="258"/>
        <v>0.34881273713282551</v>
      </c>
      <c r="AE1284" s="40"/>
      <c r="AF1284" s="40"/>
      <c r="AG1284" s="40"/>
      <c r="AH1284" s="40"/>
      <c r="AI1284" s="40"/>
      <c r="AJ1284" s="40"/>
      <c r="AK1284" s="33">
        <f t="shared" si="250"/>
        <v>7917000</v>
      </c>
      <c r="AL1284" s="33">
        <f t="shared" si="251"/>
        <v>7599200</v>
      </c>
      <c r="AM1284" s="34"/>
      <c r="AN1284" s="33"/>
      <c r="AO1284" s="15" cm="1">
        <f t="array" ref="AO1284">SUMPRODUCT(I1284:K1284, TRANSPOSE($AY$5:$AY$7))</f>
        <v>3.0678803603715003E-3</v>
      </c>
      <c r="AP1284" s="22">
        <f t="shared" si="259"/>
        <v>12992999.189784378</v>
      </c>
      <c r="AQ1284" s="22">
        <f t="shared" si="260"/>
        <v>39739.05237833038</v>
      </c>
      <c r="AR1284">
        <f t="shared" si="261"/>
        <v>0</v>
      </c>
      <c r="AS1284">
        <f t="shared" si="262"/>
        <v>0</v>
      </c>
      <c r="BJ1284">
        <f t="shared" si="263"/>
        <v>5.6379442205576773E-5</v>
      </c>
      <c r="BK1284">
        <f t="shared" si="265"/>
        <v>4.9218072496592383E-5</v>
      </c>
      <c r="BO1284">
        <f t="shared" si="266"/>
        <v>6.274870789805394E-5</v>
      </c>
      <c r="BP1284">
        <f t="shared" si="264"/>
        <v>3.469999918617507</v>
      </c>
    </row>
    <row r="1285" spans="1:68" x14ac:dyDescent="0.15">
      <c r="A1285" s="5">
        <v>45450</v>
      </c>
      <c r="B1285" s="1"/>
      <c r="C1285">
        <v>98.02</v>
      </c>
      <c r="D1285">
        <v>113.65</v>
      </c>
      <c r="E1285">
        <v>94.95</v>
      </c>
      <c r="G1285" s="3">
        <v>1.1035645322678899E-3</v>
      </c>
      <c r="I1285" s="15">
        <f t="shared" si="267"/>
        <v>-3.254016676835544E-3</v>
      </c>
      <c r="J1285" s="15">
        <f t="shared" si="268"/>
        <v>4.8629531388153088E-3</v>
      </c>
      <c r="K1285" s="15">
        <f t="shared" si="269"/>
        <v>-4.2109695757439779E-4</v>
      </c>
      <c r="L1285" s="32">
        <f t="shared" si="243"/>
        <v>371956.56827206776</v>
      </c>
      <c r="M1285" s="15"/>
      <c r="N1285" s="32">
        <f t="shared" si="244"/>
        <v>-2940600</v>
      </c>
      <c r="O1285" s="34">
        <f t="shared" si="245"/>
        <v>-0.22538221356230867</v>
      </c>
      <c r="P1285" s="34">
        <f t="shared" si="246"/>
        <v>0.60974909882165085</v>
      </c>
      <c r="Q1285" s="34">
        <f t="shared" si="247"/>
        <v>0.58219523029969955</v>
      </c>
      <c r="R1285" s="35" cm="1">
        <f t="array" ref="R1285">SQRT(MMULT(O1285:Q1285, MMULT($AU$32:$AW$34,TRANSPOSE(O1285:Q1285))))</f>
        <v>1.2235451453252017E-2</v>
      </c>
      <c r="S1285" s="36" cm="1">
        <f t="array" ref="S1285:U1285">TRANSPOSE(MMULT($AU$32:$AW$34, TRANSPOSE(O1285:Q1285))/MMULT(O1285:Q1285, MMULT($AU$32:$AW$34,TRANSPOSE(O1285:Q1285))))</f>
        <v>0.22667742314005648</v>
      </c>
      <c r="T1285" s="36">
        <v>1.1548475284304098</v>
      </c>
      <c r="U1285" s="36">
        <v>0.59588571255808132</v>
      </c>
      <c r="V1285" s="35">
        <f t="shared" si="252"/>
        <v>6.4622564128617348E-3</v>
      </c>
      <c r="W1285" s="35">
        <f t="shared" si="253"/>
        <v>3.2923088427142776E-2</v>
      </c>
      <c r="X1285" s="35">
        <f t="shared" si="254"/>
        <v>1.6987868548919774E-2</v>
      </c>
      <c r="Y1285" s="32">
        <f t="shared" si="255"/>
        <v>-19002.911207661218</v>
      </c>
      <c r="Z1285" s="32">
        <f t="shared" si="248"/>
        <v>261919.62998213436</v>
      </c>
      <c r="AA1285" s="32">
        <f t="shared" si="249"/>
        <v>129039.84949759461</v>
      </c>
      <c r="AB1285" s="40">
        <f t="shared" si="256"/>
        <v>-5.1089059391906028E-2</v>
      </c>
      <c r="AC1285" s="40">
        <f t="shared" si="257"/>
        <v>0.70416723973685325</v>
      </c>
      <c r="AD1285" s="40">
        <f t="shared" si="258"/>
        <v>0.34692181965505275</v>
      </c>
      <c r="AE1285" s="40"/>
      <c r="AF1285" s="40"/>
      <c r="AG1285" s="40"/>
      <c r="AH1285" s="40"/>
      <c r="AI1285" s="40"/>
      <c r="AJ1285" s="40"/>
      <c r="AK1285" s="33">
        <f t="shared" si="250"/>
        <v>7955500</v>
      </c>
      <c r="AL1285" s="33">
        <f t="shared" si="251"/>
        <v>7596000</v>
      </c>
      <c r="AM1285" s="34"/>
      <c r="AN1285" s="33"/>
      <c r="AO1285" s="15" cm="1">
        <f t="array" ref="AO1285">SUMPRODUCT(I1285:K1285, TRANSPOSE($AY$5:$AY$7))</f>
        <v>4.1692117391859971E-3</v>
      </c>
      <c r="AP1285" s="22">
        <f t="shared" si="259"/>
        <v>13047169.754533662</v>
      </c>
      <c r="AQ1285" s="22">
        <f t="shared" si="260"/>
        <v>54170.564749283716</v>
      </c>
      <c r="AR1285">
        <f t="shared" si="261"/>
        <v>0</v>
      </c>
      <c r="AS1285">
        <f t="shared" si="262"/>
        <v>0</v>
      </c>
      <c r="BJ1285">
        <f t="shared" si="263"/>
        <v>1.2178546768796466E-6</v>
      </c>
      <c r="BK1285">
        <f t="shared" si="265"/>
        <v>4.9647754679131451E-5</v>
      </c>
      <c r="BO1285">
        <f t="shared" si="266"/>
        <v>6.3188153387950757E-5</v>
      </c>
      <c r="BP1285">
        <f t="shared" si="264"/>
        <v>3.9061215945708798</v>
      </c>
    </row>
    <row r="1286" spans="1:68" x14ac:dyDescent="0.15">
      <c r="A1286" s="5">
        <v>45453</v>
      </c>
      <c r="B1286" s="1"/>
      <c r="C1286">
        <v>95.6</v>
      </c>
      <c r="D1286">
        <v>112.25</v>
      </c>
      <c r="E1286">
        <v>94.3</v>
      </c>
      <c r="G1286" s="3">
        <v>-9.5481836693175302E-3</v>
      </c>
      <c r="I1286" s="15">
        <f t="shared" si="267"/>
        <v>-2.4688839012446458E-2</v>
      </c>
      <c r="J1286" s="15">
        <f t="shared" si="268"/>
        <v>-1.2318521777386763E-2</v>
      </c>
      <c r="K1286" s="15">
        <f t="shared" si="269"/>
        <v>-6.845708267509275E-3</v>
      </c>
      <c r="L1286" s="32">
        <f t="shared" si="243"/>
        <v>368318.93192277424</v>
      </c>
      <c r="M1286" s="15"/>
      <c r="N1286" s="32">
        <f t="shared" si="244"/>
        <v>-2868000</v>
      </c>
      <c r="O1286" s="34">
        <f t="shared" si="245"/>
        <v>-0.22056941626695192</v>
      </c>
      <c r="P1286" s="34">
        <f t="shared" si="246"/>
        <v>0.604297136791344</v>
      </c>
      <c r="Q1286" s="34">
        <f t="shared" si="247"/>
        <v>0.58018677695881637</v>
      </c>
      <c r="R1286" s="35" cm="1">
        <f t="array" ref="R1286">SQRT(MMULT(O1286:Q1286, MMULT($AU$32:$AW$34,TRANSPOSE(O1286:Q1286))))</f>
        <v>1.2157219790117609E-2</v>
      </c>
      <c r="S1286" s="36" cm="1">
        <f t="array" ref="S1286:U1286">TRANSPOSE(MMULT($AU$32:$AW$34, TRANSPOSE(O1286:Q1286))/MMULT(O1286:Q1286, MMULT($AU$32:$AW$34,TRANSPOSE(O1286:Q1286))))</f>
        <v>0.23134003588950561</v>
      </c>
      <c r="T1286" s="36">
        <v>1.1612099610022899</v>
      </c>
      <c r="U1286" s="36">
        <v>0.60206591377184582</v>
      </c>
      <c r="V1286" s="35">
        <f t="shared" si="252"/>
        <v>6.5530123737704282E-3</v>
      </c>
      <c r="W1286" s="35">
        <f t="shared" si="253"/>
        <v>3.2892807393822457E-2</v>
      </c>
      <c r="X1286" s="35">
        <f t="shared" si="254"/>
        <v>1.705431300553922E-2</v>
      </c>
      <c r="Y1286" s="32">
        <f t="shared" si="255"/>
        <v>-18794.039487973587</v>
      </c>
      <c r="Z1286" s="32">
        <f t="shared" si="248"/>
        <v>258455.23409695996</v>
      </c>
      <c r="AA1286" s="32">
        <f t="shared" si="249"/>
        <v>128657.73731378787</v>
      </c>
      <c r="AB1286" s="40">
        <f t="shared" si="256"/>
        <v>-5.1026536675323954E-2</v>
      </c>
      <c r="AC1286" s="40">
        <f t="shared" si="257"/>
        <v>0.70171585464727215</v>
      </c>
      <c r="AD1286" s="40">
        <f t="shared" si="258"/>
        <v>0.34931068202805188</v>
      </c>
      <c r="AE1286" s="40"/>
      <c r="AF1286" s="40"/>
      <c r="AG1286" s="40"/>
      <c r="AH1286" s="40"/>
      <c r="AI1286" s="40"/>
      <c r="AJ1286" s="40"/>
      <c r="AK1286" s="33">
        <f t="shared" si="250"/>
        <v>7857500</v>
      </c>
      <c r="AL1286" s="33">
        <f t="shared" si="251"/>
        <v>7544000</v>
      </c>
      <c r="AM1286" s="34"/>
      <c r="AN1286" s="33"/>
      <c r="AO1286" s="15" cm="1">
        <f t="array" ref="AO1286">SUMPRODUCT(I1286:K1286, TRANSPOSE($AY$5:$AY$7))</f>
        <v>-3.407670493366358E-3</v>
      </c>
      <c r="AP1286" s="22">
        <f t="shared" si="259"/>
        <v>13002709.299139196</v>
      </c>
      <c r="AQ1286" s="22">
        <f t="shared" si="260"/>
        <v>-44460.455394465476</v>
      </c>
      <c r="AR1286">
        <f t="shared" si="261"/>
        <v>0</v>
      </c>
      <c r="AS1286">
        <f t="shared" si="262"/>
        <v>0</v>
      </c>
      <c r="BJ1286">
        <f t="shared" si="263"/>
        <v>9.1167811383021971E-5</v>
      </c>
      <c r="BK1286">
        <f t="shared" si="265"/>
        <v>4.674196067899634E-5</v>
      </c>
      <c r="BO1286">
        <f t="shared" si="266"/>
        <v>5.5676721411565197E-5</v>
      </c>
      <c r="BP1286">
        <f t="shared" si="264"/>
        <v>3.1603110041027036</v>
      </c>
    </row>
    <row r="1287" spans="1:68" x14ac:dyDescent="0.15">
      <c r="A1287" s="5">
        <v>45454</v>
      </c>
      <c r="B1287" s="1"/>
      <c r="C1287">
        <v>94.6</v>
      </c>
      <c r="D1287">
        <v>111.5</v>
      </c>
      <c r="E1287">
        <v>94.08</v>
      </c>
      <c r="G1287" s="3">
        <v>-5.3405189985888902E-3</v>
      </c>
      <c r="I1287" s="15">
        <f t="shared" si="267"/>
        <v>-1.0460251046025106E-2</v>
      </c>
      <c r="J1287" s="15">
        <f t="shared" si="268"/>
        <v>-6.6815144766146995E-3</v>
      </c>
      <c r="K1287" s="15">
        <f t="shared" si="269"/>
        <v>-2.332979851537634E-3</v>
      </c>
      <c r="L1287" s="32">
        <f t="shared" si="243"/>
        <v>366489.38701254356</v>
      </c>
      <c r="M1287" s="15"/>
      <c r="N1287" s="32">
        <f t="shared" si="244"/>
        <v>-2838000</v>
      </c>
      <c r="O1287" s="34">
        <f t="shared" si="245"/>
        <v>-0.2186967176507115</v>
      </c>
      <c r="P1287" s="34">
        <f t="shared" si="246"/>
        <v>0.60145450361656205</v>
      </c>
      <c r="Q1287" s="34">
        <f t="shared" si="247"/>
        <v>0.57998554465338792</v>
      </c>
      <c r="R1287" s="35" cm="1">
        <f t="array" ref="R1287">SQRT(MMULT(O1287:Q1287, MMULT($AU$32:$AW$34,TRANSPOSE(O1287:Q1287))))</f>
        <v>1.2120913596509748E-2</v>
      </c>
      <c r="S1287" s="36" cm="1">
        <f t="array" ref="S1287:U1287">TRANSPOSE(MMULT($AU$32:$AW$34, TRANSPOSE(O1287:Q1287))/MMULT(O1287:Q1287, MMULT($AU$32:$AW$34,TRANSPOSE(O1287:Q1287))))</f>
        <v>0.2334436367395967</v>
      </c>
      <c r="T1287" s="36">
        <v>1.1637971955000856</v>
      </c>
      <c r="U1287" s="36">
        <v>0.60532938418552873</v>
      </c>
      <c r="V1287" s="35">
        <f t="shared" si="252"/>
        <v>6.5928518508412883E-3</v>
      </c>
      <c r="W1287" s="35">
        <f t="shared" si="253"/>
        <v>3.2867644633704382E-2</v>
      </c>
      <c r="X1287" s="35">
        <f t="shared" si="254"/>
        <v>1.709554823011911E-2</v>
      </c>
      <c r="Y1287" s="32">
        <f t="shared" si="255"/>
        <v>-18710.513552687575</v>
      </c>
      <c r="Z1287" s="32">
        <f t="shared" si="248"/>
        <v>256531.9663660627</v>
      </c>
      <c r="AA1287" s="32">
        <f t="shared" si="249"/>
        <v>128667.93419916846</v>
      </c>
      <c r="AB1287" s="40">
        <f t="shared" si="256"/>
        <v>-5.1053357111394831E-2</v>
      </c>
      <c r="AC1287" s="40">
        <f t="shared" si="257"/>
        <v>0.69997106452985103</v>
      </c>
      <c r="AD1287" s="40">
        <f t="shared" si="258"/>
        <v>0.35108229258154383</v>
      </c>
      <c r="AE1287" s="40"/>
      <c r="AF1287" s="40"/>
      <c r="AG1287" s="40"/>
      <c r="AH1287" s="40"/>
      <c r="AI1287" s="40"/>
      <c r="AJ1287" s="40"/>
      <c r="AK1287" s="33">
        <f t="shared" si="250"/>
        <v>7805000</v>
      </c>
      <c r="AL1287" s="33">
        <f t="shared" si="251"/>
        <v>7526400</v>
      </c>
      <c r="AM1287" s="34"/>
      <c r="AN1287" s="33"/>
      <c r="AO1287" s="15" cm="1">
        <f t="array" ref="AO1287">SUMPRODUCT(I1287:K1287, TRANSPOSE($AY$5:$AY$7))</f>
        <v>-1.986828406272938E-3</v>
      </c>
      <c r="AP1287" s="22">
        <f t="shared" si="259"/>
        <v>12976875.146945156</v>
      </c>
      <c r="AQ1287" s="22">
        <f t="shared" si="260"/>
        <v>-25834.152194039896</v>
      </c>
      <c r="AR1287">
        <f t="shared" si="261"/>
        <v>0</v>
      </c>
      <c r="AS1287">
        <f t="shared" si="262"/>
        <v>0</v>
      </c>
      <c r="BJ1287">
        <f t="shared" si="263"/>
        <v>2.8521143174288882E-5</v>
      </c>
      <c r="BK1287">
        <f t="shared" si="265"/>
        <v>4.9407511721237876E-5</v>
      </c>
      <c r="BO1287">
        <f t="shared" si="266"/>
        <v>6.2595603085871911E-5</v>
      </c>
      <c r="BP1287">
        <f t="shared" si="264"/>
        <v>3.6926485674153957</v>
      </c>
    </row>
    <row r="1288" spans="1:68" x14ac:dyDescent="0.15">
      <c r="A1288" s="5">
        <v>45455</v>
      </c>
      <c r="B1288" s="1"/>
      <c r="C1288">
        <v>94.94</v>
      </c>
      <c r="D1288">
        <v>112.05</v>
      </c>
      <c r="E1288">
        <v>94.66</v>
      </c>
      <c r="G1288" s="3">
        <v>7.8411763532071303E-3</v>
      </c>
      <c r="I1288" s="15">
        <f t="shared" si="267"/>
        <v>3.5940803382664209E-3</v>
      </c>
      <c r="J1288" s="15">
        <f t="shared" si="268"/>
        <v>4.9327354260089431E-3</v>
      </c>
      <c r="K1288" s="15">
        <f t="shared" si="269"/>
        <v>6.1649659863945395E-3</v>
      </c>
      <c r="L1288" s="32">
        <f t="shared" si="243"/>
        <v>368480.85712071281</v>
      </c>
      <c r="M1288" s="15"/>
      <c r="N1288" s="32">
        <f t="shared" si="244"/>
        <v>-2848200</v>
      </c>
      <c r="O1288" s="34">
        <f t="shared" si="245"/>
        <v>-0.21809376193185848</v>
      </c>
      <c r="P1288" s="34">
        <f t="shared" si="246"/>
        <v>0.60059631406240155</v>
      </c>
      <c r="Q1288" s="34">
        <f t="shared" si="247"/>
        <v>0.57986814140775855</v>
      </c>
      <c r="R1288" s="35" cm="1">
        <f t="array" ref="R1288">SQRT(MMULT(O1288:Q1288, MMULT($AU$32:$AW$34,TRANSPOSE(O1288:Q1288))))</f>
        <v>1.2109655029369035E-2</v>
      </c>
      <c r="S1288" s="36" cm="1">
        <f t="array" ref="S1288:U1288">TRANSPOSE(MMULT($AU$32:$AW$34, TRANSPOSE(O1288:Q1288))/MMULT(O1288:Q1288, MMULT($AU$32:$AW$34,TRANSPOSE(O1288:Q1288))))</f>
        <v>0.23410302151272375</v>
      </c>
      <c r="T1288" s="36">
        <v>1.1646290728709017</v>
      </c>
      <c r="U1288" s="36">
        <v>0.60631798010423532</v>
      </c>
      <c r="V1288" s="35">
        <f t="shared" si="252"/>
        <v>6.6053329182152584E-3</v>
      </c>
      <c r="W1288" s="35">
        <f t="shared" si="253"/>
        <v>3.2860587201462392E-2</v>
      </c>
      <c r="X1288" s="35">
        <f t="shared" si="254"/>
        <v>1.7107562674797076E-2</v>
      </c>
      <c r="Y1288" s="32">
        <f t="shared" si="255"/>
        <v>-18813.309217660699</v>
      </c>
      <c r="Z1288" s="32">
        <f t="shared" si="248"/>
        <v>257742.01571467027</v>
      </c>
      <c r="AA1288" s="32">
        <f t="shared" si="249"/>
        <v>129552.15062370329</v>
      </c>
      <c r="AB1288" s="40">
        <f t="shared" si="256"/>
        <v>-5.1056408641324713E-2</v>
      </c>
      <c r="AC1288" s="40">
        <f t="shared" si="257"/>
        <v>0.69947192841617567</v>
      </c>
      <c r="AD1288" s="40">
        <f t="shared" si="258"/>
        <v>0.35158448022514921</v>
      </c>
      <c r="AE1288" s="40"/>
      <c r="AF1288" s="40"/>
      <c r="AG1288" s="40"/>
      <c r="AH1288" s="40"/>
      <c r="AI1288" s="40"/>
      <c r="AJ1288" s="40"/>
      <c r="AK1288" s="33">
        <f t="shared" si="250"/>
        <v>7843500</v>
      </c>
      <c r="AL1288" s="33">
        <f t="shared" si="251"/>
        <v>7572800</v>
      </c>
      <c r="AM1288" s="34"/>
      <c r="AN1288" s="33"/>
      <c r="AO1288" s="15" cm="1">
        <f t="array" ref="AO1288">SUMPRODUCT(I1288:K1288, TRANSPOSE($AY$5:$AY$7))</f>
        <v>6.3686795967999917E-3</v>
      </c>
      <c r="AP1288" s="22">
        <f t="shared" si="259"/>
        <v>13059520.706923729</v>
      </c>
      <c r="AQ1288" s="22">
        <f t="shared" si="260"/>
        <v>82645.559978572652</v>
      </c>
      <c r="AR1288">
        <f t="shared" si="261"/>
        <v>0</v>
      </c>
      <c r="AS1288">
        <f t="shared" si="262"/>
        <v>0</v>
      </c>
      <c r="BJ1288">
        <f t="shared" si="263"/>
        <v>6.148404660209467E-5</v>
      </c>
      <c r="BK1288">
        <f t="shared" si="265"/>
        <v>4.8154329608420934E-5</v>
      </c>
      <c r="BO1288">
        <f t="shared" si="266"/>
        <v>5.9100477008271532E-5</v>
      </c>
      <c r="BP1288">
        <f t="shared" si="264"/>
        <v>3.4290318473443331</v>
      </c>
    </row>
    <row r="1289" spans="1:68" x14ac:dyDescent="0.15">
      <c r="A1289" s="5">
        <v>45456</v>
      </c>
      <c r="B1289" s="1"/>
      <c r="C1289">
        <v>95.1</v>
      </c>
      <c r="D1289">
        <v>110.6</v>
      </c>
      <c r="E1289">
        <v>94.26</v>
      </c>
      <c r="G1289" s="3">
        <v>-5.8847166746545101E-3</v>
      </c>
      <c r="I1289" s="15">
        <f t="shared" si="267"/>
        <v>1.6852749104697346E-3</v>
      </c>
      <c r="J1289" s="15">
        <f t="shared" si="268"/>
        <v>-1.2940651494868389E-2</v>
      </c>
      <c r="K1289" s="15">
        <f t="shared" si="269"/>
        <v>-4.2256496936403072E-3</v>
      </c>
      <c r="L1289" s="32">
        <f t="shared" si="243"/>
        <v>364568.48806321179</v>
      </c>
      <c r="M1289" s="15"/>
      <c r="N1289" s="32">
        <f t="shared" si="244"/>
        <v>-2853000</v>
      </c>
      <c r="O1289" s="34">
        <f t="shared" si="245"/>
        <v>-0.22117844845301979</v>
      </c>
      <c r="P1289" s="34">
        <f t="shared" si="246"/>
        <v>0.60019752818902183</v>
      </c>
      <c r="Q1289" s="34">
        <f t="shared" si="247"/>
        <v>0.58459952474396482</v>
      </c>
      <c r="R1289" s="35" cm="1">
        <f t="array" ref="R1289">SQRT(MMULT(O1289:Q1289, MMULT($AU$32:$AW$34,TRANSPOSE(O1289:Q1289))))</f>
        <v>1.2130096103143358E-2</v>
      </c>
      <c r="S1289" s="36" cm="1">
        <f t="array" ref="S1289:U1289">TRANSPOSE(MMULT($AU$32:$AW$34, TRANSPOSE(O1289:Q1289))/MMULT(O1289:Q1289, MMULT($AU$32:$AW$34,TRANSPOSE(O1289:Q1289))))</f>
        <v>0.23252499455917514</v>
      </c>
      <c r="T1289" s="36">
        <v>1.1607477703345304</v>
      </c>
      <c r="U1289" s="36">
        <v>0.60682836694540787</v>
      </c>
      <c r="V1289" s="35">
        <f t="shared" si="252"/>
        <v>6.5718827357986367E-3</v>
      </c>
      <c r="W1289" s="35">
        <f t="shared" si="253"/>
        <v>3.2806358073204644E-2</v>
      </c>
      <c r="X1289" s="35">
        <f t="shared" si="254"/>
        <v>1.7150865333345922E-2</v>
      </c>
      <c r="Y1289" s="32">
        <f t="shared" si="255"/>
        <v>-18749.581445233511</v>
      </c>
      <c r="Z1289" s="32">
        <f t="shared" si="248"/>
        <v>253986.82420275034</v>
      </c>
      <c r="AA1289" s="32">
        <f t="shared" si="249"/>
        <v>129331.24530569493</v>
      </c>
      <c r="AB1289" s="40">
        <f t="shared" si="256"/>
        <v>-5.1429517523145223E-2</v>
      </c>
      <c r="AC1289" s="40">
        <f t="shared" si="257"/>
        <v>0.69667794260570348</v>
      </c>
      <c r="AD1289" s="40">
        <f t="shared" si="258"/>
        <v>0.35475157491744169</v>
      </c>
      <c r="AE1289" s="40"/>
      <c r="AF1289" s="40"/>
      <c r="AG1289" s="40"/>
      <c r="AH1289" s="40"/>
      <c r="AI1289" s="40"/>
      <c r="AJ1289" s="40"/>
      <c r="AK1289" s="33">
        <f t="shared" si="250"/>
        <v>7742000</v>
      </c>
      <c r="AL1289" s="33">
        <f t="shared" si="251"/>
        <v>7540800</v>
      </c>
      <c r="AM1289" s="34"/>
      <c r="AN1289" s="33"/>
      <c r="AO1289" s="15" cm="1">
        <f t="array" ref="AO1289">SUMPRODUCT(I1289:K1289, TRANSPOSE($AY$5:$AY$7))</f>
        <v>-1.2284825194552025E-2</v>
      </c>
      <c r="AP1289" s="22">
        <f t="shared" si="259"/>
        <v>12899086.777914539</v>
      </c>
      <c r="AQ1289" s="22">
        <f t="shared" si="260"/>
        <v>-160433.92900918983</v>
      </c>
      <c r="AR1289">
        <f t="shared" si="261"/>
        <v>0</v>
      </c>
      <c r="AS1289">
        <f t="shared" si="262"/>
        <v>0</v>
      </c>
      <c r="BJ1289">
        <f t="shared" si="263"/>
        <v>3.4629890340956834E-5</v>
      </c>
      <c r="BK1289">
        <f t="shared" si="265"/>
        <v>4.895411262804136E-5</v>
      </c>
      <c r="BO1289">
        <f t="shared" si="266"/>
        <v>6.1053557072920291E-5</v>
      </c>
      <c r="BP1289">
        <f t="shared" si="264"/>
        <v>3.6493384524583861</v>
      </c>
    </row>
    <row r="1290" spans="1:68" x14ac:dyDescent="0.15">
      <c r="A1290" s="5">
        <v>45457</v>
      </c>
      <c r="B1290" s="1"/>
      <c r="C1290">
        <v>95.28</v>
      </c>
      <c r="D1290">
        <v>108.9</v>
      </c>
      <c r="E1290">
        <v>95.01</v>
      </c>
      <c r="G1290" s="3">
        <v>-4.2488711617463199E-3</v>
      </c>
      <c r="I1290" s="15">
        <f t="shared" si="267"/>
        <v>1.8927444794953399E-3</v>
      </c>
      <c r="J1290" s="15">
        <f t="shared" si="268"/>
        <v>-1.5370705244122864E-2</v>
      </c>
      <c r="K1290" s="15">
        <f t="shared" si="269"/>
        <v>7.9567154678548691E-3</v>
      </c>
      <c r="L1290" s="32">
        <f t="shared" si="243"/>
        <v>361671.16879248561</v>
      </c>
      <c r="M1290" s="15"/>
      <c r="N1290" s="32">
        <f t="shared" si="244"/>
        <v>-2858400</v>
      </c>
      <c r="O1290" s="34">
        <f t="shared" si="245"/>
        <v>-0.22270747229468912</v>
      </c>
      <c r="P1290" s="34">
        <f t="shared" si="246"/>
        <v>0.59393334078589954</v>
      </c>
      <c r="Q1290" s="34">
        <f t="shared" si="247"/>
        <v>0.59220366478361075</v>
      </c>
      <c r="R1290" s="35" cm="1">
        <f t="array" ref="R1290">SQRT(MMULT(O1290:Q1290, MMULT($AU$32:$AW$34,TRANSPOSE(O1290:Q1290))))</f>
        <v>1.2093994149558791E-2</v>
      </c>
      <c r="S1290" s="36" cm="1">
        <f t="array" ref="S1290:U1290">TRANSPOSE(MMULT($AU$32:$AW$34, TRANSPOSE(O1290:Q1290))/MMULT(O1290:Q1290, MMULT($AU$32:$AW$34,TRANSPOSE(O1290:Q1290))))</f>
        <v>0.23398916098109557</v>
      </c>
      <c r="T1290" s="36">
        <v>1.15910749478884</v>
      </c>
      <c r="U1290" s="36">
        <v>0.6141105999562354</v>
      </c>
      <c r="V1290" s="35">
        <f t="shared" si="252"/>
        <v>6.5935820574397081E-3</v>
      </c>
      <c r="W1290" s="35">
        <f t="shared" si="253"/>
        <v>3.2662497477398328E-2</v>
      </c>
      <c r="X1290" s="35">
        <f t="shared" si="254"/>
        <v>1.7305026507112908E-2</v>
      </c>
      <c r="Y1290" s="32">
        <f t="shared" si="255"/>
        <v>-18847.094952985663</v>
      </c>
      <c r="Z1290" s="32">
        <f t="shared" si="248"/>
        <v>248986.21827020746</v>
      </c>
      <c r="AA1290" s="32">
        <f t="shared" si="249"/>
        <v>131532.04547526379</v>
      </c>
      <c r="AB1290" s="40">
        <f t="shared" si="256"/>
        <v>-5.2111134586454895E-2</v>
      </c>
      <c r="AC1290" s="40">
        <f t="shared" si="257"/>
        <v>0.68843258670991037</v>
      </c>
      <c r="AD1290" s="40">
        <f t="shared" si="258"/>
        <v>0.36367854787654452</v>
      </c>
      <c r="AE1290" s="40"/>
      <c r="AF1290" s="40"/>
      <c r="AG1290" s="40"/>
      <c r="AH1290" s="40"/>
      <c r="AI1290" s="40"/>
      <c r="AJ1290" s="40"/>
      <c r="AK1290" s="33">
        <f t="shared" si="250"/>
        <v>7623000</v>
      </c>
      <c r="AL1290" s="33">
        <f t="shared" si="251"/>
        <v>7600800</v>
      </c>
      <c r="AM1290" s="34"/>
      <c r="AN1290" s="33"/>
      <c r="AO1290" s="15" cm="1">
        <f t="array" ref="AO1290">SUMPRODUCT(I1290:K1290, TRANSPOSE($AY$5:$AY$7))</f>
        <v>-4.9858657320095692E-3</v>
      </c>
      <c r="AP1290" s="22">
        <f t="shared" si="259"/>
        <v>12834773.663174318</v>
      </c>
      <c r="AQ1290" s="22">
        <f t="shared" si="260"/>
        <v>-64313.11474022083</v>
      </c>
      <c r="AR1290">
        <f t="shared" si="261"/>
        <v>0</v>
      </c>
      <c r="AS1290">
        <f t="shared" si="262"/>
        <v>0</v>
      </c>
      <c r="BJ1290">
        <f t="shared" si="263"/>
        <v>1.8052906149119521E-5</v>
      </c>
      <c r="BK1290">
        <f t="shared" si="265"/>
        <v>4.8094659290816287E-5</v>
      </c>
      <c r="BO1290">
        <f t="shared" si="266"/>
        <v>5.8760937702559379E-5</v>
      </c>
      <c r="BP1290">
        <f t="shared" si="264"/>
        <v>3.7984649353620461</v>
      </c>
    </row>
    <row r="1291" spans="1:68" x14ac:dyDescent="0.15">
      <c r="A1291" s="5">
        <v>45460</v>
      </c>
      <c r="B1291" s="1"/>
      <c r="C1291">
        <v>95.1</v>
      </c>
      <c r="D1291">
        <v>110.15</v>
      </c>
      <c r="E1291">
        <v>93.54</v>
      </c>
      <c r="G1291" s="3">
        <v>-3.4100292368037799E-3</v>
      </c>
      <c r="I1291" s="15">
        <f t="shared" si="267"/>
        <v>-1.8891687657431446E-3</v>
      </c>
      <c r="J1291" s="15">
        <f t="shared" si="268"/>
        <v>1.1478420569329659E-2</v>
      </c>
      <c r="K1291" s="15">
        <f t="shared" si="269"/>
        <v>-1.5472055573097556E-2</v>
      </c>
      <c r="L1291" s="32">
        <f t="shared" si="243"/>
        <v>362547.89800379419</v>
      </c>
      <c r="M1291" s="15"/>
      <c r="N1291" s="32">
        <f t="shared" si="244"/>
        <v>-2853000</v>
      </c>
      <c r="O1291" s="34">
        <f t="shared" si="245"/>
        <v>-0.22298079632782233</v>
      </c>
      <c r="P1291" s="34">
        <f t="shared" si="246"/>
        <v>0.60262650896798953</v>
      </c>
      <c r="Q1291" s="34">
        <f t="shared" si="247"/>
        <v>0.58486151247120932</v>
      </c>
      <c r="R1291" s="35" cm="1">
        <f t="array" ref="R1291">SQRT(MMULT(O1291:Q1291, MMULT($AU$32:$AW$34,TRANSPOSE(O1291:Q1291))))</f>
        <v>1.2161164440091543E-2</v>
      </c>
      <c r="S1291" s="36" cm="1">
        <f t="array" ref="S1291:U1291">TRANSPOSE(MMULT($AU$32:$AW$34, TRANSPOSE(O1291:Q1291))/MMULT(O1291:Q1291, MMULT($AU$32:$AW$34,TRANSPOSE(O1291:Q1291))))</f>
        <v>0.23059368755463919</v>
      </c>
      <c r="T1291" s="36">
        <v>1.1585139426354838</v>
      </c>
      <c r="U1291" s="36">
        <v>0.60401777806387824</v>
      </c>
      <c r="V1291" s="35">
        <f t="shared" si="252"/>
        <v>6.5339904649538046E-3</v>
      </c>
      <c r="W1291" s="35">
        <f t="shared" si="253"/>
        <v>3.2827087050692337E-2</v>
      </c>
      <c r="X1291" s="35">
        <f t="shared" si="254"/>
        <v>1.7115153690392352E-2</v>
      </c>
      <c r="Y1291" s="32">
        <f t="shared" si="255"/>
        <v>-18641.474796513205</v>
      </c>
      <c r="Z1291" s="32">
        <f t="shared" si="248"/>
        <v>253113.25470436327</v>
      </c>
      <c r="AA1291" s="32">
        <f t="shared" si="249"/>
        <v>128076.11809594407</v>
      </c>
      <c r="AB1291" s="40">
        <f t="shared" si="256"/>
        <v>-5.1417964079102492E-2</v>
      </c>
      <c r="AC1291" s="40">
        <f t="shared" si="257"/>
        <v>0.69815121284116322</v>
      </c>
      <c r="AD1291" s="40">
        <f t="shared" si="258"/>
        <v>0.35326675123793905</v>
      </c>
      <c r="AE1291" s="40"/>
      <c r="AF1291" s="40"/>
      <c r="AG1291" s="40"/>
      <c r="AH1291" s="40"/>
      <c r="AI1291" s="40"/>
      <c r="AJ1291" s="40"/>
      <c r="AK1291" s="33">
        <f t="shared" si="250"/>
        <v>7710500</v>
      </c>
      <c r="AL1291" s="33">
        <f t="shared" si="251"/>
        <v>7483200.0000000009</v>
      </c>
      <c r="AM1291" s="34"/>
      <c r="AN1291" s="33"/>
      <c r="AO1291" s="15" cm="1">
        <f t="array" ref="AO1291">SUMPRODUCT(I1291:K1291, TRANSPOSE($AY$5:$AY$7))</f>
        <v>-3.1126269397188586E-3</v>
      </c>
      <c r="AP1291" s="22">
        <f t="shared" si="259"/>
        <v>12794823.800905129</v>
      </c>
      <c r="AQ1291" s="22">
        <f t="shared" si="260"/>
        <v>-39949.862269189209</v>
      </c>
      <c r="AR1291">
        <f t="shared" si="261"/>
        <v>0</v>
      </c>
      <c r="AS1291">
        <f t="shared" si="262"/>
        <v>0</v>
      </c>
      <c r="BJ1291">
        <f t="shared" si="263"/>
        <v>1.1628299395856569E-5</v>
      </c>
      <c r="BK1291">
        <f t="shared" si="265"/>
        <v>4.6292154102314483E-5</v>
      </c>
      <c r="BO1291">
        <f t="shared" si="266"/>
        <v>5.4601758409819498E-5</v>
      </c>
      <c r="BP1291">
        <f t="shared" si="264"/>
        <v>3.8823008731157911</v>
      </c>
    </row>
    <row r="1292" spans="1:68" x14ac:dyDescent="0.15">
      <c r="A1292" s="5">
        <v>45461</v>
      </c>
      <c r="B1292" s="1"/>
      <c r="C1292">
        <v>94.9</v>
      </c>
      <c r="D1292">
        <v>111.25</v>
      </c>
      <c r="E1292">
        <v>93.15</v>
      </c>
      <c r="G1292" s="3">
        <v>3.58994764262177E-3</v>
      </c>
      <c r="I1292" s="15">
        <f t="shared" si="267"/>
        <v>-2.1030494216612897E-3</v>
      </c>
      <c r="J1292" s="15">
        <f t="shared" si="268"/>
        <v>9.9863822060825627E-3</v>
      </c>
      <c r="K1292" s="15">
        <f t="shared" si="269"/>
        <v>-4.1693393200769781E-3</v>
      </c>
      <c r="L1292" s="32">
        <f t="shared" ref="L1292:L1355" si="270">2.33*R1292*AP1292</f>
        <v>364585.46625965682</v>
      </c>
      <c r="M1292" s="15"/>
      <c r="N1292" s="32">
        <f t="shared" ref="N1292:N1355" si="271">C1292*$AV$5</f>
        <v>-2847000</v>
      </c>
      <c r="O1292" s="34">
        <f t="shared" ref="O1292:O1355" si="272">N1292/AP1292</f>
        <v>-0.22155457137342696</v>
      </c>
      <c r="P1292" s="34">
        <f t="shared" ref="P1292:P1355" si="273">AK1292/AP1292</f>
        <v>0.60602607115228746</v>
      </c>
      <c r="Q1292" s="34">
        <f t="shared" ref="Q1292:Q1355" si="274">AL1292/AP1292</f>
        <v>0.57991733961179404</v>
      </c>
      <c r="R1292" s="35" cm="1">
        <f t="array" ref="R1292">SQRT(MMULT(O1292:Q1292, MMULT($AU$32:$AW$34,TRANSPOSE(O1292:Q1292))))</f>
        <v>1.2176898309664006E-2</v>
      </c>
      <c r="S1292" s="36" cm="1">
        <f t="array" ref="S1292:U1292">TRANSPOSE(MMULT($AU$32:$AW$34, TRANSPOSE(O1292:Q1292))/MMULT(O1292:Q1292, MMULT($AU$32:$AW$34,TRANSPOSE(O1292:Q1292))))</f>
        <v>0.23012894449753993</v>
      </c>
      <c r="T1292" s="36">
        <v>1.1600102899699369</v>
      </c>
      <c r="U1292" s="36">
        <v>0.60006766027209146</v>
      </c>
      <c r="V1292" s="35">
        <f t="shared" si="252"/>
        <v>6.5292582397484741E-3</v>
      </c>
      <c r="W1292" s="35">
        <f t="shared" si="253"/>
        <v>3.2912012700167727E-2</v>
      </c>
      <c r="X1292" s="35">
        <f t="shared" si="254"/>
        <v>1.7025223505859451E-2</v>
      </c>
      <c r="Y1292" s="32">
        <f t="shared" si="255"/>
        <v>-18588.798208563905</v>
      </c>
      <c r="Z1292" s="32">
        <f t="shared" ref="Z1292:Z1355" si="275">W1292*AK1292</f>
        <v>256302.29890255618</v>
      </c>
      <c r="AA1292" s="32">
        <f t="shared" ref="AA1292:AA1355" si="276">X1292*AL1292</f>
        <v>126871.96556566462</v>
      </c>
      <c r="AB1292" s="40">
        <f t="shared" si="256"/>
        <v>-5.0986119658771617E-2</v>
      </c>
      <c r="AC1292" s="40">
        <f t="shared" si="257"/>
        <v>0.70299647852670666</v>
      </c>
      <c r="AD1292" s="40">
        <f t="shared" si="258"/>
        <v>0.34798964113206515</v>
      </c>
      <c r="AE1292" s="40"/>
      <c r="AF1292" s="40"/>
      <c r="AG1292" s="40"/>
      <c r="AH1292" s="40"/>
      <c r="AI1292" s="40"/>
      <c r="AJ1292" s="40"/>
      <c r="AK1292" s="33">
        <f t="shared" ref="AK1292:AK1355" si="277">D1292*$AV$6</f>
        <v>7787500</v>
      </c>
      <c r="AL1292" s="33">
        <f t="shared" ref="AL1292:AL1355" si="278">E1292*$AV$7</f>
        <v>7452000</v>
      </c>
      <c r="AM1292" s="34"/>
      <c r="AN1292" s="33"/>
      <c r="AO1292" s="15" cm="1">
        <f t="array" ref="AO1292">SUMPRODUCT(I1292:K1292, TRANSPOSE($AY$5:$AY$7))</f>
        <v>4.3207653703659062E-3</v>
      </c>
      <c r="AP1292" s="22">
        <f t="shared" si="259"/>
        <v>12850107.232504012</v>
      </c>
      <c r="AQ1292" s="22">
        <f t="shared" si="260"/>
        <v>55283.431598883122</v>
      </c>
      <c r="AR1292">
        <f t="shared" si="261"/>
        <v>0</v>
      </c>
      <c r="AS1292">
        <f t="shared" si="262"/>
        <v>0</v>
      </c>
      <c r="BJ1292">
        <f t="shared" si="263"/>
        <v>1.2887724076765604E-5</v>
      </c>
      <c r="BK1292">
        <f t="shared" si="265"/>
        <v>4.4212322819927009E-5</v>
      </c>
      <c r="BO1292">
        <f t="shared" si="266"/>
        <v>5.0424392561118408E-5</v>
      </c>
      <c r="BP1292">
        <f t="shared" si="264"/>
        <v>3.9007866705250449</v>
      </c>
    </row>
    <row r="1293" spans="1:68" x14ac:dyDescent="0.15">
      <c r="A1293" s="5">
        <v>45463</v>
      </c>
      <c r="B1293" s="1"/>
      <c r="C1293">
        <v>94.9</v>
      </c>
      <c r="D1293">
        <v>113.15</v>
      </c>
      <c r="E1293">
        <v>94.33</v>
      </c>
      <c r="G1293" s="3">
        <v>6.7691073672633195E-3</v>
      </c>
      <c r="I1293" s="15">
        <f t="shared" si="267"/>
        <v>0</v>
      </c>
      <c r="J1293" s="15">
        <f t="shared" si="268"/>
        <v>1.7078651685393308E-2</v>
      </c>
      <c r="K1293" s="15">
        <f t="shared" si="269"/>
        <v>1.2667740203972008E-2</v>
      </c>
      <c r="L1293" s="32">
        <f t="shared" si="270"/>
        <v>370571.60520951654</v>
      </c>
      <c r="M1293" s="15"/>
      <c r="N1293" s="32">
        <f t="shared" si="271"/>
        <v>-2847000</v>
      </c>
      <c r="O1293" s="34">
        <f t="shared" si="272"/>
        <v>-0.21709076835185034</v>
      </c>
      <c r="P1293" s="34">
        <f t="shared" si="273"/>
        <v>0.60395765041476313</v>
      </c>
      <c r="Q1293" s="34">
        <f t="shared" si="274"/>
        <v>0.57543160319297626</v>
      </c>
      <c r="R1293" s="35" cm="1">
        <f t="array" ref="R1293">SQRT(MMULT(O1293:Q1293, MMULT($AU$32:$AW$34,TRANSPOSE(O1293:Q1293))))</f>
        <v>1.2127467133435012E-2</v>
      </c>
      <c r="S1293" s="36" cm="1">
        <f t="array" ref="S1293:U1293">TRANSPOSE(MMULT($AU$32:$AW$34, TRANSPOSE(O1293:Q1293))/MMULT(O1293:Q1293, MMULT($AU$32:$AW$34,TRANSPOSE(O1293:Q1293))))</f>
        <v>0.23338371341138936</v>
      </c>
      <c r="T1293" s="36">
        <v>1.1657204991900263</v>
      </c>
      <c r="U1293" s="36">
        <v>0.60236461468368718</v>
      </c>
      <c r="V1293" s="35">
        <f t="shared" ref="V1293:V1356" si="279">(L1293/AP1293)*S1293</f>
        <v>6.5947232213302434E-3</v>
      </c>
      <c r="W1293" s="35">
        <f t="shared" ref="W1293:W1356" si="280">(L1293/AP1293)*T1293</f>
        <v>3.2939762304827508E-2</v>
      </c>
      <c r="X1293" s="35">
        <f t="shared" ref="X1293:X1356" si="281">(L1293/AP1293)*U1293</f>
        <v>1.7021015965925142E-2</v>
      </c>
      <c r="Y1293" s="32">
        <f t="shared" ref="Y1293:Y1356" si="282">(V1293*N1293)</f>
        <v>-18775.177011127202</v>
      </c>
      <c r="Z1293" s="32">
        <f t="shared" si="275"/>
        <v>260899.38733538627</v>
      </c>
      <c r="AA1293" s="32">
        <f t="shared" si="276"/>
        <v>128447.3948852575</v>
      </c>
      <c r="AB1293" s="40">
        <f t="shared" ref="AB1293:AB1356" si="283">Y1293/L1293</f>
        <v>-5.0665449665286556E-2</v>
      </c>
      <c r="AC1293" s="40">
        <f t="shared" ref="AC1293:AC1356" si="284">Z1293/L1293</f>
        <v>0.70404581373113306</v>
      </c>
      <c r="AD1293" s="40">
        <f t="shared" ref="AD1293:AD1356" si="285">AA1293/L1293</f>
        <v>0.34661963593415357</v>
      </c>
      <c r="AE1293" s="40"/>
      <c r="AF1293" s="40"/>
      <c r="AG1293" s="40"/>
      <c r="AH1293" s="40"/>
      <c r="AI1293" s="40"/>
      <c r="AJ1293" s="40"/>
      <c r="AK1293" s="33">
        <f t="shared" si="277"/>
        <v>7920500</v>
      </c>
      <c r="AL1293" s="33">
        <f t="shared" si="278"/>
        <v>7546400</v>
      </c>
      <c r="AM1293" s="34"/>
      <c r="AN1293" s="33"/>
      <c r="AO1293" s="15" cm="1">
        <f t="array" ref="AO1293">SUMPRODUCT(I1293:K1293, TRANSPOSE($AY$5:$AY$7))</f>
        <v>2.0561920046005107E-2</v>
      </c>
      <c r="AP1293" s="22">
        <f t="shared" si="259"/>
        <v>13114330.110001354</v>
      </c>
      <c r="AQ1293" s="22">
        <f t="shared" si="260"/>
        <v>264222.87749734148</v>
      </c>
      <c r="AR1293">
        <f t="shared" si="261"/>
        <v>0</v>
      </c>
      <c r="AS1293">
        <f t="shared" si="262"/>
        <v>0</v>
      </c>
      <c r="BJ1293">
        <f t="shared" si="263"/>
        <v>4.5820814549538549E-5</v>
      </c>
      <c r="BK1293">
        <f t="shared" si="265"/>
        <v>4.233284689533732E-5</v>
      </c>
      <c r="BO1293">
        <f t="shared" si="266"/>
        <v>4.7327122770791759E-5</v>
      </c>
      <c r="BP1293">
        <f t="shared" si="264"/>
        <v>3.5761887647457988</v>
      </c>
    </row>
    <row r="1294" spans="1:68" x14ac:dyDescent="0.15">
      <c r="A1294" s="5">
        <v>45464</v>
      </c>
      <c r="B1294" s="1"/>
      <c r="C1294">
        <v>93.7</v>
      </c>
      <c r="D1294">
        <v>112.45</v>
      </c>
      <c r="E1294">
        <v>93.99</v>
      </c>
      <c r="G1294" s="3">
        <v>-9.5057278964482093E-3</v>
      </c>
      <c r="I1294" s="15">
        <f t="shared" si="267"/>
        <v>-1.2644889357218154E-2</v>
      </c>
      <c r="J1294" s="15">
        <f t="shared" si="268"/>
        <v>-6.1864781263809348E-3</v>
      </c>
      <c r="K1294" s="15">
        <f t="shared" si="269"/>
        <v>-3.6043676454998773E-3</v>
      </c>
      <c r="L1294" s="32">
        <f t="shared" si="270"/>
        <v>368732.71610125841</v>
      </c>
      <c r="M1294" s="15"/>
      <c r="N1294" s="32">
        <f t="shared" si="271"/>
        <v>-2811000</v>
      </c>
      <c r="O1294" s="34">
        <f t="shared" si="272"/>
        <v>-0.21471865087902336</v>
      </c>
      <c r="P1294" s="34">
        <f t="shared" si="273"/>
        <v>0.60126569206482827</v>
      </c>
      <c r="Q1294" s="34">
        <f t="shared" si="274"/>
        <v>0.5743552044430994</v>
      </c>
      <c r="R1294" s="35" cm="1">
        <f t="array" ref="R1294">SQRT(MMULT(O1294:Q1294, MMULT($AU$32:$AW$34,TRANSPOSE(O1294:Q1294))))</f>
        <v>1.2088284580383952E-2</v>
      </c>
      <c r="S1294" s="36" cm="1">
        <f t="array" ref="S1294:U1294">TRANSPOSE(MMULT($AU$32:$AW$34, TRANSPOSE(O1294:Q1294))/MMULT(O1294:Q1294, MMULT($AU$32:$AW$34,TRANSPOSE(O1294:Q1294))))</f>
        <v>0.23572591262785367</v>
      </c>
      <c r="T1294" s="36">
        <v>1.1689901647529979</v>
      </c>
      <c r="U1294" s="36">
        <v>0.60544601462550296</v>
      </c>
      <c r="V1294" s="35">
        <f t="shared" si="279"/>
        <v>6.6393860615217883E-3</v>
      </c>
      <c r="W1294" s="35">
        <f t="shared" si="280"/>
        <v>3.2925429874865693E-2</v>
      </c>
      <c r="X1294" s="35">
        <f t="shared" si="281"/>
        <v>1.7052812674246055E-2</v>
      </c>
      <c r="Y1294" s="32">
        <f t="shared" si="282"/>
        <v>-18663.314218937747</v>
      </c>
      <c r="Z1294" s="32">
        <f t="shared" si="275"/>
        <v>259172.52126000531</v>
      </c>
      <c r="AA1294" s="32">
        <f t="shared" si="276"/>
        <v>128223.50906019093</v>
      </c>
      <c r="AB1294" s="40">
        <f t="shared" si="283"/>
        <v>-5.0614749936679276E-2</v>
      </c>
      <c r="AC1294" s="40">
        <f t="shared" si="284"/>
        <v>0.70287368042718901</v>
      </c>
      <c r="AD1294" s="40">
        <f t="shared" si="285"/>
        <v>0.34774106950949052</v>
      </c>
      <c r="AE1294" s="40"/>
      <c r="AF1294" s="40"/>
      <c r="AG1294" s="40"/>
      <c r="AH1294" s="40"/>
      <c r="AI1294" s="40"/>
      <c r="AJ1294" s="40"/>
      <c r="AK1294" s="33">
        <f t="shared" si="277"/>
        <v>7871500</v>
      </c>
      <c r="AL1294" s="33">
        <f t="shared" si="278"/>
        <v>7519200</v>
      </c>
      <c r="AM1294" s="34"/>
      <c r="AN1294" s="33"/>
      <c r="AO1294" s="15" cm="1">
        <f t="array" ref="AO1294">SUMPRODUCT(I1294:K1294, TRANSPOSE($AY$5:$AY$7))</f>
        <v>-1.7370231786048296E-3</v>
      </c>
      <c r="AP1294" s="22">
        <f t="shared" ref="AP1294:AP1357" si="286">AP1293 * (1 + AO1294)</f>
        <v>13091550.214628406</v>
      </c>
      <c r="AQ1294" s="22">
        <f t="shared" ref="AQ1294:AQ1357" si="287">AP1294 - AP1293</f>
        <v>-22779.895372947678</v>
      </c>
      <c r="AR1294">
        <f t="shared" ref="AR1294:AR1357" si="288">IF(-AQ1294 &gt; L1294, 1, 0)</f>
        <v>0</v>
      </c>
      <c r="AS1294">
        <f t="shared" ref="AS1294:AS1357" si="289">IF(-AQ1294 &gt; L1293, 1, 0)</f>
        <v>0</v>
      </c>
      <c r="BJ1294">
        <f t="shared" si="263"/>
        <v>9.0358862841313702E-5</v>
      </c>
      <c r="BK1294">
        <f t="shared" si="265"/>
        <v>4.2542124954589394E-5</v>
      </c>
      <c r="BO1294">
        <f t="shared" si="266"/>
        <v>4.9588026913521799E-5</v>
      </c>
      <c r="BP1294">
        <f t="shared" si="264"/>
        <v>3.1258464744615764</v>
      </c>
    </row>
    <row r="1295" spans="1:68" x14ac:dyDescent="0.15">
      <c r="A1295" s="5">
        <v>45467</v>
      </c>
      <c r="B1295" s="1"/>
      <c r="C1295">
        <v>94.68</v>
      </c>
      <c r="D1295">
        <v>113.1</v>
      </c>
      <c r="E1295">
        <v>96.01</v>
      </c>
      <c r="G1295" s="3">
        <v>1.2021990551456901E-2</v>
      </c>
      <c r="I1295" s="15">
        <f t="shared" si="267"/>
        <v>1.0458911419423735E-2</v>
      </c>
      <c r="J1295" s="15">
        <f t="shared" si="268"/>
        <v>5.7803468208091728E-3</v>
      </c>
      <c r="K1295" s="15">
        <f t="shared" si="269"/>
        <v>2.1491648047664756E-2</v>
      </c>
      <c r="L1295" s="32">
        <f t="shared" si="270"/>
        <v>372797.77788464294</v>
      </c>
      <c r="M1295" s="15"/>
      <c r="N1295" s="32">
        <f t="shared" si="271"/>
        <v>-2840400</v>
      </c>
      <c r="O1295" s="34">
        <f t="shared" si="272"/>
        <v>-0.21364971869338195</v>
      </c>
      <c r="P1295" s="34">
        <f t="shared" si="273"/>
        <v>0.59550233167705424</v>
      </c>
      <c r="Q1295" s="34">
        <f t="shared" si="274"/>
        <v>0.5777357975426447</v>
      </c>
      <c r="R1295" s="35" cm="1">
        <f t="array" ref="R1295">SQRT(MMULT(O1295:Q1295, MMULT($AU$32:$AW$34,TRANSPOSE(O1295:Q1295))))</f>
        <v>1.2034837077074293E-2</v>
      </c>
      <c r="S1295" s="36" cm="1">
        <f t="array" ref="S1295:U1295">TRANSPOSE(MMULT($AU$32:$AW$34, TRANSPOSE(O1295:Q1295))/MMULT(O1295:Q1295, MMULT($AU$32:$AW$34,TRANSPOSE(O1295:Q1295))))</f>
        <v>0.2385202213247975</v>
      </c>
      <c r="T1295" s="36">
        <v>1.1708993027995478</v>
      </c>
      <c r="U1295" s="36">
        <v>0.61219421527441598</v>
      </c>
      <c r="V1295" s="35">
        <f t="shared" si="279"/>
        <v>6.6883861675297203E-3</v>
      </c>
      <c r="W1295" s="35">
        <f t="shared" si="280"/>
        <v>3.2833386858846181E-2</v>
      </c>
      <c r="X1295" s="35">
        <f t="shared" si="281"/>
        <v>1.7166642302027017E-2</v>
      </c>
      <c r="Y1295" s="32">
        <f t="shared" si="282"/>
        <v>-18997.692070251418</v>
      </c>
      <c r="Z1295" s="32">
        <f t="shared" si="275"/>
        <v>259941.9237614852</v>
      </c>
      <c r="AA1295" s="32">
        <f t="shared" si="276"/>
        <v>131853.5461934091</v>
      </c>
      <c r="AB1295" s="40">
        <f t="shared" si="283"/>
        <v>-5.0959778188726192E-2</v>
      </c>
      <c r="AC1295" s="40">
        <f t="shared" si="284"/>
        <v>0.69727326497616782</v>
      </c>
      <c r="AD1295" s="40">
        <f t="shared" si="285"/>
        <v>0.35368651321255817</v>
      </c>
      <c r="AE1295" s="40"/>
      <c r="AF1295" s="40"/>
      <c r="AG1295" s="40"/>
      <c r="AH1295" s="40"/>
      <c r="AI1295" s="40"/>
      <c r="AJ1295" s="40"/>
      <c r="AK1295" s="33">
        <f t="shared" si="277"/>
        <v>7917000</v>
      </c>
      <c r="AL1295" s="33">
        <f t="shared" si="278"/>
        <v>7680800</v>
      </c>
      <c r="AM1295" s="34"/>
      <c r="AN1295" s="33"/>
      <c r="AO1295" s="15" cm="1">
        <f t="array" ref="AO1295">SUMPRODUCT(I1295:K1295, TRANSPOSE($AY$5:$AY$7))</f>
        <v>1.5514439033923029E-2</v>
      </c>
      <c r="AP1295" s="22">
        <f t="shared" si="286"/>
        <v>13294658.2722928</v>
      </c>
      <c r="AQ1295" s="22">
        <f t="shared" si="287"/>
        <v>203108.05766439438</v>
      </c>
      <c r="AR1295">
        <f t="shared" si="288"/>
        <v>0</v>
      </c>
      <c r="AS1295">
        <f t="shared" si="289"/>
        <v>0</v>
      </c>
      <c r="BJ1295">
        <f t="shared" si="263"/>
        <v>1.4452825681931901E-4</v>
      </c>
      <c r="BK1295">
        <f t="shared" si="265"/>
        <v>4.5411129227792857E-5</v>
      </c>
      <c r="BO1295">
        <f t="shared" si="266"/>
        <v>5.7704549481854482E-5</v>
      </c>
      <c r="BP1295">
        <f t="shared" si="264"/>
        <v>2.708836240685343</v>
      </c>
    </row>
    <row r="1296" spans="1:68" x14ac:dyDescent="0.15">
      <c r="A1296" s="5">
        <v>45468</v>
      </c>
      <c r="B1296" s="1"/>
      <c r="C1296">
        <v>93.9</v>
      </c>
      <c r="D1296">
        <v>112.45</v>
      </c>
      <c r="E1296">
        <v>95.89</v>
      </c>
      <c r="G1296" s="3">
        <v>-5.83791254670229E-3</v>
      </c>
      <c r="I1296" s="15">
        <f t="shared" si="267"/>
        <v>-8.2382762991128119E-3</v>
      </c>
      <c r="J1296" s="15">
        <f t="shared" si="268"/>
        <v>-5.7471264367815345E-3</v>
      </c>
      <c r="K1296" s="15">
        <f t="shared" si="269"/>
        <v>-1.2498698052286694E-3</v>
      </c>
      <c r="L1296" s="32">
        <f t="shared" si="270"/>
        <v>371296.37319229404</v>
      </c>
      <c r="M1296" s="15"/>
      <c r="N1296" s="32">
        <f t="shared" si="271"/>
        <v>-2817000</v>
      </c>
      <c r="O1296" s="34">
        <f t="shared" si="272"/>
        <v>-0.21219741044218923</v>
      </c>
      <c r="P1296" s="34">
        <f t="shared" si="273"/>
        <v>0.59293997738576243</v>
      </c>
      <c r="Q1296" s="34">
        <f t="shared" si="274"/>
        <v>0.57785189030320272</v>
      </c>
      <c r="R1296" s="35" cm="1">
        <f t="array" ref="R1296">SQRT(MMULT(O1296:Q1296, MMULT($AU$32:$AW$34,TRANSPOSE(O1296:Q1296))))</f>
        <v>1.2003779764181828E-2</v>
      </c>
      <c r="S1296" s="36" cm="1">
        <f t="array" ref="S1296:U1296">TRANSPOSE(MMULT($AU$32:$AW$34, TRANSPOSE(O1296:Q1296))/MMULT(O1296:Q1296, MMULT($AU$32:$AW$34,TRANSPOSE(O1296:Q1296))))</f>
        <v>0.24033335675453601</v>
      </c>
      <c r="T1296" s="36">
        <v>1.1729746517213271</v>
      </c>
      <c r="U1296" s="36">
        <v>0.61520012038715444</v>
      </c>
      <c r="V1296" s="35">
        <f t="shared" si="279"/>
        <v>6.7218372348104198E-3</v>
      </c>
      <c r="W1296" s="35">
        <f t="shared" si="280"/>
        <v>3.2806701474577517E-2</v>
      </c>
      <c r="X1296" s="35">
        <f t="shared" si="281"/>
        <v>1.720641334153953E-2</v>
      </c>
      <c r="Y1296" s="32">
        <f t="shared" si="282"/>
        <v>-18935.415490460953</v>
      </c>
      <c r="Z1296" s="32">
        <f t="shared" si="275"/>
        <v>258237.95065713691</v>
      </c>
      <c r="AA1296" s="32">
        <f t="shared" si="276"/>
        <v>131993.83802561805</v>
      </c>
      <c r="AB1296" s="40">
        <f t="shared" si="283"/>
        <v>-5.0998115946191372E-2</v>
      </c>
      <c r="AC1296" s="40">
        <f t="shared" si="284"/>
        <v>0.69550356346571618</v>
      </c>
      <c r="AD1296" s="40">
        <f t="shared" si="285"/>
        <v>0.35549455248047512</v>
      </c>
      <c r="AE1296" s="40"/>
      <c r="AF1296" s="40"/>
      <c r="AG1296" s="40"/>
      <c r="AH1296" s="40"/>
      <c r="AI1296" s="40"/>
      <c r="AJ1296" s="40"/>
      <c r="AK1296" s="33">
        <f t="shared" si="277"/>
        <v>7871500</v>
      </c>
      <c r="AL1296" s="33">
        <f t="shared" si="278"/>
        <v>7671200</v>
      </c>
      <c r="AM1296" s="34"/>
      <c r="AN1296" s="33"/>
      <c r="AO1296" s="15" cm="1">
        <f t="array" ref="AO1296">SUMPRODUCT(I1296:K1296, TRANSPOSE($AY$5:$AY$7))</f>
        <v>-1.4505227089704313E-3</v>
      </c>
      <c r="AP1296" s="22">
        <f t="shared" si="286"/>
        <v>13275374.068560839</v>
      </c>
      <c r="AQ1296" s="22">
        <f t="shared" si="287"/>
        <v>-19284.203731961548</v>
      </c>
      <c r="AR1296">
        <f t="shared" si="288"/>
        <v>0</v>
      </c>
      <c r="AS1296">
        <f t="shared" si="289"/>
        <v>0</v>
      </c>
      <c r="BJ1296">
        <f t="shared" si="263"/>
        <v>3.4081222902944015E-5</v>
      </c>
      <c r="BK1296">
        <f t="shared" si="265"/>
        <v>5.1358156883284431E-5</v>
      </c>
      <c r="BO1296">
        <f t="shared" si="266"/>
        <v>7.1785793186815861E-5</v>
      </c>
      <c r="BP1296">
        <f t="shared" si="264"/>
        <v>3.6145920596291825</v>
      </c>
    </row>
    <row r="1297" spans="1:68" x14ac:dyDescent="0.15">
      <c r="A1297" s="5">
        <v>45469</v>
      </c>
      <c r="B1297" s="1"/>
      <c r="C1297">
        <v>92.9</v>
      </c>
      <c r="D1297">
        <v>111.5</v>
      </c>
      <c r="E1297">
        <v>95.93</v>
      </c>
      <c r="G1297" s="3">
        <v>-5.8404838290039198E-3</v>
      </c>
      <c r="I1297" s="15">
        <f t="shared" si="267"/>
        <v>-1.0649627263045794E-2</v>
      </c>
      <c r="J1297" s="15">
        <f t="shared" si="268"/>
        <v>-8.4481991996443115E-3</v>
      </c>
      <c r="K1297" s="15">
        <f t="shared" si="269"/>
        <v>4.1714464490568624E-4</v>
      </c>
      <c r="L1297" s="32">
        <f t="shared" si="270"/>
        <v>369374.11473538209</v>
      </c>
      <c r="M1297" s="15"/>
      <c r="N1297" s="32">
        <f t="shared" si="271"/>
        <v>-2787000</v>
      </c>
      <c r="O1297" s="34">
        <f t="shared" si="272"/>
        <v>-0.21015755162033356</v>
      </c>
      <c r="P1297" s="34">
        <f t="shared" si="273"/>
        <v>0.58854671345414544</v>
      </c>
      <c r="Q1297" s="34">
        <f t="shared" si="274"/>
        <v>0.57869864160570073</v>
      </c>
      <c r="R1297" s="35" cm="1">
        <f t="array" ref="R1297">SQRT(MMULT(O1297:Q1297, MMULT($AU$32:$AW$34,TRANSPOSE(O1297:Q1297))))</f>
        <v>1.1954146333100194E-2</v>
      </c>
      <c r="S1297" s="36" cm="1">
        <f t="array" ref="S1297:U1297">TRANSPOSE(MMULT($AU$32:$AW$34, TRANSPOSE(O1297:Q1297))/MMULT(O1297:Q1297, MMULT($AU$32:$AW$34,TRANSPOSE(O1297:Q1297))))</f>
        <v>0.24321135586750445</v>
      </c>
      <c r="T1297" s="36">
        <v>1.1759280836779298</v>
      </c>
      <c r="U1297" s="36">
        <v>0.62039906154285096</v>
      </c>
      <c r="V1297" s="35">
        <f t="shared" si="279"/>
        <v>6.7742050413346225E-3</v>
      </c>
      <c r="W1297" s="35">
        <f t="shared" si="280"/>
        <v>3.2753314187507189E-2</v>
      </c>
      <c r="X1297" s="35">
        <f t="shared" si="281"/>
        <v>1.7280074918180968E-2</v>
      </c>
      <c r="Y1297" s="32">
        <f t="shared" si="282"/>
        <v>-18879.709450199593</v>
      </c>
      <c r="Z1297" s="32">
        <f t="shared" si="275"/>
        <v>255639.6172334936</v>
      </c>
      <c r="AA1297" s="32">
        <f t="shared" si="276"/>
        <v>132614.20695208805</v>
      </c>
      <c r="AB1297" s="40">
        <f t="shared" si="283"/>
        <v>-5.1112703075376381E-2</v>
      </c>
      <c r="AC1297" s="40">
        <f t="shared" si="284"/>
        <v>0.69208860890707691</v>
      </c>
      <c r="AD1297" s="40">
        <f t="shared" si="285"/>
        <v>0.35902409416829939</v>
      </c>
      <c r="AE1297" s="40"/>
      <c r="AF1297" s="40"/>
      <c r="AG1297" s="40"/>
      <c r="AH1297" s="40"/>
      <c r="AI1297" s="40"/>
      <c r="AJ1297" s="40"/>
      <c r="AK1297" s="33">
        <f t="shared" si="277"/>
        <v>7805000</v>
      </c>
      <c r="AL1297" s="33">
        <f t="shared" si="278"/>
        <v>7674400.0000000009</v>
      </c>
      <c r="AM1297" s="34"/>
      <c r="AN1297" s="33"/>
      <c r="AO1297" s="15" cm="1">
        <f t="array" ref="AO1297">SUMPRODUCT(I1297:K1297, TRANSPOSE($AY$5:$AY$7))</f>
        <v>-1.046664770507699E-3</v>
      </c>
      <c r="AP1297" s="22">
        <f t="shared" si="286"/>
        <v>13261479.202207964</v>
      </c>
      <c r="AQ1297" s="22">
        <f t="shared" si="287"/>
        <v>-13894.866352874786</v>
      </c>
      <c r="AR1297">
        <f t="shared" si="288"/>
        <v>0</v>
      </c>
      <c r="AS1297">
        <f t="shared" si="289"/>
        <v>0</v>
      </c>
      <c r="BJ1297">
        <f t="shared" si="263"/>
        <v>3.4111251356856288E-5</v>
      </c>
      <c r="BK1297">
        <f t="shared" si="265"/>
        <v>5.0321540844464003E-5</v>
      </c>
      <c r="BO1297">
        <f t="shared" si="266"/>
        <v>6.7100935071298066E-5</v>
      </c>
      <c r="BP1297">
        <f t="shared" si="264"/>
        <v>3.631539097325887</v>
      </c>
    </row>
    <row r="1298" spans="1:68" x14ac:dyDescent="0.15">
      <c r="A1298" s="5">
        <v>45470</v>
      </c>
      <c r="B1298" s="1"/>
      <c r="C1298">
        <v>92.14</v>
      </c>
      <c r="D1298">
        <v>111.75</v>
      </c>
      <c r="E1298">
        <v>95.45</v>
      </c>
      <c r="G1298" s="3">
        <v>-9.4995670648134701E-4</v>
      </c>
      <c r="I1298" s="15">
        <f t="shared" si="267"/>
        <v>-8.1808396124865984E-3</v>
      </c>
      <c r="J1298" s="15">
        <f t="shared" si="268"/>
        <v>2.242152466367713E-3</v>
      </c>
      <c r="K1298" s="15">
        <f t="shared" si="269"/>
        <v>-5.0036484936933591E-3</v>
      </c>
      <c r="L1298" s="32">
        <f t="shared" si="270"/>
        <v>369439.54026244854</v>
      </c>
      <c r="M1298" s="15"/>
      <c r="N1298" s="32">
        <f t="shared" si="271"/>
        <v>-2764200</v>
      </c>
      <c r="O1298" s="34">
        <f t="shared" si="272"/>
        <v>-0.20822758076364423</v>
      </c>
      <c r="P1298" s="34">
        <f t="shared" si="273"/>
        <v>0.58927004215454992</v>
      </c>
      <c r="Q1298" s="34">
        <f t="shared" si="274"/>
        <v>0.57522097051992882</v>
      </c>
      <c r="R1298" s="35" cm="1">
        <f t="array" ref="R1298">SQRT(MMULT(O1298:Q1298, MMULT($AU$32:$AW$34,TRANSPOSE(O1298:Q1298))))</f>
        <v>1.1944177394305828E-2</v>
      </c>
      <c r="S1298" s="36" cm="1">
        <f t="array" ref="S1298:U1298">TRANSPOSE(MMULT($AU$32:$AW$34, TRANSPOSE(O1298:Q1298))/MMULT(O1298:Q1298, MMULT($AU$32:$AW$34,TRANSPOSE(O1298:Q1298))))</f>
        <v>0.24404268479795155</v>
      </c>
      <c r="T1298" s="36">
        <v>1.178516562400246</v>
      </c>
      <c r="U1298" s="36">
        <v>0.61950438477758485</v>
      </c>
      <c r="V1298" s="35">
        <f t="shared" si="279"/>
        <v>6.7916916472918918E-3</v>
      </c>
      <c r="W1298" s="35">
        <f t="shared" si="280"/>
        <v>3.279803735840596E-2</v>
      </c>
      <c r="X1298" s="35">
        <f t="shared" si="281"/>
        <v>1.7240765725217683E-2</v>
      </c>
      <c r="Y1298" s="32">
        <f t="shared" si="282"/>
        <v>-18773.594051444248</v>
      </c>
      <c r="Z1298" s="32">
        <f t="shared" si="275"/>
        <v>256562.64723613061</v>
      </c>
      <c r="AA1298" s="32">
        <f t="shared" si="276"/>
        <v>131650.48707776223</v>
      </c>
      <c r="AB1298" s="40">
        <f t="shared" si="283"/>
        <v>-5.0816417858542032E-2</v>
      </c>
      <c r="AC1298" s="40">
        <f t="shared" si="284"/>
        <v>0.69446450440542828</v>
      </c>
      <c r="AD1298" s="40">
        <f t="shared" si="285"/>
        <v>0.35635191345311384</v>
      </c>
      <c r="AE1298" s="40"/>
      <c r="AF1298" s="40"/>
      <c r="AG1298" s="40"/>
      <c r="AH1298" s="40"/>
      <c r="AI1298" s="40"/>
      <c r="AJ1298" s="40"/>
      <c r="AK1298" s="33">
        <f t="shared" si="277"/>
        <v>7822500</v>
      </c>
      <c r="AL1298" s="33">
        <f t="shared" si="278"/>
        <v>7636000</v>
      </c>
      <c r="AM1298" s="34"/>
      <c r="AN1298" s="33"/>
      <c r="AO1298" s="15" cm="1">
        <f t="array" ref="AO1298">SUMPRODUCT(I1298:K1298, TRANSPOSE($AY$5:$AY$7))</f>
        <v>1.0119006942202E-3</v>
      </c>
      <c r="AP1298" s="22">
        <f t="shared" si="286"/>
        <v>13274898.502219064</v>
      </c>
      <c r="AQ1298" s="22">
        <f t="shared" si="287"/>
        <v>13419.300011100248</v>
      </c>
      <c r="AR1298">
        <f t="shared" si="288"/>
        <v>0</v>
      </c>
      <c r="AS1298">
        <f t="shared" si="289"/>
        <v>0</v>
      </c>
      <c r="BJ1298">
        <f t="shared" si="263"/>
        <v>9.0241774418888806E-7</v>
      </c>
      <c r="BK1298">
        <f t="shared" si="265"/>
        <v>4.9348923475207541E-5</v>
      </c>
      <c r="BO1298">
        <f t="shared" si="266"/>
        <v>6.3430508253276591E-5</v>
      </c>
      <c r="BP1298">
        <f t="shared" si="264"/>
        <v>3.906730835383422</v>
      </c>
    </row>
    <row r="1299" spans="1:68" x14ac:dyDescent="0.15">
      <c r="A1299" s="5">
        <v>45471</v>
      </c>
      <c r="B1299" s="1"/>
      <c r="C1299">
        <v>91.72</v>
      </c>
      <c r="D1299">
        <v>111.5</v>
      </c>
      <c r="E1299">
        <v>96.17</v>
      </c>
      <c r="G1299" s="3">
        <v>-8.7318568035865598E-4</v>
      </c>
      <c r="I1299" s="15">
        <f t="shared" si="267"/>
        <v>-4.5582808769264347E-3</v>
      </c>
      <c r="J1299" s="15">
        <f t="shared" si="268"/>
        <v>-2.2371364653243847E-3</v>
      </c>
      <c r="K1299" s="15">
        <f t="shared" si="269"/>
        <v>7.5432163436353989E-3</v>
      </c>
      <c r="L1299" s="32">
        <f t="shared" si="270"/>
        <v>369947.40141212876</v>
      </c>
      <c r="M1299" s="15"/>
      <c r="N1299" s="32">
        <f t="shared" si="271"/>
        <v>-2751600</v>
      </c>
      <c r="O1299" s="34">
        <f t="shared" si="272"/>
        <v>-0.20606553182080661</v>
      </c>
      <c r="P1299" s="34">
        <f t="shared" si="273"/>
        <v>0.58451136642731349</v>
      </c>
      <c r="Q1299" s="34">
        <f t="shared" si="274"/>
        <v>0.57616869298464812</v>
      </c>
      <c r="R1299" s="35" cm="1">
        <f t="array" ref="R1299">SQRT(MMULT(O1299:Q1299, MMULT($AU$32:$AW$34,TRANSPOSE(O1299:Q1299))))</f>
        <v>1.1890609414875863E-2</v>
      </c>
      <c r="S1299" s="36" cm="1">
        <f t="array" ref="S1299:U1299">TRANSPOSE(MMULT($AU$32:$AW$34, TRANSPOSE(O1299:Q1299))/MMULT(O1299:Q1299, MMULT($AU$32:$AW$34,TRANSPOSE(O1299:Q1299))))</f>
        <v>0.2471783093203169</v>
      </c>
      <c r="T1299" s="36">
        <v>1.1817031734962353</v>
      </c>
      <c r="U1299" s="36">
        <v>0.62519188824179917</v>
      </c>
      <c r="V1299" s="35">
        <f t="shared" si="279"/>
        <v>6.8481047054604113E-3</v>
      </c>
      <c r="W1299" s="35">
        <f t="shared" si="280"/>
        <v>3.2739228151245831E-2</v>
      </c>
      <c r="X1299" s="35">
        <f t="shared" si="281"/>
        <v>1.7321016247166452E-2</v>
      </c>
      <c r="Y1299" s="32">
        <f t="shared" si="282"/>
        <v>-18843.244907544868</v>
      </c>
      <c r="Z1299" s="32">
        <f t="shared" si="275"/>
        <v>255529.67572047369</v>
      </c>
      <c r="AA1299" s="32">
        <f t="shared" si="276"/>
        <v>133260.97059919982</v>
      </c>
      <c r="AB1299" s="40">
        <f t="shared" si="283"/>
        <v>-5.0934929764658944E-2</v>
      </c>
      <c r="AC1299" s="40">
        <f t="shared" si="284"/>
        <v>0.69071893665177697</v>
      </c>
      <c r="AD1299" s="40">
        <f t="shared" si="285"/>
        <v>0.36021599311288161</v>
      </c>
      <c r="AE1299" s="40"/>
      <c r="AF1299" s="40"/>
      <c r="AG1299" s="40"/>
      <c r="AH1299" s="40"/>
      <c r="AI1299" s="40"/>
      <c r="AJ1299" s="40"/>
      <c r="AK1299" s="33">
        <f t="shared" si="277"/>
        <v>7805000</v>
      </c>
      <c r="AL1299" s="33">
        <f t="shared" si="278"/>
        <v>7693600</v>
      </c>
      <c r="AM1299" s="34"/>
      <c r="AN1299" s="33"/>
      <c r="AO1299" s="15" cm="1">
        <f t="array" ref="AO1299">SUMPRODUCT(I1299:K1299, TRANSPOSE($AY$5:$AY$7))</f>
        <v>5.8859389664874468E-3</v>
      </c>
      <c r="AP1299" s="22">
        <f t="shared" si="286"/>
        <v>13353033.744589441</v>
      </c>
      <c r="AQ1299" s="22">
        <f t="shared" si="287"/>
        <v>78135.242370376363</v>
      </c>
      <c r="AR1299">
        <f t="shared" si="288"/>
        <v>0</v>
      </c>
      <c r="AS1299">
        <f t="shared" si="289"/>
        <v>0</v>
      </c>
      <c r="BJ1299">
        <f t="shared" si="263"/>
        <v>7.6245323238340891E-7</v>
      </c>
      <c r="BK1299">
        <f t="shared" si="265"/>
        <v>4.6442133131346422E-5</v>
      </c>
      <c r="BO1299">
        <f t="shared" si="266"/>
        <v>5.5821894847111218E-5</v>
      </c>
      <c r="BP1299">
        <f t="shared" si="264"/>
        <v>3.9709043206679326</v>
      </c>
    </row>
    <row r="1300" spans="1:68" x14ac:dyDescent="0.15">
      <c r="A1300" s="5">
        <v>45474</v>
      </c>
      <c r="B1300" s="1"/>
      <c r="C1300">
        <v>91.88</v>
      </c>
      <c r="D1300">
        <v>112.4</v>
      </c>
      <c r="E1300">
        <v>96.72</v>
      </c>
      <c r="G1300" s="3">
        <v>4.6508871006067896E-3</v>
      </c>
      <c r="I1300" s="15">
        <f t="shared" si="267"/>
        <v>1.744439598778855E-3</v>
      </c>
      <c r="J1300" s="15">
        <f t="shared" si="268"/>
        <v>8.0717488789238175E-3</v>
      </c>
      <c r="K1300" s="15">
        <f t="shared" si="269"/>
        <v>5.7190392014141332E-3</v>
      </c>
      <c r="L1300" s="32">
        <f t="shared" si="270"/>
        <v>372739.46840223653</v>
      </c>
      <c r="M1300" s="15"/>
      <c r="N1300" s="32">
        <f t="shared" si="271"/>
        <v>-2756400</v>
      </c>
      <c r="O1300" s="34">
        <f t="shared" si="272"/>
        <v>-0.20461767865372421</v>
      </c>
      <c r="P1300" s="34">
        <f t="shared" si="273"/>
        <v>0.58407048891579672</v>
      </c>
      <c r="Q1300" s="34">
        <f t="shared" si="274"/>
        <v>0.57439041878938346</v>
      </c>
      <c r="R1300" s="35" cm="1">
        <f t="array" ref="R1300">SQRT(MMULT(O1300:Q1300, MMULT($AU$32:$AW$34,TRANSPOSE(O1300:Q1300))))</f>
        <v>1.1875458124936367E-2</v>
      </c>
      <c r="S1300" s="36" cm="1">
        <f t="array" ref="S1300:U1300">TRANSPOSE(MMULT($AU$32:$AW$34, TRANSPOSE(O1300:Q1300))/MMULT(O1300:Q1300, MMULT($AU$32:$AW$34,TRANSPOSE(O1300:Q1300))))</f>
        <v>0.24820097344955327</v>
      </c>
      <c r="T1300" s="36">
        <v>1.1837405340034839</v>
      </c>
      <c r="U1300" s="36">
        <v>0.62570402086348975</v>
      </c>
      <c r="V1300" s="35">
        <f t="shared" si="279"/>
        <v>6.8676756215708687E-3</v>
      </c>
      <c r="W1300" s="35">
        <f t="shared" si="280"/>
        <v>3.2753884461671275E-2</v>
      </c>
      <c r="X1300" s="35">
        <f t="shared" si="281"/>
        <v>1.7313116023199033E-2</v>
      </c>
      <c r="Y1300" s="32">
        <f t="shared" si="282"/>
        <v>-18930.061083297944</v>
      </c>
      <c r="Z1300" s="32">
        <f t="shared" si="275"/>
        <v>257707.56294442958</v>
      </c>
      <c r="AA1300" s="32">
        <f t="shared" si="276"/>
        <v>133961.96654110483</v>
      </c>
      <c r="AB1300" s="40">
        <f t="shared" si="283"/>
        <v>-5.0786307026842233E-2</v>
      </c>
      <c r="AC1300" s="40">
        <f t="shared" si="284"/>
        <v>0.69138791244486109</v>
      </c>
      <c r="AD1300" s="40">
        <f t="shared" si="285"/>
        <v>0.35939839458198097</v>
      </c>
      <c r="AE1300" s="40"/>
      <c r="AF1300" s="40"/>
      <c r="AG1300" s="40"/>
      <c r="AH1300" s="40"/>
      <c r="AI1300" s="40"/>
      <c r="AJ1300" s="40"/>
      <c r="AK1300" s="33">
        <f t="shared" si="277"/>
        <v>7868000</v>
      </c>
      <c r="AL1300" s="33">
        <f t="shared" si="278"/>
        <v>7737600</v>
      </c>
      <c r="AM1300" s="34"/>
      <c r="AN1300" s="33"/>
      <c r="AO1300" s="15" cm="1">
        <f t="array" ref="AO1300">SUMPRODUCT(I1300:K1300, TRANSPOSE($AY$5:$AY$7))</f>
        <v>8.8326778635416815E-3</v>
      </c>
      <c r="AP1300" s="22">
        <f t="shared" si="286"/>
        <v>13470976.790156402</v>
      </c>
      <c r="AQ1300" s="22">
        <f t="shared" si="287"/>
        <v>117943.04556696117</v>
      </c>
      <c r="AR1300">
        <f t="shared" si="288"/>
        <v>0</v>
      </c>
      <c r="AS1300">
        <f t="shared" si="289"/>
        <v>0</v>
      </c>
      <c r="BJ1300">
        <f t="shared" si="263"/>
        <v>2.1630750822590629E-5</v>
      </c>
      <c r="BK1300">
        <f t="shared" si="265"/>
        <v>4.3701352337408639E-5</v>
      </c>
      <c r="BO1300">
        <f t="shared" si="266"/>
        <v>4.9833925876727726E-5</v>
      </c>
      <c r="BP1300">
        <f t="shared" si="264"/>
        <v>3.8174403843481719</v>
      </c>
    </row>
    <row r="1301" spans="1:68" x14ac:dyDescent="0.15">
      <c r="A1301" s="5">
        <v>45475</v>
      </c>
      <c r="B1301" s="1"/>
      <c r="C1301">
        <v>92.52</v>
      </c>
      <c r="D1301">
        <v>107.95</v>
      </c>
      <c r="E1301">
        <v>96.46</v>
      </c>
      <c r="G1301" s="3">
        <v>-3.20243912835271E-3</v>
      </c>
      <c r="I1301" s="15">
        <f t="shared" si="267"/>
        <v>6.9656073138876862E-3</v>
      </c>
      <c r="J1301" s="15">
        <f t="shared" si="268"/>
        <v>-3.9590747330960879E-2</v>
      </c>
      <c r="K1301" s="15">
        <f t="shared" si="269"/>
        <v>-2.6881720430108058E-3</v>
      </c>
      <c r="L1301" s="32">
        <f t="shared" si="270"/>
        <v>362079.36942834768</v>
      </c>
      <c r="M1301" s="15"/>
      <c r="N1301" s="32">
        <f t="shared" si="271"/>
        <v>-2775600</v>
      </c>
      <c r="O1301" s="34">
        <f t="shared" si="272"/>
        <v>-0.2125800930159624</v>
      </c>
      <c r="P1301" s="34">
        <f t="shared" si="273"/>
        <v>0.5787438654255368</v>
      </c>
      <c r="Q1301" s="34">
        <f t="shared" si="274"/>
        <v>0.59102106275600896</v>
      </c>
      <c r="R1301" s="35" cm="1">
        <f t="array" ref="R1301">SQRT(MMULT(O1301:Q1301, MMULT($AU$32:$AW$34,TRANSPOSE(O1301:Q1301))))</f>
        <v>1.190182535365499E-2</v>
      </c>
      <c r="S1301" s="36" cm="1">
        <f t="array" ref="S1301:U1301">TRANSPOSE(MMULT($AU$32:$AW$34, TRANSPOSE(O1301:Q1301))/MMULT(O1301:Q1301, MMULT($AU$32:$AW$34,TRANSPOSE(O1301:Q1301))))</f>
        <v>0.2456341389527476</v>
      </c>
      <c r="T1301" s="36">
        <v>1.1725666685301095</v>
      </c>
      <c r="U1301" s="36">
        <v>0.63212833760959375</v>
      </c>
      <c r="V1301" s="35">
        <f t="shared" si="279"/>
        <v>6.8117424709166858E-3</v>
      </c>
      <c r="W1301" s="35">
        <f t="shared" si="280"/>
        <v>3.2516743031164447E-2</v>
      </c>
      <c r="X1301" s="35">
        <f t="shared" si="281"/>
        <v>1.7529710905508748E-2</v>
      </c>
      <c r="Y1301" s="32">
        <f t="shared" si="282"/>
        <v>-18906.672402276352</v>
      </c>
      <c r="Z1301" s="32">
        <f t="shared" si="275"/>
        <v>245712.76871499413</v>
      </c>
      <c r="AA1301" s="32">
        <f t="shared" si="276"/>
        <v>135273.27311562988</v>
      </c>
      <c r="AB1301" s="40">
        <f t="shared" si="283"/>
        <v>-5.2216928106470911E-2</v>
      </c>
      <c r="AC1301" s="40">
        <f t="shared" si="284"/>
        <v>0.67861576621425967</v>
      </c>
      <c r="AD1301" s="40">
        <f t="shared" si="285"/>
        <v>0.37360116189221126</v>
      </c>
      <c r="AE1301" s="40"/>
      <c r="AF1301" s="40"/>
      <c r="AG1301" s="40"/>
      <c r="AH1301" s="40"/>
      <c r="AI1301" s="40"/>
      <c r="AJ1301" s="40"/>
      <c r="AK1301" s="33">
        <f t="shared" si="277"/>
        <v>7556500</v>
      </c>
      <c r="AL1301" s="33">
        <f t="shared" si="278"/>
        <v>7716799.9999999991</v>
      </c>
      <c r="AM1301" s="34"/>
      <c r="AN1301" s="33"/>
      <c r="AO1301" s="15" cm="1">
        <f t="array" ref="AO1301">SUMPRODUCT(I1301:K1301, TRANSPOSE($AY$5:$AY$7))</f>
        <v>-3.075136467630667E-2</v>
      </c>
      <c r="AP1301" s="22">
        <f t="shared" si="286"/>
        <v>13056725.870336238</v>
      </c>
      <c r="AQ1301" s="22">
        <f t="shared" si="287"/>
        <v>-414250.9198201634</v>
      </c>
      <c r="AR1301">
        <f t="shared" si="288"/>
        <v>1</v>
      </c>
      <c r="AS1301">
        <f t="shared" si="289"/>
        <v>1</v>
      </c>
      <c r="BJ1301">
        <f t="shared" si="263"/>
        <v>1.0255616370804466E-5</v>
      </c>
      <c r="BK1301">
        <f t="shared" si="265"/>
        <v>4.2377116246519556E-5</v>
      </c>
      <c r="BO1301">
        <f t="shared" si="266"/>
        <v>4.810915673009167E-5</v>
      </c>
      <c r="BP1301">
        <f t="shared" si="264"/>
        <v>3.9454935340032913</v>
      </c>
    </row>
    <row r="1302" spans="1:68" x14ac:dyDescent="0.15">
      <c r="A1302" s="5">
        <v>45476</v>
      </c>
      <c r="B1302" s="1"/>
      <c r="C1302">
        <v>92.56</v>
      </c>
      <c r="D1302">
        <v>107.1</v>
      </c>
      <c r="E1302">
        <v>96.11</v>
      </c>
      <c r="G1302" s="3">
        <v>6.0622265231446894E-4</v>
      </c>
      <c r="I1302" s="15">
        <f t="shared" si="267"/>
        <v>4.3233895373979953E-4</v>
      </c>
      <c r="J1302" s="15">
        <f t="shared" si="268"/>
        <v>-7.874015748031574E-3</v>
      </c>
      <c r="K1302" s="15">
        <f t="shared" si="269"/>
        <v>-3.6284470246733809E-3</v>
      </c>
      <c r="L1302" s="32">
        <f t="shared" si="270"/>
        <v>359646.1834984931</v>
      </c>
      <c r="M1302" s="15"/>
      <c r="N1302" s="32">
        <f t="shared" si="271"/>
        <v>-2776800</v>
      </c>
      <c r="O1302" s="34">
        <f t="shared" si="272"/>
        <v>-0.21439147960520177</v>
      </c>
      <c r="P1302" s="34">
        <f t="shared" si="273"/>
        <v>0.57882920001447624</v>
      </c>
      <c r="Q1302" s="34">
        <f t="shared" si="274"/>
        <v>0.59363771549570565</v>
      </c>
      <c r="R1302" s="35" cm="1">
        <f t="array" ref="R1302">SQRT(MMULT(O1302:Q1302, MMULT($AU$32:$AW$34,TRANSPOSE(O1302:Q1302))))</f>
        <v>1.1917425779049376E-2</v>
      </c>
      <c r="S1302" s="36" cm="1">
        <f t="array" ref="S1302:U1302">TRANSPOSE(MMULT($AU$32:$AW$34, TRANSPOSE(O1302:Q1302))/MMULT(O1302:Q1302, MMULT($AU$32:$AW$34,TRANSPOSE(O1302:Q1302))))</f>
        <v>0.24453664654998072</v>
      </c>
      <c r="T1302" s="36">
        <v>1.1700310136460093</v>
      </c>
      <c r="U1302" s="36">
        <v>0.63199902576508782</v>
      </c>
      <c r="V1302" s="35">
        <f t="shared" si="279"/>
        <v>6.7901962917546708E-3</v>
      </c>
      <c r="W1302" s="35">
        <f t="shared" si="280"/>
        <v>3.2488955590847482E-2</v>
      </c>
      <c r="X1302" s="35">
        <f t="shared" si="281"/>
        <v>1.7549097453029589E-2</v>
      </c>
      <c r="Y1302" s="32">
        <f t="shared" si="282"/>
        <v>-18855.017062944371</v>
      </c>
      <c r="Z1302" s="32">
        <f t="shared" si="275"/>
        <v>243569.70006458357</v>
      </c>
      <c r="AA1302" s="32">
        <f t="shared" si="276"/>
        <v>134931.5004968539</v>
      </c>
      <c r="AB1302" s="40">
        <f t="shared" si="283"/>
        <v>-5.2426573471544634E-2</v>
      </c>
      <c r="AC1302" s="40">
        <f t="shared" si="284"/>
        <v>0.6772481156208463</v>
      </c>
      <c r="AD1302" s="40">
        <f t="shared" si="285"/>
        <v>0.37517845785069831</v>
      </c>
      <c r="AE1302" s="40"/>
      <c r="AF1302" s="40"/>
      <c r="AG1302" s="40"/>
      <c r="AH1302" s="40"/>
      <c r="AI1302" s="40"/>
      <c r="AJ1302" s="40"/>
      <c r="AK1302" s="33">
        <f t="shared" si="277"/>
        <v>7497000</v>
      </c>
      <c r="AL1302" s="33">
        <f t="shared" si="278"/>
        <v>7688800</v>
      </c>
      <c r="AM1302" s="34"/>
      <c r="AN1302" s="33"/>
      <c r="AO1302" s="15" cm="1">
        <f t="array" ref="AO1302">SUMPRODUCT(I1302:K1302, TRANSPOSE($AY$5:$AY$7))</f>
        <v>-8.0202811110094037E-3</v>
      </c>
      <c r="AP1302" s="22">
        <f t="shared" si="286"/>
        <v>12952007.258466752</v>
      </c>
      <c r="AQ1302" s="22">
        <f t="shared" si="287"/>
        <v>-104718.61186948605</v>
      </c>
      <c r="AR1302">
        <f t="shared" si="288"/>
        <v>0</v>
      </c>
      <c r="AS1302">
        <f t="shared" si="289"/>
        <v>0</v>
      </c>
      <c r="BJ1302">
        <f t="shared" si="263"/>
        <v>3.6750590417918951E-7</v>
      </c>
      <c r="BK1302">
        <f t="shared" si="265"/>
        <v>4.0449826253976654E-5</v>
      </c>
      <c r="BO1302">
        <f t="shared" si="266"/>
        <v>4.5136235547367435E-5</v>
      </c>
      <c r="BP1302">
        <f t="shared" si="264"/>
        <v>4.079902985411751</v>
      </c>
    </row>
    <row r="1303" spans="1:68" x14ac:dyDescent="0.15">
      <c r="A1303" s="5">
        <v>45478</v>
      </c>
      <c r="B1303" s="1"/>
      <c r="C1303">
        <v>92.56</v>
      </c>
      <c r="D1303">
        <v>107.4</v>
      </c>
      <c r="E1303">
        <v>96.61</v>
      </c>
      <c r="G1303" s="3">
        <v>-1.0116569146549901E-3</v>
      </c>
      <c r="I1303" s="15">
        <f t="shared" si="267"/>
        <v>0</v>
      </c>
      <c r="J1303" s="15">
        <f t="shared" si="268"/>
        <v>2.801120448179378E-3</v>
      </c>
      <c r="K1303" s="15">
        <f t="shared" si="269"/>
        <v>5.2023722817604824E-3</v>
      </c>
      <c r="L1303" s="32">
        <f t="shared" si="270"/>
        <v>361030.73208261828</v>
      </c>
      <c r="M1303" s="15"/>
      <c r="N1303" s="32">
        <f t="shared" si="271"/>
        <v>-2776800</v>
      </c>
      <c r="O1303" s="34">
        <f t="shared" si="272"/>
        <v>-0.21318162215254138</v>
      </c>
      <c r="P1303" s="34">
        <f t="shared" si="273"/>
        <v>0.57717496231014331</v>
      </c>
      <c r="Q1303" s="34">
        <f t="shared" si="274"/>
        <v>0.59335858588755463</v>
      </c>
      <c r="R1303" s="35" cm="1">
        <f t="array" ref="R1303">SQRT(MMULT(O1303:Q1303, MMULT($AU$32:$AW$34,TRANSPOSE(O1303:Q1303))))</f>
        <v>1.1895793396711336E-2</v>
      </c>
      <c r="S1303" s="36" cm="1">
        <f t="array" ref="S1303:U1303">TRANSPOSE(MMULT($AU$32:$AW$34, TRANSPOSE(O1303:Q1303))/MMULT(O1303:Q1303, MMULT($AU$32:$AW$34,TRANSPOSE(O1303:Q1303))))</f>
        <v>0.24589624750204439</v>
      </c>
      <c r="T1303" s="36">
        <v>1.1716229371812128</v>
      </c>
      <c r="U1303" s="36">
        <v>0.63399965090541888</v>
      </c>
      <c r="V1303" s="35">
        <f t="shared" si="279"/>
        <v>6.815555130534434E-3</v>
      </c>
      <c r="W1303" s="35">
        <f t="shared" si="280"/>
        <v>3.2474105650965042E-2</v>
      </c>
      <c r="X1303" s="35">
        <f t="shared" si="281"/>
        <v>1.7572694245566081E-2</v>
      </c>
      <c r="Y1303" s="32">
        <f t="shared" si="282"/>
        <v>-18925.433486468017</v>
      </c>
      <c r="Z1303" s="32">
        <f t="shared" si="275"/>
        <v>244140.32628395519</v>
      </c>
      <c r="AA1303" s="32">
        <f t="shared" si="276"/>
        <v>135815.83928513114</v>
      </c>
      <c r="AB1303" s="40">
        <f t="shared" si="283"/>
        <v>-5.2420560923708621E-2</v>
      </c>
      <c r="AC1303" s="40">
        <f t="shared" si="284"/>
        <v>0.676231424609266</v>
      </c>
      <c r="AD1303" s="40">
        <f t="shared" si="285"/>
        <v>0.37618913631444273</v>
      </c>
      <c r="AE1303" s="40"/>
      <c r="AF1303" s="40"/>
      <c r="AG1303" s="40"/>
      <c r="AH1303" s="40"/>
      <c r="AI1303" s="40"/>
      <c r="AJ1303" s="40"/>
      <c r="AK1303" s="33">
        <f t="shared" si="277"/>
        <v>7518000</v>
      </c>
      <c r="AL1303" s="33">
        <f t="shared" si="278"/>
        <v>7728800</v>
      </c>
      <c r="AM1303" s="34"/>
      <c r="AN1303" s="33"/>
      <c r="AO1303" s="15" cm="1">
        <f t="array" ref="AO1303">SUMPRODUCT(I1303:K1303, TRANSPOSE($AY$5:$AY$7))</f>
        <v>5.6752427364244809E-3</v>
      </c>
      <c r="AP1303" s="22">
        <f t="shared" si="286"/>
        <v>13025513.043582482</v>
      </c>
      <c r="AQ1303" s="22">
        <f t="shared" si="287"/>
        <v>73505.785115730017</v>
      </c>
      <c r="AR1303">
        <f t="shared" si="288"/>
        <v>0</v>
      </c>
      <c r="AS1303">
        <f t="shared" si="289"/>
        <v>0</v>
      </c>
      <c r="BJ1303">
        <f t="shared" si="263"/>
        <v>1.0234497129692538E-6</v>
      </c>
      <c r="BK1303">
        <f t="shared" si="265"/>
        <v>3.8044887032988806E-5</v>
      </c>
      <c r="BO1303">
        <f t="shared" si="266"/>
        <v>4.1396072581302101E-5</v>
      </c>
      <c r="BP1303">
        <f t="shared" si="264"/>
        <v>4.1148620637322333</v>
      </c>
    </row>
    <row r="1304" spans="1:68" x14ac:dyDescent="0.15">
      <c r="A1304" s="5">
        <v>45481</v>
      </c>
      <c r="B1304" s="1"/>
      <c r="C1304">
        <v>92.84</v>
      </c>
      <c r="D1304">
        <v>110.2</v>
      </c>
      <c r="E1304">
        <v>97.22</v>
      </c>
      <c r="G1304" s="3">
        <v>3.7913741160400197E-3</v>
      </c>
      <c r="I1304" s="15">
        <f t="shared" si="267"/>
        <v>3.0250648228176439E-3</v>
      </c>
      <c r="J1304" s="15">
        <f t="shared" si="268"/>
        <v>2.6070763500931071E-2</v>
      </c>
      <c r="K1304" s="15">
        <f t="shared" si="269"/>
        <v>6.3140461649932658E-3</v>
      </c>
      <c r="L1304" s="32">
        <f t="shared" si="270"/>
        <v>368205.3383457099</v>
      </c>
      <c r="M1304" s="15"/>
      <c r="N1304" s="32">
        <f t="shared" si="271"/>
        <v>-2785200</v>
      </c>
      <c r="O1304" s="34">
        <f t="shared" si="272"/>
        <v>-0.2095111382489378</v>
      </c>
      <c r="P1304" s="34">
        <f t="shared" si="273"/>
        <v>0.58027032904362563</v>
      </c>
      <c r="Q1304" s="34">
        <f t="shared" si="274"/>
        <v>0.58505451272617359</v>
      </c>
      <c r="R1304" s="35" cm="1">
        <f t="array" ref="R1304">SQRT(MMULT(O1304:Q1304, MMULT($AU$32:$AW$34,TRANSPOSE(O1304:Q1304))))</f>
        <v>1.1887345611929294E-2</v>
      </c>
      <c r="S1304" s="36" cm="1">
        <f t="array" ref="S1304:U1304">TRANSPOSE(MMULT($AU$32:$AW$34, TRANSPOSE(O1304:Q1304))/MMULT(O1304:Q1304, MMULT($AU$32:$AW$34,TRANSPOSE(O1304:Q1304))))</f>
        <v>0.24683643106317721</v>
      </c>
      <c r="T1304" s="36">
        <v>1.1769405729834317</v>
      </c>
      <c r="U1304" s="36">
        <v>0.63031953443979438</v>
      </c>
      <c r="V1304" s="35">
        <f t="shared" si="279"/>
        <v>6.8367558199951333E-3</v>
      </c>
      <c r="W1304" s="35">
        <f t="shared" si="280"/>
        <v>3.2598329498911824E-2</v>
      </c>
      <c r="X1304" s="35">
        <f t="shared" si="281"/>
        <v>1.7458284933778361E-2</v>
      </c>
      <c r="Y1304" s="32">
        <f t="shared" si="282"/>
        <v>-19041.732309850446</v>
      </c>
      <c r="Z1304" s="32">
        <f t="shared" si="275"/>
        <v>251463.51375460581</v>
      </c>
      <c r="AA1304" s="32">
        <f t="shared" si="276"/>
        <v>135783.55690095457</v>
      </c>
      <c r="AB1304" s="40">
        <f t="shared" si="283"/>
        <v>-5.1714981633351725E-2</v>
      </c>
      <c r="AC1304" s="40">
        <f t="shared" si="284"/>
        <v>0.68294369354988926</v>
      </c>
      <c r="AD1304" s="40">
        <f t="shared" si="285"/>
        <v>0.36877128808346255</v>
      </c>
      <c r="AE1304" s="40"/>
      <c r="AF1304" s="40"/>
      <c r="AG1304" s="40"/>
      <c r="AH1304" s="40"/>
      <c r="AI1304" s="40"/>
      <c r="AJ1304" s="40"/>
      <c r="AK1304" s="33">
        <f t="shared" si="277"/>
        <v>7714000</v>
      </c>
      <c r="AL1304" s="33">
        <f t="shared" si="278"/>
        <v>7777600</v>
      </c>
      <c r="AM1304" s="34"/>
      <c r="AN1304" s="33"/>
      <c r="AO1304" s="15" cm="1">
        <f t="array" ref="AO1304">SUMPRODUCT(I1304:K1304, TRANSPOSE($AY$5:$AY$7))</f>
        <v>2.05973399109739E-2</v>
      </c>
      <c r="AP1304" s="22">
        <f t="shared" si="286"/>
        <v>13293803.963255975</v>
      </c>
      <c r="AQ1304" s="22">
        <f t="shared" si="287"/>
        <v>268290.91967349313</v>
      </c>
      <c r="AR1304">
        <f t="shared" si="288"/>
        <v>0</v>
      </c>
      <c r="AS1304">
        <f t="shared" si="289"/>
        <v>0</v>
      </c>
      <c r="BJ1304">
        <f t="shared" si="263"/>
        <v>1.4374517687778242E-5</v>
      </c>
      <c r="BK1304">
        <f t="shared" si="265"/>
        <v>3.5823600793787637E-5</v>
      </c>
      <c r="BO1304">
        <f t="shared" si="266"/>
        <v>3.8555787611996157E-5</v>
      </c>
      <c r="BP1304">
        <f t="shared" si="264"/>
        <v>3.9763517034835623</v>
      </c>
    </row>
    <row r="1305" spans="1:68" x14ac:dyDescent="0.15">
      <c r="A1305" s="5">
        <v>45482</v>
      </c>
      <c r="B1305" s="1"/>
      <c r="C1305">
        <v>92.56</v>
      </c>
      <c r="D1305">
        <v>110.35</v>
      </c>
      <c r="E1305">
        <v>97.09</v>
      </c>
      <c r="G1305" s="3">
        <v>-1.18684312340866E-3</v>
      </c>
      <c r="I1305" s="15">
        <f t="shared" si="267"/>
        <v>-3.0159414045670091E-3</v>
      </c>
      <c r="J1305" s="15">
        <f t="shared" si="268"/>
        <v>1.36116152450083E-3</v>
      </c>
      <c r="K1305" s="15">
        <f t="shared" si="269"/>
        <v>-1.3371734211067214E-3</v>
      </c>
      <c r="L1305" s="32">
        <f t="shared" si="270"/>
        <v>368423.68276584125</v>
      </c>
      <c r="M1305" s="15"/>
      <c r="N1305" s="32">
        <f t="shared" si="271"/>
        <v>-2776800</v>
      </c>
      <c r="O1305" s="34">
        <f t="shared" si="272"/>
        <v>-0.2086500793463987</v>
      </c>
      <c r="P1305" s="34">
        <f t="shared" si="273"/>
        <v>0.58042262241114118</v>
      </c>
      <c r="Q1305" s="34">
        <f t="shared" si="274"/>
        <v>0.58363112082229474</v>
      </c>
      <c r="R1305" s="35" cm="1">
        <f t="array" ref="R1305">SQRT(MMULT(O1305:Q1305, MMULT($AU$32:$AW$34,TRANSPOSE(O1305:Q1305))))</f>
        <v>1.1881344049065217E-2</v>
      </c>
      <c r="S1305" s="36" cm="1">
        <f t="array" ref="S1305:U1305">TRANSPOSE(MMULT($AU$32:$AW$34, TRANSPOSE(O1305:Q1305))/MMULT(O1305:Q1305, MMULT($AU$32:$AW$34,TRANSPOSE(O1305:Q1305))))</f>
        <v>0.24728247777394813</v>
      </c>
      <c r="T1305" s="36">
        <v>1.1781542145988246</v>
      </c>
      <c r="U1305" s="36">
        <v>0.63013800437536838</v>
      </c>
      <c r="V1305" s="35">
        <f t="shared" si="279"/>
        <v>6.8456522960686095E-3</v>
      </c>
      <c r="W1305" s="35">
        <f t="shared" si="280"/>
        <v>3.2615469469956304E-2</v>
      </c>
      <c r="X1305" s="35">
        <f t="shared" si="281"/>
        <v>1.7444445378114019E-2</v>
      </c>
      <c r="Y1305" s="32">
        <f t="shared" si="282"/>
        <v>-19009.007295723313</v>
      </c>
      <c r="Z1305" s="32">
        <f t="shared" si="275"/>
        <v>251938.19392067747</v>
      </c>
      <c r="AA1305" s="32">
        <f t="shared" si="276"/>
        <v>135494.4961408872</v>
      </c>
      <c r="AB1305" s="40">
        <f t="shared" si="283"/>
        <v>-5.1595508608508353E-2</v>
      </c>
      <c r="AC1305" s="40">
        <f t="shared" si="284"/>
        <v>0.68382735884218826</v>
      </c>
      <c r="AD1305" s="40">
        <f t="shared" si="285"/>
        <v>0.36776814976632033</v>
      </c>
      <c r="AE1305" s="40"/>
      <c r="AF1305" s="40"/>
      <c r="AG1305" s="40"/>
      <c r="AH1305" s="40"/>
      <c r="AI1305" s="40"/>
      <c r="AJ1305" s="40"/>
      <c r="AK1305" s="33">
        <f t="shared" si="277"/>
        <v>7724500</v>
      </c>
      <c r="AL1305" s="33">
        <f t="shared" si="278"/>
        <v>7767200</v>
      </c>
      <c r="AM1305" s="34"/>
      <c r="AN1305" s="33"/>
      <c r="AO1305" s="15" cm="1">
        <f t="array" ref="AO1305">SUMPRODUCT(I1305:K1305, TRANSPOSE($AY$5:$AY$7))</f>
        <v>1.0984207947301037E-3</v>
      </c>
      <c r="AP1305" s="22">
        <f t="shared" si="286"/>
        <v>13308406.153970281</v>
      </c>
      <c r="AQ1305" s="22">
        <f t="shared" si="287"/>
        <v>14602.190714305267</v>
      </c>
      <c r="AR1305">
        <f t="shared" si="288"/>
        <v>0</v>
      </c>
      <c r="AS1305">
        <f t="shared" si="289"/>
        <v>0</v>
      </c>
      <c r="BJ1305">
        <f t="shared" si="263"/>
        <v>1.4085965995824237E-6</v>
      </c>
      <c r="BK1305">
        <f t="shared" si="265"/>
        <v>3.453665580742707E-5</v>
      </c>
      <c r="BO1305">
        <f t="shared" si="266"/>
        <v>3.8229389863749753E-5</v>
      </c>
      <c r="BP1305">
        <f t="shared" si="264"/>
        <v>4.148591497564321</v>
      </c>
    </row>
    <row r="1306" spans="1:68" x14ac:dyDescent="0.15">
      <c r="A1306" s="5">
        <v>45483</v>
      </c>
      <c r="B1306" s="1"/>
      <c r="C1306">
        <v>93.3</v>
      </c>
      <c r="D1306">
        <v>110.7</v>
      </c>
      <c r="E1306">
        <v>98.3</v>
      </c>
      <c r="G1306" s="3">
        <v>9.4561222670737008E-3</v>
      </c>
      <c r="I1306" s="15">
        <f t="shared" si="267"/>
        <v>7.9948141745893996E-3</v>
      </c>
      <c r="J1306" s="15">
        <f t="shared" si="268"/>
        <v>3.1717263253285776E-3</v>
      </c>
      <c r="K1306" s="15">
        <f t="shared" si="269"/>
        <v>1.2462663508085217E-2</v>
      </c>
      <c r="L1306" s="32">
        <f t="shared" si="270"/>
        <v>370761.60288052261</v>
      </c>
      <c r="M1306" s="15"/>
      <c r="N1306" s="32">
        <f t="shared" si="271"/>
        <v>-2799000</v>
      </c>
      <c r="O1306" s="34">
        <f t="shared" si="272"/>
        <v>-0.20862475045538592</v>
      </c>
      <c r="P1306" s="34">
        <f t="shared" si="273"/>
        <v>0.57757527376876938</v>
      </c>
      <c r="Q1306" s="34">
        <f t="shared" si="274"/>
        <v>0.58614685158312074</v>
      </c>
      <c r="R1306" s="35" cm="1">
        <f t="array" ref="R1306">SQRT(MMULT(O1306:Q1306, MMULT($AU$32:$AW$34,TRANSPOSE(O1306:Q1306))))</f>
        <v>1.1860466242448318E-2</v>
      </c>
      <c r="S1306" s="36" cm="1">
        <f t="array" ref="S1306:U1306">TRANSPOSE(MMULT($AU$32:$AW$34, TRANSPOSE(O1306:Q1306))/MMULT(O1306:Q1306, MMULT($AU$32:$AW$34,TRANSPOSE(O1306:Q1306))))</f>
        <v>0.24842634108514924</v>
      </c>
      <c r="T1306" s="36">
        <v>1.1781331282306753</v>
      </c>
      <c r="U1306" s="36">
        <v>0.63357385327332383</v>
      </c>
      <c r="V1306" s="35">
        <f t="shared" si="279"/>
        <v>6.8652337009685992E-3</v>
      </c>
      <c r="W1306" s="35">
        <f t="shared" si="280"/>
        <v>3.2557575097821603E-2</v>
      </c>
      <c r="X1306" s="35">
        <f t="shared" si="281"/>
        <v>1.7508741426311557E-2</v>
      </c>
      <c r="Y1306" s="32">
        <f t="shared" si="282"/>
        <v>-19215.789129011111</v>
      </c>
      <c r="Z1306" s="32">
        <f t="shared" si="275"/>
        <v>252288.6494330196</v>
      </c>
      <c r="AA1306" s="32">
        <f t="shared" si="276"/>
        <v>137688.74257651408</v>
      </c>
      <c r="AB1306" s="40">
        <f t="shared" si="283"/>
        <v>-5.1827883415433859E-2</v>
      </c>
      <c r="AC1306" s="40">
        <f t="shared" si="284"/>
        <v>0.68046056407388888</v>
      </c>
      <c r="AD1306" s="40">
        <f t="shared" si="285"/>
        <v>0.37136731934154488</v>
      </c>
      <c r="AE1306" s="40"/>
      <c r="AF1306" s="40"/>
      <c r="AG1306" s="40"/>
      <c r="AH1306" s="40"/>
      <c r="AI1306" s="40"/>
      <c r="AJ1306" s="40"/>
      <c r="AK1306" s="33">
        <f t="shared" si="277"/>
        <v>7749000</v>
      </c>
      <c r="AL1306" s="33">
        <f t="shared" si="278"/>
        <v>7864000</v>
      </c>
      <c r="AM1306" s="34"/>
      <c r="AN1306" s="33"/>
      <c r="AO1306" s="15" cm="1">
        <f t="array" ref="AO1306">SUMPRODUCT(I1306:K1306, TRANSPOSE($AY$5:$AY$7))</f>
        <v>8.1171936656803719E-3</v>
      </c>
      <c r="AP1306" s="22">
        <f t="shared" si="286"/>
        <v>13416433.064103588</v>
      </c>
      <c r="AQ1306" s="22">
        <f t="shared" si="287"/>
        <v>108026.9101333078</v>
      </c>
      <c r="AR1306">
        <f t="shared" si="288"/>
        <v>0</v>
      </c>
      <c r="AS1306">
        <f t="shared" si="289"/>
        <v>0</v>
      </c>
      <c r="BJ1306">
        <f t="shared" si="263"/>
        <v>8.9418248329847073E-5</v>
      </c>
      <c r="BK1306">
        <f t="shared" si="265"/>
        <v>3.2548972254956388E-5</v>
      </c>
      <c r="BO1306">
        <f t="shared" si="266"/>
        <v>3.6126761453985991E-5</v>
      </c>
      <c r="BP1306">
        <f t="shared" si="264"/>
        <v>2.9577373224269632</v>
      </c>
    </row>
    <row r="1307" spans="1:68" x14ac:dyDescent="0.15">
      <c r="A1307" s="5">
        <v>45484</v>
      </c>
      <c r="B1307" s="1"/>
      <c r="C1307">
        <v>93.66</v>
      </c>
      <c r="D1307">
        <v>110.6</v>
      </c>
      <c r="E1307">
        <v>99.28</v>
      </c>
      <c r="G1307" s="3">
        <v>8.6074187534026497E-3</v>
      </c>
      <c r="I1307" s="15">
        <f t="shared" si="267"/>
        <v>3.8585209003215376E-3</v>
      </c>
      <c r="J1307" s="15">
        <f t="shared" si="268"/>
        <v>-9.0334236675707795E-4</v>
      </c>
      <c r="K1307" s="15">
        <f t="shared" si="269"/>
        <v>9.9694811800610777E-3</v>
      </c>
      <c r="L1307" s="32">
        <f t="shared" si="270"/>
        <v>371835.35419189237</v>
      </c>
      <c r="M1307" s="15"/>
      <c r="N1307" s="32">
        <f t="shared" si="271"/>
        <v>-2809800</v>
      </c>
      <c r="O1307" s="34">
        <f t="shared" si="272"/>
        <v>-0.20833968471061429</v>
      </c>
      <c r="P1307" s="34">
        <f t="shared" si="273"/>
        <v>0.57405005303921119</v>
      </c>
      <c r="Q1307" s="34">
        <f t="shared" si="274"/>
        <v>0.58890921483578296</v>
      </c>
      <c r="R1307" s="35" cm="1">
        <f t="array" ref="R1307">SQRT(MMULT(O1307:Q1307, MMULT($AU$32:$AW$34,TRANSPOSE(O1307:Q1307))))</f>
        <v>1.1832904340723843E-2</v>
      </c>
      <c r="S1307" s="36" cm="1">
        <f t="array" ref="S1307:U1307">TRANSPOSE(MMULT($AU$32:$AW$34, TRANSPOSE(O1307:Q1307))/MMULT(O1307:Q1307, MMULT($AU$32:$AW$34,TRANSPOSE(O1307:Q1307))))</f>
        <v>0.24999863299722763</v>
      </c>
      <c r="T1307" s="36">
        <v>1.1783888747813545</v>
      </c>
      <c r="U1307" s="36">
        <v>0.63784099627719115</v>
      </c>
      <c r="V1307" s="35">
        <f t="shared" si="279"/>
        <v>6.8926290892932585E-3</v>
      </c>
      <c r="W1307" s="35">
        <f t="shared" si="280"/>
        <v>3.2488967397304072E-2</v>
      </c>
      <c r="X1307" s="35">
        <f t="shared" si="281"/>
        <v>1.7585701779948192E-2</v>
      </c>
      <c r="Y1307" s="32">
        <f t="shared" si="282"/>
        <v>-19366.909215096199</v>
      </c>
      <c r="Z1307" s="32">
        <f t="shared" si="275"/>
        <v>251529.58558992812</v>
      </c>
      <c r="AA1307" s="32">
        <f t="shared" si="276"/>
        <v>139672.67781706052</v>
      </c>
      <c r="AB1307" s="40">
        <f t="shared" si="283"/>
        <v>-5.208463637672698E-2</v>
      </c>
      <c r="AC1307" s="40">
        <f t="shared" si="284"/>
        <v>0.67645419606905299</v>
      </c>
      <c r="AD1307" s="40">
        <f t="shared" si="285"/>
        <v>0.37563044030767423</v>
      </c>
      <c r="AE1307" s="40"/>
      <c r="AF1307" s="40"/>
      <c r="AG1307" s="40"/>
      <c r="AH1307" s="40"/>
      <c r="AI1307" s="40"/>
      <c r="AJ1307" s="40"/>
      <c r="AK1307" s="33">
        <f t="shared" si="277"/>
        <v>7742000</v>
      </c>
      <c r="AL1307" s="33">
        <f t="shared" si="278"/>
        <v>7942400</v>
      </c>
      <c r="AM1307" s="34"/>
      <c r="AN1307" s="33"/>
      <c r="AO1307" s="15" cm="1">
        <f t="array" ref="AO1307">SUMPRODUCT(I1307:K1307, TRANSPOSE($AY$5:$AY$7))</f>
        <v>5.232074274482244E-3</v>
      </c>
      <c r="AP1307" s="22">
        <f t="shared" si="286"/>
        <v>13486628.838393597</v>
      </c>
      <c r="AQ1307" s="22">
        <f t="shared" si="287"/>
        <v>70195.77429000847</v>
      </c>
      <c r="AR1307">
        <f t="shared" si="288"/>
        <v>0</v>
      </c>
      <c r="AS1307">
        <f t="shared" si="289"/>
        <v>0</v>
      </c>
      <c r="BJ1307">
        <f t="shared" si="263"/>
        <v>7.4087657596427626E-5</v>
      </c>
      <c r="BK1307">
        <f t="shared" si="265"/>
        <v>3.5961128819449835E-5</v>
      </c>
      <c r="BO1307">
        <f t="shared" si="266"/>
        <v>4.7011855481378541E-5</v>
      </c>
      <c r="BP1307">
        <f t="shared" si="264"/>
        <v>3.2756490288859785</v>
      </c>
    </row>
    <row r="1308" spans="1:68" x14ac:dyDescent="0.15">
      <c r="A1308" s="5">
        <v>45485</v>
      </c>
      <c r="B1308" s="1"/>
      <c r="C1308">
        <v>94.66</v>
      </c>
      <c r="D1308">
        <v>110.8</v>
      </c>
      <c r="E1308">
        <v>100.06</v>
      </c>
      <c r="G1308" s="3">
        <v>8.9267917362612012E-3</v>
      </c>
      <c r="I1308" s="15">
        <f t="shared" si="267"/>
        <v>1.067691650651292E-2</v>
      </c>
      <c r="J1308" s="15">
        <f t="shared" si="268"/>
        <v>1.8083182640144923E-3</v>
      </c>
      <c r="K1308" s="15">
        <f t="shared" si="269"/>
        <v>7.8565672844480364E-3</v>
      </c>
      <c r="L1308" s="32">
        <f t="shared" si="270"/>
        <v>373181.73915113538</v>
      </c>
      <c r="M1308" s="15"/>
      <c r="N1308" s="32">
        <f t="shared" si="271"/>
        <v>-2839800</v>
      </c>
      <c r="O1308" s="34">
        <f t="shared" si="272"/>
        <v>-0.2099826906597197</v>
      </c>
      <c r="P1308" s="34">
        <f t="shared" si="273"/>
        <v>0.57350015802408127</v>
      </c>
      <c r="Q1308" s="34">
        <f t="shared" si="274"/>
        <v>0.59189712028766961</v>
      </c>
      <c r="R1308" s="35" cm="1">
        <f t="array" ref="R1308">SQRT(MMULT(O1308:Q1308, MMULT($AU$32:$AW$34,TRANSPOSE(O1308:Q1308))))</f>
        <v>1.184295842813525E-2</v>
      </c>
      <c r="S1308" s="36" cm="1">
        <f t="array" ref="S1308:U1308">TRANSPOSE(MMULT($AU$32:$AW$34, TRANSPOSE(O1308:Q1308))/MMULT(O1308:Q1308, MMULT($AU$32:$AW$34,TRANSPOSE(O1308:Q1308))))</f>
        <v>0.24923867521853607</v>
      </c>
      <c r="T1308" s="36">
        <v>1.1759758138706202</v>
      </c>
      <c r="U1308" s="36">
        <v>0.63847834293885941</v>
      </c>
      <c r="V1308" s="35">
        <f t="shared" si="279"/>
        <v>6.8775152174611392E-3</v>
      </c>
      <c r="W1308" s="35">
        <f t="shared" si="280"/>
        <v>3.2449986135458096E-2</v>
      </c>
      <c r="X1308" s="35">
        <f t="shared" si="281"/>
        <v>1.7618230861366754E-2</v>
      </c>
      <c r="Y1308" s="32">
        <f t="shared" si="282"/>
        <v>-19530.767714546142</v>
      </c>
      <c r="Z1308" s="32">
        <f t="shared" si="275"/>
        <v>251682.09246661299</v>
      </c>
      <c r="AA1308" s="32">
        <f t="shared" si="276"/>
        <v>141030.4143990686</v>
      </c>
      <c r="AB1308" s="40">
        <f t="shared" si="283"/>
        <v>-5.2335807638852205E-2</v>
      </c>
      <c r="AC1308" s="40">
        <f t="shared" si="284"/>
        <v>0.67442231508729833</v>
      </c>
      <c r="AD1308" s="40">
        <f t="shared" si="285"/>
        <v>0.3779134925515541</v>
      </c>
      <c r="AE1308" s="40"/>
      <c r="AF1308" s="40"/>
      <c r="AG1308" s="40"/>
      <c r="AH1308" s="40"/>
      <c r="AI1308" s="40"/>
      <c r="AJ1308" s="40"/>
      <c r="AK1308" s="33">
        <f t="shared" si="277"/>
        <v>7756000</v>
      </c>
      <c r="AL1308" s="33">
        <f t="shared" si="278"/>
        <v>8004800</v>
      </c>
      <c r="AM1308" s="34"/>
      <c r="AN1308" s="33"/>
      <c r="AO1308" s="15" cm="1">
        <f t="array" ref="AO1308">SUMPRODUCT(I1308:K1308, TRANSPOSE($AY$5:$AY$7))</f>
        <v>2.7688923678248012E-3</v>
      </c>
      <c r="AP1308" s="22">
        <f t="shared" si="286"/>
        <v>13523971.862051912</v>
      </c>
      <c r="AQ1308" s="22">
        <f t="shared" si="287"/>
        <v>37343.02365831472</v>
      </c>
      <c r="AR1308">
        <f t="shared" si="288"/>
        <v>0</v>
      </c>
      <c r="AS1308">
        <f t="shared" si="289"/>
        <v>0</v>
      </c>
      <c r="BJ1308">
        <f t="shared" si="263"/>
        <v>7.9687610702581276E-5</v>
      </c>
      <c r="BK1308">
        <f t="shared" si="265"/>
        <v>3.8248720546068507E-5</v>
      </c>
      <c r="BO1308">
        <f t="shared" si="266"/>
        <v>5.336650705311105E-5</v>
      </c>
      <c r="BP1308">
        <f t="shared" si="264"/>
        <v>3.2536181201542016</v>
      </c>
    </row>
    <row r="1309" spans="1:68" x14ac:dyDescent="0.15">
      <c r="A1309" s="5">
        <v>45488</v>
      </c>
      <c r="B1309" s="1"/>
      <c r="C1309">
        <v>93.14</v>
      </c>
      <c r="D1309">
        <v>110.9</v>
      </c>
      <c r="E1309">
        <v>99.1</v>
      </c>
      <c r="G1309" s="3">
        <v>-6.9006072027982803E-3</v>
      </c>
      <c r="I1309" s="15">
        <f t="shared" si="267"/>
        <v>-1.6057468835833467E-2</v>
      </c>
      <c r="J1309" s="15">
        <f t="shared" si="268"/>
        <v>9.0252707581235138E-4</v>
      </c>
      <c r="K1309" s="15">
        <f t="shared" si="269"/>
        <v>-9.5942434539277224E-3</v>
      </c>
      <c r="L1309" s="32">
        <f t="shared" si="270"/>
        <v>372372.5280066749</v>
      </c>
      <c r="M1309" s="15"/>
      <c r="N1309" s="32">
        <f t="shared" si="271"/>
        <v>-2794200</v>
      </c>
      <c r="O1309" s="34">
        <f t="shared" si="272"/>
        <v>-0.20664109219666729</v>
      </c>
      <c r="P1309" s="34">
        <f t="shared" si="273"/>
        <v>0.57410163865246877</v>
      </c>
      <c r="Q1309" s="34">
        <f t="shared" si="274"/>
        <v>0.58630397929109523</v>
      </c>
      <c r="R1309" s="35" cm="1">
        <f t="array" ref="R1309">SQRT(MMULT(O1309:Q1309, MMULT($AU$32:$AW$34,TRANSPOSE(O1309:Q1309))))</f>
        <v>1.1819004893234297E-2</v>
      </c>
      <c r="S1309" s="36" cm="1">
        <f t="array" ref="S1309:U1309">TRANSPOSE(MMULT($AU$32:$AW$34, TRANSPOSE(O1309:Q1309))/MMULT(O1309:Q1309, MMULT($AU$32:$AW$34,TRANSPOSE(O1309:Q1309))))</f>
        <v>0.25099317066888105</v>
      </c>
      <c r="T1309" s="36">
        <v>1.1808365270921939</v>
      </c>
      <c r="U1309" s="36">
        <v>0.63780109114855976</v>
      </c>
      <c r="V1309" s="35">
        <f t="shared" si="279"/>
        <v>6.9119205636680777E-3</v>
      </c>
      <c r="W1309" s="35">
        <f t="shared" si="280"/>
        <v>3.2518208571922967E-2</v>
      </c>
      <c r="X1309" s="35">
        <f t="shared" si="281"/>
        <v>1.7563945926064355E-2</v>
      </c>
      <c r="Y1309" s="32">
        <f t="shared" si="282"/>
        <v>-19313.288439001342</v>
      </c>
      <c r="Z1309" s="32">
        <f t="shared" si="275"/>
        <v>252438.853143838</v>
      </c>
      <c r="AA1309" s="32">
        <f t="shared" si="276"/>
        <v>139246.9633018382</v>
      </c>
      <c r="AB1309" s="40">
        <f t="shared" si="283"/>
        <v>-5.1865502920922096E-2</v>
      </c>
      <c r="AC1309" s="40">
        <f t="shared" si="284"/>
        <v>0.67792018518431885</v>
      </c>
      <c r="AD1309" s="40">
        <f t="shared" si="285"/>
        <v>0.37394531773660317</v>
      </c>
      <c r="AE1309" s="40"/>
      <c r="AF1309" s="40"/>
      <c r="AG1309" s="40"/>
      <c r="AH1309" s="40"/>
      <c r="AI1309" s="40"/>
      <c r="AJ1309" s="40"/>
      <c r="AK1309" s="33">
        <f t="shared" si="277"/>
        <v>7763000</v>
      </c>
      <c r="AL1309" s="33">
        <f t="shared" si="278"/>
        <v>7928000</v>
      </c>
      <c r="AM1309" s="34"/>
      <c r="AN1309" s="33"/>
      <c r="AO1309" s="15" cm="1">
        <f t="array" ref="AO1309">SUMPRODUCT(I1309:K1309, TRANSPOSE($AY$5:$AY$7))</f>
        <v>-1.4610863676506325E-4</v>
      </c>
      <c r="AP1309" s="22">
        <f t="shared" si="286"/>
        <v>13521995.892959498</v>
      </c>
      <c r="AQ1309" s="22">
        <f t="shared" si="287"/>
        <v>-1975.9690924137831</v>
      </c>
      <c r="AR1309">
        <f t="shared" si="288"/>
        <v>0</v>
      </c>
      <c r="AS1309">
        <f t="shared" si="289"/>
        <v>0</v>
      </c>
      <c r="BJ1309">
        <f t="shared" si="263"/>
        <v>4.7618379767311508E-5</v>
      </c>
      <c r="BK1309">
        <f t="shared" si="265"/>
        <v>4.0735053955459277E-5</v>
      </c>
      <c r="BO1309">
        <f t="shared" si="266"/>
        <v>5.9148507527157166E-5</v>
      </c>
      <c r="BP1309">
        <f t="shared" si="264"/>
        <v>3.5462586803797276</v>
      </c>
    </row>
    <row r="1310" spans="1:68" x14ac:dyDescent="0.15">
      <c r="A1310" s="5">
        <v>45489</v>
      </c>
      <c r="B1310" s="1"/>
      <c r="C1310">
        <v>92.62</v>
      </c>
      <c r="D1310">
        <v>109.4</v>
      </c>
      <c r="E1310">
        <v>98.9</v>
      </c>
      <c r="G1310" s="3">
        <v>-1.5408680679461701E-3</v>
      </c>
      <c r="I1310" s="15">
        <f t="shared" si="267"/>
        <v>-5.582993343354048E-3</v>
      </c>
      <c r="J1310" s="15">
        <f t="shared" si="268"/>
        <v>-1.3525698827772768E-2</v>
      </c>
      <c r="K1310" s="15">
        <f t="shared" si="269"/>
        <v>-2.0181634712410561E-3</v>
      </c>
      <c r="L1310" s="32">
        <f t="shared" si="270"/>
        <v>368788.29773395788</v>
      </c>
      <c r="M1310" s="15"/>
      <c r="N1310" s="32">
        <f t="shared" si="271"/>
        <v>-2778600</v>
      </c>
      <c r="O1310" s="34">
        <f t="shared" si="272"/>
        <v>-0.2071814772149935</v>
      </c>
      <c r="P1310" s="34">
        <f t="shared" si="273"/>
        <v>0.57100545329029728</v>
      </c>
      <c r="Q1310" s="34">
        <f t="shared" si="274"/>
        <v>0.5899445216026159</v>
      </c>
      <c r="R1310" s="35" cm="1">
        <f t="array" ref="R1310">SQRT(MMULT(O1310:Q1310, MMULT($AU$32:$AW$34,TRANSPOSE(O1310:Q1310))))</f>
        <v>1.1801741684240315E-2</v>
      </c>
      <c r="S1310" s="36" cm="1">
        <f t="array" ref="S1310:U1310">TRANSPOSE(MMULT($AU$32:$AW$34, TRANSPOSE(O1310:Q1310))/MMULT(O1310:Q1310, MMULT($AU$32:$AW$34,TRANSPOSE(O1310:Q1310))))</f>
        <v>0.25191171015910713</v>
      </c>
      <c r="T1310" s="36">
        <v>1.1798638087363511</v>
      </c>
      <c r="U1310" s="36">
        <v>0.64155654888028024</v>
      </c>
      <c r="V1310" s="35">
        <f t="shared" si="279"/>
        <v>6.9270828481418885E-3</v>
      </c>
      <c r="W1310" s="35">
        <f t="shared" si="280"/>
        <v>3.244396359136649E-2</v>
      </c>
      <c r="X1310" s="35">
        <f t="shared" si="281"/>
        <v>1.764155927112239E-2</v>
      </c>
      <c r="Y1310" s="32">
        <f t="shared" si="282"/>
        <v>-19247.59240184705</v>
      </c>
      <c r="Z1310" s="32">
        <f t="shared" si="275"/>
        <v>248455.87318268459</v>
      </c>
      <c r="AA1310" s="32">
        <f t="shared" si="276"/>
        <v>139580.01695312036</v>
      </c>
      <c r="AB1310" s="40">
        <f t="shared" si="283"/>
        <v>-5.2191440238519099E-2</v>
      </c>
      <c r="AC1310" s="40">
        <f t="shared" si="284"/>
        <v>0.67370866892831693</v>
      </c>
      <c r="AD1310" s="40">
        <f t="shared" si="285"/>
        <v>0.37848277131020225</v>
      </c>
      <c r="AE1310" s="40"/>
      <c r="AF1310" s="40"/>
      <c r="AG1310" s="40"/>
      <c r="AH1310" s="40"/>
      <c r="AI1310" s="40"/>
      <c r="AJ1310" s="40"/>
      <c r="AK1310" s="33">
        <f t="shared" si="277"/>
        <v>7658000</v>
      </c>
      <c r="AL1310" s="33">
        <f t="shared" si="278"/>
        <v>7912000</v>
      </c>
      <c r="AM1310" s="34"/>
      <c r="AN1310" s="33"/>
      <c r="AO1310" s="15" cm="1">
        <f t="array" ref="AO1310">SUMPRODUCT(I1310:K1310, TRANSPOSE($AY$5:$AY$7))</f>
        <v>-8.176700365765191E-3</v>
      </c>
      <c r="AP1310" s="22">
        <f t="shared" si="286"/>
        <v>13411430.58419566</v>
      </c>
      <c r="AQ1310" s="22">
        <f t="shared" si="287"/>
        <v>-110565.30876383744</v>
      </c>
      <c r="AR1310">
        <f t="shared" si="288"/>
        <v>0</v>
      </c>
      <c r="AS1310">
        <f t="shared" si="289"/>
        <v>0</v>
      </c>
      <c r="BJ1310">
        <f t="shared" si="263"/>
        <v>2.3742744028161632E-6</v>
      </c>
      <c r="BK1310">
        <f t="shared" si="265"/>
        <v>4.1148053504170407E-5</v>
      </c>
      <c r="BO1310">
        <f t="shared" si="266"/>
        <v>5.9116480306042708E-5</v>
      </c>
      <c r="BP1310">
        <f t="shared" si="264"/>
        <v>3.9289805516023413</v>
      </c>
    </row>
    <row r="1311" spans="1:68" x14ac:dyDescent="0.15">
      <c r="A1311" s="5">
        <v>45490</v>
      </c>
      <c r="B1311" s="1"/>
      <c r="C1311">
        <v>93.62</v>
      </c>
      <c r="D1311">
        <v>108.8</v>
      </c>
      <c r="E1311">
        <v>99.06</v>
      </c>
      <c r="G1311" s="3">
        <v>5.9532225071052798E-3</v>
      </c>
      <c r="I1311" s="15">
        <f t="shared" si="267"/>
        <v>1.0796804145972791E-2</v>
      </c>
      <c r="J1311" s="15">
        <f t="shared" si="268"/>
        <v>-5.4844606946984325E-3</v>
      </c>
      <c r="K1311" s="15">
        <f t="shared" si="269"/>
        <v>1.617795753286113E-3</v>
      </c>
      <c r="L1311" s="32">
        <f t="shared" si="270"/>
        <v>367445.51393873087</v>
      </c>
      <c r="M1311" s="15"/>
      <c r="N1311" s="32">
        <f t="shared" si="271"/>
        <v>-2808600</v>
      </c>
      <c r="O1311" s="34">
        <f t="shared" si="272"/>
        <v>-0.21082454823614083</v>
      </c>
      <c r="P1311" s="34">
        <f t="shared" si="273"/>
        <v>0.5716868757980661</v>
      </c>
      <c r="Q1311" s="34">
        <f t="shared" si="274"/>
        <v>0.59486661677055075</v>
      </c>
      <c r="R1311" s="35" cm="1">
        <f t="array" ref="R1311">SQRT(MMULT(O1311:Q1311, MMULT($AU$32:$AW$34,TRANSPOSE(O1311:Q1311))))</f>
        <v>1.18377268710129E-2</v>
      </c>
      <c r="S1311" s="36" cm="1">
        <f t="array" ref="S1311:U1311">TRANSPOSE(MMULT($AU$32:$AW$34, TRANSPOSE(O1311:Q1311))/MMULT(O1311:Q1311, MMULT($AU$32:$AW$34,TRANSPOSE(O1311:Q1311))))</f>
        <v>0.24945979801538451</v>
      </c>
      <c r="T1311" s="36">
        <v>1.1745772848025497</v>
      </c>
      <c r="U1311" s="36">
        <v>0.64065089575286116</v>
      </c>
      <c r="V1311" s="35">
        <f t="shared" si="279"/>
        <v>6.8805761032957116E-3</v>
      </c>
      <c r="W1311" s="35">
        <f t="shared" si="280"/>
        <v>3.2397077451285242E-2</v>
      </c>
      <c r="X1311" s="35">
        <f t="shared" si="281"/>
        <v>1.7670371253969662E-2</v>
      </c>
      <c r="Y1311" s="32">
        <f t="shared" si="282"/>
        <v>-19324.786043716336</v>
      </c>
      <c r="Z1311" s="32">
        <f t="shared" si="275"/>
        <v>246736.1418689884</v>
      </c>
      <c r="AA1311" s="32">
        <f t="shared" si="276"/>
        <v>140034.15811345878</v>
      </c>
      <c r="AB1311" s="40">
        <f t="shared" si="283"/>
        <v>-5.2592249219672385E-2</v>
      </c>
      <c r="AC1311" s="40">
        <f t="shared" si="284"/>
        <v>0.67149041833214496</v>
      </c>
      <c r="AD1311" s="40">
        <f t="shared" si="285"/>
        <v>0.3811018308875273</v>
      </c>
      <c r="AE1311" s="40"/>
      <c r="AF1311" s="40"/>
      <c r="AG1311" s="40"/>
      <c r="AH1311" s="40"/>
      <c r="AI1311" s="40"/>
      <c r="AJ1311" s="40"/>
      <c r="AK1311" s="33">
        <f t="shared" si="277"/>
        <v>7616000</v>
      </c>
      <c r="AL1311" s="33">
        <f t="shared" si="278"/>
        <v>7924800</v>
      </c>
      <c r="AM1311" s="34"/>
      <c r="AN1311" s="33"/>
      <c r="AO1311" s="15" cm="1">
        <f t="array" ref="AO1311">SUMPRODUCT(I1311:K1311, TRANSPOSE($AY$5:$AY$7))</f>
        <v>-6.6698740765648475E-3</v>
      </c>
      <c r="AP1311" s="22">
        <f t="shared" si="286"/>
        <v>13321978.031012485</v>
      </c>
      <c r="AQ1311" s="22">
        <f t="shared" si="287"/>
        <v>-89452.553183175623</v>
      </c>
      <c r="AR1311">
        <f t="shared" si="288"/>
        <v>0</v>
      </c>
      <c r="AS1311">
        <f t="shared" si="289"/>
        <v>0</v>
      </c>
      <c r="BJ1311">
        <f t="shared" si="263"/>
        <v>3.5440858219104872E-5</v>
      </c>
      <c r="BK1311">
        <f t="shared" si="265"/>
        <v>3.8821626758089154E-5</v>
      </c>
      <c r="BO1311">
        <f t="shared" si="266"/>
        <v>5.2647684803703143E-5</v>
      </c>
      <c r="BP1311">
        <f t="shared" si="264"/>
        <v>3.6704204594095202</v>
      </c>
    </row>
    <row r="1312" spans="1:68" x14ac:dyDescent="0.15">
      <c r="A1312" s="5">
        <v>45491</v>
      </c>
      <c r="B1312" s="1"/>
      <c r="C1312">
        <v>94.24</v>
      </c>
      <c r="D1312">
        <v>108.5</v>
      </c>
      <c r="E1312">
        <v>95.09</v>
      </c>
      <c r="G1312" s="3">
        <v>-6.9981164594418097E-3</v>
      </c>
      <c r="I1312" s="15">
        <f t="shared" si="267"/>
        <v>6.6225165562912875E-3</v>
      </c>
      <c r="J1312" s="15">
        <f t="shared" si="268"/>
        <v>-2.7573529411764447E-3</v>
      </c>
      <c r="K1312" s="15">
        <f t="shared" si="269"/>
        <v>-4.0076721179083369E-2</v>
      </c>
      <c r="L1312" s="32">
        <f t="shared" si="270"/>
        <v>361074.53944189858</v>
      </c>
      <c r="M1312" s="15"/>
      <c r="N1312" s="32">
        <f t="shared" si="271"/>
        <v>-2827200</v>
      </c>
      <c r="O1312" s="34">
        <f t="shared" si="272"/>
        <v>-0.21968091875187376</v>
      </c>
      <c r="P1312" s="34">
        <f t="shared" si="273"/>
        <v>0.59015159094527492</v>
      </c>
      <c r="Q1312" s="34">
        <f t="shared" si="274"/>
        <v>0.59109956321776114</v>
      </c>
      <c r="R1312" s="35" cm="1">
        <f t="array" ref="R1312">SQRT(MMULT(O1312:Q1312, MMULT($AU$32:$AW$34,TRANSPOSE(O1312:Q1312))))</f>
        <v>1.2041393502132861E-2</v>
      </c>
      <c r="S1312" s="36" cm="1">
        <f t="array" ref="S1312:U1312">TRANSPOSE(MMULT($AU$32:$AW$34, TRANSPOSE(O1312:Q1312))/MMULT(O1312:Q1312, MMULT($AU$32:$AW$34,TRANSPOSE(O1312:Q1312))))</f>
        <v>0.23711430652542517</v>
      </c>
      <c r="T1312" s="36">
        <v>1.163220192401992</v>
      </c>
      <c r="U1312" s="36">
        <v>0.61853072526518271</v>
      </c>
      <c r="V1312" s="35">
        <f t="shared" si="279"/>
        <v>6.6525849407691271E-3</v>
      </c>
      <c r="W1312" s="35">
        <f t="shared" si="280"/>
        <v>3.2635825514570067E-2</v>
      </c>
      <c r="X1312" s="35">
        <f t="shared" si="281"/>
        <v>1.7353774424661038E-2</v>
      </c>
      <c r="Y1312" s="32">
        <f t="shared" si="282"/>
        <v>-18808.188144542477</v>
      </c>
      <c r="Z1312" s="32">
        <f t="shared" si="275"/>
        <v>247869.09478315967</v>
      </c>
      <c r="AA1312" s="32">
        <f t="shared" si="276"/>
        <v>132013.63280328145</v>
      </c>
      <c r="AB1312" s="40">
        <f t="shared" si="283"/>
        <v>-5.2089488706718826E-2</v>
      </c>
      <c r="AC1312" s="40">
        <f t="shared" si="284"/>
        <v>0.68647624716570443</v>
      </c>
      <c r="AD1312" s="40">
        <f t="shared" si="285"/>
        <v>0.36561324154101454</v>
      </c>
      <c r="AE1312" s="40"/>
      <c r="AF1312" s="40"/>
      <c r="AG1312" s="40"/>
      <c r="AH1312" s="40"/>
      <c r="AI1312" s="40"/>
      <c r="AJ1312" s="40"/>
      <c r="AK1312" s="33">
        <f t="shared" si="277"/>
        <v>7595000</v>
      </c>
      <c r="AL1312" s="33">
        <f t="shared" si="278"/>
        <v>7607200</v>
      </c>
      <c r="AM1312" s="34"/>
      <c r="AN1312" s="33"/>
      <c r="AO1312" s="15" cm="1">
        <f t="array" ref="AO1312">SUMPRODUCT(I1312:K1312, TRANSPOSE($AY$5:$AY$7))</f>
        <v>-3.3959169039130842E-2</v>
      </c>
      <c r="AP1312" s="22">
        <f t="shared" si="286"/>
        <v>12869574.727121744</v>
      </c>
      <c r="AQ1312" s="22">
        <f t="shared" si="287"/>
        <v>-452403.3038907405</v>
      </c>
      <c r="AR1312">
        <f t="shared" si="288"/>
        <v>1</v>
      </c>
      <c r="AS1312">
        <f t="shared" si="289"/>
        <v>1</v>
      </c>
      <c r="BJ1312">
        <f t="shared" si="263"/>
        <v>4.8973633979910372E-5</v>
      </c>
      <c r="BK1312">
        <f t="shared" si="265"/>
        <v>3.8618780645750098E-5</v>
      </c>
      <c r="BO1312">
        <f t="shared" si="266"/>
        <v>5.2283047737213875E-5</v>
      </c>
      <c r="BP1312">
        <f t="shared" si="264"/>
        <v>3.5421296674397214</v>
      </c>
    </row>
    <row r="1313" spans="1:68" x14ac:dyDescent="0.15">
      <c r="A1313" s="5">
        <v>45492</v>
      </c>
      <c r="B1313" s="1"/>
      <c r="C1313">
        <v>93.78</v>
      </c>
      <c r="D1313">
        <v>106.45</v>
      </c>
      <c r="E1313">
        <v>94.2</v>
      </c>
      <c r="G1313" s="3">
        <v>-6.0561249852877294E-3</v>
      </c>
      <c r="I1313" s="15">
        <f t="shared" si="267"/>
        <v>-4.8811544991510377E-3</v>
      </c>
      <c r="J1313" s="15">
        <f t="shared" si="268"/>
        <v>-1.8894009216589836E-2</v>
      </c>
      <c r="K1313" s="15">
        <f t="shared" si="269"/>
        <v>-9.3595541066358243E-3</v>
      </c>
      <c r="L1313" s="32">
        <f t="shared" si="270"/>
        <v>355249.9114436814</v>
      </c>
      <c r="M1313" s="15"/>
      <c r="N1313" s="32">
        <f t="shared" si="271"/>
        <v>-2813400</v>
      </c>
      <c r="O1313" s="34">
        <f t="shared" si="272"/>
        <v>-0.22247808056595203</v>
      </c>
      <c r="P1313" s="34">
        <f t="shared" si="273"/>
        <v>0.58924981066936499</v>
      </c>
      <c r="Q1313" s="34">
        <f t="shared" si="274"/>
        <v>0.59593190273157548</v>
      </c>
      <c r="R1313" s="35" cm="1">
        <f t="array" ref="R1313">SQRT(MMULT(O1313:Q1313, MMULT($AU$32:$AW$34,TRANSPOSE(O1313:Q1313))))</f>
        <v>1.2056848481899571E-2</v>
      </c>
      <c r="S1313" s="36" cm="1">
        <f t="array" ref="S1313:U1313">TRANSPOSE(MMULT($AU$32:$AW$34, TRANSPOSE(O1313:Q1313))/MMULT(O1313:Q1313, MMULT($AU$32:$AW$34,TRANSPOSE(O1313:Q1313))))</f>
        <v>0.23585573728768786</v>
      </c>
      <c r="T1313" s="36">
        <v>1.1595322935370538</v>
      </c>
      <c r="U1313" s="36">
        <v>0.61956499660132336</v>
      </c>
      <c r="V1313" s="35">
        <f t="shared" si="279"/>
        <v>6.6257671491899671E-3</v>
      </c>
      <c r="W1313" s="35">
        <f t="shared" si="280"/>
        <v>3.257411105319661E-2</v>
      </c>
      <c r="X1313" s="35">
        <f t="shared" si="281"/>
        <v>1.7405103002696116E-2</v>
      </c>
      <c r="Y1313" s="32">
        <f t="shared" si="282"/>
        <v>-18640.933297531054</v>
      </c>
      <c r="Z1313" s="32">
        <f t="shared" si="275"/>
        <v>242725.98851289455</v>
      </c>
      <c r="AA1313" s="32">
        <f t="shared" si="276"/>
        <v>131164.85622831792</v>
      </c>
      <c r="AB1313" s="40">
        <f t="shared" si="283"/>
        <v>-5.2472731722232234E-2</v>
      </c>
      <c r="AC1313" s="40">
        <f t="shared" si="284"/>
        <v>0.68325418443172359</v>
      </c>
      <c r="AD1313" s="40">
        <f t="shared" si="285"/>
        <v>0.36921854729050874</v>
      </c>
      <c r="AE1313" s="40"/>
      <c r="AF1313" s="40"/>
      <c r="AG1313" s="40"/>
      <c r="AH1313" s="40"/>
      <c r="AI1313" s="40"/>
      <c r="AJ1313" s="40"/>
      <c r="AK1313" s="33">
        <f t="shared" si="277"/>
        <v>7451500</v>
      </c>
      <c r="AL1313" s="33">
        <f t="shared" si="278"/>
        <v>7536000</v>
      </c>
      <c r="AM1313" s="34"/>
      <c r="AN1313" s="33"/>
      <c r="AO1313" s="15" cm="1">
        <f t="array" ref="AO1313">SUMPRODUCT(I1313:K1313, TRANSPOSE($AY$5:$AY$7))</f>
        <v>-1.7392537319534041E-2</v>
      </c>
      <c r="AP1313" s="22">
        <f t="shared" si="286"/>
        <v>12645740.168393748</v>
      </c>
      <c r="AQ1313" s="22">
        <f t="shared" si="287"/>
        <v>-223834.55872799642</v>
      </c>
      <c r="AR1313">
        <f t="shared" si="288"/>
        <v>0</v>
      </c>
      <c r="AS1313">
        <f t="shared" si="289"/>
        <v>0</v>
      </c>
      <c r="BJ1313">
        <f t="shared" si="263"/>
        <v>3.6676649837426301E-5</v>
      </c>
      <c r="BK1313">
        <f t="shared" si="265"/>
        <v>3.9240071845799713E-5</v>
      </c>
      <c r="BO1313">
        <f t="shared" si="266"/>
        <v>5.392437462456813E-5</v>
      </c>
      <c r="BP1313">
        <f t="shared" si="264"/>
        <v>3.6549505740041495</v>
      </c>
    </row>
    <row r="1314" spans="1:68" x14ac:dyDescent="0.15">
      <c r="A1314" s="5">
        <v>45495</v>
      </c>
      <c r="B1314" s="1"/>
      <c r="C1314">
        <v>94.5</v>
      </c>
      <c r="D1314">
        <v>106.05</v>
      </c>
      <c r="E1314">
        <v>96.33</v>
      </c>
      <c r="G1314" s="3">
        <v>1.0129111365844099E-2</v>
      </c>
      <c r="I1314" s="15">
        <f t="shared" si="267"/>
        <v>7.6775431861804098E-3</v>
      </c>
      <c r="J1314" s="15">
        <f t="shared" si="268"/>
        <v>-3.7576326914044687E-3</v>
      </c>
      <c r="K1314" s="15">
        <f t="shared" si="269"/>
        <v>2.2611464968152816E-2</v>
      </c>
      <c r="L1314" s="32">
        <f t="shared" si="270"/>
        <v>357178.09627351433</v>
      </c>
      <c r="M1314" s="15"/>
      <c r="N1314" s="32">
        <f t="shared" si="271"/>
        <v>-2835000</v>
      </c>
      <c r="O1314" s="34">
        <f t="shared" si="272"/>
        <v>-0.2217103502337967</v>
      </c>
      <c r="P1314" s="34">
        <f t="shared" si="273"/>
        <v>0.58055265783442322</v>
      </c>
      <c r="Q1314" s="34">
        <f t="shared" si="274"/>
        <v>0.60267677003235653</v>
      </c>
      <c r="R1314" s="35" cm="1">
        <f t="array" ref="R1314">SQRT(MMULT(O1314:Q1314, MMULT($AU$32:$AW$34,TRANSPOSE(O1314:Q1314))))</f>
        <v>1.1988415926098752E-2</v>
      </c>
      <c r="S1314" s="36" cm="1">
        <f t="array" ref="S1314:U1314">TRANSPOSE(MMULT($AU$32:$AW$34, TRANSPOSE(O1314:Q1314))/MMULT(O1314:Q1314, MMULT($AU$32:$AW$34,TRANSPOSE(O1314:Q1314))))</f>
        <v>0.2395771559109281</v>
      </c>
      <c r="T1314" s="36">
        <v>1.1602103509827235</v>
      </c>
      <c r="U1314" s="36">
        <v>0.62977959514620452</v>
      </c>
      <c r="V1314" s="35">
        <f t="shared" si="279"/>
        <v>6.6921108780831932E-3</v>
      </c>
      <c r="W1314" s="35">
        <f t="shared" si="280"/>
        <v>3.2408166300975962E-2</v>
      </c>
      <c r="X1314" s="35">
        <f t="shared" si="281"/>
        <v>1.7591639167131884E-2</v>
      </c>
      <c r="Y1314" s="32">
        <f t="shared" si="282"/>
        <v>-18972.134339365854</v>
      </c>
      <c r="Z1314" s="32">
        <f t="shared" si="275"/>
        <v>240582.02253529505</v>
      </c>
      <c r="AA1314" s="32">
        <f t="shared" si="276"/>
        <v>135568.20807758515</v>
      </c>
      <c r="AB1314" s="40">
        <f t="shared" si="283"/>
        <v>-5.3116735145028786E-2</v>
      </c>
      <c r="AC1314" s="40">
        <f t="shared" si="284"/>
        <v>0.67356320291002914</v>
      </c>
      <c r="AD1314" s="40">
        <f t="shared" si="285"/>
        <v>0.37955353223499971</v>
      </c>
      <c r="AE1314" s="40"/>
      <c r="AF1314" s="40"/>
      <c r="AG1314" s="40"/>
      <c r="AH1314" s="40"/>
      <c r="AI1314" s="40"/>
      <c r="AJ1314" s="40"/>
      <c r="AK1314" s="33">
        <f t="shared" si="277"/>
        <v>7423500</v>
      </c>
      <c r="AL1314" s="33">
        <f t="shared" si="278"/>
        <v>7706400</v>
      </c>
      <c r="AM1314" s="34"/>
      <c r="AN1314" s="33"/>
      <c r="AO1314" s="15" cm="1">
        <f t="array" ref="AO1314">SUMPRODUCT(I1314:K1314, TRANSPOSE($AY$5:$AY$7))</f>
        <v>1.1166891401633721E-2</v>
      </c>
      <c r="AP1314" s="22">
        <f t="shared" si="286"/>
        <v>12786953.775547476</v>
      </c>
      <c r="AQ1314" s="22">
        <f t="shared" si="287"/>
        <v>141213.6071537286</v>
      </c>
      <c r="AR1314">
        <f t="shared" si="288"/>
        <v>0</v>
      </c>
      <c r="AS1314">
        <f t="shared" si="289"/>
        <v>0</v>
      </c>
      <c r="BJ1314">
        <f t="shared" si="263"/>
        <v>1.0259889706167212E-4</v>
      </c>
      <c r="BK1314">
        <f t="shared" si="265"/>
        <v>3.9086266525297307E-5</v>
      </c>
      <c r="BO1314">
        <f t="shared" si="266"/>
        <v>5.3460457866814239E-5</v>
      </c>
      <c r="BP1314">
        <f t="shared" si="264"/>
        <v>3.0397681825170286</v>
      </c>
    </row>
    <row r="1315" spans="1:68" x14ac:dyDescent="0.15">
      <c r="A1315" s="5">
        <v>45496</v>
      </c>
      <c r="B1315" s="1"/>
      <c r="C1315">
        <v>94.26</v>
      </c>
      <c r="D1315">
        <v>107.15</v>
      </c>
      <c r="E1315">
        <v>96.18</v>
      </c>
      <c r="G1315" s="3">
        <v>-1.45781163509872E-3</v>
      </c>
      <c r="I1315" s="15">
        <f t="shared" si="267"/>
        <v>-2.5396825396824855E-3</v>
      </c>
      <c r="J1315" s="15">
        <f t="shared" si="268"/>
        <v>1.0372465818010454E-2</v>
      </c>
      <c r="K1315" s="15">
        <f t="shared" si="269"/>
        <v>-1.557147306135072E-3</v>
      </c>
      <c r="L1315" s="32">
        <f t="shared" si="270"/>
        <v>359514.04690237582</v>
      </c>
      <c r="M1315" s="15"/>
      <c r="N1315" s="32">
        <f t="shared" si="271"/>
        <v>-2827800</v>
      </c>
      <c r="O1315" s="34">
        <f t="shared" si="272"/>
        <v>-0.21968159932166439</v>
      </c>
      <c r="P1315" s="34">
        <f t="shared" si="273"/>
        <v>0.58268683630813489</v>
      </c>
      <c r="Q1315" s="34">
        <f t="shared" si="274"/>
        <v>0.59775022908996911</v>
      </c>
      <c r="R1315" s="35" cm="1">
        <f t="array" ref="R1315">SQRT(MMULT(O1315:Q1315, MMULT($AU$32:$AW$34,TRANSPOSE(O1315:Q1315))))</f>
        <v>1.1986846233019648E-2</v>
      </c>
      <c r="S1315" s="36" cm="1">
        <f t="array" ref="S1315:U1315">TRANSPOSE(MMULT($AU$32:$AW$34, TRANSPOSE(O1315:Q1315))/MMULT(O1315:Q1315, MMULT($AU$32:$AW$34,TRANSPOSE(O1315:Q1315))))</f>
        <v>0.2399409256082935</v>
      </c>
      <c r="T1315" s="36">
        <v>1.163120852052056</v>
      </c>
      <c r="U1315" s="36">
        <v>0.6273111719672414</v>
      </c>
      <c r="V1315" s="35">
        <f t="shared" si="279"/>
        <v>6.7013945040407964E-3</v>
      </c>
      <c r="W1315" s="35">
        <f t="shared" si="280"/>
        <v>3.2485211373242617E-2</v>
      </c>
      <c r="X1315" s="35">
        <f t="shared" si="281"/>
        <v>1.7520394361600133E-2</v>
      </c>
      <c r="Y1315" s="32">
        <f t="shared" si="282"/>
        <v>-18950.203378526563</v>
      </c>
      <c r="Z1315" s="32">
        <f t="shared" si="275"/>
        <v>243655.32790500624</v>
      </c>
      <c r="AA1315" s="32">
        <f t="shared" si="276"/>
        <v>134808.92237589607</v>
      </c>
      <c r="AB1315" s="40">
        <f t="shared" si="283"/>
        <v>-5.271060628035041E-2</v>
      </c>
      <c r="AC1315" s="40">
        <f t="shared" si="284"/>
        <v>0.67773520952623467</v>
      </c>
      <c r="AD1315" s="40">
        <f t="shared" si="285"/>
        <v>0.37497539675411551</v>
      </c>
      <c r="AE1315" s="40"/>
      <c r="AF1315" s="40"/>
      <c r="AG1315" s="40"/>
      <c r="AH1315" s="40"/>
      <c r="AI1315" s="40"/>
      <c r="AJ1315" s="40"/>
      <c r="AK1315" s="33">
        <f t="shared" si="277"/>
        <v>7500500</v>
      </c>
      <c r="AL1315" s="33">
        <f t="shared" si="278"/>
        <v>7694400.0000000009</v>
      </c>
      <c r="AM1315" s="34"/>
      <c r="AN1315" s="33"/>
      <c r="AO1315" s="15" cm="1">
        <f t="array" ref="AO1315">SUMPRODUCT(I1315:K1315, TRANSPOSE($AY$5:$AY$7))</f>
        <v>6.6718241823728796E-3</v>
      </c>
      <c r="AP1315" s="22">
        <f t="shared" si="286"/>
        <v>12872266.082966058</v>
      </c>
      <c r="AQ1315" s="22">
        <f t="shared" si="287"/>
        <v>85312.307418581098</v>
      </c>
      <c r="AR1315">
        <f t="shared" si="288"/>
        <v>0</v>
      </c>
      <c r="AS1315">
        <f t="shared" si="289"/>
        <v>0</v>
      </c>
      <c r="BJ1315">
        <f t="shared" si="263"/>
        <v>2.1252147634292033E-6</v>
      </c>
      <c r="BK1315">
        <f t="shared" si="265"/>
        <v>4.2897024357479798E-5</v>
      </c>
      <c r="BO1315">
        <f t="shared" si="266"/>
        <v>6.2485230284556814E-5</v>
      </c>
      <c r="BP1315">
        <f t="shared" si="264"/>
        <v>3.9043459022675449</v>
      </c>
    </row>
    <row r="1316" spans="1:68" x14ac:dyDescent="0.15">
      <c r="A1316" s="5">
        <v>45497</v>
      </c>
      <c r="B1316" s="1"/>
      <c r="C1316">
        <v>93.56</v>
      </c>
      <c r="D1316">
        <v>107.3</v>
      </c>
      <c r="E1316">
        <v>96.26</v>
      </c>
      <c r="G1316" s="3">
        <v>-6.1609142156927501E-3</v>
      </c>
      <c r="I1316" s="15">
        <f t="shared" si="267"/>
        <v>-7.4262677699979077E-3</v>
      </c>
      <c r="J1316" s="15">
        <f t="shared" si="268"/>
        <v>1.3999066728883946E-3</v>
      </c>
      <c r="K1316" s="15">
        <f t="shared" si="269"/>
        <v>8.3177375753793186E-4</v>
      </c>
      <c r="L1316" s="32">
        <f t="shared" si="270"/>
        <v>360108.5076092378</v>
      </c>
      <c r="M1316" s="15"/>
      <c r="N1316" s="32">
        <f t="shared" si="271"/>
        <v>-2806800</v>
      </c>
      <c r="O1316" s="34">
        <f t="shared" si="272"/>
        <v>-0.21708171667795179</v>
      </c>
      <c r="P1316" s="34">
        <f t="shared" si="273"/>
        <v>0.58091092132253663</v>
      </c>
      <c r="Q1316" s="34">
        <f t="shared" si="274"/>
        <v>0.59559031060053125</v>
      </c>
      <c r="R1316" s="35" cm="1">
        <f t="array" ref="R1316">SQRT(MMULT(O1316:Q1316, MMULT($AU$32:$AW$34,TRANSPOSE(O1316:Q1316))))</f>
        <v>1.1953339104441728E-2</v>
      </c>
      <c r="S1316" s="36" cm="1">
        <f t="array" ref="S1316:U1316">TRANSPOSE(MMULT($AU$32:$AW$34, TRANSPOSE(O1316:Q1316))/MMULT(O1316:Q1316, MMULT($AU$32:$AW$34,TRANSPOSE(O1316:Q1316))))</f>
        <v>0.24213875426046297</v>
      </c>
      <c r="T1316" s="36">
        <v>1.1665493734710322</v>
      </c>
      <c r="U1316" s="36">
        <v>0.62946394268876538</v>
      </c>
      <c r="V1316" s="35">
        <f t="shared" si="279"/>
        <v>6.743874271205587E-3</v>
      </c>
      <c r="W1316" s="35">
        <f t="shared" si="280"/>
        <v>3.2489893366593754E-2</v>
      </c>
      <c r="X1316" s="35">
        <f t="shared" si="281"/>
        <v>1.7531376589078006E-2</v>
      </c>
      <c r="Y1316" s="32">
        <f t="shared" si="282"/>
        <v>-18928.70630441984</v>
      </c>
      <c r="Z1316" s="32">
        <f t="shared" si="275"/>
        <v>244031.58907648569</v>
      </c>
      <c r="AA1316" s="32">
        <f t="shared" si="276"/>
        <v>135005.6248371719</v>
      </c>
      <c r="AB1316" s="40">
        <f t="shared" si="283"/>
        <v>-5.2563896449122009E-2</v>
      </c>
      <c r="AC1316" s="40">
        <f t="shared" si="284"/>
        <v>0.67766127131128517</v>
      </c>
      <c r="AD1316" s="40">
        <f t="shared" si="285"/>
        <v>0.37490262513783673</v>
      </c>
      <c r="AE1316" s="40"/>
      <c r="AF1316" s="40"/>
      <c r="AG1316" s="40"/>
      <c r="AH1316" s="40"/>
      <c r="AI1316" s="40"/>
      <c r="AJ1316" s="40"/>
      <c r="AK1316" s="33">
        <f t="shared" si="277"/>
        <v>7511000</v>
      </c>
      <c r="AL1316" s="33">
        <f t="shared" si="278"/>
        <v>7700800</v>
      </c>
      <c r="AM1316" s="34"/>
      <c r="AN1316" s="33"/>
      <c r="AO1316" s="15" cm="1">
        <f t="array" ref="AO1316">SUMPRODUCT(I1316:K1316, TRANSPOSE($AY$5:$AY$7))</f>
        <v>4.4613073723077249E-3</v>
      </c>
      <c r="AP1316" s="22">
        <f t="shared" si="286"/>
        <v>12929693.2185403</v>
      </c>
      <c r="AQ1316" s="22">
        <f t="shared" si="287"/>
        <v>57427.1355742421</v>
      </c>
      <c r="AR1316">
        <f t="shared" si="288"/>
        <v>0</v>
      </c>
      <c r="AS1316">
        <f t="shared" si="289"/>
        <v>0</v>
      </c>
      <c r="BJ1316">
        <f t="shared" si="263"/>
        <v>3.7956863973125017E-5</v>
      </c>
      <c r="BK1316">
        <f t="shared" si="265"/>
        <v>4.0450715781836764E-5</v>
      </c>
      <c r="BO1316">
        <f t="shared" si="266"/>
        <v>5.5254589812680802E-5</v>
      </c>
      <c r="BP1316">
        <f t="shared" si="264"/>
        <v>3.639368542580188</v>
      </c>
    </row>
    <row r="1317" spans="1:68" x14ac:dyDescent="0.15">
      <c r="A1317" s="5">
        <v>45498</v>
      </c>
      <c r="B1317" s="1"/>
      <c r="C1317">
        <v>88.82</v>
      </c>
      <c r="D1317">
        <v>107.25</v>
      </c>
      <c r="E1317">
        <v>96.93</v>
      </c>
      <c r="G1317" s="3">
        <v>-8.0004338037450388E-3</v>
      </c>
      <c r="I1317" s="15">
        <f t="shared" si="267"/>
        <v>-5.0662676357417794E-2</v>
      </c>
      <c r="J1317" s="15">
        <f t="shared" si="268"/>
        <v>-4.6598322460388779E-4</v>
      </c>
      <c r="K1317" s="15">
        <f t="shared" si="269"/>
        <v>6.9603158113442929E-3</v>
      </c>
      <c r="L1317" s="32">
        <f t="shared" si="270"/>
        <v>361917.94888831937</v>
      </c>
      <c r="M1317" s="15"/>
      <c r="N1317" s="32">
        <f t="shared" si="271"/>
        <v>-2664600</v>
      </c>
      <c r="O1317" s="34">
        <f t="shared" si="272"/>
        <v>-0.20109673470390943</v>
      </c>
      <c r="P1317" s="34">
        <f t="shared" si="273"/>
        <v>0.56658925759573664</v>
      </c>
      <c r="Q1317" s="34">
        <f t="shared" si="274"/>
        <v>0.58522274247091322</v>
      </c>
      <c r="R1317" s="35" cm="1">
        <f t="array" ref="R1317">SQRT(MMULT(O1317:Q1317, MMULT($AU$32:$AW$34,TRANSPOSE(O1317:Q1317))))</f>
        <v>1.1722687725505089E-2</v>
      </c>
      <c r="S1317" s="36" cm="1">
        <f t="array" ref="S1317:U1317">TRANSPOSE(MMULT($AU$32:$AW$34, TRANSPOSE(O1317:Q1317))/MMULT(O1317:Q1317, MMULT($AU$32:$AW$34,TRANSPOSE(O1317:Q1317))))</f>
        <v>0.25746169049617074</v>
      </c>
      <c r="T1317" s="36">
        <v>1.1879312756490157</v>
      </c>
      <c r="U1317" s="36">
        <v>0.64711361716127913</v>
      </c>
      <c r="V1317" s="35">
        <f t="shared" si="279"/>
        <v>7.0322731875936953E-3</v>
      </c>
      <c r="W1317" s="35">
        <f t="shared" si="280"/>
        <v>3.2446991404240767E-2</v>
      </c>
      <c r="X1317" s="35">
        <f t="shared" si="281"/>
        <v>1.7675172296585683E-2</v>
      </c>
      <c r="Y1317" s="32">
        <f t="shared" si="282"/>
        <v>-18738.195135662161</v>
      </c>
      <c r="Z1317" s="32">
        <f t="shared" si="275"/>
        <v>243595.78796733756</v>
      </c>
      <c r="AA1317" s="32">
        <f t="shared" si="276"/>
        <v>137060.35605664403</v>
      </c>
      <c r="AB1317" s="40">
        <f t="shared" si="283"/>
        <v>-5.1774705270128486E-2</v>
      </c>
      <c r="AC1317" s="40">
        <f t="shared" si="284"/>
        <v>0.67306909954473226</v>
      </c>
      <c r="AD1317" s="40">
        <f t="shared" si="285"/>
        <v>0.37870560572539635</v>
      </c>
      <c r="AE1317" s="40"/>
      <c r="AF1317" s="40"/>
      <c r="AG1317" s="40"/>
      <c r="AH1317" s="40"/>
      <c r="AI1317" s="40"/>
      <c r="AJ1317" s="40"/>
      <c r="AK1317" s="33">
        <f t="shared" si="277"/>
        <v>7507500</v>
      </c>
      <c r="AL1317" s="33">
        <f t="shared" si="278"/>
        <v>7754400.0000000009</v>
      </c>
      <c r="AM1317" s="34"/>
      <c r="AN1317" s="33"/>
      <c r="AO1317" s="15" cm="1">
        <f t="array" ref="AO1317">SUMPRODUCT(I1317:K1317, TRANSPOSE($AY$5:$AY$7))</f>
        <v>2.4799215294159252E-2</v>
      </c>
      <c r="AP1317" s="22">
        <f t="shared" si="286"/>
        <v>13250339.46435431</v>
      </c>
      <c r="AQ1317" s="22">
        <f t="shared" si="287"/>
        <v>320646.2458140105</v>
      </c>
      <c r="AR1317">
        <f t="shared" si="288"/>
        <v>0</v>
      </c>
      <c r="AS1317">
        <f t="shared" si="289"/>
        <v>0</v>
      </c>
      <c r="BJ1317">
        <f t="shared" si="263"/>
        <v>6.4006941048106312E-5</v>
      </c>
      <c r="BK1317">
        <f t="shared" si="265"/>
        <v>4.0301084673314054E-5</v>
      </c>
      <c r="BO1317">
        <f t="shared" si="266"/>
        <v>5.4686178824078109E-5</v>
      </c>
      <c r="BP1317">
        <f t="shared" si="264"/>
        <v>3.4027907868995593</v>
      </c>
    </row>
    <row r="1318" spans="1:68" x14ac:dyDescent="0.15">
      <c r="A1318" s="5">
        <v>45499</v>
      </c>
      <c r="B1318" s="1"/>
      <c r="C1318">
        <v>87.92</v>
      </c>
      <c r="D1318">
        <v>108.3</v>
      </c>
      <c r="E1318">
        <v>97.45</v>
      </c>
      <c r="G1318" s="3">
        <v>1.1230182360194501E-2</v>
      </c>
      <c r="I1318" s="15">
        <f t="shared" si="267"/>
        <v>-1.0132852961044714E-2</v>
      </c>
      <c r="J1318" s="15">
        <f t="shared" si="268"/>
        <v>9.7902097902097633E-3</v>
      </c>
      <c r="K1318" s="15">
        <f t="shared" si="269"/>
        <v>5.3646961724955738E-3</v>
      </c>
      <c r="L1318" s="32">
        <f t="shared" si="270"/>
        <v>365229.96619171463</v>
      </c>
      <c r="M1318" s="15"/>
      <c r="N1318" s="32">
        <f t="shared" si="271"/>
        <v>-2637600</v>
      </c>
      <c r="O1318" s="34">
        <f t="shared" si="272"/>
        <v>-0.19623633880750369</v>
      </c>
      <c r="P1318" s="34">
        <f t="shared" si="273"/>
        <v>0.56402323494831863</v>
      </c>
      <c r="Q1318" s="34">
        <f t="shared" si="274"/>
        <v>0.58001914518626729</v>
      </c>
      <c r="R1318" s="35" cm="1">
        <f t="array" ref="R1318">SQRT(MMULT(O1318:Q1318, MMULT($AU$32:$AW$34,TRANSPOSE(O1318:Q1318))))</f>
        <v>1.1662213305542823E-2</v>
      </c>
      <c r="S1318" s="36" cm="1">
        <f t="array" ref="S1318:U1318">TRANSPOSE(MMULT($AU$32:$AW$34, TRANSPOSE(O1318:Q1318))/MMULT(O1318:Q1318, MMULT($AU$32:$AW$34,TRANSPOSE(O1318:Q1318))))</f>
        <v>0.26151067365939257</v>
      </c>
      <c r="T1318" s="36">
        <v>1.195151289732306</v>
      </c>
      <c r="U1318" s="36">
        <v>0.65036611912075892</v>
      </c>
      <c r="V1318" s="35">
        <f t="shared" si="279"/>
        <v>7.1060182908884431E-3</v>
      </c>
      <c r="W1318" s="35">
        <f t="shared" si="280"/>
        <v>3.2475794606678945E-2</v>
      </c>
      <c r="X1318" s="35">
        <f t="shared" si="281"/>
        <v>1.7672370590370568E-2</v>
      </c>
      <c r="Y1318" s="32">
        <f t="shared" si="282"/>
        <v>-18742.833844047356</v>
      </c>
      <c r="Z1318" s="32">
        <f t="shared" si="275"/>
        <v>246198.99891323308</v>
      </c>
      <c r="AA1318" s="32">
        <f t="shared" si="276"/>
        <v>137773.80112252894</v>
      </c>
      <c r="AB1318" s="40">
        <f t="shared" si="283"/>
        <v>-5.1317897158003091E-2</v>
      </c>
      <c r="AC1318" s="40">
        <f t="shared" si="284"/>
        <v>0.67409309668747053</v>
      </c>
      <c r="AD1318" s="40">
        <f t="shared" si="285"/>
        <v>0.37722480047053264</v>
      </c>
      <c r="AE1318" s="40"/>
      <c r="AF1318" s="40"/>
      <c r="AG1318" s="40"/>
      <c r="AH1318" s="40"/>
      <c r="AI1318" s="40"/>
      <c r="AJ1318" s="40"/>
      <c r="AK1318" s="33">
        <f t="shared" si="277"/>
        <v>7581000</v>
      </c>
      <c r="AL1318" s="33">
        <f t="shared" si="278"/>
        <v>7796000</v>
      </c>
      <c r="AM1318" s="34"/>
      <c r="AN1318" s="33"/>
      <c r="AO1318" s="15" cm="1">
        <f t="array" ref="AO1318">SUMPRODUCT(I1318:K1318, TRANSPOSE($AY$5:$AY$7))</f>
        <v>1.4384248451932693E-2</v>
      </c>
      <c r="AP1318" s="22">
        <f t="shared" si="286"/>
        <v>13440935.639282033</v>
      </c>
      <c r="AQ1318" s="22">
        <f t="shared" si="287"/>
        <v>190596.17492772266</v>
      </c>
      <c r="AR1318">
        <f t="shared" si="288"/>
        <v>0</v>
      </c>
      <c r="AS1318">
        <f t="shared" si="289"/>
        <v>0</v>
      </c>
      <c r="BJ1318">
        <f t="shared" si="263"/>
        <v>1.2611699584322373E-4</v>
      </c>
      <c r="BK1318">
        <f t="shared" si="265"/>
        <v>4.1723436055801595E-5</v>
      </c>
      <c r="BO1318">
        <f t="shared" si="266"/>
        <v>5.7950386179583075E-5</v>
      </c>
      <c r="BP1318">
        <f t="shared" si="264"/>
        <v>2.8708768355027354</v>
      </c>
    </row>
    <row r="1319" spans="1:68" x14ac:dyDescent="0.15">
      <c r="A1319" s="5">
        <v>45502</v>
      </c>
      <c r="B1319" s="1"/>
      <c r="C1319">
        <v>88.02</v>
      </c>
      <c r="D1319">
        <v>107.7</v>
      </c>
      <c r="E1319">
        <v>98.07</v>
      </c>
      <c r="G1319" s="3">
        <v>-2.1720206997543003E-3</v>
      </c>
      <c r="I1319" s="15">
        <f t="shared" si="267"/>
        <v>1.1373976342128561E-3</v>
      </c>
      <c r="J1319" s="15">
        <f t="shared" si="268"/>
        <v>-5.5401662049860976E-3</v>
      </c>
      <c r="K1319" s="15">
        <f t="shared" si="269"/>
        <v>6.3622370446381766E-3</v>
      </c>
      <c r="L1319" s="32">
        <f t="shared" si="270"/>
        <v>364724.82062524377</v>
      </c>
      <c r="M1319" s="15"/>
      <c r="N1319" s="32">
        <f t="shared" si="271"/>
        <v>-2640600</v>
      </c>
      <c r="O1319" s="34">
        <f t="shared" si="272"/>
        <v>-0.19634199227668822</v>
      </c>
      <c r="P1319" s="34">
        <f t="shared" si="273"/>
        <v>0.5605628568408515</v>
      </c>
      <c r="Q1319" s="34">
        <f t="shared" si="274"/>
        <v>0.58336012065666321</v>
      </c>
      <c r="R1319" s="35" cm="1">
        <f t="array" ref="R1319">SQRT(MMULT(O1319:Q1319, MMULT($AU$32:$AW$34,TRANSPOSE(O1319:Q1319))))</f>
        <v>1.1639115364650527E-2</v>
      </c>
      <c r="S1319" s="36" cm="1">
        <f t="array" ref="S1319:U1319">TRANSPOSE(MMULT($AU$32:$AW$34, TRANSPOSE(O1319:Q1319))/MMULT(O1319:Q1319, MMULT($AU$32:$AW$34,TRANSPOSE(O1319:Q1319))))</f>
        <v>0.26289569958038544</v>
      </c>
      <c r="T1319" s="36">
        <v>1.1946964296910567</v>
      </c>
      <c r="U1319" s="36">
        <v>0.6546814021182954</v>
      </c>
      <c r="V1319" s="35">
        <f t="shared" si="279"/>
        <v>7.1295049667478095E-3</v>
      </c>
      <c r="W1319" s="35">
        <f t="shared" si="280"/>
        <v>3.2399138300221016E-2</v>
      </c>
      <c r="X1319" s="35">
        <f t="shared" si="281"/>
        <v>1.7754395813586187E-2</v>
      </c>
      <c r="Y1319" s="32">
        <f t="shared" si="282"/>
        <v>-18826.170815194266</v>
      </c>
      <c r="Z1319" s="32">
        <f t="shared" si="275"/>
        <v>244257.10364536624</v>
      </c>
      <c r="AA1319" s="32">
        <f t="shared" si="276"/>
        <v>139293.88779507179</v>
      </c>
      <c r="AB1319" s="40">
        <f t="shared" si="283"/>
        <v>-5.1617465416586586E-2</v>
      </c>
      <c r="AC1319" s="40">
        <f t="shared" si="284"/>
        <v>0.66970244368518428</v>
      </c>
      <c r="AD1319" s="40">
        <f t="shared" si="285"/>
        <v>0.38191502173140235</v>
      </c>
      <c r="AE1319" s="40"/>
      <c r="AF1319" s="40"/>
      <c r="AG1319" s="40"/>
      <c r="AH1319" s="40"/>
      <c r="AI1319" s="40"/>
      <c r="AJ1319" s="40"/>
      <c r="AK1319" s="33">
        <f t="shared" si="277"/>
        <v>7539000</v>
      </c>
      <c r="AL1319" s="33">
        <f t="shared" si="278"/>
        <v>7845599.9999999991</v>
      </c>
      <c r="AM1319" s="34"/>
      <c r="AN1319" s="33"/>
      <c r="AO1319" s="15" cm="1">
        <f t="array" ref="AO1319">SUMPRODUCT(I1319:K1319, TRANSPOSE($AY$5:$AY$7))</f>
        <v>5.9867620247066548E-4</v>
      </c>
      <c r="AP1319" s="22">
        <f t="shared" si="286"/>
        <v>13448982.40758821</v>
      </c>
      <c r="AQ1319" s="22">
        <f t="shared" si="287"/>
        <v>8046.7683061771095</v>
      </c>
      <c r="AR1319">
        <f t="shared" si="288"/>
        <v>0</v>
      </c>
      <c r="AS1319">
        <f t="shared" si="289"/>
        <v>0</v>
      </c>
      <c r="BJ1319">
        <f t="shared" si="263"/>
        <v>4.7176739201611599E-6</v>
      </c>
      <c r="BK1319">
        <f t="shared" si="265"/>
        <v>4.6787049643046927E-5</v>
      </c>
      <c r="BO1319">
        <f t="shared" si="266"/>
        <v>6.9356487021050622E-5</v>
      </c>
      <c r="BP1319">
        <f t="shared" si="264"/>
        <v>3.8351765751628126</v>
      </c>
    </row>
    <row r="1320" spans="1:68" x14ac:dyDescent="0.15">
      <c r="A1320" s="5">
        <v>45503</v>
      </c>
      <c r="B1320" s="1"/>
      <c r="C1320">
        <v>88.68</v>
      </c>
      <c r="D1320">
        <v>109.05</v>
      </c>
      <c r="E1320">
        <v>98.48</v>
      </c>
      <c r="G1320" s="3">
        <v>5.49527579489983E-3</v>
      </c>
      <c r="I1320" s="15">
        <f t="shared" si="267"/>
        <v>7.4982958418542472E-3</v>
      </c>
      <c r="J1320" s="15">
        <f t="shared" si="268"/>
        <v>1.2534818941504124E-2</v>
      </c>
      <c r="K1320" s="15">
        <f t="shared" si="269"/>
        <v>4.1806872641991519E-3</v>
      </c>
      <c r="L1320" s="32">
        <f t="shared" si="270"/>
        <v>368229.4731725622</v>
      </c>
      <c r="M1320" s="15"/>
      <c r="N1320" s="32">
        <f t="shared" si="271"/>
        <v>-2660400</v>
      </c>
      <c r="O1320" s="34">
        <f t="shared" si="272"/>
        <v>-0.19617344581080579</v>
      </c>
      <c r="P1320" s="34">
        <f t="shared" si="273"/>
        <v>0.56288152104825806</v>
      </c>
      <c r="Q1320" s="34">
        <f t="shared" si="274"/>
        <v>0.58094003739131417</v>
      </c>
      <c r="R1320" s="35" cm="1">
        <f t="array" ref="R1320">SQRT(MMULT(O1320:Q1320, MMULT($AU$32:$AW$34,TRANSPOSE(O1320:Q1320))))</f>
        <v>1.1653487294072269E-2</v>
      </c>
      <c r="S1320" s="36" cm="1">
        <f t="array" ref="S1320:U1320">TRANSPOSE(MMULT($AU$32:$AW$34, TRANSPOSE(O1320:Q1320))/MMULT(O1320:Q1320, MMULT($AU$32:$AW$34,TRANSPOSE(O1320:Q1320))))</f>
        <v>0.26202488532609919</v>
      </c>
      <c r="T1320" s="36">
        <v>1.1951928091022868</v>
      </c>
      <c r="U1320" s="36">
        <v>0.65178908998849439</v>
      </c>
      <c r="V1320" s="35">
        <f t="shared" si="279"/>
        <v>7.1146635554767664E-3</v>
      </c>
      <c r="W1320" s="35">
        <f t="shared" si="280"/>
        <v>3.2452622620577298E-2</v>
      </c>
      <c r="X1320" s="35">
        <f t="shared" si="281"/>
        <v>1.7697784997128322E-2</v>
      </c>
      <c r="Y1320" s="32">
        <f t="shared" si="282"/>
        <v>-18927.85092299039</v>
      </c>
      <c r="Z1320" s="32">
        <f t="shared" si="275"/>
        <v>247727.0947741768</v>
      </c>
      <c r="AA1320" s="32">
        <f t="shared" si="276"/>
        <v>139430.22932137578</v>
      </c>
      <c r="AB1320" s="40">
        <f t="shared" si="283"/>
        <v>-5.1402324642602124E-2</v>
      </c>
      <c r="AC1320" s="40">
        <f t="shared" si="284"/>
        <v>0.67275194633343549</v>
      </c>
      <c r="AD1320" s="40">
        <f t="shared" si="285"/>
        <v>0.37865037830916659</v>
      </c>
      <c r="AE1320" s="40"/>
      <c r="AF1320" s="40"/>
      <c r="AG1320" s="40"/>
      <c r="AH1320" s="40"/>
      <c r="AI1320" s="40"/>
      <c r="AJ1320" s="40"/>
      <c r="AK1320" s="33">
        <f t="shared" si="277"/>
        <v>7633500</v>
      </c>
      <c r="AL1320" s="33">
        <f t="shared" si="278"/>
        <v>7878400</v>
      </c>
      <c r="AM1320" s="34"/>
      <c r="AN1320" s="33"/>
      <c r="AO1320" s="15" cm="1">
        <f t="array" ref="AO1320">SUMPRODUCT(I1320:K1320, TRANSPOSE($AY$5:$AY$7))</f>
        <v>8.3639088020836319E-3</v>
      </c>
      <c r="AP1320" s="22">
        <f t="shared" si="286"/>
        <v>13561468.469926106</v>
      </c>
      <c r="AQ1320" s="22">
        <f t="shared" si="287"/>
        <v>112486.06233789586</v>
      </c>
      <c r="AR1320">
        <f t="shared" si="288"/>
        <v>0</v>
      </c>
      <c r="AS1320">
        <f t="shared" si="289"/>
        <v>0</v>
      </c>
      <c r="BJ1320">
        <f t="shared" si="263"/>
        <v>3.0198056062011957E-5</v>
      </c>
      <c r="BK1320">
        <f t="shared" si="265"/>
        <v>4.4262887099673779E-5</v>
      </c>
      <c r="BO1320">
        <f t="shared" si="266"/>
        <v>6.1013476579665096E-5</v>
      </c>
      <c r="BP1320">
        <f t="shared" si="264"/>
        <v>3.6857989854553117</v>
      </c>
    </row>
    <row r="1321" spans="1:68" x14ac:dyDescent="0.15">
      <c r="A1321" s="5">
        <v>45504</v>
      </c>
      <c r="B1321" s="1"/>
      <c r="C1321">
        <v>89.14</v>
      </c>
      <c r="D1321">
        <v>108.45</v>
      </c>
      <c r="E1321">
        <v>98.58</v>
      </c>
      <c r="G1321" s="3">
        <v>2.88384843737432E-3</v>
      </c>
      <c r="I1321" s="15">
        <f t="shared" si="267"/>
        <v>5.187189896256131E-3</v>
      </c>
      <c r="J1321" s="15">
        <f t="shared" si="268"/>
        <v>-5.5020632737275959E-3</v>
      </c>
      <c r="K1321" s="15">
        <f t="shared" si="269"/>
        <v>1.0154346060113151E-3</v>
      </c>
      <c r="L1321" s="32">
        <f t="shared" si="270"/>
        <v>366911.02425809862</v>
      </c>
      <c r="M1321" s="15"/>
      <c r="N1321" s="32">
        <f t="shared" si="271"/>
        <v>-2674200</v>
      </c>
      <c r="O1321" s="34">
        <f t="shared" si="272"/>
        <v>-0.19816472437956792</v>
      </c>
      <c r="P1321" s="34">
        <f t="shared" si="273"/>
        <v>0.56254861458660155</v>
      </c>
      <c r="Q1321" s="34">
        <f t="shared" si="274"/>
        <v>0.58440142186337007</v>
      </c>
      <c r="R1321" s="35" cm="1">
        <f t="array" ref="R1321">SQRT(MMULT(O1321:Q1321, MMULT($AU$32:$AW$34,TRANSPOSE(O1321:Q1321))))</f>
        <v>1.1669098422588869E-2</v>
      </c>
      <c r="S1321" s="36" cm="1">
        <f t="array" ref="S1321:U1321">TRANSPOSE(MMULT($AU$32:$AW$34, TRANSPOSE(O1321:Q1321))/MMULT(O1321:Q1321, MMULT($AU$32:$AW$34,TRANSPOSE(O1321:Q1321))))</f>
        <v>0.26093723615605413</v>
      </c>
      <c r="T1321" s="36">
        <v>1.1920372894086917</v>
      </c>
      <c r="U1321" s="36">
        <v>0.65217094882412763</v>
      </c>
      <c r="V1321" s="35">
        <f t="shared" si="279"/>
        <v>7.0946223376183136E-3</v>
      </c>
      <c r="W1321" s="35">
        <f t="shared" si="280"/>
        <v>3.2410301056669158E-2</v>
      </c>
      <c r="X1321" s="35">
        <f t="shared" si="281"/>
        <v>1.773187548712386E-2</v>
      </c>
      <c r="Y1321" s="32">
        <f t="shared" si="282"/>
        <v>-18972.439055258896</v>
      </c>
      <c r="Z1321" s="32">
        <f t="shared" si="275"/>
        <v>246042.8004717039</v>
      </c>
      <c r="AA1321" s="32">
        <f t="shared" si="276"/>
        <v>139840.6628416536</v>
      </c>
      <c r="AB1321" s="40">
        <f t="shared" si="283"/>
        <v>-5.1708555483230695E-2</v>
      </c>
      <c r="AC1321" s="40">
        <f t="shared" si="284"/>
        <v>0.67057892569242727</v>
      </c>
      <c r="AD1321" s="40">
        <f t="shared" si="285"/>
        <v>0.38112962979080334</v>
      </c>
      <c r="AE1321" s="40"/>
      <c r="AF1321" s="40"/>
      <c r="AG1321" s="40"/>
      <c r="AH1321" s="40"/>
      <c r="AI1321" s="40"/>
      <c r="AJ1321" s="40"/>
      <c r="AK1321" s="33">
        <f t="shared" si="277"/>
        <v>7591500</v>
      </c>
      <c r="AL1321" s="33">
        <f t="shared" si="278"/>
        <v>7886400</v>
      </c>
      <c r="AM1321" s="34"/>
      <c r="AN1321" s="33"/>
      <c r="AO1321" s="15" cm="1">
        <f t="array" ref="AO1321">SUMPRODUCT(I1321:K1321, TRANSPOSE($AY$5:$AY$7))</f>
        <v>-4.9135367345882371E-3</v>
      </c>
      <c r="AP1321" s="22">
        <f t="shared" si="286"/>
        <v>13494833.696424164</v>
      </c>
      <c r="AQ1321" s="22">
        <f t="shared" si="287"/>
        <v>-66634.773501941934</v>
      </c>
      <c r="AR1321">
        <f t="shared" si="288"/>
        <v>0</v>
      </c>
      <c r="AS1321">
        <f t="shared" si="289"/>
        <v>0</v>
      </c>
      <c r="BJ1321">
        <f t="shared" si="263"/>
        <v>8.3165818097463069E-6</v>
      </c>
      <c r="BK1321">
        <f t="shared" si="265"/>
        <v>4.3418997237414069E-5</v>
      </c>
      <c r="BO1321">
        <f t="shared" si="266"/>
        <v>5.8098316737819212E-5</v>
      </c>
      <c r="BP1321">
        <f t="shared" si="264"/>
        <v>3.8861750543253546</v>
      </c>
    </row>
    <row r="1322" spans="1:68" x14ac:dyDescent="0.15">
      <c r="A1322" s="5">
        <v>45506</v>
      </c>
      <c r="B1322" s="1"/>
      <c r="C1322">
        <v>89.4</v>
      </c>
      <c r="D1322">
        <v>103.6</v>
      </c>
      <c r="E1322">
        <v>96.61</v>
      </c>
      <c r="G1322" s="3">
        <v>-3.5878007524916405E-2</v>
      </c>
      <c r="I1322" s="15">
        <f t="shared" si="267"/>
        <v>2.9167601525690499E-3</v>
      </c>
      <c r="J1322" s="15">
        <f t="shared" si="268"/>
        <v>-4.4721069617335255E-2</v>
      </c>
      <c r="K1322" s="15">
        <f t="shared" si="269"/>
        <v>-1.9983769527287473E-2</v>
      </c>
      <c r="L1322" s="32">
        <f t="shared" si="270"/>
        <v>353077.07199271343</v>
      </c>
      <c r="M1322" s="15"/>
      <c r="N1322" s="32">
        <f t="shared" si="271"/>
        <v>-2682000</v>
      </c>
      <c r="O1322" s="34">
        <f t="shared" si="272"/>
        <v>-0.20816720084160359</v>
      </c>
      <c r="P1322" s="34">
        <f t="shared" si="273"/>
        <v>0.56287417617573055</v>
      </c>
      <c r="Q1322" s="34">
        <f t="shared" si="274"/>
        <v>0.59988167854757113</v>
      </c>
      <c r="R1322" s="35" cm="1">
        <f t="array" ref="R1322">SQRT(MMULT(O1322:Q1322, MMULT($AU$32:$AW$34,TRANSPOSE(O1322:Q1322))))</f>
        <v>1.1761619468859718E-2</v>
      </c>
      <c r="S1322" s="36" cm="1">
        <f t="array" ref="S1322:U1322">TRANSPOSE(MMULT($AU$32:$AW$34, TRANSPOSE(O1322:Q1322))/MMULT(O1322:Q1322, MMULT($AU$32:$AW$34,TRANSPOSE(O1322:Q1322))))</f>
        <v>0.25469222830918986</v>
      </c>
      <c r="T1322" s="36">
        <v>1.1764868085030544</v>
      </c>
      <c r="U1322" s="36">
        <v>0.65146934654126509</v>
      </c>
      <c r="V1322" s="35">
        <f t="shared" si="279"/>
        <v>6.9797318555433118E-3</v>
      </c>
      <c r="W1322" s="35">
        <f t="shared" si="280"/>
        <v>3.2241119053568551E-2</v>
      </c>
      <c r="X1322" s="35">
        <f t="shared" si="281"/>
        <v>1.7853239500672993E-2</v>
      </c>
      <c r="Y1322" s="32">
        <f t="shared" si="282"/>
        <v>-18719.640836567163</v>
      </c>
      <c r="Z1322" s="32">
        <f t="shared" si="275"/>
        <v>233812.59537647912</v>
      </c>
      <c r="AA1322" s="32">
        <f t="shared" si="276"/>
        <v>137984.11745280144</v>
      </c>
      <c r="AB1322" s="40">
        <f t="shared" si="283"/>
        <v>-5.3018568243234684E-2</v>
      </c>
      <c r="AC1322" s="40">
        <f t="shared" si="284"/>
        <v>0.6622140431177711</v>
      </c>
      <c r="AD1322" s="40">
        <f t="shared" si="285"/>
        <v>0.39080452512546343</v>
      </c>
      <c r="AE1322" s="40"/>
      <c r="AF1322" s="40"/>
      <c r="AG1322" s="40"/>
      <c r="AH1322" s="40"/>
      <c r="AI1322" s="40"/>
      <c r="AJ1322" s="40"/>
      <c r="AK1322" s="33">
        <f t="shared" si="277"/>
        <v>7252000</v>
      </c>
      <c r="AL1322" s="33">
        <f t="shared" si="278"/>
        <v>7728800</v>
      </c>
      <c r="AM1322" s="34"/>
      <c r="AN1322" s="33"/>
      <c r="AO1322" s="15" cm="1">
        <f t="array" ref="AO1322">SUMPRODUCT(I1322:K1322, TRANSPOSE($AY$5:$AY$7))</f>
        <v>-4.5273594746041194E-2</v>
      </c>
      <c r="AP1322" s="22">
        <f t="shared" si="286"/>
        <v>12883874.064487034</v>
      </c>
      <c r="AQ1322" s="22">
        <f t="shared" si="287"/>
        <v>-610959.63193712942</v>
      </c>
      <c r="AR1322">
        <f t="shared" si="288"/>
        <v>1</v>
      </c>
      <c r="AS1322">
        <f t="shared" si="289"/>
        <v>1</v>
      </c>
      <c r="BJ1322">
        <f t="shared" si="263"/>
        <v>1.2872314239579582E-3</v>
      </c>
      <c r="BK1322">
        <f t="shared" si="265"/>
        <v>4.1312852311754004E-5</v>
      </c>
      <c r="BO1322">
        <f t="shared" si="266"/>
        <v>5.2695363409304259E-5</v>
      </c>
      <c r="BP1322">
        <f t="shared" si="264"/>
        <v>-8.207343437788845</v>
      </c>
    </row>
    <row r="1323" spans="1:68" x14ac:dyDescent="0.15">
      <c r="A1323" s="5">
        <v>45509</v>
      </c>
      <c r="B1323" s="1"/>
      <c r="C1323">
        <v>87.28</v>
      </c>
      <c r="D1323">
        <v>99.3</v>
      </c>
      <c r="E1323">
        <v>93.45</v>
      </c>
      <c r="G1323" s="3">
        <v>-2.7978865799461003E-2</v>
      </c>
      <c r="I1323" s="15">
        <f t="shared" si="267"/>
        <v>-2.3713646532438529E-2</v>
      </c>
      <c r="J1323" s="15">
        <f t="shared" si="268"/>
        <v>-4.1505791505791478E-2</v>
      </c>
      <c r="K1323" s="15">
        <f t="shared" si="269"/>
        <v>-3.2708829313735602E-2</v>
      </c>
      <c r="L1323" s="32">
        <f t="shared" si="270"/>
        <v>339305.65015000373</v>
      </c>
      <c r="M1323" s="15"/>
      <c r="N1323" s="32">
        <f t="shared" si="271"/>
        <v>-2618400</v>
      </c>
      <c r="O1323" s="34">
        <f t="shared" si="272"/>
        <v>-0.21214911795069658</v>
      </c>
      <c r="P1323" s="34">
        <f t="shared" si="273"/>
        <v>0.56318687705289183</v>
      </c>
      <c r="Q1323" s="34">
        <f t="shared" si="274"/>
        <v>0.60572365024419783</v>
      </c>
      <c r="R1323" s="35" cm="1">
        <f t="array" ref="R1323">SQRT(MMULT(O1323:Q1323, MMULT($AU$32:$AW$34,TRANSPOSE(O1323:Q1323))))</f>
        <v>1.1798869800089385E-2</v>
      </c>
      <c r="S1323" s="36" cm="1">
        <f t="array" ref="S1323:U1323">TRANSPOSE(MMULT($AU$32:$AW$34, TRANSPOSE(O1323:Q1323))/MMULT(O1323:Q1323, MMULT($AU$32:$AW$34,TRANSPOSE(O1323:Q1323))))</f>
        <v>0.25214589080643707</v>
      </c>
      <c r="T1323" s="36">
        <v>1.1705219292662796</v>
      </c>
      <c r="U1323" s="36">
        <v>0.65090728801017761</v>
      </c>
      <c r="V1323" s="35">
        <f t="shared" si="279"/>
        <v>6.9318351294688054E-3</v>
      </c>
      <c r="W1323" s="35">
        <f t="shared" si="280"/>
        <v>3.2179247510840094E-2</v>
      </c>
      <c r="X1323" s="35">
        <f t="shared" si="281"/>
        <v>1.7894330899565988E-2</v>
      </c>
      <c r="Y1323" s="32">
        <f t="shared" si="282"/>
        <v>-18150.317103001122</v>
      </c>
      <c r="Z1323" s="32">
        <f t="shared" si="275"/>
        <v>223677.9494478495</v>
      </c>
      <c r="AA1323" s="32">
        <f t="shared" si="276"/>
        <v>133778.01780515534</v>
      </c>
      <c r="AB1323" s="40">
        <f t="shared" si="283"/>
        <v>-5.3492528329478282E-2</v>
      </c>
      <c r="AC1323" s="40">
        <f t="shared" si="284"/>
        <v>0.65922258986540205</v>
      </c>
      <c r="AD1323" s="40">
        <f t="shared" si="285"/>
        <v>0.39426993846407621</v>
      </c>
      <c r="AE1323" s="40"/>
      <c r="AF1323" s="40"/>
      <c r="AG1323" s="40"/>
      <c r="AH1323" s="40"/>
      <c r="AI1323" s="40"/>
      <c r="AJ1323" s="40"/>
      <c r="AK1323" s="33">
        <f t="shared" si="277"/>
        <v>6951000</v>
      </c>
      <c r="AL1323" s="33">
        <f t="shared" si="278"/>
        <v>7476000</v>
      </c>
      <c r="AM1323" s="34"/>
      <c r="AN1323" s="33"/>
      <c r="AO1323" s="15" cm="1">
        <f t="array" ref="AO1323">SUMPRODUCT(I1323:K1323, TRANSPOSE($AY$5:$AY$7))</f>
        <v>-4.203798071680187E-2</v>
      </c>
      <c r="AP1323" s="22">
        <f t="shared" si="286"/>
        <v>12342262.015006425</v>
      </c>
      <c r="AQ1323" s="22">
        <f t="shared" si="287"/>
        <v>-541612.0494806096</v>
      </c>
      <c r="AR1323">
        <f t="shared" si="288"/>
        <v>1</v>
      </c>
      <c r="AS1323">
        <f t="shared" si="289"/>
        <v>1</v>
      </c>
      <c r="BJ1323">
        <f t="shared" si="263"/>
        <v>7.8281693142424858E-4</v>
      </c>
      <c r="BK1323">
        <f t="shared" si="265"/>
        <v>1.1606796661052632E-4</v>
      </c>
      <c r="BO1323">
        <f t="shared" si="266"/>
        <v>2.3060069454627189E-4</v>
      </c>
      <c r="BP1323">
        <f t="shared" si="264"/>
        <v>1.5711299748109322</v>
      </c>
    </row>
    <row r="1324" spans="1:68" x14ac:dyDescent="0.15">
      <c r="A1324" s="5">
        <v>45510</v>
      </c>
      <c r="B1324" s="1"/>
      <c r="C1324">
        <v>87.52</v>
      </c>
      <c r="D1324">
        <v>100</v>
      </c>
      <c r="E1324">
        <v>93.29</v>
      </c>
      <c r="G1324" s="3">
        <v>-2.8410832518276303E-3</v>
      </c>
      <c r="I1324" s="15">
        <f t="shared" si="267"/>
        <v>2.7497708524289056E-3</v>
      </c>
      <c r="J1324" s="15">
        <f t="shared" si="268"/>
        <v>7.049345417925507E-3</v>
      </c>
      <c r="K1324" s="15">
        <f t="shared" si="269"/>
        <v>-1.712145532370215E-3</v>
      </c>
      <c r="L1324" s="32">
        <f t="shared" si="270"/>
        <v>340605.37047608494</v>
      </c>
      <c r="M1324" s="15"/>
      <c r="N1324" s="32">
        <f t="shared" si="271"/>
        <v>-2625600</v>
      </c>
      <c r="O1324" s="34">
        <f t="shared" si="272"/>
        <v>-0.21224693305081332</v>
      </c>
      <c r="P1324" s="34">
        <f t="shared" si="273"/>
        <v>0.56586248147307028</v>
      </c>
      <c r="Q1324" s="34">
        <f t="shared" si="274"/>
        <v>0.60330641024711695</v>
      </c>
      <c r="R1324" s="35" cm="1">
        <f t="array" ref="R1324">SQRT(MMULT(O1324:Q1324, MMULT($AU$32:$AW$34,TRANSPOSE(O1324:Q1324))))</f>
        <v>1.181703250402525E-2</v>
      </c>
      <c r="S1324" s="36" cm="1">
        <f t="array" ref="S1324:U1324">TRANSPOSE(MMULT($AU$32:$AW$34, TRANSPOSE(O1324:Q1324))/MMULT(O1324:Q1324, MMULT($AU$32:$AW$34,TRANSPOSE(O1324:Q1324))))</f>
        <v>0.25102141970197761</v>
      </c>
      <c r="T1324" s="36">
        <v>1.1708340772327031</v>
      </c>
      <c r="U1324" s="36">
        <v>0.64767660924674086</v>
      </c>
      <c r="V1324" s="35">
        <f t="shared" si="279"/>
        <v>6.9115448826718631E-3</v>
      </c>
      <c r="W1324" s="35">
        <f t="shared" si="280"/>
        <v>3.223737752962668E-2</v>
      </c>
      <c r="X1324" s="35">
        <f t="shared" si="281"/>
        <v>1.7832924216507843E-2</v>
      </c>
      <c r="Y1324" s="32">
        <f t="shared" si="282"/>
        <v>-18146.952243943244</v>
      </c>
      <c r="Z1324" s="32">
        <f t="shared" si="275"/>
        <v>225661.64270738675</v>
      </c>
      <c r="AA1324" s="32">
        <f t="shared" si="276"/>
        <v>133090.68001264136</v>
      </c>
      <c r="AB1324" s="40">
        <f t="shared" si="283"/>
        <v>-5.3278526461805753E-2</v>
      </c>
      <c r="AC1324" s="40">
        <f t="shared" si="284"/>
        <v>0.66253107633612962</v>
      </c>
      <c r="AD1324" s="40">
        <f t="shared" si="285"/>
        <v>0.39074745012567591</v>
      </c>
      <c r="AE1324" s="40"/>
      <c r="AF1324" s="40"/>
      <c r="AG1324" s="40"/>
      <c r="AH1324" s="40"/>
      <c r="AI1324" s="40"/>
      <c r="AJ1324" s="40"/>
      <c r="AK1324" s="33">
        <f t="shared" si="277"/>
        <v>7000000</v>
      </c>
      <c r="AL1324" s="33">
        <f t="shared" si="278"/>
        <v>7463200.0000000009</v>
      </c>
      <c r="AM1324" s="34"/>
      <c r="AN1324" s="33"/>
      <c r="AO1324" s="15" cm="1">
        <f t="array" ref="AO1324">SUMPRODUCT(I1324:K1324, TRANSPOSE($AY$5:$AY$7))</f>
        <v>2.2876484188177611E-3</v>
      </c>
      <c r="AP1324" s="22">
        <f t="shared" si="286"/>
        <v>12370496.771189688</v>
      </c>
      <c r="AQ1324" s="22">
        <f t="shared" si="287"/>
        <v>28234.756183262914</v>
      </c>
      <c r="AR1324">
        <f t="shared" si="288"/>
        <v>0</v>
      </c>
      <c r="AS1324">
        <f t="shared" si="289"/>
        <v>0</v>
      </c>
      <c r="BJ1324">
        <f t="shared" si="263"/>
        <v>8.0717540438154613E-6</v>
      </c>
      <c r="BK1324">
        <f t="shared" si="265"/>
        <v>1.5607290449934971E-4</v>
      </c>
      <c r="BO1324">
        <f t="shared" si="266"/>
        <v>2.9830706082316523E-4</v>
      </c>
      <c r="BP1324">
        <f t="shared" si="264"/>
        <v>3.1262257942044438</v>
      </c>
    </row>
    <row r="1325" spans="1:68" x14ac:dyDescent="0.15">
      <c r="A1325" s="5">
        <v>45511</v>
      </c>
      <c r="B1325" s="1"/>
      <c r="C1325">
        <v>89.28</v>
      </c>
      <c r="D1325">
        <v>102.55</v>
      </c>
      <c r="E1325">
        <v>96.74</v>
      </c>
      <c r="G1325" s="3">
        <v>2.8905744337962499E-2</v>
      </c>
      <c r="I1325" s="15">
        <f t="shared" si="267"/>
        <v>2.0109689213894028E-2</v>
      </c>
      <c r="J1325" s="15">
        <f t="shared" si="268"/>
        <v>2.5499999999999971E-2</v>
      </c>
      <c r="K1325" s="15">
        <f t="shared" si="269"/>
        <v>3.698145567584938E-2</v>
      </c>
      <c r="L1325" s="32">
        <f t="shared" si="270"/>
        <v>350921.38547817396</v>
      </c>
      <c r="M1325" s="15"/>
      <c r="N1325" s="32">
        <f t="shared" si="271"/>
        <v>-2678400</v>
      </c>
      <c r="O1325" s="34">
        <f t="shared" si="272"/>
        <v>-0.20897393256767705</v>
      </c>
      <c r="P1325" s="34">
        <f t="shared" si="273"/>
        <v>0.56008041178952728</v>
      </c>
      <c r="Q1325" s="34">
        <f t="shared" si="274"/>
        <v>0.60382730694734399</v>
      </c>
      <c r="R1325" s="35" cm="1">
        <f t="array" ref="R1325">SQRT(MMULT(O1325:Q1325, MMULT($AU$32:$AW$34,TRANSPOSE(O1325:Q1325))))</f>
        <v>1.175088547282596E-2</v>
      </c>
      <c r="S1325" s="36" cm="1">
        <f t="array" ref="S1325:U1325">TRANSPOSE(MMULT($AU$32:$AW$34, TRANSPOSE(O1325:Q1325))/MMULT(O1325:Q1325, MMULT($AU$32:$AW$34,TRANSPOSE(O1325:Q1325))))</f>
        <v>0.25532863905929354</v>
      </c>
      <c r="T1325" s="36">
        <v>1.1747475533288179</v>
      </c>
      <c r="U1325" s="36">
        <v>0.65482950478539803</v>
      </c>
      <c r="V1325" s="35">
        <f t="shared" si="279"/>
        <v>6.9907865975575821E-3</v>
      </c>
      <c r="W1325" s="35">
        <f t="shared" si="280"/>
        <v>3.2164074823653209E-2</v>
      </c>
      <c r="X1325" s="35">
        <f t="shared" si="281"/>
        <v>1.7928945779858086E-2</v>
      </c>
      <c r="Y1325" s="32">
        <f t="shared" si="282"/>
        <v>-18724.122822898229</v>
      </c>
      <c r="Z1325" s="32">
        <f t="shared" si="275"/>
        <v>230889.81112159457</v>
      </c>
      <c r="AA1325" s="32">
        <f t="shared" si="276"/>
        <v>138755.69717947769</v>
      </c>
      <c r="AB1325" s="40">
        <f t="shared" si="283"/>
        <v>-5.3357029801373565E-2</v>
      </c>
      <c r="AC1325" s="40">
        <f t="shared" si="284"/>
        <v>0.65795309341714392</v>
      </c>
      <c r="AD1325" s="40">
        <f t="shared" si="285"/>
        <v>0.39540393638422983</v>
      </c>
      <c r="AE1325" s="40"/>
      <c r="AF1325" s="40"/>
      <c r="AG1325" s="40"/>
      <c r="AH1325" s="40"/>
      <c r="AI1325" s="40"/>
      <c r="AJ1325" s="40"/>
      <c r="AK1325" s="33">
        <f t="shared" si="277"/>
        <v>7178500</v>
      </c>
      <c r="AL1325" s="33">
        <f t="shared" si="278"/>
        <v>7739200</v>
      </c>
      <c r="AM1325" s="34"/>
      <c r="AN1325" s="33"/>
      <c r="AO1325" s="15" cm="1">
        <f t="array" ref="AO1325">SUMPRODUCT(I1325:K1325, TRANSPOSE($AY$5:$AY$7))</f>
        <v>3.6086894909478723E-2</v>
      </c>
      <c r="AP1325" s="22">
        <f t="shared" si="286"/>
        <v>12816909.588149657</v>
      </c>
      <c r="AQ1325" s="22">
        <f t="shared" si="287"/>
        <v>446412.8169599697</v>
      </c>
      <c r="AR1325">
        <f t="shared" si="288"/>
        <v>0</v>
      </c>
      <c r="AS1325">
        <f t="shared" si="289"/>
        <v>0</v>
      </c>
      <c r="BJ1325">
        <f t="shared" si="263"/>
        <v>8.3554205573165106E-4</v>
      </c>
      <c r="BK1325">
        <f t="shared" si="265"/>
        <v>1.4719283547201764E-4</v>
      </c>
      <c r="BO1325">
        <f t="shared" si="266"/>
        <v>2.410751460053725E-4</v>
      </c>
      <c r="BP1325">
        <f t="shared" si="264"/>
        <v>1.5133130060547437</v>
      </c>
    </row>
    <row r="1326" spans="1:68" x14ac:dyDescent="0.15">
      <c r="A1326" s="5">
        <v>45512</v>
      </c>
      <c r="B1326" s="1"/>
      <c r="C1326">
        <v>89.14</v>
      </c>
      <c r="D1326">
        <v>103.15</v>
      </c>
      <c r="E1326">
        <v>96.11</v>
      </c>
      <c r="G1326" s="3">
        <v>-1.3291842891575102E-3</v>
      </c>
      <c r="I1326" s="15">
        <f t="shared" si="267"/>
        <v>-1.5681003584229454E-3</v>
      </c>
      <c r="J1326" s="15">
        <f t="shared" si="268"/>
        <v>5.850804485616856E-3</v>
      </c>
      <c r="K1326" s="15">
        <f t="shared" si="269"/>
        <v>-6.5123010130245552E-3</v>
      </c>
      <c r="L1326" s="32">
        <f t="shared" si="270"/>
        <v>351401.83900307916</v>
      </c>
      <c r="M1326" s="15"/>
      <c r="N1326" s="32">
        <f t="shared" si="271"/>
        <v>-2674200</v>
      </c>
      <c r="O1326" s="34">
        <f t="shared" si="272"/>
        <v>-0.20871621420276645</v>
      </c>
      <c r="P1326" s="34">
        <f t="shared" si="273"/>
        <v>0.56354626604258284</v>
      </c>
      <c r="Q1326" s="34">
        <f t="shared" si="274"/>
        <v>0.60009618867782166</v>
      </c>
      <c r="R1326" s="35" cm="1">
        <f t="array" ref="R1326">SQRT(MMULT(O1326:Q1326, MMULT($AU$32:$AW$34,TRANSPOSE(O1326:Q1326))))</f>
        <v>1.1770920138903636E-2</v>
      </c>
      <c r="S1326" s="36" cm="1">
        <f t="array" ref="S1326:U1326">TRANSPOSE(MMULT($AU$32:$AW$34, TRANSPOSE(O1326:Q1326))/MMULT(O1326:Q1326, MMULT($AU$32:$AW$34,TRANSPOSE(O1326:Q1326))))</f>
        <v>0.25408768140592358</v>
      </c>
      <c r="T1326" s="36">
        <v>1.1757541729638021</v>
      </c>
      <c r="U1326" s="36">
        <v>0.65062960296601036</v>
      </c>
      <c r="V1326" s="35">
        <f t="shared" si="279"/>
        <v>6.9686707282323786E-3</v>
      </c>
      <c r="W1326" s="35">
        <f t="shared" si="280"/>
        <v>3.2246520741949287E-2</v>
      </c>
      <c r="X1326" s="35">
        <f t="shared" si="281"/>
        <v>1.7844326194890407E-2</v>
      </c>
      <c r="Y1326" s="32">
        <f t="shared" si="282"/>
        <v>-18635.619261439027</v>
      </c>
      <c r="Z1326" s="32">
        <f t="shared" si="275"/>
        <v>232836.00301724483</v>
      </c>
      <c r="AA1326" s="32">
        <f t="shared" si="276"/>
        <v>137201.45524727335</v>
      </c>
      <c r="AB1326" s="40">
        <f t="shared" si="283"/>
        <v>-5.3032218938603028E-2</v>
      </c>
      <c r="AC1326" s="40">
        <f t="shared" si="284"/>
        <v>0.66259187395773589</v>
      </c>
      <c r="AD1326" s="40">
        <f t="shared" si="285"/>
        <v>0.3904403449808671</v>
      </c>
      <c r="AE1326" s="40"/>
      <c r="AF1326" s="40"/>
      <c r="AG1326" s="40"/>
      <c r="AH1326" s="40"/>
      <c r="AI1326" s="40"/>
      <c r="AJ1326" s="40"/>
      <c r="AK1326" s="33">
        <f t="shared" si="277"/>
        <v>7220500</v>
      </c>
      <c r="AL1326" s="33">
        <f t="shared" si="278"/>
        <v>7688800</v>
      </c>
      <c r="AM1326" s="34"/>
      <c r="AN1326" s="33"/>
      <c r="AO1326" s="15" cm="1">
        <f t="array" ref="AO1326">SUMPRODUCT(I1326:K1326, TRANSPOSE($AY$5:$AY$7))</f>
        <v>-3.3525777533430744E-4</v>
      </c>
      <c r="AP1326" s="22">
        <f t="shared" si="286"/>
        <v>12812612.619554473</v>
      </c>
      <c r="AQ1326" s="22">
        <f t="shared" si="287"/>
        <v>-4296.9685951843858</v>
      </c>
      <c r="AR1326">
        <f t="shared" si="288"/>
        <v>0</v>
      </c>
      <c r="AS1326">
        <f t="shared" si="289"/>
        <v>0</v>
      </c>
      <c r="BJ1326">
        <f t="shared" si="263"/>
        <v>1.7667308745431556E-6</v>
      </c>
      <c r="BK1326">
        <f t="shared" si="265"/>
        <v>1.8849378868759567E-4</v>
      </c>
      <c r="BO1326">
        <f t="shared" si="266"/>
        <v>3.1403212084770945E-4</v>
      </c>
      <c r="BP1326">
        <f t="shared" si="264"/>
        <v>3.1112561296243268</v>
      </c>
    </row>
    <row r="1327" spans="1:68" x14ac:dyDescent="0.15">
      <c r="A1327" s="5">
        <v>45513</v>
      </c>
      <c r="B1327" s="1"/>
      <c r="C1327">
        <v>89</v>
      </c>
      <c r="D1327">
        <v>103.9</v>
      </c>
      <c r="E1327">
        <v>96.59</v>
      </c>
      <c r="G1327" s="3">
        <v>3.2546879274954997E-3</v>
      </c>
      <c r="I1327" s="15">
        <f t="shared" si="267"/>
        <v>-1.5705631590756178E-3</v>
      </c>
      <c r="J1327" s="15">
        <f t="shared" si="268"/>
        <v>7.2709646146388749E-3</v>
      </c>
      <c r="K1327" s="15">
        <f t="shared" si="269"/>
        <v>4.9942773904901048E-3</v>
      </c>
      <c r="L1327" s="32">
        <f t="shared" si="270"/>
        <v>353809.6858853501</v>
      </c>
      <c r="M1327" s="15"/>
      <c r="N1327" s="32">
        <f t="shared" si="271"/>
        <v>-2670000</v>
      </c>
      <c r="O1327" s="34">
        <f t="shared" si="272"/>
        <v>-0.20651342330855113</v>
      </c>
      <c r="P1327" s="34">
        <f t="shared" si="273"/>
        <v>0.56253637742437912</v>
      </c>
      <c r="Q1327" s="34">
        <f t="shared" si="274"/>
        <v>0.59766686314226081</v>
      </c>
      <c r="R1327" s="35" cm="1">
        <f t="array" ref="R1327">SQRT(MMULT(O1327:Q1327, MMULT($AU$32:$AW$34,TRANSPOSE(O1327:Q1327))))</f>
        <v>1.174494051404202E-2</v>
      </c>
      <c r="S1327" s="36" cm="1">
        <f t="array" ref="S1327:U1327">TRANSPOSE(MMULT($AU$32:$AW$34, TRANSPOSE(O1327:Q1327))/MMULT(O1327:Q1327, MMULT($AU$32:$AW$34,TRANSPOSE(O1327:Q1327))))</f>
        <v>0.25584161913441489</v>
      </c>
      <c r="T1327" s="36">
        <v>1.1789209198870894</v>
      </c>
      <c r="U1327" s="36">
        <v>0.65194985547727058</v>
      </c>
      <c r="V1327" s="35">
        <f t="shared" si="279"/>
        <v>7.0012879127572614E-3</v>
      </c>
      <c r="W1327" s="35">
        <f t="shared" si="280"/>
        <v>3.2262009654362205E-2</v>
      </c>
      <c r="X1327" s="35">
        <f t="shared" si="281"/>
        <v>1.7841071590774887E-2</v>
      </c>
      <c r="Y1327" s="32">
        <f t="shared" si="282"/>
        <v>-18693.438727061886</v>
      </c>
      <c r="Z1327" s="32">
        <f t="shared" si="275"/>
        <v>234641.59621617632</v>
      </c>
      <c r="AA1327" s="32">
        <f t="shared" si="276"/>
        <v>137861.52839623572</v>
      </c>
      <c r="AB1327" s="40">
        <f t="shared" si="283"/>
        <v>-5.2834728592250531E-2</v>
      </c>
      <c r="AC1327" s="40">
        <f t="shared" si="284"/>
        <v>0.66318590354310003</v>
      </c>
      <c r="AD1327" s="40">
        <f t="shared" si="285"/>
        <v>0.3896488250491506</v>
      </c>
      <c r="AE1327" s="40"/>
      <c r="AF1327" s="40"/>
      <c r="AG1327" s="40"/>
      <c r="AH1327" s="40"/>
      <c r="AI1327" s="40"/>
      <c r="AJ1327" s="40"/>
      <c r="AK1327" s="33">
        <f t="shared" si="277"/>
        <v>7273000</v>
      </c>
      <c r="AL1327" s="33">
        <f t="shared" si="278"/>
        <v>7727200</v>
      </c>
      <c r="AM1327" s="34"/>
      <c r="AN1327" s="33"/>
      <c r="AO1327" s="15" cm="1">
        <f t="array" ref="AO1327">SUMPRODUCT(I1327:K1327, TRANSPOSE($AY$5:$AY$7))</f>
        <v>9.0792591951047025E-3</v>
      </c>
      <c r="AP1327" s="22">
        <f t="shared" si="286"/>
        <v>12928941.650493879</v>
      </c>
      <c r="AQ1327" s="22">
        <f t="shared" si="287"/>
        <v>116329.03093940578</v>
      </c>
      <c r="AR1327">
        <f t="shared" si="288"/>
        <v>0</v>
      </c>
      <c r="AS1327">
        <f t="shared" si="289"/>
        <v>0</v>
      </c>
      <c r="BJ1327">
        <f t="shared" si="263"/>
        <v>1.0592993505384952E-5</v>
      </c>
      <c r="BK1327">
        <f t="shared" si="265"/>
        <v>1.7729016521881251E-4</v>
      </c>
      <c r="BO1327">
        <f t="shared" si="266"/>
        <v>2.5251158742681056E-4</v>
      </c>
      <c r="BP1327">
        <f t="shared" si="264"/>
        <v>3.2021129143550158</v>
      </c>
    </row>
    <row r="1328" spans="1:68" x14ac:dyDescent="0.15">
      <c r="A1328" s="5">
        <v>45516</v>
      </c>
      <c r="B1328" s="1"/>
      <c r="C1328">
        <v>88.64</v>
      </c>
      <c r="D1328">
        <v>104</v>
      </c>
      <c r="E1328">
        <v>96.74</v>
      </c>
      <c r="G1328" s="3">
        <v>6.5591857897140393E-4</v>
      </c>
      <c r="I1328" s="15">
        <f t="shared" si="267"/>
        <v>-4.0449438202247124E-3</v>
      </c>
      <c r="J1328" s="15">
        <f t="shared" si="268"/>
        <v>9.6246390760341006E-4</v>
      </c>
      <c r="K1328" s="15">
        <f t="shared" si="269"/>
        <v>1.5529557925250178E-3</v>
      </c>
      <c r="L1328" s="32">
        <f t="shared" si="270"/>
        <v>354325.43789818091</v>
      </c>
      <c r="M1328" s="15"/>
      <c r="N1328" s="32">
        <f t="shared" si="271"/>
        <v>-2659200</v>
      </c>
      <c r="O1328" s="34">
        <f t="shared" si="272"/>
        <v>-0.20498686678972736</v>
      </c>
      <c r="P1328" s="34">
        <f t="shared" si="273"/>
        <v>0.56118546563974692</v>
      </c>
      <c r="Q1328" s="34">
        <f t="shared" si="274"/>
        <v>0.59658331808779252</v>
      </c>
      <c r="R1328" s="35" cm="1">
        <f t="array" ref="R1328">SQRT(MMULT(O1328:Q1328, MMULT($AU$32:$AW$34,TRANSPOSE(O1328:Q1328))))</f>
        <v>1.1722532534010394E-2</v>
      </c>
      <c r="S1328" s="36" cm="1">
        <f t="array" ref="S1328:U1328">TRANSPOSE(MMULT($AU$32:$AW$34, TRANSPOSE(O1328:Q1328))/MMULT(O1328:Q1328, MMULT($AU$32:$AW$34,TRANSPOSE(O1328:Q1328))))</f>
        <v>0.25732765666841834</v>
      </c>
      <c r="T1328" s="36">
        <v>1.1810434796054265</v>
      </c>
      <c r="U1328" s="36">
        <v>0.65366285514918931</v>
      </c>
      <c r="V1328" s="35">
        <f t="shared" si="279"/>
        <v>7.0285191573671241E-3</v>
      </c>
      <c r="W1328" s="35">
        <f t="shared" si="280"/>
        <v>3.2258432030050209E-2</v>
      </c>
      <c r="X1328" s="35">
        <f t="shared" si="281"/>
        <v>1.7853820919821954E-2</v>
      </c>
      <c r="Y1328" s="32">
        <f t="shared" si="282"/>
        <v>-18690.238143270657</v>
      </c>
      <c r="Z1328" s="32">
        <f t="shared" si="275"/>
        <v>234841.38517876551</v>
      </c>
      <c r="AA1328" s="32">
        <f t="shared" si="276"/>
        <v>138174.29086268606</v>
      </c>
      <c r="AB1328" s="40">
        <f t="shared" si="283"/>
        <v>-5.2748790078801767E-2</v>
      </c>
      <c r="AC1328" s="40">
        <f t="shared" si="284"/>
        <v>0.66278443504315832</v>
      </c>
      <c r="AD1328" s="40">
        <f t="shared" si="285"/>
        <v>0.38996435503564347</v>
      </c>
      <c r="AE1328" s="40"/>
      <c r="AF1328" s="40"/>
      <c r="AG1328" s="40"/>
      <c r="AH1328" s="40"/>
      <c r="AI1328" s="40"/>
      <c r="AJ1328" s="40"/>
      <c r="AK1328" s="33">
        <f t="shared" si="277"/>
        <v>7280000</v>
      </c>
      <c r="AL1328" s="33">
        <f t="shared" si="278"/>
        <v>7739200</v>
      </c>
      <c r="AM1328" s="34"/>
      <c r="AN1328" s="33"/>
      <c r="AO1328" s="15" cm="1">
        <f t="array" ref="AO1328">SUMPRODUCT(I1328:K1328, TRANSPOSE($AY$5:$AY$7))</f>
        <v>3.3720273607940887E-3</v>
      </c>
      <c r="AP1328" s="22">
        <f t="shared" si="286"/>
        <v>12972538.395485453</v>
      </c>
      <c r="AQ1328" s="22">
        <f t="shared" si="287"/>
        <v>43596.744991574436</v>
      </c>
      <c r="AR1328">
        <f t="shared" si="288"/>
        <v>0</v>
      </c>
      <c r="AS1328">
        <f t="shared" si="289"/>
        <v>0</v>
      </c>
      <c r="BJ1328">
        <f t="shared" si="263"/>
        <v>4.3022918223986587E-7</v>
      </c>
      <c r="BK1328">
        <f t="shared" si="265"/>
        <v>1.6728833491600685E-4</v>
      </c>
      <c r="BO1328">
        <f t="shared" si="266"/>
        <v>2.0551322206475186E-4</v>
      </c>
      <c r="BP1328">
        <f t="shared" si="264"/>
        <v>3.3250148403857733</v>
      </c>
    </row>
    <row r="1329" spans="1:68" x14ac:dyDescent="0.15">
      <c r="A1329" s="5">
        <v>45517</v>
      </c>
      <c r="B1329" s="1"/>
      <c r="C1329">
        <v>88.68</v>
      </c>
      <c r="D1329">
        <v>104.5</v>
      </c>
      <c r="E1329">
        <v>97.17</v>
      </c>
      <c r="G1329" s="3">
        <v>4.5840048783336498E-3</v>
      </c>
      <c r="I1329" s="15">
        <f t="shared" si="267"/>
        <v>4.5126353790620773E-4</v>
      </c>
      <c r="J1329" s="15">
        <f t="shared" si="268"/>
        <v>4.807692307692308E-3</v>
      </c>
      <c r="K1329" s="15">
        <f t="shared" si="269"/>
        <v>4.444903866032736E-3</v>
      </c>
      <c r="L1329" s="32">
        <f t="shared" si="270"/>
        <v>356060.32657717582</v>
      </c>
      <c r="M1329" s="15"/>
      <c r="N1329" s="32">
        <f t="shared" si="271"/>
        <v>-2660400</v>
      </c>
      <c r="O1329" s="34">
        <f t="shared" si="272"/>
        <v>-0.20380395726928688</v>
      </c>
      <c r="P1329" s="34">
        <f t="shared" si="273"/>
        <v>0.56037661533033889</v>
      </c>
      <c r="Q1329" s="34">
        <f t="shared" si="274"/>
        <v>0.59550836048283284</v>
      </c>
      <c r="R1329" s="35" cm="1">
        <f t="array" ref="R1329">SQRT(MMULT(O1329:Q1329, MMULT($AU$32:$AW$34,TRANSPOSE(O1329:Q1329))))</f>
        <v>1.1706668974077773E-2</v>
      </c>
      <c r="S1329" s="36" cm="1">
        <f t="array" ref="S1329:U1329">TRANSPOSE(MMULT($AU$32:$AW$34, TRANSPOSE(O1329:Q1329))/MMULT(O1329:Q1329, MMULT($AU$32:$AW$34,TRANSPOSE(O1329:Q1329))))</f>
        <v>0.25838657842277024</v>
      </c>
      <c r="T1329" s="36">
        <v>1.1827397129773718</v>
      </c>
      <c r="U1329" s="36">
        <v>0.65470202584004644</v>
      </c>
      <c r="V1329" s="35">
        <f t="shared" si="279"/>
        <v>7.0478915083901023E-3</v>
      </c>
      <c r="W1329" s="35">
        <f t="shared" si="280"/>
        <v>3.226104556440991E-2</v>
      </c>
      <c r="X1329" s="35">
        <f t="shared" si="281"/>
        <v>1.785800515108036E-2</v>
      </c>
      <c r="Y1329" s="32">
        <f t="shared" si="282"/>
        <v>-18750.210568921029</v>
      </c>
      <c r="Z1329" s="32">
        <f t="shared" si="275"/>
        <v>235989.54830365849</v>
      </c>
      <c r="AA1329" s="32">
        <f t="shared" si="276"/>
        <v>138820.9888424383</v>
      </c>
      <c r="AB1329" s="40">
        <f t="shared" si="283"/>
        <v>-5.2660207187831515E-2</v>
      </c>
      <c r="AC1329" s="40">
        <f t="shared" si="284"/>
        <v>0.66277967717503605</v>
      </c>
      <c r="AD1329" s="40">
        <f t="shared" si="285"/>
        <v>0.38988053001279532</v>
      </c>
      <c r="AE1329" s="40"/>
      <c r="AF1329" s="40"/>
      <c r="AG1329" s="40"/>
      <c r="AH1329" s="40"/>
      <c r="AI1329" s="40"/>
      <c r="AJ1329" s="40"/>
      <c r="AK1329" s="33">
        <f t="shared" si="277"/>
        <v>7315000</v>
      </c>
      <c r="AL1329" s="33">
        <f t="shared" si="278"/>
        <v>7773600</v>
      </c>
      <c r="AM1329" s="34"/>
      <c r="AN1329" s="33"/>
      <c r="AO1329" s="15" cm="1">
        <f t="array" ref="AO1329">SUMPRODUCT(I1329:K1329, TRANSPOSE($AY$5:$AY$7))</f>
        <v>6.2580365772146387E-3</v>
      </c>
      <c r="AP1329" s="22">
        <f t="shared" si="286"/>
        <v>13053721.015263723</v>
      </c>
      <c r="AQ1329" s="22">
        <f t="shared" si="287"/>
        <v>81182.619778269902</v>
      </c>
      <c r="AR1329">
        <f t="shared" si="288"/>
        <v>0</v>
      </c>
      <c r="AS1329">
        <f t="shared" si="289"/>
        <v>0</v>
      </c>
      <c r="BJ1329">
        <f t="shared" si="263"/>
        <v>2.1013100724586698E-5</v>
      </c>
      <c r="BK1329">
        <f t="shared" si="265"/>
        <v>1.5727684857198081E-4</v>
      </c>
      <c r="BO1329">
        <f t="shared" si="266"/>
        <v>1.6720131693075829E-4</v>
      </c>
      <c r="BP1329">
        <f t="shared" si="264"/>
        <v>3.3663797323412386</v>
      </c>
    </row>
    <row r="1330" spans="1:68" x14ac:dyDescent="0.15">
      <c r="A1330" s="5">
        <v>45518</v>
      </c>
      <c r="B1330" s="1"/>
      <c r="C1330">
        <v>89.3</v>
      </c>
      <c r="D1330">
        <v>106.1</v>
      </c>
      <c r="E1330">
        <v>98.28</v>
      </c>
      <c r="G1330" s="3">
        <v>1.2046338638044001E-2</v>
      </c>
      <c r="I1330" s="15">
        <f t="shared" si="267"/>
        <v>6.9914298601712931E-3</v>
      </c>
      <c r="J1330" s="15">
        <f t="shared" si="268"/>
        <v>1.531100478468894E-2</v>
      </c>
      <c r="K1330" s="15">
        <f t="shared" si="269"/>
        <v>1.1423278789749917E-2</v>
      </c>
      <c r="L1330" s="32">
        <f t="shared" si="270"/>
        <v>361128.75648766424</v>
      </c>
      <c r="M1330" s="15"/>
      <c r="N1330" s="32">
        <f t="shared" si="271"/>
        <v>-2679000</v>
      </c>
      <c r="O1330" s="34">
        <f t="shared" si="272"/>
        <v>-0.20205133788066115</v>
      </c>
      <c r="P1330" s="34">
        <f t="shared" si="273"/>
        <v>0.56014754999614425</v>
      </c>
      <c r="Q1330" s="34">
        <f t="shared" si="274"/>
        <v>0.59298560617876461</v>
      </c>
      <c r="R1330" s="35" cm="1">
        <f t="array" ref="R1330">SQRT(MMULT(O1330:Q1330, MMULT($AU$32:$AW$34,TRANSPOSE(O1330:Q1330))))</f>
        <v>1.1689479354687156E-2</v>
      </c>
      <c r="S1330" s="36" cm="1">
        <f t="array" ref="S1330:U1330">TRANSPOSE(MMULT($AU$32:$AW$34, TRANSPOSE(O1330:Q1330))/MMULT(O1330:Q1330, MMULT($AU$32:$AW$34,TRANSPOSE(O1330:Q1330))))</f>
        <v>0.25956232491547326</v>
      </c>
      <c r="T1330" s="36">
        <v>1.1854195372915803</v>
      </c>
      <c r="U1330" s="36">
        <v>0.65504973718374693</v>
      </c>
      <c r="V1330" s="35">
        <f t="shared" si="279"/>
        <v>7.0695658613648769E-3</v>
      </c>
      <c r="W1330" s="35">
        <f t="shared" si="280"/>
        <v>3.228666369420366E-2</v>
      </c>
      <c r="X1330" s="35">
        <f t="shared" si="281"/>
        <v>1.7841253583309191E-2</v>
      </c>
      <c r="Y1330" s="32">
        <f t="shared" si="282"/>
        <v>-18939.366942596505</v>
      </c>
      <c r="Z1330" s="32">
        <f t="shared" si="275"/>
        <v>239793.05125685059</v>
      </c>
      <c r="AA1330" s="32">
        <f t="shared" si="276"/>
        <v>140275.07217341018</v>
      </c>
      <c r="AB1330" s="40">
        <f t="shared" si="283"/>
        <v>-5.2444915012586246E-2</v>
      </c>
      <c r="AC1330" s="40">
        <f t="shared" si="284"/>
        <v>0.66400984953144171</v>
      </c>
      <c r="AD1330" s="40">
        <f t="shared" si="285"/>
        <v>0.38843506548114459</v>
      </c>
      <c r="AE1330" s="40"/>
      <c r="AF1330" s="40"/>
      <c r="AG1330" s="40"/>
      <c r="AH1330" s="40"/>
      <c r="AI1330" s="40"/>
      <c r="AJ1330" s="40"/>
      <c r="AK1330" s="33">
        <f t="shared" si="277"/>
        <v>7427000</v>
      </c>
      <c r="AL1330" s="33">
        <f t="shared" si="278"/>
        <v>7862400</v>
      </c>
      <c r="AM1330" s="34"/>
      <c r="AN1330" s="33"/>
      <c r="AO1330" s="15" cm="1">
        <f t="array" ref="AO1330">SUMPRODUCT(I1330:K1330, TRANSPOSE($AY$5:$AY$7))</f>
        <v>1.5726203520493785E-2</v>
      </c>
      <c r="AP1330" s="22">
        <f t="shared" si="286"/>
        <v>13259006.488649506</v>
      </c>
      <c r="AQ1330" s="22">
        <f t="shared" si="287"/>
        <v>205285.47338578291</v>
      </c>
      <c r="AR1330">
        <f t="shared" si="288"/>
        <v>0</v>
      </c>
      <c r="AS1330">
        <f t="shared" si="289"/>
        <v>0</v>
      </c>
      <c r="BJ1330">
        <f t="shared" si="263"/>
        <v>1.451142745824318E-4</v>
      </c>
      <c r="BK1330">
        <f t="shared" si="265"/>
        <v>1.4910102370113717E-4</v>
      </c>
      <c r="BO1330">
        <f t="shared" si="266"/>
        <v>1.4008168647722382E-4</v>
      </c>
      <c r="BP1330">
        <f t="shared" si="264"/>
        <v>2.9997408341711003</v>
      </c>
    </row>
    <row r="1331" spans="1:68" x14ac:dyDescent="0.15">
      <c r="A1331" s="5">
        <v>45519</v>
      </c>
      <c r="B1331" s="1"/>
      <c r="C1331">
        <v>89.28</v>
      </c>
      <c r="D1331">
        <v>108.3</v>
      </c>
      <c r="E1331">
        <v>98.77</v>
      </c>
      <c r="G1331" s="3">
        <v>6.4939117327547004E-3</v>
      </c>
      <c r="I1331" s="15">
        <f t="shared" si="267"/>
        <v>-2.2396416573343809E-4</v>
      </c>
      <c r="J1331" s="15">
        <f t="shared" si="268"/>
        <v>2.0735155513666382E-2</v>
      </c>
      <c r="K1331" s="15">
        <f t="shared" si="269"/>
        <v>4.9857549857549336E-3</v>
      </c>
      <c r="L1331" s="32">
        <f t="shared" si="270"/>
        <v>366810.71347386984</v>
      </c>
      <c r="M1331" s="15"/>
      <c r="N1331" s="32">
        <f t="shared" si="271"/>
        <v>-2678400</v>
      </c>
      <c r="O1331" s="34">
        <f t="shared" si="272"/>
        <v>-0.19855279663931322</v>
      </c>
      <c r="P1331" s="34">
        <f t="shared" si="273"/>
        <v>0.56198803439465106</v>
      </c>
      <c r="Q1331" s="34">
        <f t="shared" si="274"/>
        <v>0.58575447204495124</v>
      </c>
      <c r="R1331" s="35" cm="1">
        <f t="array" ref="R1331">SQRT(MMULT(O1331:Q1331, MMULT($AU$32:$AW$34,TRANSPOSE(O1331:Q1331))))</f>
        <v>1.1670424755138334E-2</v>
      </c>
      <c r="S1331" s="36" cm="1">
        <f t="array" ref="S1331:U1331">TRANSPOSE(MMULT($AU$32:$AW$34, TRANSPOSE(O1331:Q1331))/MMULT(O1331:Q1331, MMULT($AU$32:$AW$34,TRANSPOSE(O1331:Q1331))))</f>
        <v>0.2609582479084217</v>
      </c>
      <c r="T1331" s="36">
        <v>1.1911118509660943</v>
      </c>
      <c r="U1331" s="36">
        <v>0.65287317521385491</v>
      </c>
      <c r="V1331" s="35">
        <f t="shared" si="279"/>
        <v>7.0960000797237735E-3</v>
      </c>
      <c r="W1331" s="35">
        <f t="shared" si="280"/>
        <v>3.2388820269752309E-2</v>
      </c>
      <c r="X1331" s="35">
        <f t="shared" si="281"/>
        <v>1.7752985929736988E-2</v>
      </c>
      <c r="Y1331" s="32">
        <f t="shared" si="282"/>
        <v>-19005.926613532156</v>
      </c>
      <c r="Z1331" s="32">
        <f t="shared" si="275"/>
        <v>245539.64646499226</v>
      </c>
      <c r="AA1331" s="32">
        <f t="shared" si="276"/>
        <v>140276.99362240979</v>
      </c>
      <c r="AB1331" s="40">
        <f t="shared" si="283"/>
        <v>-5.1813989928312341E-2</v>
      </c>
      <c r="AC1331" s="40">
        <f t="shared" si="284"/>
        <v>0.66939060786860993</v>
      </c>
      <c r="AD1331" s="40">
        <f t="shared" si="285"/>
        <v>0.3824233820597025</v>
      </c>
      <c r="AE1331" s="40"/>
      <c r="AF1331" s="40"/>
      <c r="AG1331" s="40"/>
      <c r="AH1331" s="40"/>
      <c r="AI1331" s="40"/>
      <c r="AJ1331" s="40"/>
      <c r="AK1331" s="33">
        <f t="shared" si="277"/>
        <v>7581000</v>
      </c>
      <c r="AL1331" s="33">
        <f t="shared" si="278"/>
        <v>7901600</v>
      </c>
      <c r="AM1331" s="34"/>
      <c r="AN1331" s="33"/>
      <c r="AO1331" s="15" cm="1">
        <f t="array" ref="AO1331">SUMPRODUCT(I1331:K1331, TRANSPOSE($AY$5:$AY$7))</f>
        <v>1.7392295855179072E-2</v>
      </c>
      <c r="AP1331" s="22">
        <f t="shared" si="286"/>
        <v>13489611.052245839</v>
      </c>
      <c r="AQ1331" s="22">
        <f t="shared" si="287"/>
        <v>230604.56359633245</v>
      </c>
      <c r="AR1331">
        <f t="shared" si="288"/>
        <v>0</v>
      </c>
      <c r="AS1331">
        <f t="shared" si="289"/>
        <v>0</v>
      </c>
      <c r="BJ1331">
        <f t="shared" si="263"/>
        <v>4.2170889592809157E-5</v>
      </c>
      <c r="BK1331">
        <f t="shared" si="265"/>
        <v>1.4886181875401483E-4</v>
      </c>
      <c r="BO1331">
        <f t="shared" si="266"/>
        <v>1.3648413538096962E-4</v>
      </c>
      <c r="BP1331">
        <f t="shared" si="264"/>
        <v>3.3762224754456875</v>
      </c>
    </row>
    <row r="1332" spans="1:68" x14ac:dyDescent="0.15">
      <c r="A1332" s="5">
        <v>45520</v>
      </c>
      <c r="B1332" s="1"/>
      <c r="C1332">
        <v>89.82</v>
      </c>
      <c r="D1332">
        <v>109.35</v>
      </c>
      <c r="E1332">
        <v>99.47</v>
      </c>
      <c r="G1332" s="3">
        <v>3.16879549065807E-3</v>
      </c>
      <c r="I1332" s="15">
        <f t="shared" si="267"/>
        <v>6.048387096774104E-3</v>
      </c>
      <c r="J1332" s="15">
        <f t="shared" si="268"/>
        <v>9.6952908587257351E-3</v>
      </c>
      <c r="K1332" s="15">
        <f t="shared" si="269"/>
        <v>7.0871722182849336E-3</v>
      </c>
      <c r="L1332" s="32">
        <f t="shared" si="270"/>
        <v>370070.67744484451</v>
      </c>
      <c r="M1332" s="15"/>
      <c r="N1332" s="32">
        <f t="shared" si="271"/>
        <v>-2694600</v>
      </c>
      <c r="O1332" s="34">
        <f t="shared" si="272"/>
        <v>-0.19793055776632534</v>
      </c>
      <c r="P1332" s="34">
        <f t="shared" si="273"/>
        <v>0.56225764656065369</v>
      </c>
      <c r="Q1332" s="34">
        <f t="shared" si="274"/>
        <v>0.58452171249213636</v>
      </c>
      <c r="R1332" s="35" cm="1">
        <f t="array" ref="R1332">SQRT(MMULT(O1332:Q1332, MMULT($AU$32:$AW$34,TRANSPOSE(O1332:Q1332))))</f>
        <v>1.1666680300613935E-2</v>
      </c>
      <c r="S1332" s="36" cm="1">
        <f t="array" ref="S1332:U1332">TRANSPOSE(MMULT($AU$32:$AW$34, TRANSPOSE(O1332:Q1332))/MMULT(O1332:Q1332, MMULT($AU$32:$AW$34,TRANSPOSE(O1332:Q1332))))</f>
        <v>0.26122955506031464</v>
      </c>
      <c r="T1332" s="36">
        <v>1.1921134206118835</v>
      </c>
      <c r="U1332" s="36">
        <v>0.6525513374093187</v>
      </c>
      <c r="V1332" s="35">
        <f t="shared" si="279"/>
        <v>7.1010983702275371E-3</v>
      </c>
      <c r="W1332" s="35">
        <f t="shared" si="280"/>
        <v>3.2405654353615865E-2</v>
      </c>
      <c r="X1332" s="35">
        <f t="shared" si="281"/>
        <v>1.7738541251571701E-2</v>
      </c>
      <c r="Y1332" s="32">
        <f t="shared" si="282"/>
        <v>-19134.619668415122</v>
      </c>
      <c r="Z1332" s="32">
        <f t="shared" si="275"/>
        <v>248049.08124975263</v>
      </c>
      <c r="AA1332" s="32">
        <f t="shared" si="276"/>
        <v>141156.21586350698</v>
      </c>
      <c r="AB1332" s="40">
        <f t="shared" si="283"/>
        <v>-5.1705311538137073E-2</v>
      </c>
      <c r="AC1332" s="40">
        <f t="shared" si="284"/>
        <v>0.67027488630660825</v>
      </c>
      <c r="AD1332" s="40">
        <f t="shared" si="285"/>
        <v>0.38143042523152881</v>
      </c>
      <c r="AE1332" s="40"/>
      <c r="AF1332" s="40"/>
      <c r="AG1332" s="40"/>
      <c r="AH1332" s="40"/>
      <c r="AI1332" s="40"/>
      <c r="AJ1332" s="40"/>
      <c r="AK1332" s="33">
        <f t="shared" si="277"/>
        <v>7654500</v>
      </c>
      <c r="AL1332" s="33">
        <f t="shared" si="278"/>
        <v>7957600</v>
      </c>
      <c r="AM1332" s="34"/>
      <c r="AN1332" s="33"/>
      <c r="AO1332" s="15" cm="1">
        <f t="array" ref="AO1332">SUMPRODUCT(I1332:K1332, TRANSPOSE($AY$5:$AY$7))</f>
        <v>9.2111246832433276E-3</v>
      </c>
      <c r="AP1332" s="22">
        <f t="shared" si="286"/>
        <v>13613865.541576533</v>
      </c>
      <c r="AQ1332" s="22">
        <f t="shared" si="287"/>
        <v>124254.48933069408</v>
      </c>
      <c r="AR1332">
        <f t="shared" si="288"/>
        <v>0</v>
      </c>
      <c r="AS1332">
        <f t="shared" si="289"/>
        <v>0</v>
      </c>
      <c r="BJ1332">
        <f t="shared" si="263"/>
        <v>1.0041264861614919E-5</v>
      </c>
      <c r="BK1332">
        <f t="shared" si="265"/>
        <v>1.424603630043425E-4</v>
      </c>
      <c r="BO1332">
        <f t="shared" si="266"/>
        <v>1.1900107617382915E-4</v>
      </c>
      <c r="BP1332">
        <f t="shared" si="264"/>
        <v>3.5570606705517593</v>
      </c>
    </row>
    <row r="1333" spans="1:68" x14ac:dyDescent="0.15">
      <c r="A1333" s="5">
        <v>45523</v>
      </c>
      <c r="B1333" s="1"/>
      <c r="C1333">
        <v>90.18</v>
      </c>
      <c r="D1333">
        <v>109.95</v>
      </c>
      <c r="E1333">
        <v>100.2</v>
      </c>
      <c r="G1333" s="3">
        <v>7.0975272024107403E-3</v>
      </c>
      <c r="I1333" s="15">
        <f t="shared" si="267"/>
        <v>4.0080160320642806E-3</v>
      </c>
      <c r="J1333" s="15">
        <f t="shared" si="268"/>
        <v>5.4869684499314914E-3</v>
      </c>
      <c r="K1333" s="15">
        <f t="shared" si="269"/>
        <v>7.3388961495928825E-3</v>
      </c>
      <c r="L1333" s="32">
        <f t="shared" si="270"/>
        <v>372391.10701022053</v>
      </c>
      <c r="M1333" s="15"/>
      <c r="N1333" s="32">
        <f t="shared" si="271"/>
        <v>-2705400</v>
      </c>
      <c r="O1333" s="34">
        <f t="shared" si="272"/>
        <v>-0.19725727231293838</v>
      </c>
      <c r="P1333" s="34">
        <f t="shared" si="273"/>
        <v>0.56117047252034091</v>
      </c>
      <c r="Q1333" s="34">
        <f t="shared" si="274"/>
        <v>0.58446599203833594</v>
      </c>
      <c r="R1333" s="35" cm="1">
        <f t="array" ref="R1333">SQRT(MMULT(O1333:Q1333, MMULT($AU$32:$AW$34,TRANSPOSE(O1333:Q1333))))</f>
        <v>1.1653192423360503E-2</v>
      </c>
      <c r="S1333" s="36" cm="1">
        <f t="array" ref="S1333:U1333">TRANSPOSE(MMULT($AU$32:$AW$34, TRANSPOSE(O1333:Q1333))/MMULT(O1333:Q1333, MMULT($AU$32:$AW$34,TRANSPOSE(O1333:Q1333))))</f>
        <v>0.26209995779880646</v>
      </c>
      <c r="T1333" s="36">
        <v>1.1930567321601475</v>
      </c>
      <c r="U1333" s="36">
        <v>0.65391813694059431</v>
      </c>
      <c r="V1333" s="35">
        <f t="shared" si="279"/>
        <v>7.1165218947550901E-3</v>
      </c>
      <c r="W1333" s="35">
        <f t="shared" si="280"/>
        <v>3.2393802835405543E-2</v>
      </c>
      <c r="X1333" s="35">
        <f t="shared" si="281"/>
        <v>1.7755144937823368E-2</v>
      </c>
      <c r="Y1333" s="32">
        <f t="shared" si="282"/>
        <v>-19253.038334070421</v>
      </c>
      <c r="Z1333" s="32">
        <f t="shared" si="275"/>
        <v>249318.90352269876</v>
      </c>
      <c r="AA1333" s="32">
        <f t="shared" si="276"/>
        <v>142325.24182159212</v>
      </c>
      <c r="AB1333" s="40">
        <f t="shared" si="283"/>
        <v>-5.1701122748728824E-2</v>
      </c>
      <c r="AC1333" s="40">
        <f t="shared" si="284"/>
        <v>0.66950821012988382</v>
      </c>
      <c r="AD1333" s="40">
        <f t="shared" si="285"/>
        <v>0.38219291261884486</v>
      </c>
      <c r="AE1333" s="40"/>
      <c r="AF1333" s="40"/>
      <c r="AG1333" s="40"/>
      <c r="AH1333" s="40"/>
      <c r="AI1333" s="40"/>
      <c r="AJ1333" s="40"/>
      <c r="AK1333" s="33">
        <f t="shared" si="277"/>
        <v>7696500</v>
      </c>
      <c r="AL1333" s="33">
        <f t="shared" si="278"/>
        <v>8016000</v>
      </c>
      <c r="AM1333" s="34"/>
      <c r="AN1333" s="33"/>
      <c r="AO1333" s="15" cm="1">
        <f t="array" ref="AO1333">SUMPRODUCT(I1333:K1333, TRANSPOSE($AY$5:$AY$7))</f>
        <v>7.4349314727576808E-3</v>
      </c>
      <c r="AP1333" s="22">
        <f t="shared" si="286"/>
        <v>13715083.698957492</v>
      </c>
      <c r="AQ1333" s="22">
        <f t="shared" si="287"/>
        <v>101218.15738095902</v>
      </c>
      <c r="AR1333">
        <f t="shared" si="288"/>
        <v>0</v>
      </c>
      <c r="AS1333">
        <f t="shared" si="289"/>
        <v>0</v>
      </c>
      <c r="BJ1333">
        <f t="shared" si="263"/>
        <v>5.0374892388960432E-5</v>
      </c>
      <c r="BK1333">
        <f t="shared" si="265"/>
        <v>1.3451521711577884E-4</v>
      </c>
      <c r="BO1333">
        <f t="shared" si="266"/>
        <v>1.007118276188873E-4</v>
      </c>
      <c r="BP1333">
        <f t="shared" si="264"/>
        <v>3.4325909001604429</v>
      </c>
    </row>
    <row r="1334" spans="1:68" x14ac:dyDescent="0.15">
      <c r="A1334" s="5">
        <v>45524</v>
      </c>
      <c r="B1334" s="1"/>
      <c r="C1334">
        <v>89.28</v>
      </c>
      <c r="D1334">
        <v>111.1</v>
      </c>
      <c r="E1334">
        <v>100.4</v>
      </c>
      <c r="G1334" s="3">
        <v>-7.0705108033808307E-4</v>
      </c>
      <c r="I1334" s="15">
        <f t="shared" si="267"/>
        <v>-9.9800399201597431E-3</v>
      </c>
      <c r="J1334" s="15">
        <f t="shared" si="268"/>
        <v>1.045929968167341E-2</v>
      </c>
      <c r="K1334" s="15">
        <f t="shared" si="269"/>
        <v>1.9960079840319646E-3</v>
      </c>
      <c r="L1334" s="32">
        <f t="shared" si="270"/>
        <v>375477.73789939145</v>
      </c>
      <c r="M1334" s="15"/>
      <c r="N1334" s="32">
        <f t="shared" si="271"/>
        <v>-2678400</v>
      </c>
      <c r="O1334" s="34">
        <f t="shared" si="272"/>
        <v>-0.19291936216304176</v>
      </c>
      <c r="P1334" s="34">
        <f t="shared" si="273"/>
        <v>0.56016049863425021</v>
      </c>
      <c r="Q1334" s="34">
        <f t="shared" si="274"/>
        <v>0.57852759740649318</v>
      </c>
      <c r="R1334" s="35" cm="1">
        <f t="array" ref="R1334">SQRT(MMULT(O1334:Q1334, MMULT($AU$32:$AW$34,TRANSPOSE(O1334:Q1334))))</f>
        <v>1.160723167344356E-2</v>
      </c>
      <c r="S1334" s="36" cm="1">
        <f t="array" ref="S1334:U1334">TRANSPOSE(MMULT($AU$32:$AW$34, TRANSPOSE(O1334:Q1334))/MMULT(O1334:Q1334, MMULT($AU$32:$AW$34,TRANSPOSE(O1334:Q1334))))</f>
        <v>0.26522271004201492</v>
      </c>
      <c r="T1334" s="36">
        <v>1.1998010690842507</v>
      </c>
      <c r="U1334" s="36">
        <v>0.65525902762761401</v>
      </c>
      <c r="V1334" s="35">
        <f t="shared" si="279"/>
        <v>7.1729083564027766E-3</v>
      </c>
      <c r="W1334" s="35">
        <f t="shared" si="280"/>
        <v>3.2448439702211354E-2</v>
      </c>
      <c r="X1334" s="35">
        <f t="shared" si="281"/>
        <v>1.7721381981708535E-2</v>
      </c>
      <c r="Y1334" s="32">
        <f t="shared" si="282"/>
        <v>-19211.917741789195</v>
      </c>
      <c r="Z1334" s="32">
        <f t="shared" si="275"/>
        <v>252351.5155640977</v>
      </c>
      <c r="AA1334" s="32">
        <f t="shared" si="276"/>
        <v>142338.14007708296</v>
      </c>
      <c r="AB1334" s="40">
        <f t="shared" si="283"/>
        <v>-5.1166596052458886E-2</v>
      </c>
      <c r="AC1334" s="40">
        <f t="shared" si="284"/>
        <v>0.67208116512014038</v>
      </c>
      <c r="AD1334" s="40">
        <f t="shared" si="285"/>
        <v>0.37908543093231856</v>
      </c>
      <c r="AE1334" s="40"/>
      <c r="AF1334" s="40"/>
      <c r="AG1334" s="40"/>
      <c r="AH1334" s="40"/>
      <c r="AI1334" s="40"/>
      <c r="AJ1334" s="40"/>
      <c r="AK1334" s="33">
        <f t="shared" si="277"/>
        <v>7777000</v>
      </c>
      <c r="AL1334" s="33">
        <f t="shared" si="278"/>
        <v>8032000</v>
      </c>
      <c r="AM1334" s="34"/>
      <c r="AN1334" s="33"/>
      <c r="AO1334" s="15" cm="1">
        <f t="array" ref="AO1334">SUMPRODUCT(I1334:K1334, TRANSPOSE($AY$5:$AY$7))</f>
        <v>1.2281165929158211E-2</v>
      </c>
      <c r="AP1334" s="22">
        <f t="shared" si="286"/>
        <v>13883520.917596681</v>
      </c>
      <c r="AQ1334" s="22">
        <f t="shared" si="287"/>
        <v>168437.21863918938</v>
      </c>
      <c r="AR1334">
        <f t="shared" si="288"/>
        <v>0</v>
      </c>
      <c r="AS1334">
        <f t="shared" si="289"/>
        <v>0</v>
      </c>
      <c r="BJ1334">
        <f t="shared" si="263"/>
        <v>4.9992123020725044E-7</v>
      </c>
      <c r="BK1334">
        <f t="shared" si="265"/>
        <v>1.2946679763216974E-4</v>
      </c>
      <c r="BO1334">
        <f t="shared" si="266"/>
        <v>9.2110451283689926E-5</v>
      </c>
      <c r="BP1334">
        <f t="shared" si="264"/>
        <v>3.7246088333349872</v>
      </c>
    </row>
    <row r="1335" spans="1:68" x14ac:dyDescent="0.15">
      <c r="A1335" s="5">
        <v>45525</v>
      </c>
      <c r="B1335" s="1"/>
      <c r="C1335">
        <v>89.44</v>
      </c>
      <c r="D1335">
        <v>110.9</v>
      </c>
      <c r="E1335">
        <v>100.26</v>
      </c>
      <c r="G1335" s="3">
        <v>-1.34102933341395E-3</v>
      </c>
      <c r="I1335" s="15">
        <f t="shared" si="267"/>
        <v>1.7921146953404636E-3</v>
      </c>
      <c r="J1335" s="15">
        <f t="shared" si="268"/>
        <v>-1.800180018001698E-3</v>
      </c>
      <c r="K1335" s="15">
        <f t="shared" si="269"/>
        <v>-1.3944223107569776E-3</v>
      </c>
      <c r="L1335" s="32">
        <f t="shared" si="270"/>
        <v>374790.61728978396</v>
      </c>
      <c r="M1335" s="15"/>
      <c r="N1335" s="32">
        <f t="shared" si="271"/>
        <v>-2683200</v>
      </c>
      <c r="O1335" s="34">
        <f t="shared" si="272"/>
        <v>-0.19383060904579588</v>
      </c>
      <c r="P1335" s="34">
        <f t="shared" si="273"/>
        <v>0.56078824464166421</v>
      </c>
      <c r="Q1335" s="34">
        <f t="shared" si="274"/>
        <v>0.5794113554839444</v>
      </c>
      <c r="R1335" s="35" cm="1">
        <f t="array" ref="R1335">SQRT(MMULT(O1335:Q1335, MMULT($AU$32:$AW$34,TRANSPOSE(O1335:Q1335))))</f>
        <v>1.1619892335000777E-2</v>
      </c>
      <c r="S1335" s="36" cm="1">
        <f t="array" ref="S1335:U1335">TRANSPOSE(MMULT($AU$32:$AW$34, TRANSPOSE(O1335:Q1335))/MMULT(O1335:Q1335, MMULT($AU$32:$AW$34,TRANSPOSE(O1335:Q1335))))</f>
        <v>0.2643901476190369</v>
      </c>
      <c r="T1335" s="36">
        <v>1.1983956047328255</v>
      </c>
      <c r="U1335" s="36">
        <v>0.65445858488150865</v>
      </c>
      <c r="V1335" s="35">
        <f t="shared" si="279"/>
        <v>7.1581911659598383E-3</v>
      </c>
      <c r="W1335" s="35">
        <f t="shared" si="280"/>
        <v>3.2445781011039239E-2</v>
      </c>
      <c r="X1335" s="35">
        <f t="shared" si="281"/>
        <v>1.771904022511343E-2</v>
      </c>
      <c r="Y1335" s="32">
        <f t="shared" si="282"/>
        <v>-19206.858536503438</v>
      </c>
      <c r="Z1335" s="32">
        <f t="shared" si="275"/>
        <v>251876.59798869761</v>
      </c>
      <c r="AA1335" s="32">
        <f t="shared" si="276"/>
        <v>142120.8778375898</v>
      </c>
      <c r="AB1335" s="40">
        <f t="shared" si="283"/>
        <v>-5.1246903338705803E-2</v>
      </c>
      <c r="AC1335" s="40">
        <f t="shared" si="284"/>
        <v>0.67204616756440683</v>
      </c>
      <c r="AD1335" s="40">
        <f t="shared" si="285"/>
        <v>0.37920073577429902</v>
      </c>
      <c r="AE1335" s="40"/>
      <c r="AF1335" s="40"/>
      <c r="AG1335" s="40"/>
      <c r="AH1335" s="40"/>
      <c r="AI1335" s="40"/>
      <c r="AJ1335" s="40"/>
      <c r="AK1335" s="33">
        <f t="shared" si="277"/>
        <v>7763000</v>
      </c>
      <c r="AL1335" s="33">
        <f t="shared" si="278"/>
        <v>8020800</v>
      </c>
      <c r="AM1335" s="34"/>
      <c r="AN1335" s="33"/>
      <c r="AO1335" s="15" cm="1">
        <f t="array" ref="AO1335">SUMPRODUCT(I1335:K1335, TRANSPOSE($AY$5:$AY$7))</f>
        <v>-2.9175642670162391E-3</v>
      </c>
      <c r="AP1335" s="22">
        <f t="shared" si="286"/>
        <v>13843014.853067128</v>
      </c>
      <c r="AQ1335" s="22">
        <f t="shared" si="287"/>
        <v>-40506.064529553056</v>
      </c>
      <c r="AR1335">
        <f t="shared" si="288"/>
        <v>0</v>
      </c>
      <c r="AS1335">
        <f t="shared" si="289"/>
        <v>0</v>
      </c>
      <c r="BJ1335">
        <f t="shared" si="263"/>
        <v>1.798359673076663E-6</v>
      </c>
      <c r="BK1335">
        <f t="shared" si="265"/>
        <v>1.2172878504805198E-4</v>
      </c>
      <c r="BO1335">
        <f t="shared" si="266"/>
        <v>7.8260511062399715E-5</v>
      </c>
      <c r="BP1335">
        <f t="shared" si="264"/>
        <v>3.7973055994740483</v>
      </c>
    </row>
    <row r="1336" spans="1:68" x14ac:dyDescent="0.15">
      <c r="A1336" s="5">
        <v>45526</v>
      </c>
      <c r="B1336" s="1"/>
      <c r="C1336">
        <v>89.44</v>
      </c>
      <c r="D1336">
        <v>115.9</v>
      </c>
      <c r="E1336">
        <v>100.4</v>
      </c>
      <c r="G1336" s="3">
        <v>4.5180532909456696E-3</v>
      </c>
      <c r="I1336" s="15">
        <f t="shared" si="267"/>
        <v>0</v>
      </c>
      <c r="J1336" s="15">
        <f t="shared" si="268"/>
        <v>4.5085662759242556E-2</v>
      </c>
      <c r="K1336" s="15">
        <f t="shared" si="269"/>
        <v>1.3963694394574164E-3</v>
      </c>
      <c r="L1336" s="32">
        <f t="shared" si="270"/>
        <v>386391.41392037133</v>
      </c>
      <c r="M1336" s="15"/>
      <c r="N1336" s="32">
        <f t="shared" si="271"/>
        <v>-2683200</v>
      </c>
      <c r="O1336" s="34">
        <f t="shared" si="272"/>
        <v>-0.18806368088633266</v>
      </c>
      <c r="P1336" s="34">
        <f t="shared" si="273"/>
        <v>0.56863470595960675</v>
      </c>
      <c r="Q1336" s="34">
        <f t="shared" si="274"/>
        <v>0.56295747051245681</v>
      </c>
      <c r="R1336" s="35" cm="1">
        <f t="array" ref="R1336">SQRT(MMULT(O1336:Q1336, MMULT($AU$32:$AW$34,TRANSPOSE(O1336:Q1336))))</f>
        <v>1.1623139042988128E-2</v>
      </c>
      <c r="S1336" s="36" cm="1">
        <f t="array" ref="S1336:U1336">TRANSPOSE(MMULT($AU$32:$AW$34, TRANSPOSE(O1336:Q1336))/MMULT(O1336:Q1336, MMULT($AU$32:$AW$34,TRANSPOSE(O1336:Q1336))))</f>
        <v>0.26458249796374667</v>
      </c>
      <c r="T1336" s="36">
        <v>1.2079992421199577</v>
      </c>
      <c r="U1336" s="36">
        <v>0.64453903470284279</v>
      </c>
      <c r="V1336" s="35">
        <f t="shared" si="279"/>
        <v>7.1654004478648396E-3</v>
      </c>
      <c r="W1336" s="35">
        <f t="shared" si="280"/>
        <v>3.2714931551113997E-2</v>
      </c>
      <c r="X1336" s="35">
        <f t="shared" si="281"/>
        <v>1.7455350688233867E-2</v>
      </c>
      <c r="Y1336" s="32">
        <f t="shared" si="282"/>
        <v>-19226.202481710938</v>
      </c>
      <c r="Z1336" s="32">
        <f t="shared" si="275"/>
        <v>265416.23967418785</v>
      </c>
      <c r="AA1336" s="32">
        <f t="shared" si="276"/>
        <v>140201.37672789441</v>
      </c>
      <c r="AB1336" s="40">
        <f t="shared" si="283"/>
        <v>-4.9758358465162814E-2</v>
      </c>
      <c r="AC1336" s="40">
        <f t="shared" si="284"/>
        <v>0.68691029384230984</v>
      </c>
      <c r="AD1336" s="40">
        <f t="shared" si="285"/>
        <v>0.36284806462285296</v>
      </c>
      <c r="AE1336" s="40"/>
      <c r="AF1336" s="40"/>
      <c r="AG1336" s="40"/>
      <c r="AH1336" s="40"/>
      <c r="AI1336" s="40"/>
      <c r="AJ1336" s="40"/>
      <c r="AK1336" s="33">
        <f t="shared" si="277"/>
        <v>8113000</v>
      </c>
      <c r="AL1336" s="33">
        <f t="shared" si="278"/>
        <v>8032000</v>
      </c>
      <c r="AM1336" s="34"/>
      <c r="AN1336" s="33"/>
      <c r="AO1336" s="15" cm="1">
        <f t="array" ref="AO1336">SUMPRODUCT(I1336:K1336, TRANSPOSE($AY$5:$AY$7))</f>
        <v>3.0664762766973629E-2</v>
      </c>
      <c r="AP1336" s="22">
        <f t="shared" si="286"/>
        <v>14267507.619516123</v>
      </c>
      <c r="AQ1336" s="22">
        <f t="shared" si="287"/>
        <v>424492.7664489951</v>
      </c>
      <c r="AR1336">
        <f t="shared" si="288"/>
        <v>0</v>
      </c>
      <c r="AS1336">
        <f t="shared" si="289"/>
        <v>0</v>
      </c>
      <c r="BJ1336">
        <f t="shared" si="263"/>
        <v>2.0412805539824996E-5</v>
      </c>
      <c r="BK1336">
        <f t="shared" si="265"/>
        <v>1.1453295952555346E-4</v>
      </c>
      <c r="BO1336">
        <f t="shared" si="266"/>
        <v>6.758183515580961E-5</v>
      </c>
      <c r="BP1336">
        <f t="shared" si="264"/>
        <v>3.7311242567049767</v>
      </c>
    </row>
    <row r="1337" spans="1:68" x14ac:dyDescent="0.15">
      <c r="A1337" s="5">
        <v>45527</v>
      </c>
      <c r="B1337" s="1"/>
      <c r="C1337">
        <v>89.54</v>
      </c>
      <c r="D1337">
        <v>117.85</v>
      </c>
      <c r="E1337">
        <v>100.4</v>
      </c>
      <c r="G1337" s="3">
        <v>3.4136149097132502E-3</v>
      </c>
      <c r="I1337" s="15">
        <f t="shared" si="267"/>
        <v>1.1180679785331902E-3</v>
      </c>
      <c r="J1337" s="15">
        <f t="shared" si="268"/>
        <v>1.6824849007765215E-2</v>
      </c>
      <c r="K1337" s="15">
        <f t="shared" si="269"/>
        <v>0</v>
      </c>
      <c r="L1337" s="32">
        <f t="shared" si="270"/>
        <v>390842.50942254072</v>
      </c>
      <c r="M1337" s="15"/>
      <c r="N1337" s="32">
        <f t="shared" si="271"/>
        <v>-2686200</v>
      </c>
      <c r="O1337" s="34">
        <f t="shared" si="272"/>
        <v>-0.18629577629455432</v>
      </c>
      <c r="P1337" s="34">
        <f t="shared" si="273"/>
        <v>0.57212679865308835</v>
      </c>
      <c r="Q1337" s="34">
        <f t="shared" si="274"/>
        <v>0.55704254158210864</v>
      </c>
      <c r="R1337" s="35" cm="1">
        <f t="array" ref="R1337">SQRT(MMULT(O1337:Q1337, MMULT($AU$32:$AW$34,TRANSPOSE(O1337:Q1337))))</f>
        <v>1.1633503796352217E-2</v>
      </c>
      <c r="S1337" s="36" cm="1">
        <f t="array" ref="S1337:U1337">TRANSPOSE(MMULT($AU$32:$AW$34, TRANSPOSE(O1337:Q1337))/MMULT(O1337:Q1337, MMULT($AU$32:$AW$34,TRANSPOSE(O1337:Q1337))))</f>
        <v>0.2641578020963668</v>
      </c>
      <c r="T1337" s="36">
        <v>1.2106830011476815</v>
      </c>
      <c r="U1337" s="36">
        <v>0.64007192729446871</v>
      </c>
      <c r="V1337" s="35">
        <f t="shared" si="279"/>
        <v>7.1602782489112483E-3</v>
      </c>
      <c r="W1337" s="35">
        <f t="shared" si="280"/>
        <v>3.281685072577141E-2</v>
      </c>
      <c r="X1337" s="35">
        <f t="shared" si="281"/>
        <v>1.7349830526956531E-2</v>
      </c>
      <c r="Y1337" s="32">
        <f t="shared" si="282"/>
        <v>-19233.939432225394</v>
      </c>
      <c r="Z1337" s="32">
        <f t="shared" si="275"/>
        <v>270722.61006225122</v>
      </c>
      <c r="AA1337" s="32">
        <f t="shared" si="276"/>
        <v>139353.83879251484</v>
      </c>
      <c r="AB1337" s="40">
        <f t="shared" si="283"/>
        <v>-4.9211482805805902E-2</v>
      </c>
      <c r="AC1337" s="40">
        <f t="shared" si="284"/>
        <v>0.69266418963033627</v>
      </c>
      <c r="AD1337" s="40">
        <f t="shared" si="285"/>
        <v>0.35654729317546952</v>
      </c>
      <c r="AE1337" s="40"/>
      <c r="AF1337" s="40"/>
      <c r="AG1337" s="40"/>
      <c r="AH1337" s="40"/>
      <c r="AI1337" s="40"/>
      <c r="AJ1337" s="40"/>
      <c r="AK1337" s="33">
        <f t="shared" si="277"/>
        <v>8249500</v>
      </c>
      <c r="AL1337" s="33">
        <f t="shared" si="278"/>
        <v>8032000</v>
      </c>
      <c r="AM1337" s="34"/>
      <c r="AN1337" s="33"/>
      <c r="AO1337" s="15" cm="1">
        <f t="array" ref="AO1337">SUMPRODUCT(I1337:K1337, TRANSPOSE($AY$5:$AY$7))</f>
        <v>1.0618450995768736E-2</v>
      </c>
      <c r="AP1337" s="22">
        <f t="shared" si="286"/>
        <v>14419006.450005712</v>
      </c>
      <c r="AQ1337" s="22">
        <f t="shared" si="287"/>
        <v>151498.8304895889</v>
      </c>
      <c r="AR1337">
        <f t="shared" si="288"/>
        <v>0</v>
      </c>
      <c r="AS1337">
        <f t="shared" si="289"/>
        <v>0</v>
      </c>
      <c r="BJ1337">
        <f t="shared" si="263"/>
        <v>1.1652766751816601E-5</v>
      </c>
      <c r="BK1337">
        <f t="shared" si="265"/>
        <v>1.0888575028640975E-4</v>
      </c>
      <c r="BO1337">
        <f t="shared" si="266"/>
        <v>6.1856780854011075E-5</v>
      </c>
      <c r="BP1337">
        <f t="shared" si="264"/>
        <v>3.8322143759342877</v>
      </c>
    </row>
    <row r="1338" spans="1:68" x14ac:dyDescent="0.15">
      <c r="A1338" s="5">
        <v>45530</v>
      </c>
      <c r="B1338" s="1"/>
      <c r="C1338">
        <v>89.72</v>
      </c>
      <c r="D1338">
        <v>115.75</v>
      </c>
      <c r="E1338">
        <v>100.88</v>
      </c>
      <c r="G1338" s="3">
        <v>5.5816781564121899E-4</v>
      </c>
      <c r="I1338" s="15">
        <f t="shared" si="267"/>
        <v>2.0102747375473819E-3</v>
      </c>
      <c r="J1338" s="15">
        <f t="shared" si="268"/>
        <v>-1.7819261773440766E-2</v>
      </c>
      <c r="K1338" s="15">
        <f t="shared" si="269"/>
        <v>4.7808764940238018E-3</v>
      </c>
      <c r="L1338" s="32">
        <f t="shared" si="270"/>
        <v>386658.94166049809</v>
      </c>
      <c r="M1338" s="15"/>
      <c r="N1338" s="32">
        <f t="shared" si="271"/>
        <v>-2691600</v>
      </c>
      <c r="O1338" s="34">
        <f t="shared" si="272"/>
        <v>-0.18836218898162452</v>
      </c>
      <c r="P1338" s="34">
        <f t="shared" si="273"/>
        <v>0.56702505432590755</v>
      </c>
      <c r="Q1338" s="34">
        <f t="shared" si="274"/>
        <v>0.56477864837171299</v>
      </c>
      <c r="R1338" s="35" cm="1">
        <f t="array" ref="R1338">SQRT(MMULT(O1338:Q1338, MMULT($AU$32:$AW$34,TRANSPOSE(O1338:Q1338))))</f>
        <v>1.161329200311152E-2</v>
      </c>
      <c r="S1338" s="36" cm="1">
        <f t="array" ref="S1338:U1338">TRANSPOSE(MMULT($AU$32:$AW$34, TRANSPOSE(O1338:Q1338))/MMULT(O1338:Q1338, MMULT($AU$32:$AW$34,TRANSPOSE(O1338:Q1338))))</f>
        <v>0.2650799989294213</v>
      </c>
      <c r="T1338" s="36">
        <v>1.2076379033754547</v>
      </c>
      <c r="U1338" s="36">
        <v>0.64657207233117775</v>
      </c>
      <c r="V1338" s="35">
        <f t="shared" si="279"/>
        <v>7.1727918359818302E-3</v>
      </c>
      <c r="W1338" s="35">
        <f t="shared" si="280"/>
        <v>3.2677438241804156E-2</v>
      </c>
      <c r="X1338" s="35">
        <f t="shared" si="281"/>
        <v>1.7495574545500658E-2</v>
      </c>
      <c r="Y1338" s="32">
        <f t="shared" si="282"/>
        <v>-19306.286505728694</v>
      </c>
      <c r="Z1338" s="32">
        <f t="shared" si="275"/>
        <v>264768.94335421815</v>
      </c>
      <c r="AA1338" s="32">
        <f t="shared" si="276"/>
        <v>141196.28481200853</v>
      </c>
      <c r="AB1338" s="40">
        <f t="shared" si="283"/>
        <v>-4.993104885359248E-2</v>
      </c>
      <c r="AC1338" s="40">
        <f t="shared" si="284"/>
        <v>0.68476094776749219</v>
      </c>
      <c r="AD1338" s="40">
        <f t="shared" si="285"/>
        <v>0.36517010108609999</v>
      </c>
      <c r="AE1338" s="40"/>
      <c r="AF1338" s="40"/>
      <c r="AG1338" s="40"/>
      <c r="AH1338" s="40"/>
      <c r="AI1338" s="40"/>
      <c r="AJ1338" s="40"/>
      <c r="AK1338" s="33">
        <f t="shared" si="277"/>
        <v>8102500</v>
      </c>
      <c r="AL1338" s="33">
        <f t="shared" si="278"/>
        <v>8070400</v>
      </c>
      <c r="AM1338" s="34"/>
      <c r="AN1338" s="33"/>
      <c r="AO1338" s="15" cm="1">
        <f t="array" ref="AO1338">SUMPRODUCT(I1338:K1338, TRANSPOSE($AY$5:$AY$7))</f>
        <v>-8.9822007453869528E-3</v>
      </c>
      <c r="AP1338" s="22">
        <f t="shared" si="286"/>
        <v>14289492.039522732</v>
      </c>
      <c r="AQ1338" s="22">
        <f t="shared" si="287"/>
        <v>-129514.41048298031</v>
      </c>
      <c r="AR1338">
        <f t="shared" si="288"/>
        <v>0</v>
      </c>
      <c r="AS1338">
        <f t="shared" si="289"/>
        <v>0</v>
      </c>
      <c r="BJ1338">
        <f t="shared" si="263"/>
        <v>3.1155131041768983E-7</v>
      </c>
      <c r="BK1338">
        <f t="shared" si="265"/>
        <v>1.0305177127433415E-4</v>
      </c>
      <c r="BO1338">
        <f t="shared" si="266"/>
        <v>5.6118563143577526E-5</v>
      </c>
      <c r="BP1338">
        <f t="shared" si="264"/>
        <v>3.9723075888254953</v>
      </c>
    </row>
    <row r="1339" spans="1:68" x14ac:dyDescent="0.15">
      <c r="A1339" s="5">
        <v>45531</v>
      </c>
      <c r="B1339" s="1"/>
      <c r="C1339">
        <v>89.68</v>
      </c>
      <c r="D1339">
        <v>115.45</v>
      </c>
      <c r="E1339">
        <v>100.76</v>
      </c>
      <c r="G1339" s="3">
        <v>-4.6645056781666697E-3</v>
      </c>
      <c r="I1339" s="15">
        <f t="shared" si="267"/>
        <v>-4.4583147570209587E-4</v>
      </c>
      <c r="J1339" s="15">
        <f t="shared" si="268"/>
        <v>-2.5917926565874484E-3</v>
      </c>
      <c r="K1339" s="15">
        <f t="shared" si="269"/>
        <v>-1.1895321173670732E-3</v>
      </c>
      <c r="L1339" s="32">
        <f t="shared" si="270"/>
        <v>385813.41815242608</v>
      </c>
      <c r="M1339" s="15"/>
      <c r="N1339" s="32">
        <f t="shared" si="271"/>
        <v>-2690400</v>
      </c>
      <c r="O1339" s="34">
        <f t="shared" si="272"/>
        <v>-0.18873201752042743</v>
      </c>
      <c r="P1339" s="34">
        <f t="shared" si="273"/>
        <v>0.56691859931286581</v>
      </c>
      <c r="Q1339" s="34">
        <f t="shared" si="274"/>
        <v>0.56546649079269307</v>
      </c>
      <c r="R1339" s="35" cm="1">
        <f t="array" ref="R1339">SQRT(MMULT(O1339:Q1339, MMULT($AU$32:$AW$34,TRANSPOSE(O1339:Q1339))))</f>
        <v>1.1615826992932376E-2</v>
      </c>
      <c r="S1339" s="36" cm="1">
        <f t="array" ref="S1339:U1339">TRANSPOSE(MMULT($AU$32:$AW$34, TRANSPOSE(O1339:Q1339))/MMULT(O1339:Q1339, MMULT($AU$32:$AW$34,TRANSPOSE(O1339:Q1339))))</f>
        <v>0.26489842763592741</v>
      </c>
      <c r="T1339" s="36">
        <v>1.2070521782835908</v>
      </c>
      <c r="U1339" s="36">
        <v>0.6467129183251793</v>
      </c>
      <c r="V1339" s="35">
        <f t="shared" si="279"/>
        <v>7.1694433332566872E-3</v>
      </c>
      <c r="W1339" s="35">
        <f t="shared" si="280"/>
        <v>3.2668718609315556E-2</v>
      </c>
      <c r="X1339" s="35">
        <f t="shared" si="281"/>
        <v>1.7503205519928077E-2</v>
      </c>
      <c r="Y1339" s="32">
        <f t="shared" si="282"/>
        <v>-19288.67034379379</v>
      </c>
      <c r="Z1339" s="32">
        <f t="shared" si="275"/>
        <v>264012.24944118364</v>
      </c>
      <c r="AA1339" s="32">
        <f t="shared" si="276"/>
        <v>141089.83905503625</v>
      </c>
      <c r="AB1339" s="40">
        <f t="shared" si="283"/>
        <v>-4.999481468571753E-2</v>
      </c>
      <c r="AC1339" s="40">
        <f t="shared" si="284"/>
        <v>0.68430033021007686</v>
      </c>
      <c r="AD1339" s="40">
        <f t="shared" si="285"/>
        <v>0.36569448447564068</v>
      </c>
      <c r="AE1339" s="40"/>
      <c r="AF1339" s="40"/>
      <c r="AG1339" s="40"/>
      <c r="AH1339" s="40"/>
      <c r="AI1339" s="40"/>
      <c r="AJ1339" s="40"/>
      <c r="AK1339" s="33">
        <f t="shared" si="277"/>
        <v>8081500</v>
      </c>
      <c r="AL1339" s="33">
        <f t="shared" si="278"/>
        <v>8060800</v>
      </c>
      <c r="AM1339" s="34"/>
      <c r="AN1339" s="33"/>
      <c r="AO1339" s="15" cm="1">
        <f t="array" ref="AO1339">SUMPRODUCT(I1339:K1339, TRANSPOSE($AY$5:$AY$7))</f>
        <v>-2.4045010350931739E-3</v>
      </c>
      <c r="AP1339" s="22">
        <f t="shared" si="286"/>
        <v>14255132.941122744</v>
      </c>
      <c r="AQ1339" s="22">
        <f t="shared" si="287"/>
        <v>-34359.098399987444</v>
      </c>
      <c r="AR1339">
        <f t="shared" si="288"/>
        <v>0</v>
      </c>
      <c r="AS1339">
        <f t="shared" si="289"/>
        <v>0</v>
      </c>
      <c r="BJ1339">
        <f t="shared" si="263"/>
        <v>2.1757613221649104E-5</v>
      </c>
      <c r="BK1339">
        <f t="shared" si="265"/>
        <v>9.6887358076499166E-5</v>
      </c>
      <c r="BO1339">
        <f t="shared" si="266"/>
        <v>5.0002408667901196E-5</v>
      </c>
      <c r="BP1339">
        <f t="shared" si="264"/>
        <v>3.8152155056160537</v>
      </c>
    </row>
    <row r="1340" spans="1:68" x14ac:dyDescent="0.15">
      <c r="A1340" s="5">
        <v>45532</v>
      </c>
      <c r="B1340" s="1"/>
      <c r="C1340">
        <v>90.32</v>
      </c>
      <c r="D1340">
        <v>117.05</v>
      </c>
      <c r="E1340">
        <v>101.5</v>
      </c>
      <c r="G1340" s="3">
        <v>4.2268038878703305E-3</v>
      </c>
      <c r="I1340" s="15">
        <f t="shared" si="267"/>
        <v>7.1364852809989556E-3</v>
      </c>
      <c r="J1340" s="15">
        <f t="shared" si="268"/>
        <v>1.385881333910779E-2</v>
      </c>
      <c r="K1340" s="15">
        <f t="shared" si="269"/>
        <v>7.3441842000793456E-3</v>
      </c>
      <c r="L1340" s="32">
        <f t="shared" si="270"/>
        <v>390371.90408409981</v>
      </c>
      <c r="M1340" s="15"/>
      <c r="N1340" s="32">
        <f t="shared" si="271"/>
        <v>-2709600</v>
      </c>
      <c r="O1340" s="34">
        <f t="shared" si="272"/>
        <v>-0.18787916089206502</v>
      </c>
      <c r="P1340" s="34">
        <f t="shared" si="273"/>
        <v>0.56812367315069923</v>
      </c>
      <c r="Q1340" s="34">
        <f t="shared" si="274"/>
        <v>0.56302730530099199</v>
      </c>
      <c r="R1340" s="35" cm="1">
        <f t="array" ref="R1340">SQRT(MMULT(O1340:Q1340, MMULT($AU$32:$AW$34,TRANSPOSE(O1340:Q1340))))</f>
        <v>1.1617055393437917E-2</v>
      </c>
      <c r="S1340" s="36" cm="1">
        <f t="array" ref="S1340:U1340">TRANSPOSE(MMULT($AU$32:$AW$34, TRANSPOSE(O1340:Q1340))/MMULT(O1340:Q1340, MMULT($AU$32:$AW$34,TRANSPOSE(O1340:Q1340))))</f>
        <v>0.26490431049328911</v>
      </c>
      <c r="T1340" s="36">
        <v>1.2083987388194755</v>
      </c>
      <c r="U1340" s="36">
        <v>0.64517309555561497</v>
      </c>
      <c r="V1340" s="35">
        <f t="shared" si="279"/>
        <v>7.1703607540791687E-3</v>
      </c>
      <c r="W1340" s="35">
        <f t="shared" si="280"/>
        <v>3.2708621750907427E-2</v>
      </c>
      <c r="X1340" s="35">
        <f t="shared" si="281"/>
        <v>1.7463377003361168E-2</v>
      </c>
      <c r="Y1340" s="32">
        <f t="shared" si="282"/>
        <v>-19428.809499252915</v>
      </c>
      <c r="Z1340" s="32">
        <f t="shared" si="275"/>
        <v>267998.09231605998</v>
      </c>
      <c r="AA1340" s="32">
        <f t="shared" si="276"/>
        <v>141802.62126729268</v>
      </c>
      <c r="AB1340" s="40">
        <f t="shared" si="283"/>
        <v>-4.9769999572170202E-2</v>
      </c>
      <c r="AC1340" s="40">
        <f t="shared" si="284"/>
        <v>0.68651993012879275</v>
      </c>
      <c r="AD1340" s="40">
        <f t="shared" si="285"/>
        <v>0.36325006944337729</v>
      </c>
      <c r="AE1340" s="40"/>
      <c r="AF1340" s="40"/>
      <c r="AG1340" s="40"/>
      <c r="AH1340" s="40"/>
      <c r="AI1340" s="40"/>
      <c r="AJ1340" s="40"/>
      <c r="AK1340" s="33">
        <f t="shared" si="277"/>
        <v>8193500</v>
      </c>
      <c r="AL1340" s="33">
        <f t="shared" si="278"/>
        <v>8120000</v>
      </c>
      <c r="AM1340" s="34"/>
      <c r="AN1340" s="33"/>
      <c r="AO1340" s="15" cm="1">
        <f t="array" ref="AO1340">SUMPRODUCT(I1340:K1340, TRANSPOSE($AY$5:$AY$7))</f>
        <v>1.1708269735747599E-2</v>
      </c>
      <c r="AP1340" s="22">
        <f t="shared" si="286"/>
        <v>14422035.88271635</v>
      </c>
      <c r="AQ1340" s="22">
        <f t="shared" si="287"/>
        <v>166902.94159360602</v>
      </c>
      <c r="AR1340">
        <f t="shared" si="288"/>
        <v>0</v>
      </c>
      <c r="AS1340">
        <f t="shared" si="289"/>
        <v>0</v>
      </c>
      <c r="BJ1340">
        <f t="shared" si="263"/>
        <v>1.7865871106515743E-5</v>
      </c>
      <c r="BK1340">
        <f t="shared" si="265"/>
        <v>9.237957338520816E-5</v>
      </c>
      <c r="BO1340">
        <f t="shared" si="266"/>
        <v>4.8259378829690219E-5</v>
      </c>
      <c r="BP1340">
        <f t="shared" si="264"/>
        <v>3.8654190709145921</v>
      </c>
    </row>
    <row r="1341" spans="1:68" x14ac:dyDescent="0.15">
      <c r="A1341" s="5">
        <v>45533</v>
      </c>
      <c r="B1341" s="1"/>
      <c r="C1341">
        <v>91.1</v>
      </c>
      <c r="D1341">
        <v>116.2</v>
      </c>
      <c r="E1341">
        <v>101.92</v>
      </c>
      <c r="G1341" s="3">
        <v>5.58884272771087E-3</v>
      </c>
      <c r="I1341" s="15">
        <f t="shared" si="267"/>
        <v>8.6359610274579415E-3</v>
      </c>
      <c r="J1341" s="15">
        <f t="shared" si="268"/>
        <v>-7.2618539085860263E-3</v>
      </c>
      <c r="K1341" s="15">
        <f t="shared" si="269"/>
        <v>4.1379310344827752E-3</v>
      </c>
      <c r="L1341" s="32">
        <f t="shared" si="270"/>
        <v>388848.14400273131</v>
      </c>
      <c r="M1341" s="15"/>
      <c r="N1341" s="32">
        <f t="shared" si="271"/>
        <v>-2733000</v>
      </c>
      <c r="O1341" s="34">
        <f t="shared" si="272"/>
        <v>-0.19047862564591997</v>
      </c>
      <c r="P1341" s="34">
        <f t="shared" si="273"/>
        <v>0.5669056498367776</v>
      </c>
      <c r="Q1341" s="34">
        <f t="shared" si="274"/>
        <v>0.56827168754722768</v>
      </c>
      <c r="R1341" s="35" cm="1">
        <f t="array" ref="R1341">SQRT(MMULT(O1341:Q1341, MMULT($AU$32:$AW$34,TRANSPOSE(O1341:Q1341))))</f>
        <v>1.1631366128279075E-2</v>
      </c>
      <c r="S1341" s="36" cm="1">
        <f t="array" ref="S1341:U1341">TRANSPOSE(MMULT($AU$32:$AW$34, TRANSPOSE(O1341:Q1341))/MMULT(O1341:Q1341, MMULT($AU$32:$AW$34,TRANSPOSE(O1341:Q1341))))</f>
        <v>0.26383128080320506</v>
      </c>
      <c r="T1341" s="36">
        <v>1.2042965334229603</v>
      </c>
      <c r="U1341" s="36">
        <v>0.64675351411543036</v>
      </c>
      <c r="V1341" s="35">
        <f t="shared" si="279"/>
        <v>7.1501134598576819E-3</v>
      </c>
      <c r="W1341" s="35">
        <f t="shared" si="280"/>
        <v>3.2637740403915171E-2</v>
      </c>
      <c r="X1341" s="35">
        <f t="shared" si="281"/>
        <v>1.7527720717606495E-2</v>
      </c>
      <c r="Y1341" s="32">
        <f t="shared" si="282"/>
        <v>-19541.260085791044</v>
      </c>
      <c r="Z1341" s="32">
        <f t="shared" si="275"/>
        <v>265475.380445446</v>
      </c>
      <c r="AA1341" s="32">
        <f t="shared" si="276"/>
        <v>142914.02364307633</v>
      </c>
      <c r="AB1341" s="40">
        <f t="shared" si="283"/>
        <v>-5.0254219769797291E-2</v>
      </c>
      <c r="AC1341" s="40">
        <f t="shared" si="284"/>
        <v>0.68272250887632191</v>
      </c>
      <c r="AD1341" s="40">
        <f t="shared" si="285"/>
        <v>0.36753171089347542</v>
      </c>
      <c r="AE1341" s="40"/>
      <c r="AF1341" s="40"/>
      <c r="AG1341" s="40"/>
      <c r="AH1341" s="40"/>
      <c r="AI1341" s="40"/>
      <c r="AJ1341" s="40"/>
      <c r="AK1341" s="33">
        <f t="shared" si="277"/>
        <v>8134000</v>
      </c>
      <c r="AL1341" s="33">
        <f t="shared" si="278"/>
        <v>8153600</v>
      </c>
      <c r="AM1341" s="34"/>
      <c r="AN1341" s="33"/>
      <c r="AO1341" s="15" cm="1">
        <f t="array" ref="AO1341">SUMPRODUCT(I1341:K1341, TRANSPOSE($AY$5:$AY$7))</f>
        <v>-5.1289095519600923E-3</v>
      </c>
      <c r="AP1341" s="22">
        <f t="shared" si="286"/>
        <v>14348066.565118775</v>
      </c>
      <c r="AQ1341" s="22">
        <f t="shared" si="287"/>
        <v>-73969.317597575486</v>
      </c>
      <c r="AR1341">
        <f t="shared" si="288"/>
        <v>0</v>
      </c>
      <c r="AS1341">
        <f t="shared" si="289"/>
        <v>0</v>
      </c>
      <c r="BJ1341">
        <f t="shared" si="263"/>
        <v>3.1235163035086681E-5</v>
      </c>
      <c r="BK1341">
        <f t="shared" si="265"/>
        <v>8.7908751248486609E-5</v>
      </c>
      <c r="BO1341">
        <f t="shared" si="266"/>
        <v>4.6337920496784333E-5</v>
      </c>
      <c r="BP1341">
        <f t="shared" si="264"/>
        <v>3.7337996873633172</v>
      </c>
    </row>
    <row r="1342" spans="1:68" x14ac:dyDescent="0.15">
      <c r="A1342" s="5">
        <v>45534</v>
      </c>
      <c r="B1342" s="1"/>
      <c r="C1342">
        <v>91.02</v>
      </c>
      <c r="D1342">
        <v>115.7</v>
      </c>
      <c r="E1342">
        <v>102.12</v>
      </c>
      <c r="G1342" s="3">
        <v>1.52026800353E-3</v>
      </c>
      <c r="I1342" s="15">
        <f t="shared" si="267"/>
        <v>-8.781558726673798E-4</v>
      </c>
      <c r="J1342" s="15">
        <f t="shared" si="268"/>
        <v>-4.3029259896729772E-3</v>
      </c>
      <c r="K1342" s="15">
        <f t="shared" si="269"/>
        <v>1.9623233908948475E-3</v>
      </c>
      <c r="L1342" s="32">
        <f t="shared" si="270"/>
        <v>388004.47524829186</v>
      </c>
      <c r="M1342" s="15"/>
      <c r="N1342" s="32">
        <f t="shared" si="271"/>
        <v>-2730600</v>
      </c>
      <c r="O1342" s="34">
        <f t="shared" si="272"/>
        <v>-0.19050871596203528</v>
      </c>
      <c r="P1342" s="34">
        <f t="shared" si="273"/>
        <v>0.56505167017378</v>
      </c>
      <c r="Q1342" s="34">
        <f t="shared" si="274"/>
        <v>0.56997729653682094</v>
      </c>
      <c r="R1342" s="35" cm="1">
        <f t="array" ref="R1342">SQRT(MMULT(O1342:Q1342, MMULT($AU$32:$AW$34,TRANSPOSE(O1342:Q1342))))</f>
        <v>1.1618166009683194E-2</v>
      </c>
      <c r="S1342" s="36" cm="1">
        <f t="array" ref="S1342:U1342">TRANSPOSE(MMULT($AU$32:$AW$34, TRANSPOSE(O1342:Q1342))/MMULT(O1342:Q1342, MMULT($AU$32:$AW$34,TRANSPOSE(O1342:Q1342))))</f>
        <v>0.26460316943488732</v>
      </c>
      <c r="T1342" s="36">
        <v>1.2042137262197314</v>
      </c>
      <c r="U1342" s="36">
        <v>0.64908941996424774</v>
      </c>
      <c r="V1342" s="35">
        <f t="shared" si="279"/>
        <v>7.1628942695960438E-3</v>
      </c>
      <c r="W1342" s="35">
        <f t="shared" si="280"/>
        <v>3.2598459108898865E-2</v>
      </c>
      <c r="X1342" s="35">
        <f t="shared" si="281"/>
        <v>1.7571062722517499E-2</v>
      </c>
      <c r="Y1342" s="32">
        <f t="shared" si="282"/>
        <v>-19558.999092558955</v>
      </c>
      <c r="Z1342" s="32">
        <f t="shared" si="275"/>
        <v>264014.92032297188</v>
      </c>
      <c r="AA1342" s="32">
        <f t="shared" si="276"/>
        <v>143548.55401787895</v>
      </c>
      <c r="AB1342" s="40">
        <f t="shared" si="283"/>
        <v>-5.0409210048525235E-2</v>
      </c>
      <c r="AC1342" s="40">
        <f t="shared" si="284"/>
        <v>0.68044297724665015</v>
      </c>
      <c r="AD1342" s="40">
        <f t="shared" si="285"/>
        <v>0.36996623280187518</v>
      </c>
      <c r="AE1342" s="40"/>
      <c r="AF1342" s="40"/>
      <c r="AG1342" s="40"/>
      <c r="AH1342" s="40"/>
      <c r="AI1342" s="40"/>
      <c r="AJ1342" s="40"/>
      <c r="AK1342" s="33">
        <f t="shared" si="277"/>
        <v>8099000</v>
      </c>
      <c r="AL1342" s="33">
        <f t="shared" si="278"/>
        <v>8169600</v>
      </c>
      <c r="AM1342" s="34"/>
      <c r="AN1342" s="33"/>
      <c r="AO1342" s="15" cm="1">
        <f t="array" ref="AO1342">SUMPRODUCT(I1342:K1342, TRANSPOSE($AY$5:$AY$7))</f>
        <v>-1.0359643591488393E-3</v>
      </c>
      <c r="AP1342" s="22">
        <f t="shared" si="286"/>
        <v>14333202.479534617</v>
      </c>
      <c r="AQ1342" s="22">
        <f t="shared" si="287"/>
        <v>-14864.085584158078</v>
      </c>
      <c r="AR1342">
        <f t="shared" si="288"/>
        <v>0</v>
      </c>
      <c r="AS1342">
        <f t="shared" si="289"/>
        <v>0</v>
      </c>
      <c r="BJ1342">
        <f t="shared" si="263"/>
        <v>2.3112148025570924E-6</v>
      </c>
      <c r="BK1342">
        <f t="shared" si="265"/>
        <v>8.450833595568261E-5</v>
      </c>
      <c r="BO1342">
        <f t="shared" si="266"/>
        <v>4.6734826359450706E-5</v>
      </c>
      <c r="BP1342">
        <f t="shared" si="264"/>
        <v>4.0418450286777965</v>
      </c>
    </row>
    <row r="1343" spans="1:68" x14ac:dyDescent="0.15">
      <c r="A1343" s="5">
        <v>45538</v>
      </c>
      <c r="B1343" s="1"/>
      <c r="C1343">
        <v>91.48</v>
      </c>
      <c r="D1343">
        <v>117.3</v>
      </c>
      <c r="E1343">
        <v>101.36</v>
      </c>
      <c r="G1343" s="3">
        <v>-7.10821071061285E-3</v>
      </c>
      <c r="I1343" s="15">
        <f t="shared" si="267"/>
        <v>5.0538343221270925E-3</v>
      </c>
      <c r="J1343" s="15">
        <f t="shared" si="268"/>
        <v>1.3828867761451981E-2</v>
      </c>
      <c r="K1343" s="15">
        <f t="shared" si="269"/>
        <v>-7.4422248335292308E-3</v>
      </c>
      <c r="L1343" s="32">
        <f t="shared" si="270"/>
        <v>390500.72720994829</v>
      </c>
      <c r="M1343" s="15"/>
      <c r="N1343" s="32">
        <f t="shared" si="271"/>
        <v>-2744400</v>
      </c>
      <c r="O1343" s="34">
        <f t="shared" si="272"/>
        <v>-0.19116325243226931</v>
      </c>
      <c r="P1343" s="34">
        <f t="shared" si="273"/>
        <v>0.57194339954866757</v>
      </c>
      <c r="Q1343" s="34">
        <f t="shared" si="274"/>
        <v>0.56482458144686831</v>
      </c>
      <c r="R1343" s="35" cm="1">
        <f t="array" ref="R1343">SQRT(MMULT(O1343:Q1343, MMULT($AU$32:$AW$34,TRANSPOSE(O1343:Q1343))))</f>
        <v>1.1674087019594498E-2</v>
      </c>
      <c r="S1343" s="36" cm="1">
        <f t="array" ref="S1343:U1343">TRANSPOSE(MMULT($AU$32:$AW$34, TRANSPOSE(O1343:Q1343))/MMULT(O1343:Q1343, MMULT($AU$32:$AW$34,TRANSPOSE(O1343:Q1343))))</f>
        <v>0.26126591380827885</v>
      </c>
      <c r="T1343" s="36">
        <v>1.2032883515185262</v>
      </c>
      <c r="U1343" s="36">
        <v>0.64043177883979685</v>
      </c>
      <c r="V1343" s="35">
        <f t="shared" si="279"/>
        <v>7.1065955604105151E-3</v>
      </c>
      <c r="W1343" s="35">
        <f t="shared" si="280"/>
        <v>3.2730192515929638E-2</v>
      </c>
      <c r="X1343" s="35">
        <f t="shared" si="281"/>
        <v>1.7420143216954505E-2</v>
      </c>
      <c r="Y1343" s="32">
        <f t="shared" si="282"/>
        <v>-19503.340855990617</v>
      </c>
      <c r="Z1343" s="32">
        <f t="shared" si="275"/>
        <v>268747.61074829823</v>
      </c>
      <c r="AA1343" s="32">
        <f t="shared" si="276"/>
        <v>141256.45731764068</v>
      </c>
      <c r="AB1343" s="40">
        <f t="shared" si="283"/>
        <v>-4.9944441833279521E-2</v>
      </c>
      <c r="AC1343" s="40">
        <f t="shared" si="284"/>
        <v>0.68821283040481795</v>
      </c>
      <c r="AD1343" s="40">
        <f t="shared" si="285"/>
        <v>0.36173161142846155</v>
      </c>
      <c r="AE1343" s="40"/>
      <c r="AF1343" s="40"/>
      <c r="AG1343" s="40"/>
      <c r="AH1343" s="40"/>
      <c r="AI1343" s="40"/>
      <c r="AJ1343" s="40"/>
      <c r="AK1343" s="33">
        <f t="shared" si="277"/>
        <v>8211000</v>
      </c>
      <c r="AL1343" s="33">
        <f t="shared" si="278"/>
        <v>8108800</v>
      </c>
      <c r="AM1343" s="34"/>
      <c r="AN1343" s="33"/>
      <c r="AO1343" s="15" cm="1">
        <f t="array" ref="AO1343">SUMPRODUCT(I1343:K1343, TRANSPOSE($AY$5:$AY$7))</f>
        <v>1.6125641996410887E-3</v>
      </c>
      <c r="AP1343" s="22">
        <f t="shared" si="286"/>
        <v>14356315.688719323</v>
      </c>
      <c r="AQ1343" s="22">
        <f t="shared" si="287"/>
        <v>23113.209184706211</v>
      </c>
      <c r="AR1343">
        <f t="shared" si="288"/>
        <v>0</v>
      </c>
      <c r="AS1343">
        <f t="shared" si="289"/>
        <v>0</v>
      </c>
      <c r="BJ1343">
        <f t="shared" si="263"/>
        <v>5.0526659506471241E-5</v>
      </c>
      <c r="BK1343">
        <f t="shared" si="265"/>
        <v>7.9576508686495079E-5</v>
      </c>
      <c r="BO1343">
        <f t="shared" si="266"/>
        <v>4.2926796742933539E-5</v>
      </c>
      <c r="BP1343">
        <f t="shared" si="264"/>
        <v>3.5205474181084404</v>
      </c>
    </row>
    <row r="1344" spans="1:68" x14ac:dyDescent="0.15">
      <c r="A1344" s="5">
        <v>45539</v>
      </c>
      <c r="B1344" s="1"/>
      <c r="C1344">
        <v>89.64</v>
      </c>
      <c r="D1344">
        <v>116.55</v>
      </c>
      <c r="E1344">
        <v>100.92</v>
      </c>
      <c r="G1344" s="3">
        <v>-1.39311858652545E-2</v>
      </c>
      <c r="I1344" s="15">
        <f t="shared" si="267"/>
        <v>-2.0113686051596014E-2</v>
      </c>
      <c r="J1344" s="15">
        <f t="shared" si="268"/>
        <v>-6.3938618925831201E-3</v>
      </c>
      <c r="K1344" s="15">
        <f t="shared" si="269"/>
        <v>-4.3409629044987939E-3</v>
      </c>
      <c r="L1344" s="32">
        <f t="shared" si="270"/>
        <v>388563.14988028875</v>
      </c>
      <c r="M1344" s="15"/>
      <c r="N1344" s="32">
        <f t="shared" si="271"/>
        <v>-2689200</v>
      </c>
      <c r="O1344" s="34">
        <f t="shared" si="272"/>
        <v>-0.18721927137229852</v>
      </c>
      <c r="P1344" s="34">
        <f t="shared" si="273"/>
        <v>0.56798617636877036</v>
      </c>
      <c r="Q1344" s="34">
        <f t="shared" si="274"/>
        <v>0.5620755277968873</v>
      </c>
      <c r="R1344" s="35" cm="1">
        <f t="array" ref="R1344">SQRT(MMULT(O1344:Q1344, MMULT($AU$32:$AW$34,TRANSPOSE(O1344:Q1344))))</f>
        <v>1.1610024552623603E-2</v>
      </c>
      <c r="S1344" s="36" cm="1">
        <f t="array" ref="S1344:U1344">TRANSPOSE(MMULT($AU$32:$AW$34, TRANSPOSE(O1344:Q1344))/MMULT(O1344:Q1344, MMULT($AU$32:$AW$34,TRANSPOSE(O1344:Q1344))))</f>
        <v>0.26536644718379943</v>
      </c>
      <c r="T1344" s="36">
        <v>1.2094607077694408</v>
      </c>
      <c r="U1344" s="36">
        <v>0.64533097791307859</v>
      </c>
      <c r="V1344" s="35">
        <f t="shared" si="279"/>
        <v>7.1785225536841277E-3</v>
      </c>
      <c r="W1344" s="35">
        <f t="shared" si="280"/>
        <v>3.2717553634443584E-2</v>
      </c>
      <c r="X1344" s="35">
        <f t="shared" si="281"/>
        <v>1.7457078800664903E-2</v>
      </c>
      <c r="Y1344" s="32">
        <f t="shared" si="282"/>
        <v>-19304.482851367356</v>
      </c>
      <c r="Z1344" s="32">
        <f t="shared" si="275"/>
        <v>266926.16132660798</v>
      </c>
      <c r="AA1344" s="32">
        <f t="shared" si="276"/>
        <v>140941.47140504816</v>
      </c>
      <c r="AB1344" s="40">
        <f t="shared" si="283"/>
        <v>-4.9681712888406469E-2</v>
      </c>
      <c r="AC1344" s="40">
        <f t="shared" si="284"/>
        <v>0.68695696287423158</v>
      </c>
      <c r="AD1344" s="40">
        <f t="shared" si="285"/>
        <v>0.36272475001417503</v>
      </c>
      <c r="AE1344" s="40"/>
      <c r="AF1344" s="40"/>
      <c r="AG1344" s="40"/>
      <c r="AH1344" s="40"/>
      <c r="AI1344" s="40"/>
      <c r="AJ1344" s="40"/>
      <c r="AK1344" s="33">
        <f t="shared" si="277"/>
        <v>8158500</v>
      </c>
      <c r="AL1344" s="33">
        <f t="shared" si="278"/>
        <v>8073600</v>
      </c>
      <c r="AM1344" s="34"/>
      <c r="AN1344" s="33"/>
      <c r="AO1344" s="15" cm="1">
        <f t="array" ref="AO1344">SUMPRODUCT(I1344:K1344, TRANSPOSE($AY$5:$AY$7))</f>
        <v>5.2870313627754366E-4</v>
      </c>
      <c r="AP1344" s="22">
        <f t="shared" si="286"/>
        <v>14363905.91784934</v>
      </c>
      <c r="AQ1344" s="22">
        <f t="shared" si="287"/>
        <v>7590.2291300166398</v>
      </c>
      <c r="AR1344">
        <f t="shared" si="288"/>
        <v>0</v>
      </c>
      <c r="AS1344">
        <f t="shared" si="289"/>
        <v>0</v>
      </c>
      <c r="BJ1344">
        <f t="shared" si="263"/>
        <v>1.9407793961226678E-4</v>
      </c>
      <c r="BK1344">
        <f t="shared" si="265"/>
        <v>7.7833517735693644E-5</v>
      </c>
      <c r="BO1344">
        <f t="shared" si="266"/>
        <v>4.6806711707594543E-5</v>
      </c>
      <c r="BP1344">
        <f t="shared" si="264"/>
        <v>1.9926185031145796</v>
      </c>
    </row>
    <row r="1345" spans="1:68" x14ac:dyDescent="0.15">
      <c r="A1345" s="5">
        <v>45540</v>
      </c>
      <c r="B1345" s="1"/>
      <c r="C1345">
        <v>88.48</v>
      </c>
      <c r="D1345">
        <v>116.95</v>
      </c>
      <c r="E1345">
        <v>98.91</v>
      </c>
      <c r="G1345" s="3">
        <v>-1.1894364796944501E-2</v>
      </c>
      <c r="I1345" s="15">
        <f t="shared" si="267"/>
        <v>-1.2940651494868324E-2</v>
      </c>
      <c r="J1345" s="15">
        <f t="shared" si="268"/>
        <v>3.432003432003481E-3</v>
      </c>
      <c r="K1345" s="15">
        <f t="shared" si="269"/>
        <v>-1.9916765755053557E-2</v>
      </c>
      <c r="L1345" s="32">
        <f t="shared" si="270"/>
        <v>386936.00894715241</v>
      </c>
      <c r="M1345" s="15"/>
      <c r="N1345" s="32">
        <f t="shared" si="271"/>
        <v>-2654400</v>
      </c>
      <c r="O1345" s="34">
        <f t="shared" si="272"/>
        <v>-0.18615918066940132</v>
      </c>
      <c r="P1345" s="34">
        <f t="shared" si="273"/>
        <v>0.57413808489679552</v>
      </c>
      <c r="Q1345" s="34">
        <f t="shared" si="274"/>
        <v>0.55494287402081033</v>
      </c>
      <c r="R1345" s="35" cm="1">
        <f t="array" ref="R1345">SQRT(MMULT(O1345:Q1345, MMULT($AU$32:$AW$34,TRANSPOSE(O1345:Q1345))))</f>
        <v>1.1646657844500481E-2</v>
      </c>
      <c r="S1345" s="36" cm="1">
        <f t="array" ref="S1345:U1345">TRANSPOSE(MMULT($AU$32:$AW$34, TRANSPOSE(O1345:Q1345))/MMULT(O1345:Q1345, MMULT($AU$32:$AW$34,TRANSPOSE(O1345:Q1345))))</f>
        <v>0.26335869774701337</v>
      </c>
      <c r="T1345" s="36">
        <v>1.2109352117247116</v>
      </c>
      <c r="U1345" s="36">
        <v>0.63751177384747548</v>
      </c>
      <c r="V1345" s="35">
        <f t="shared" si="279"/>
        <v>7.146689338266155E-3</v>
      </c>
      <c r="W1345" s="35">
        <f t="shared" si="280"/>
        <v>3.2860801032960033E-2</v>
      </c>
      <c r="X1345" s="35">
        <f t="shared" si="281"/>
        <v>1.7299973899292134E-2</v>
      </c>
      <c r="Y1345" s="32">
        <f t="shared" si="282"/>
        <v>-18970.172179493682</v>
      </c>
      <c r="Z1345" s="32">
        <f t="shared" si="275"/>
        <v>269014.94765632733</v>
      </c>
      <c r="AA1345" s="32">
        <f t="shared" si="276"/>
        <v>136891.23347031878</v>
      </c>
      <c r="AB1345" s="40">
        <f t="shared" si="283"/>
        <v>-4.9026639394744526E-2</v>
      </c>
      <c r="AC1345" s="40">
        <f t="shared" si="284"/>
        <v>0.69524402339372171</v>
      </c>
      <c r="AD1345" s="40">
        <f t="shared" si="285"/>
        <v>0.3537826160010229</v>
      </c>
      <c r="AE1345" s="40"/>
      <c r="AF1345" s="40"/>
      <c r="AG1345" s="40"/>
      <c r="AH1345" s="40"/>
      <c r="AI1345" s="40"/>
      <c r="AJ1345" s="40"/>
      <c r="AK1345" s="33">
        <f t="shared" si="277"/>
        <v>8186500</v>
      </c>
      <c r="AL1345" s="33">
        <f t="shared" si="278"/>
        <v>7912800</v>
      </c>
      <c r="AM1345" s="34"/>
      <c r="AN1345" s="33"/>
      <c r="AO1345" s="15" cm="1">
        <f t="array" ref="AO1345">SUMPRODUCT(I1345:K1345, TRANSPOSE($AY$5:$AY$7))</f>
        <v>-7.3198036011710502E-3</v>
      </c>
      <c r="AP1345" s="22">
        <f t="shared" si="286"/>
        <v>14258764.947584985</v>
      </c>
      <c r="AQ1345" s="22">
        <f t="shared" si="287"/>
        <v>-105140.97026435472</v>
      </c>
      <c r="AR1345">
        <f t="shared" si="288"/>
        <v>0</v>
      </c>
      <c r="AS1345">
        <f t="shared" si="289"/>
        <v>0</v>
      </c>
      <c r="BJ1345">
        <f t="shared" si="263"/>
        <v>1.414759139227926E-4</v>
      </c>
      <c r="BK1345">
        <f t="shared" si="265"/>
        <v>8.480818304828804E-5</v>
      </c>
      <c r="BO1345">
        <f t="shared" si="266"/>
        <v>7.0294635241924291E-5</v>
      </c>
      <c r="BP1345">
        <f t="shared" si="264"/>
        <v>2.8561623816240207</v>
      </c>
    </row>
    <row r="1346" spans="1:68" x14ac:dyDescent="0.15">
      <c r="A1346" s="5">
        <v>45541</v>
      </c>
      <c r="B1346" s="1"/>
      <c r="C1346">
        <v>87.54</v>
      </c>
      <c r="D1346">
        <v>114.45</v>
      </c>
      <c r="E1346">
        <v>98.6</v>
      </c>
      <c r="G1346" s="3">
        <v>-1.02315263455761E-2</v>
      </c>
      <c r="I1346" s="15">
        <f t="shared" si="267"/>
        <v>-1.0623869801084965E-2</v>
      </c>
      <c r="J1346" s="15">
        <f t="shared" si="268"/>
        <v>-2.1376656690893545E-2</v>
      </c>
      <c r="K1346" s="15">
        <f t="shared" si="269"/>
        <v>-3.1341623698311828E-3</v>
      </c>
      <c r="L1346" s="32">
        <f t="shared" si="270"/>
        <v>380966.51678328193</v>
      </c>
      <c r="M1346" s="15"/>
      <c r="N1346" s="32">
        <f t="shared" si="271"/>
        <v>-2626200</v>
      </c>
      <c r="O1346" s="34">
        <f t="shared" si="272"/>
        <v>-0.18645096171604111</v>
      </c>
      <c r="P1346" s="34">
        <f t="shared" si="273"/>
        <v>0.56878831764072169</v>
      </c>
      <c r="Q1346" s="34">
        <f t="shared" si="274"/>
        <v>0.56002025208138462</v>
      </c>
      <c r="R1346" s="35" cm="1">
        <f t="array" ref="R1346">SQRT(MMULT(O1346:Q1346, MMULT($AU$32:$AW$34,TRANSPOSE(O1346:Q1346))))</f>
        <v>1.1608275773029527E-2</v>
      </c>
      <c r="S1346" s="36" cm="1">
        <f t="array" ref="S1346:U1346">TRANSPOSE(MMULT($AU$32:$AW$34, TRANSPOSE(O1346:Q1346))/MMULT(O1346:Q1346, MMULT($AU$32:$AW$34,TRANSPOSE(O1346:Q1346))))</f>
        <v>0.26547768528774696</v>
      </c>
      <c r="T1346" s="36">
        <v>1.2107952378560236</v>
      </c>
      <c r="U1346" s="36">
        <v>0.64428452729614694</v>
      </c>
      <c r="V1346" s="35">
        <f t="shared" si="279"/>
        <v>7.1804499650053042E-3</v>
      </c>
      <c r="W1346" s="35">
        <f t="shared" si="280"/>
        <v>3.2748720909889388E-2</v>
      </c>
      <c r="X1346" s="35">
        <f t="shared" si="281"/>
        <v>1.7426145653118667E-2</v>
      </c>
      <c r="Y1346" s="32">
        <f t="shared" si="282"/>
        <v>-18857.297698096929</v>
      </c>
      <c r="Z1346" s="32">
        <f t="shared" si="275"/>
        <v>262366.37756957882</v>
      </c>
      <c r="AA1346" s="32">
        <f t="shared" si="276"/>
        <v>137457.43691180006</v>
      </c>
      <c r="AB1346" s="40">
        <f t="shared" si="283"/>
        <v>-4.9498569736048915E-2</v>
      </c>
      <c r="AC1346" s="40">
        <f t="shared" si="284"/>
        <v>0.68868618634752499</v>
      </c>
      <c r="AD1346" s="40">
        <f t="shared" si="285"/>
        <v>0.36081238338852395</v>
      </c>
      <c r="AE1346" s="40"/>
      <c r="AF1346" s="40"/>
      <c r="AG1346" s="40"/>
      <c r="AH1346" s="40"/>
      <c r="AI1346" s="40"/>
      <c r="AJ1346" s="40"/>
      <c r="AK1346" s="33">
        <f t="shared" si="277"/>
        <v>8011500</v>
      </c>
      <c r="AL1346" s="33">
        <f t="shared" si="278"/>
        <v>7888000</v>
      </c>
      <c r="AM1346" s="34"/>
      <c r="AN1346" s="33"/>
      <c r="AO1346" s="15" cm="1">
        <f t="array" ref="AO1346">SUMPRODUCT(I1346:K1346, TRANSPOSE($AY$5:$AY$7))</f>
        <v>-1.2172165396521576E-2</v>
      </c>
      <c r="AP1346" s="22">
        <f t="shared" si="286"/>
        <v>14085204.902292857</v>
      </c>
      <c r="AQ1346" s="22">
        <f t="shared" si="287"/>
        <v>-173560.04529212788</v>
      </c>
      <c r="AR1346">
        <f t="shared" si="288"/>
        <v>0</v>
      </c>
      <c r="AS1346">
        <f t="shared" si="289"/>
        <v>0</v>
      </c>
      <c r="BJ1346">
        <f t="shared" ref="BJ1346:BJ1409" si="290">G1346^2</f>
        <v>1.0468413136021783E-4</v>
      </c>
      <c r="BK1346">
        <f t="shared" si="265"/>
        <v>8.8208246900758322E-5</v>
      </c>
      <c r="BO1346">
        <f t="shared" si="266"/>
        <v>8.1226474535489636E-5</v>
      </c>
      <c r="BP1346">
        <f t="shared" ref="BP1346:BP1409" si="291" xml:space="preserve"> -0.5 * (LN(2 * PI()) + LN(BO1346) + (BJ1346) / BO1346)</f>
        <v>3.1457995077948899</v>
      </c>
    </row>
    <row r="1347" spans="1:68" x14ac:dyDescent="0.15">
      <c r="A1347" s="5">
        <v>45544</v>
      </c>
      <c r="B1347" s="1"/>
      <c r="C1347">
        <v>88.1</v>
      </c>
      <c r="D1347">
        <v>115.5</v>
      </c>
      <c r="E1347">
        <v>99.6</v>
      </c>
      <c r="G1347" s="3">
        <v>6.0795195688696504E-3</v>
      </c>
      <c r="I1347" s="15">
        <f t="shared" si="267"/>
        <v>6.3970756225724011E-3</v>
      </c>
      <c r="J1347" s="15">
        <f t="shared" si="268"/>
        <v>9.1743119266054791E-3</v>
      </c>
      <c r="K1347" s="15">
        <f t="shared" si="269"/>
        <v>1.0141987829614604E-2</v>
      </c>
      <c r="L1347" s="32">
        <f t="shared" si="270"/>
        <v>384647.11195189052</v>
      </c>
      <c r="M1347" s="15"/>
      <c r="N1347" s="32">
        <f t="shared" si="271"/>
        <v>-2643000</v>
      </c>
      <c r="O1347" s="34">
        <f t="shared" si="272"/>
        <v>-0.1856052908590434</v>
      </c>
      <c r="P1347" s="34">
        <f t="shared" si="273"/>
        <v>0.56777100892749366</v>
      </c>
      <c r="Q1347" s="34">
        <f t="shared" si="274"/>
        <v>0.55955465666472104</v>
      </c>
      <c r="R1347" s="35" cm="1">
        <f t="array" ref="R1347">SQRT(MMULT(O1347:Q1347, MMULT($AU$32:$AW$34,TRANSPOSE(O1347:Q1347))))</f>
        <v>1.1593104319925444E-2</v>
      </c>
      <c r="S1347" s="36" cm="1">
        <f t="array" ref="S1347:U1347">TRANSPOSE(MMULT($AU$32:$AW$34, TRANSPOSE(O1347:Q1347))/MMULT(O1347:Q1347, MMULT($AU$32:$AW$34,TRANSPOSE(O1347:Q1347))))</f>
        <v>0.26643670530534386</v>
      </c>
      <c r="T1347" s="36">
        <v>1.2121612883461166</v>
      </c>
      <c r="U1347" s="36">
        <v>0.64555270913068041</v>
      </c>
      <c r="V1347" s="35">
        <f t="shared" si="279"/>
        <v>7.1969704498806566E-3</v>
      </c>
      <c r="W1347" s="35">
        <f t="shared" si="280"/>
        <v>3.2742819585306192E-2</v>
      </c>
      <c r="X1347" s="35">
        <f t="shared" si="281"/>
        <v>1.7437626569242543E-2</v>
      </c>
      <c r="Y1347" s="32">
        <f t="shared" si="282"/>
        <v>-19021.592899034575</v>
      </c>
      <c r="Z1347" s="32">
        <f t="shared" si="275"/>
        <v>264725.69634720054</v>
      </c>
      <c r="AA1347" s="32">
        <f t="shared" si="276"/>
        <v>138943.00850372459</v>
      </c>
      <c r="AB1347" s="40">
        <f t="shared" si="283"/>
        <v>-4.9452062183723576E-2</v>
      </c>
      <c r="AC1347" s="40">
        <f t="shared" si="284"/>
        <v>0.68823003766712521</v>
      </c>
      <c r="AD1347" s="40">
        <f t="shared" si="285"/>
        <v>0.36122202451659846</v>
      </c>
      <c r="AE1347" s="40"/>
      <c r="AF1347" s="40"/>
      <c r="AG1347" s="40"/>
      <c r="AH1347" s="40"/>
      <c r="AI1347" s="40"/>
      <c r="AJ1347" s="40"/>
      <c r="AK1347" s="33">
        <f t="shared" si="277"/>
        <v>8085000</v>
      </c>
      <c r="AL1347" s="33">
        <f t="shared" si="278"/>
        <v>7968000</v>
      </c>
      <c r="AM1347" s="34"/>
      <c r="AN1347" s="33"/>
      <c r="AO1347" s="15" cm="1">
        <f t="array" ref="AO1347">SUMPRODUCT(I1347:K1347, TRANSPOSE($AY$5:$AY$7))</f>
        <v>1.0982508901347283E-2</v>
      </c>
      <c r="AP1347" s="22">
        <f t="shared" si="286"/>
        <v>14239895.790509589</v>
      </c>
      <c r="AQ1347" s="22">
        <f t="shared" si="287"/>
        <v>154690.88821673207</v>
      </c>
      <c r="AR1347">
        <f t="shared" si="288"/>
        <v>0</v>
      </c>
      <c r="AS1347">
        <f t="shared" si="289"/>
        <v>0</v>
      </c>
      <c r="BJ1347">
        <f t="shared" si="290"/>
        <v>3.6960558188269022E-5</v>
      </c>
      <c r="BK1347">
        <f t="shared" ref="BK1347:BK1410" si="292">$BM$2 * BK1346 + (1 - $BM$2) * BJ1346</f>
        <v>8.9196799968325894E-5</v>
      </c>
      <c r="BO1347">
        <f t="shared" ref="BO1347:BO1410" si="293" xml:space="preserve"> $BR$2 + $BS$2 * BJ1346 + $BT$2 * BO1346</f>
        <v>8.4561285111544487E-5</v>
      </c>
      <c r="BP1347">
        <f t="shared" si="291"/>
        <v>3.5515354506722181</v>
      </c>
    </row>
    <row r="1348" spans="1:68" x14ac:dyDescent="0.15">
      <c r="A1348" s="5">
        <v>45545</v>
      </c>
      <c r="B1348" s="1"/>
      <c r="C1348">
        <v>88.3</v>
      </c>
      <c r="D1348">
        <v>115.35</v>
      </c>
      <c r="E1348">
        <v>98.81</v>
      </c>
      <c r="G1348" s="3">
        <v>-1.3290826049577799E-3</v>
      </c>
      <c r="I1348" s="15">
        <f t="shared" ref="I1348:I1411" si="294">(C1348-C1347)/C1347</f>
        <v>2.2701475595914059E-3</v>
      </c>
      <c r="J1348" s="15">
        <f t="shared" ref="J1348:J1411" si="295">(D1348-D1347)/D1347</f>
        <v>-1.2987012987013479E-3</v>
      </c>
      <c r="K1348" s="15">
        <f t="shared" ref="K1348:K1411" si="296">(E1348-E1347)/E1347</f>
        <v>-7.9317269076304431E-3</v>
      </c>
      <c r="L1348" s="32">
        <f t="shared" si="270"/>
        <v>383159.78445476852</v>
      </c>
      <c r="M1348" s="15"/>
      <c r="N1348" s="32">
        <f t="shared" si="271"/>
        <v>-2649000</v>
      </c>
      <c r="O1348" s="34">
        <f t="shared" si="272"/>
        <v>-0.18745018397702048</v>
      </c>
      <c r="P1348" s="34">
        <f t="shared" si="273"/>
        <v>0.57137278615419096</v>
      </c>
      <c r="Q1348" s="34">
        <f t="shared" si="274"/>
        <v>0.55936436930975897</v>
      </c>
      <c r="R1348" s="35" cm="1">
        <f t="array" ref="R1348">SQRT(MMULT(O1348:Q1348, MMULT($AU$32:$AW$34,TRANSPOSE(O1348:Q1348))))</f>
        <v>1.163664838924428E-2</v>
      </c>
      <c r="S1348" s="36" cm="1">
        <f t="array" ref="S1348:U1348">TRANSPOSE(MMULT($AU$32:$AW$34, TRANSPOSE(O1348:Q1348))/MMULT(O1348:Q1348, MMULT($AU$32:$AW$34,TRANSPOSE(O1348:Q1348))))</f>
        <v>0.26375675779098723</v>
      </c>
      <c r="T1348" s="36">
        <v>1.2091291644296416</v>
      </c>
      <c r="U1348" s="36">
        <v>0.64104503780804878</v>
      </c>
      <c r="V1348" s="35">
        <f t="shared" si="279"/>
        <v>7.1513400361328293E-3</v>
      </c>
      <c r="W1348" s="35">
        <f t="shared" si="280"/>
        <v>3.2783591498700936E-2</v>
      </c>
      <c r="X1348" s="35">
        <f t="shared" si="281"/>
        <v>1.738090459647602E-2</v>
      </c>
      <c r="Y1348" s="32">
        <f t="shared" si="282"/>
        <v>-18943.899755715865</v>
      </c>
      <c r="Z1348" s="32">
        <f t="shared" si="275"/>
        <v>264711.10955626069</v>
      </c>
      <c r="AA1348" s="32">
        <f t="shared" si="276"/>
        <v>137392.57465422366</v>
      </c>
      <c r="AB1348" s="40">
        <f t="shared" si="283"/>
        <v>-4.9441252773102982E-2</v>
      </c>
      <c r="AC1348" s="40">
        <f t="shared" si="284"/>
        <v>0.69086349950045312</v>
      </c>
      <c r="AD1348" s="40">
        <f t="shared" si="285"/>
        <v>0.35857775327264979</v>
      </c>
      <c r="AE1348" s="40"/>
      <c r="AF1348" s="40"/>
      <c r="AG1348" s="40"/>
      <c r="AH1348" s="40"/>
      <c r="AI1348" s="40"/>
      <c r="AJ1348" s="40"/>
      <c r="AK1348" s="33">
        <f t="shared" si="277"/>
        <v>8074500</v>
      </c>
      <c r="AL1348" s="33">
        <f t="shared" si="278"/>
        <v>7904800</v>
      </c>
      <c r="AM1348" s="34"/>
      <c r="AN1348" s="33"/>
      <c r="AO1348" s="15" cm="1">
        <f t="array" ref="AO1348">SUMPRODUCT(I1348:K1348, TRANSPOSE($AY$5:$AY$7))</f>
        <v>-7.5942401852253831E-3</v>
      </c>
      <c r="AP1348" s="22">
        <f t="shared" si="286"/>
        <v>14131754.60166388</v>
      </c>
      <c r="AQ1348" s="22">
        <f t="shared" si="287"/>
        <v>-108141.18884570897</v>
      </c>
      <c r="AR1348">
        <f t="shared" si="288"/>
        <v>0</v>
      </c>
      <c r="AS1348">
        <f t="shared" si="289"/>
        <v>0</v>
      </c>
      <c r="BJ1348">
        <f t="shared" si="290"/>
        <v>1.766460570801358E-6</v>
      </c>
      <c r="BK1348">
        <f t="shared" si="292"/>
        <v>8.6062625461522476E-5</v>
      </c>
      <c r="BO1348">
        <f t="shared" si="293"/>
        <v>7.7531835815060785E-5</v>
      </c>
      <c r="BP1348">
        <f t="shared" si="291"/>
        <v>3.8020805871992169</v>
      </c>
    </row>
    <row r="1349" spans="1:68" x14ac:dyDescent="0.15">
      <c r="A1349" s="5">
        <v>45546</v>
      </c>
      <c r="B1349" s="1"/>
      <c r="C1349">
        <v>87.76</v>
      </c>
      <c r="D1349">
        <v>114.6</v>
      </c>
      <c r="E1349">
        <v>97.47</v>
      </c>
      <c r="G1349" s="3">
        <v>-3.4942884495423598E-3</v>
      </c>
      <c r="I1349" s="15">
        <f t="shared" si="294"/>
        <v>-6.1155152887881316E-3</v>
      </c>
      <c r="J1349" s="15">
        <f t="shared" si="295"/>
        <v>-6.5019505851755532E-3</v>
      </c>
      <c r="K1349" s="15">
        <f t="shared" si="296"/>
        <v>-1.3561380427082314E-2</v>
      </c>
      <c r="L1349" s="32">
        <f t="shared" si="270"/>
        <v>379692.83253366407</v>
      </c>
      <c r="M1349" s="15"/>
      <c r="N1349" s="32">
        <f t="shared" si="271"/>
        <v>-2632800</v>
      </c>
      <c r="O1349" s="34">
        <f t="shared" si="272"/>
        <v>-0.18853932797103337</v>
      </c>
      <c r="P1349" s="34">
        <f t="shared" si="273"/>
        <v>0.57446919210864089</v>
      </c>
      <c r="Q1349" s="34">
        <f t="shared" si="274"/>
        <v>0.55839952286042605</v>
      </c>
      <c r="R1349" s="35" cm="1">
        <f t="array" ref="R1349">SQRT(MMULT(O1349:Q1349, MMULT($AU$32:$AW$34,TRANSPOSE(O1349:Q1349))))</f>
        <v>1.1669723429830596E-2</v>
      </c>
      <c r="S1349" s="36" cm="1">
        <f t="array" ref="S1349:U1349">TRANSPOSE(MMULT($AU$32:$AW$34, TRANSPOSE(O1349:Q1349))/MMULT(O1349:Q1349, MMULT($AU$32:$AW$34,TRANSPOSE(O1349:Q1349))))</f>
        <v>0.26177325891840769</v>
      </c>
      <c r="T1349" s="36">
        <v>1.2072931302092706</v>
      </c>
      <c r="U1349" s="36">
        <v>0.63718149926959389</v>
      </c>
      <c r="V1349" s="35">
        <f t="shared" si="279"/>
        <v>7.1177341716645807E-3</v>
      </c>
      <c r="W1349" s="35">
        <f t="shared" si="280"/>
        <v>3.2826850242884592E-2</v>
      </c>
      <c r="X1349" s="35">
        <f t="shared" si="281"/>
        <v>1.7325255259618654E-2</v>
      </c>
      <c r="Y1349" s="32">
        <f t="shared" si="282"/>
        <v>-18739.570527158507</v>
      </c>
      <c r="Z1349" s="32">
        <f t="shared" si="275"/>
        <v>263336.99264842022</v>
      </c>
      <c r="AA1349" s="32">
        <f t="shared" si="276"/>
        <v>135095.41041240242</v>
      </c>
      <c r="AB1349" s="40">
        <f t="shared" si="283"/>
        <v>-4.9354554317263891E-2</v>
      </c>
      <c r="AC1349" s="40">
        <f t="shared" si="284"/>
        <v>0.69355270914963196</v>
      </c>
      <c r="AD1349" s="40">
        <f t="shared" si="285"/>
        <v>0.35580184516763214</v>
      </c>
      <c r="AE1349" s="40"/>
      <c r="AF1349" s="40"/>
      <c r="AG1349" s="40"/>
      <c r="AH1349" s="40"/>
      <c r="AI1349" s="40"/>
      <c r="AJ1349" s="40"/>
      <c r="AK1349" s="33">
        <f t="shared" si="277"/>
        <v>8022000</v>
      </c>
      <c r="AL1349" s="33">
        <f t="shared" si="278"/>
        <v>7797600</v>
      </c>
      <c r="AM1349" s="34"/>
      <c r="AN1349" s="33"/>
      <c r="AO1349" s="15" cm="1">
        <f t="array" ref="AO1349">SUMPRODUCT(I1349:K1349, TRANSPOSE($AY$5:$AY$7))</f>
        <v>-1.185693448718554E-2</v>
      </c>
      <c r="AP1349" s="22">
        <f t="shared" si="286"/>
        <v>13964195.313162969</v>
      </c>
      <c r="AQ1349" s="22">
        <f t="shared" si="287"/>
        <v>-167559.28850091062</v>
      </c>
      <c r="AR1349">
        <f t="shared" si="288"/>
        <v>0</v>
      </c>
      <c r="AS1349">
        <f t="shared" si="289"/>
        <v>0</v>
      </c>
      <c r="BJ1349">
        <f t="shared" si="290"/>
        <v>1.221005176860515E-5</v>
      </c>
      <c r="BK1349">
        <f t="shared" si="292"/>
        <v>8.1004855568079205E-5</v>
      </c>
      <c r="BO1349">
        <f t="shared" si="293"/>
        <v>6.700573464965731E-5</v>
      </c>
      <c r="BP1349">
        <f t="shared" si="291"/>
        <v>3.7953156511404704</v>
      </c>
    </row>
    <row r="1350" spans="1:68" x14ac:dyDescent="0.15">
      <c r="A1350" s="5">
        <v>45547</v>
      </c>
      <c r="B1350" s="1"/>
      <c r="C1350">
        <v>87.88</v>
      </c>
      <c r="D1350">
        <v>115.2</v>
      </c>
      <c r="E1350">
        <v>98.44</v>
      </c>
      <c r="G1350" s="3">
        <v>4.9848758261017397E-3</v>
      </c>
      <c r="I1350" s="15">
        <f t="shared" si="294"/>
        <v>1.3673655423882215E-3</v>
      </c>
      <c r="J1350" s="15">
        <f t="shared" si="295"/>
        <v>5.2356020942409126E-3</v>
      </c>
      <c r="K1350" s="15">
        <f t="shared" si="296"/>
        <v>9.9517800348825156E-3</v>
      </c>
      <c r="L1350" s="32">
        <f t="shared" si="270"/>
        <v>382391.3420875466</v>
      </c>
      <c r="M1350" s="15"/>
      <c r="N1350" s="32">
        <f t="shared" si="271"/>
        <v>-2636400</v>
      </c>
      <c r="O1350" s="34">
        <f t="shared" si="272"/>
        <v>-0.18688408728653619</v>
      </c>
      <c r="P1350" s="34">
        <f t="shared" si="273"/>
        <v>0.57162542856874066</v>
      </c>
      <c r="Q1350" s="34">
        <f t="shared" si="274"/>
        <v>0.55824213480463125</v>
      </c>
      <c r="R1350" s="35" cm="1">
        <f t="array" ref="R1350">SQRT(MMULT(O1350:Q1350, MMULT($AU$32:$AW$34,TRANSPOSE(O1350:Q1350))))</f>
        <v>1.1633573834313142E-2</v>
      </c>
      <c r="S1350" s="36" cm="1">
        <f t="array" ref="S1350:U1350">TRANSPOSE(MMULT($AU$32:$AW$34, TRANSPOSE(O1350:Q1350))/MMULT(O1350:Q1350, MMULT($AU$32:$AW$34,TRANSPOSE(O1350:Q1350))))</f>
        <v>0.26399315423573244</v>
      </c>
      <c r="T1350" s="36">
        <v>1.2099984672302593</v>
      </c>
      <c r="U1350" s="36">
        <v>0.64070804581312524</v>
      </c>
      <c r="V1350" s="35">
        <f t="shared" si="279"/>
        <v>7.1558583741222429E-3</v>
      </c>
      <c r="W1350" s="35">
        <f t="shared" si="280"/>
        <v>3.2798493163474461E-2</v>
      </c>
      <c r="X1350" s="35">
        <f t="shared" si="281"/>
        <v>1.7367177752288767E-2</v>
      </c>
      <c r="Y1350" s="32">
        <f t="shared" si="282"/>
        <v>-18865.705017535882</v>
      </c>
      <c r="Z1350" s="32">
        <f t="shared" si="275"/>
        <v>264487.04887025803</v>
      </c>
      <c r="AA1350" s="32">
        <f t="shared" si="276"/>
        <v>136769.99823482451</v>
      </c>
      <c r="AB1350" s="40">
        <f t="shared" si="283"/>
        <v>-4.9336119679238635E-2</v>
      </c>
      <c r="AC1350" s="40">
        <f t="shared" si="284"/>
        <v>0.69166589239801624</v>
      </c>
      <c r="AD1350" s="40">
        <f t="shared" si="285"/>
        <v>0.35767022728122255</v>
      </c>
      <c r="AE1350" s="40"/>
      <c r="AF1350" s="40"/>
      <c r="AG1350" s="40"/>
      <c r="AH1350" s="40"/>
      <c r="AI1350" s="40"/>
      <c r="AJ1350" s="40"/>
      <c r="AK1350" s="33">
        <f t="shared" si="277"/>
        <v>8064000</v>
      </c>
      <c r="AL1350" s="33">
        <f t="shared" si="278"/>
        <v>7875200</v>
      </c>
      <c r="AM1350" s="34"/>
      <c r="AN1350" s="33"/>
      <c r="AO1350" s="15" cm="1">
        <f t="array" ref="AO1350">SUMPRODUCT(I1350:K1350, TRANSPOSE($AY$5:$AY$7))</f>
        <v>1.0236520897665857E-2</v>
      </c>
      <c r="AP1350" s="22">
        <f t="shared" si="286"/>
        <v>14107140.090305248</v>
      </c>
      <c r="AQ1350" s="22">
        <f t="shared" si="287"/>
        <v>142944.77714227885</v>
      </c>
      <c r="AR1350">
        <f t="shared" si="288"/>
        <v>0</v>
      </c>
      <c r="AS1350">
        <f t="shared" si="289"/>
        <v>0</v>
      </c>
      <c r="BJ1350">
        <f t="shared" si="290"/>
        <v>2.4848987001653503E-5</v>
      </c>
      <c r="BK1350">
        <f t="shared" si="292"/>
        <v>7.6877167340110765E-5</v>
      </c>
      <c r="BO1350">
        <f t="shared" si="293"/>
        <v>6.0236662078494131E-5</v>
      </c>
      <c r="BP1350">
        <f t="shared" si="291"/>
        <v>3.7334148388601167</v>
      </c>
    </row>
    <row r="1351" spans="1:68" x14ac:dyDescent="0.15">
      <c r="A1351" s="5">
        <v>45548</v>
      </c>
      <c r="B1351" s="1"/>
      <c r="C1351">
        <v>87.6</v>
      </c>
      <c r="D1351">
        <v>115.85</v>
      </c>
      <c r="E1351">
        <v>98.16</v>
      </c>
      <c r="G1351" s="3">
        <v>4.5850005068035398E-3</v>
      </c>
      <c r="I1351" s="15">
        <f t="shared" si="294"/>
        <v>-3.1861629494765722E-3</v>
      </c>
      <c r="J1351" s="15">
        <f t="shared" si="295"/>
        <v>5.6423611111110373E-3</v>
      </c>
      <c r="K1351" s="15">
        <f t="shared" si="296"/>
        <v>-2.8443722064201661E-3</v>
      </c>
      <c r="L1351" s="32">
        <f t="shared" si="270"/>
        <v>383556.5171441079</v>
      </c>
      <c r="M1351" s="15"/>
      <c r="N1351" s="32">
        <f t="shared" si="271"/>
        <v>-2628000</v>
      </c>
      <c r="O1351" s="34">
        <f t="shared" si="272"/>
        <v>-0.18575573194678885</v>
      </c>
      <c r="P1351" s="34">
        <f t="shared" si="273"/>
        <v>0.57320628166761189</v>
      </c>
      <c r="Q1351" s="34">
        <f t="shared" si="274"/>
        <v>0.5550618766483042</v>
      </c>
      <c r="R1351" s="35" cm="1">
        <f t="array" ref="R1351">SQRT(MMULT(O1351:Q1351, MMULT($AU$32:$AW$34,TRANSPOSE(O1351:Q1351))))</f>
        <v>1.1635640867427183E-2</v>
      </c>
      <c r="S1351" s="36" cm="1">
        <f t="array" ref="S1351:U1351">TRANSPOSE(MMULT($AU$32:$AW$34, TRANSPOSE(O1351:Q1351))/MMULT(O1351:Q1351, MMULT($AU$32:$AW$34,TRANSPOSE(O1351:Q1351))))</f>
        <v>0.26399843442962401</v>
      </c>
      <c r="T1351" s="36">
        <v>1.2116735508465668</v>
      </c>
      <c r="U1351" s="36">
        <v>0.63866813171380066</v>
      </c>
      <c r="V1351" s="35">
        <f t="shared" si="279"/>
        <v>7.1572729661256796E-3</v>
      </c>
      <c r="W1351" s="35">
        <f t="shared" si="280"/>
        <v>3.2849734006871446E-2</v>
      </c>
      <c r="X1351" s="35">
        <f t="shared" si="281"/>
        <v>1.7314959322835447E-2</v>
      </c>
      <c r="Y1351" s="32">
        <f t="shared" si="282"/>
        <v>-18809.313354978287</v>
      </c>
      <c r="Z1351" s="32">
        <f t="shared" si="275"/>
        <v>266394.91792872397</v>
      </c>
      <c r="AA1351" s="32">
        <f t="shared" si="276"/>
        <v>135970.91257036221</v>
      </c>
      <c r="AB1351" s="40">
        <f t="shared" si="283"/>
        <v>-4.9039222420281151E-2</v>
      </c>
      <c r="AC1351" s="40">
        <f t="shared" si="284"/>
        <v>0.69453889067575258</v>
      </c>
      <c r="AD1351" s="40">
        <f t="shared" si="285"/>
        <v>0.35450033174452855</v>
      </c>
      <c r="AE1351" s="40"/>
      <c r="AF1351" s="40"/>
      <c r="AG1351" s="40"/>
      <c r="AH1351" s="40"/>
      <c r="AI1351" s="40"/>
      <c r="AJ1351" s="40"/>
      <c r="AK1351" s="33">
        <f t="shared" si="277"/>
        <v>8109500</v>
      </c>
      <c r="AL1351" s="33">
        <f t="shared" si="278"/>
        <v>7852800</v>
      </c>
      <c r="AM1351" s="34"/>
      <c r="AN1351" s="33"/>
      <c r="AO1351" s="15" cm="1">
        <f t="array" ref="AO1351">SUMPRODUCT(I1351:K1351, TRANSPOSE($AY$5:$AY$7))</f>
        <v>2.8688868946497113E-3</v>
      </c>
      <c r="AP1351" s="22">
        <f t="shared" si="286"/>
        <v>14147611.879631314</v>
      </c>
      <c r="AQ1351" s="22">
        <f t="shared" si="287"/>
        <v>40471.789326066151</v>
      </c>
      <c r="AR1351">
        <f t="shared" si="288"/>
        <v>0</v>
      </c>
      <c r="AS1351">
        <f t="shared" si="289"/>
        <v>0</v>
      </c>
      <c r="BJ1351">
        <f t="shared" si="290"/>
        <v>2.1022229647388718E-5</v>
      </c>
      <c r="BK1351">
        <f t="shared" si="292"/>
        <v>7.3755476519803327E-5</v>
      </c>
      <c r="BO1351">
        <f t="shared" si="293"/>
        <v>5.6727184471241025E-5</v>
      </c>
      <c r="BP1351">
        <f t="shared" si="291"/>
        <v>3.7843975993750214</v>
      </c>
    </row>
    <row r="1352" spans="1:68" x14ac:dyDescent="0.15">
      <c r="A1352" s="5">
        <v>45551</v>
      </c>
      <c r="B1352" s="1"/>
      <c r="C1352">
        <v>86.76</v>
      </c>
      <c r="D1352">
        <v>116.15</v>
      </c>
      <c r="E1352">
        <v>98.41</v>
      </c>
      <c r="G1352" s="3">
        <v>-2.6425737111565001E-3</v>
      </c>
      <c r="I1352" s="15">
        <f t="shared" si="294"/>
        <v>-9.5890410958902883E-3</v>
      </c>
      <c r="J1352" s="15">
        <f t="shared" si="295"/>
        <v>2.5895554596461925E-3</v>
      </c>
      <c r="K1352" s="15">
        <f t="shared" si="296"/>
        <v>2.5468622656886716E-3</v>
      </c>
      <c r="L1352" s="32">
        <f t="shared" si="270"/>
        <v>384773.87774267606</v>
      </c>
      <c r="M1352" s="15"/>
      <c r="N1352" s="32">
        <f t="shared" si="271"/>
        <v>-2602800</v>
      </c>
      <c r="O1352" s="34">
        <f t="shared" si="272"/>
        <v>-0.18263034804385594</v>
      </c>
      <c r="P1352" s="34">
        <f t="shared" si="273"/>
        <v>0.57049179528606531</v>
      </c>
      <c r="Q1352" s="34">
        <f t="shared" si="274"/>
        <v>0.55240979102492282</v>
      </c>
      <c r="R1352" s="35" cm="1">
        <f t="array" ref="R1352">SQRT(MMULT(O1352:Q1352, MMULT($AU$32:$AW$34,TRANSPOSE(O1352:Q1352))))</f>
        <v>1.1587288171393007E-2</v>
      </c>
      <c r="S1352" s="36" cm="1">
        <f t="array" ref="S1352:U1352">TRANSPOSE(MMULT($AU$32:$AW$34, TRANSPOSE(O1352:Q1352))/MMULT(O1352:Q1352, MMULT($AU$32:$AW$34,TRANSPOSE(O1352:Q1352))))</f>
        <v>0.26708235055068275</v>
      </c>
      <c r="T1352" s="36">
        <v>1.2167340690316502</v>
      </c>
      <c r="U1352" s="36">
        <v>0.64198814896431955</v>
      </c>
      <c r="V1352" s="35">
        <f t="shared" si="279"/>
        <v>7.2107911758843768E-3</v>
      </c>
      <c r="W1352" s="35">
        <f t="shared" si="280"/>
        <v>3.2849850505963681E-2</v>
      </c>
      <c r="X1352" s="35">
        <f t="shared" si="281"/>
        <v>1.7332640925278191E-2</v>
      </c>
      <c r="Y1352" s="32">
        <f t="shared" si="282"/>
        <v>-18768.247272591856</v>
      </c>
      <c r="Z1352" s="32">
        <f t="shared" si="275"/>
        <v>267085.70953873772</v>
      </c>
      <c r="AA1352" s="32">
        <f t="shared" si="276"/>
        <v>136456.41547653015</v>
      </c>
      <c r="AB1352" s="40">
        <f t="shared" si="283"/>
        <v>-4.8777342637442329E-2</v>
      </c>
      <c r="AC1352" s="40">
        <f t="shared" si="284"/>
        <v>0.69413680342758544</v>
      </c>
      <c r="AD1352" s="40">
        <f t="shared" si="285"/>
        <v>0.35464053920985678</v>
      </c>
      <c r="AE1352" s="40"/>
      <c r="AF1352" s="40"/>
      <c r="AG1352" s="40"/>
      <c r="AH1352" s="40"/>
      <c r="AI1352" s="40"/>
      <c r="AJ1352" s="40"/>
      <c r="AK1352" s="33">
        <f t="shared" si="277"/>
        <v>8130500</v>
      </c>
      <c r="AL1352" s="33">
        <f t="shared" si="278"/>
        <v>7872800</v>
      </c>
      <c r="AM1352" s="34"/>
      <c r="AN1352" s="33"/>
      <c r="AO1352" s="15" cm="1">
        <f t="array" ref="AO1352">SUMPRODUCT(I1352:K1352, TRANSPOSE($AY$5:$AY$7))</f>
        <v>7.3600284393872117E-3</v>
      </c>
      <c r="AP1352" s="22">
        <f t="shared" si="286"/>
        <v>14251738.705414811</v>
      </c>
      <c r="AQ1352" s="22">
        <f t="shared" si="287"/>
        <v>104126.82578349672</v>
      </c>
      <c r="AR1352">
        <f t="shared" si="288"/>
        <v>0</v>
      </c>
      <c r="AS1352">
        <f t="shared" si="289"/>
        <v>0</v>
      </c>
      <c r="BJ1352">
        <f t="shared" si="290"/>
        <v>6.9831958188954377E-6</v>
      </c>
      <c r="BK1352">
        <f t="shared" si="292"/>
        <v>7.0591481707458443E-5</v>
      </c>
      <c r="BO1352">
        <f t="shared" si="293"/>
        <v>5.3429417065241365E-5</v>
      </c>
      <c r="BP1352">
        <f t="shared" si="291"/>
        <v>3.9342862792551601</v>
      </c>
    </row>
    <row r="1353" spans="1:68" x14ac:dyDescent="0.15">
      <c r="A1353" s="5">
        <v>45552</v>
      </c>
      <c r="B1353" s="1"/>
      <c r="C1353">
        <v>86.46</v>
      </c>
      <c r="D1353">
        <v>115.85</v>
      </c>
      <c r="E1353">
        <v>98.03</v>
      </c>
      <c r="G1353" s="3">
        <v>3.1081098286922498E-3</v>
      </c>
      <c r="I1353" s="15">
        <f t="shared" si="294"/>
        <v>-3.457814661134294E-3</v>
      </c>
      <c r="J1353" s="15">
        <f t="shared" si="295"/>
        <v>-2.5828669823505066E-3</v>
      </c>
      <c r="K1353" s="15">
        <f t="shared" si="296"/>
        <v>-3.8613961995731679E-3</v>
      </c>
      <c r="L1353" s="32">
        <f t="shared" si="270"/>
        <v>383622.05681000359</v>
      </c>
      <c r="M1353" s="15"/>
      <c r="N1353" s="32">
        <f t="shared" si="271"/>
        <v>-2593800</v>
      </c>
      <c r="O1353" s="34">
        <f t="shared" si="272"/>
        <v>-0.18257947145798153</v>
      </c>
      <c r="P1353" s="34">
        <f t="shared" si="273"/>
        <v>0.57083361237894259</v>
      </c>
      <c r="Q1353" s="34">
        <f t="shared" si="274"/>
        <v>0.55203224880949742</v>
      </c>
      <c r="R1353" s="35" cm="1">
        <f t="array" ref="R1353">SQRT(MMULT(O1353:Q1353, MMULT($AU$32:$AW$34,TRANSPOSE(O1353:Q1353))))</f>
        <v>1.1589457523171667E-2</v>
      </c>
      <c r="S1353" s="36" cm="1">
        <f t="array" ref="S1353:U1353">TRANSPOSE(MMULT($AU$32:$AW$34, TRANSPOSE(O1353:Q1353))/MMULT(O1353:Q1353, MMULT($AU$32:$AW$34,TRANSPOSE(O1353:Q1353))))</f>
        <v>0.26696434054589085</v>
      </c>
      <c r="T1353" s="36">
        <v>1.2167920919140172</v>
      </c>
      <c r="U1353" s="36">
        <v>0.64155016960939448</v>
      </c>
      <c r="V1353" s="35">
        <f t="shared" si="279"/>
        <v>7.2089544919524615E-3</v>
      </c>
      <c r="W1353" s="35">
        <f t="shared" si="280"/>
        <v>3.2857567414581068E-2</v>
      </c>
      <c r="X1353" s="35">
        <f t="shared" si="281"/>
        <v>1.7324058964434959E-2</v>
      </c>
      <c r="Y1353" s="32">
        <f t="shared" si="282"/>
        <v>-18698.586161226296</v>
      </c>
      <c r="Z1353" s="32">
        <f t="shared" si="275"/>
        <v>266458.44294854515</v>
      </c>
      <c r="AA1353" s="32">
        <f t="shared" si="276"/>
        <v>135862.20002268473</v>
      </c>
      <c r="AB1353" s="40">
        <f t="shared" si="283"/>
        <v>-4.8742208194997354E-2</v>
      </c>
      <c r="AC1353" s="40">
        <f t="shared" si="284"/>
        <v>0.69458582534140878</v>
      </c>
      <c r="AD1353" s="40">
        <f t="shared" si="285"/>
        <v>0.35415638285358858</v>
      </c>
      <c r="AE1353" s="40"/>
      <c r="AF1353" s="40"/>
      <c r="AG1353" s="40"/>
      <c r="AH1353" s="40"/>
      <c r="AI1353" s="40"/>
      <c r="AJ1353" s="40"/>
      <c r="AK1353" s="33">
        <f t="shared" si="277"/>
        <v>8109500</v>
      </c>
      <c r="AL1353" s="33">
        <f t="shared" si="278"/>
        <v>7842400</v>
      </c>
      <c r="AM1353" s="34"/>
      <c r="AN1353" s="33"/>
      <c r="AO1353" s="15" cm="1">
        <f t="array" ref="AO1353">SUMPRODUCT(I1353:K1353, TRANSPOSE($AY$5:$AY$7))</f>
        <v>-3.1801237265235028E-3</v>
      </c>
      <c r="AP1353" s="22">
        <f t="shared" si="286"/>
        <v>14206416.413013507</v>
      </c>
      <c r="AQ1353" s="22">
        <f t="shared" si="287"/>
        <v>-45322.292401304469</v>
      </c>
      <c r="AR1353">
        <f t="shared" si="288"/>
        <v>0</v>
      </c>
      <c r="AS1353">
        <f t="shared" si="289"/>
        <v>0</v>
      </c>
      <c r="BJ1353">
        <f t="shared" si="290"/>
        <v>9.6603467072133665E-6</v>
      </c>
      <c r="BK1353">
        <f t="shared" si="292"/>
        <v>6.6774984554144654E-5</v>
      </c>
      <c r="BO1353">
        <f t="shared" si="293"/>
        <v>4.8843276313263157E-5</v>
      </c>
      <c r="BP1353">
        <f t="shared" si="291"/>
        <v>3.9456171165588825</v>
      </c>
    </row>
    <row r="1354" spans="1:68" x14ac:dyDescent="0.15">
      <c r="A1354" s="5">
        <v>45553</v>
      </c>
      <c r="B1354" s="1"/>
      <c r="C1354">
        <v>85.7</v>
      </c>
      <c r="D1354">
        <v>115.4</v>
      </c>
      <c r="E1354">
        <v>98.04</v>
      </c>
      <c r="G1354" s="3">
        <v>-5.0220839585715105E-3</v>
      </c>
      <c r="I1354" s="15">
        <f t="shared" si="294"/>
        <v>-8.7901919962987615E-3</v>
      </c>
      <c r="J1354" s="15">
        <f t="shared" si="295"/>
        <v>-3.8843331894690431E-3</v>
      </c>
      <c r="K1354" s="15">
        <f t="shared" si="296"/>
        <v>1.0200958890140891E-4</v>
      </c>
      <c r="L1354" s="32">
        <f t="shared" si="270"/>
        <v>382766.10803885112</v>
      </c>
      <c r="M1354" s="15"/>
      <c r="N1354" s="32">
        <f t="shared" si="271"/>
        <v>-2571000</v>
      </c>
      <c r="O1354" s="34">
        <f t="shared" si="272"/>
        <v>-0.18079596473068868</v>
      </c>
      <c r="P1354" s="34">
        <f t="shared" si="273"/>
        <v>0.56805515484033575</v>
      </c>
      <c r="Q1354" s="34">
        <f t="shared" si="274"/>
        <v>0.55154372251098316</v>
      </c>
      <c r="R1354" s="35" cm="1">
        <f t="array" ref="R1354">SQRT(MMULT(O1354:Q1354, MMULT($AU$32:$AW$34,TRANSPOSE(O1354:Q1354))))</f>
        <v>1.1552187033167084E-2</v>
      </c>
      <c r="S1354" s="36" cm="1">
        <f t="array" ref="S1354:U1354">TRANSPOSE(MMULT($AU$32:$AW$34, TRANSPOSE(O1354:Q1354))/MMULT(O1354:Q1354, MMULT($AU$32:$AW$34,TRANSPOSE(O1354:Q1354))))</f>
        <v>0.26927731493559248</v>
      </c>
      <c r="T1354" s="36">
        <v>1.2198177957638767</v>
      </c>
      <c r="U1354" s="36">
        <v>0.64502676862057762</v>
      </c>
      <c r="V1354" s="35">
        <f t="shared" si="279"/>
        <v>7.2480286408052527E-3</v>
      </c>
      <c r="W1354" s="35">
        <f t="shared" si="280"/>
        <v>3.2833342542706298E-2</v>
      </c>
      <c r="X1354" s="35">
        <f t="shared" si="281"/>
        <v>1.7361924802935025E-2</v>
      </c>
      <c r="Y1354" s="32">
        <f t="shared" si="282"/>
        <v>-18634.681635510304</v>
      </c>
      <c r="Z1354" s="32">
        <f t="shared" si="275"/>
        <v>265227.74105998146</v>
      </c>
      <c r="AA1354" s="32">
        <f t="shared" si="276"/>
        <v>136173.04861438001</v>
      </c>
      <c r="AB1354" s="40">
        <f t="shared" si="283"/>
        <v>-4.8684251933869931E-2</v>
      </c>
      <c r="AC1354" s="40">
        <f t="shared" si="284"/>
        <v>0.69292378684964606</v>
      </c>
      <c r="AD1354" s="40">
        <f t="shared" si="285"/>
        <v>0.35576046508422399</v>
      </c>
      <c r="AE1354" s="40"/>
      <c r="AF1354" s="40"/>
      <c r="AG1354" s="40"/>
      <c r="AH1354" s="40"/>
      <c r="AI1354" s="40"/>
      <c r="AJ1354" s="40"/>
      <c r="AK1354" s="33">
        <f t="shared" si="277"/>
        <v>8078000</v>
      </c>
      <c r="AL1354" s="33">
        <f t="shared" si="278"/>
        <v>7843200.0000000009</v>
      </c>
      <c r="AM1354" s="34"/>
      <c r="AN1354" s="33"/>
      <c r="AO1354" s="15" cm="1">
        <f t="array" ref="AO1354">SUMPRODUCT(I1354:K1354, TRANSPOSE($AY$5:$AY$7))</f>
        <v>9.8784350004971059E-4</v>
      </c>
      <c r="AP1354" s="22">
        <f t="shared" si="286"/>
        <v>14220450.129126102</v>
      </c>
      <c r="AQ1354" s="22">
        <f t="shared" si="287"/>
        <v>14033.716112595052</v>
      </c>
      <c r="AR1354">
        <f t="shared" si="288"/>
        <v>0</v>
      </c>
      <c r="AS1354">
        <f t="shared" si="289"/>
        <v>0</v>
      </c>
      <c r="BJ1354">
        <f t="shared" si="290"/>
        <v>2.5221327286941294E-5</v>
      </c>
      <c r="BK1354">
        <f t="shared" si="292"/>
        <v>6.3348106283328767E-5</v>
      </c>
      <c r="BO1354">
        <f t="shared" si="293"/>
        <v>4.5627284981181396E-5</v>
      </c>
      <c r="BP1354">
        <f t="shared" si="291"/>
        <v>3.8021795341251399</v>
      </c>
    </row>
    <row r="1355" spans="1:68" x14ac:dyDescent="0.15">
      <c r="A1355" s="5">
        <v>45554</v>
      </c>
      <c r="B1355" s="1"/>
      <c r="C1355">
        <v>85.4</v>
      </c>
      <c r="D1355">
        <v>115.85</v>
      </c>
      <c r="E1355">
        <v>98.44</v>
      </c>
      <c r="G1355" s="3">
        <v>6.3423140231035902E-3</v>
      </c>
      <c r="I1355" s="15">
        <f t="shared" si="294"/>
        <v>-3.5005834305717287E-3</v>
      </c>
      <c r="J1355" s="15">
        <f t="shared" si="295"/>
        <v>3.8994800693239913E-3</v>
      </c>
      <c r="K1355" s="15">
        <f t="shared" si="296"/>
        <v>4.0799673602610305E-3</v>
      </c>
      <c r="L1355" s="32">
        <f t="shared" si="270"/>
        <v>384421.49168522109</v>
      </c>
      <c r="M1355" s="15"/>
      <c r="N1355" s="32">
        <f t="shared" si="271"/>
        <v>-2562000</v>
      </c>
      <c r="O1355" s="34">
        <f t="shared" si="272"/>
        <v>-0.1789195310037156</v>
      </c>
      <c r="P1355" s="34">
        <f t="shared" si="273"/>
        <v>0.56633408925629658</v>
      </c>
      <c r="Q1355" s="34">
        <f t="shared" si="274"/>
        <v>0.54997154198300591</v>
      </c>
      <c r="R1355" s="35" cm="1">
        <f t="array" ref="R1355">SQRT(MMULT(O1355:Q1355, MMULT($AU$32:$AW$34,TRANSPOSE(O1355:Q1355))))</f>
        <v>1.1522066150048501E-2</v>
      </c>
      <c r="S1355" s="36" cm="1">
        <f t="array" ref="S1355:U1355">TRANSPOSE(MMULT($AU$32:$AW$34, TRANSPOSE(O1355:Q1355))/MMULT(O1355:Q1355, MMULT($AU$32:$AW$34,TRANSPOSE(O1355:Q1355))))</f>
        <v>0.27119878297074451</v>
      </c>
      <c r="T1355" s="36">
        <v>1.2229583221917844</v>
      </c>
      <c r="U1355" s="36">
        <v>0.64716034247460974</v>
      </c>
      <c r="V1355" s="35">
        <f t="shared" si="279"/>
        <v>7.2807148390796458E-3</v>
      </c>
      <c r="W1355" s="35">
        <f t="shared" si="280"/>
        <v>3.2832045580817329E-2</v>
      </c>
      <c r="X1355" s="35">
        <f t="shared" si="281"/>
        <v>1.7373934562335554E-2</v>
      </c>
      <c r="Y1355" s="32">
        <f t="shared" si="282"/>
        <v>-18653.191417722053</v>
      </c>
      <c r="Z1355" s="32">
        <f t="shared" si="275"/>
        <v>266251.47363763815</v>
      </c>
      <c r="AA1355" s="32">
        <f t="shared" si="276"/>
        <v>136823.20946530494</v>
      </c>
      <c r="AB1355" s="40">
        <f t="shared" si="283"/>
        <v>-4.8522759057904062E-2</v>
      </c>
      <c r="AC1355" s="40">
        <f t="shared" si="284"/>
        <v>0.69260298759689265</v>
      </c>
      <c r="AD1355" s="40">
        <f t="shared" si="285"/>
        <v>0.35591977146101128</v>
      </c>
      <c r="AE1355" s="40"/>
      <c r="AF1355" s="40"/>
      <c r="AG1355" s="40"/>
      <c r="AH1355" s="40"/>
      <c r="AI1355" s="40"/>
      <c r="AJ1355" s="40"/>
      <c r="AK1355" s="33">
        <f t="shared" si="277"/>
        <v>8109500</v>
      </c>
      <c r="AL1355" s="33">
        <f t="shared" si="278"/>
        <v>7875200</v>
      </c>
      <c r="AM1355" s="34"/>
      <c r="AN1355" s="33"/>
      <c r="AO1355" s="15" cm="1">
        <f t="array" ref="AO1355">SUMPRODUCT(I1355:K1355, TRANSPOSE($AY$5:$AY$7))</f>
        <v>6.9502885545610956E-3</v>
      </c>
      <c r="AP1355" s="22">
        <f t="shared" si="286"/>
        <v>14319286.360899275</v>
      </c>
      <c r="AQ1355" s="22">
        <f t="shared" si="287"/>
        <v>98836.231773173437</v>
      </c>
      <c r="AR1355">
        <f t="shared" si="288"/>
        <v>0</v>
      </c>
      <c r="AS1355">
        <f t="shared" si="289"/>
        <v>0</v>
      </c>
      <c r="BJ1355">
        <f t="shared" si="290"/>
        <v>4.0224947167656447E-5</v>
      </c>
      <c r="BK1355">
        <f t="shared" si="292"/>
        <v>6.1060499543545514E-5</v>
      </c>
      <c r="BO1355">
        <f t="shared" si="293"/>
        <v>4.5320927290230787E-5</v>
      </c>
      <c r="BP1355">
        <f t="shared" si="291"/>
        <v>3.6381533460489681</v>
      </c>
    </row>
    <row r="1356" spans="1:68" x14ac:dyDescent="0.15">
      <c r="A1356" s="5">
        <v>45555</v>
      </c>
      <c r="B1356" s="1"/>
      <c r="C1356">
        <v>82.04</v>
      </c>
      <c r="D1356">
        <v>116.3</v>
      </c>
      <c r="E1356">
        <v>99.03</v>
      </c>
      <c r="G1356" s="3">
        <v>-1.0301989236867299E-2</v>
      </c>
      <c r="I1356" s="15">
        <f t="shared" si="294"/>
        <v>-3.9344262295081957E-2</v>
      </c>
      <c r="J1356" s="15">
        <f t="shared" si="295"/>
        <v>3.8843331894691658E-3</v>
      </c>
      <c r="K1356" s="15">
        <f t="shared" si="296"/>
        <v>5.993498577813932E-3</v>
      </c>
      <c r="L1356" s="32">
        <f t="shared" ref="L1356:L1419" si="297">2.33*R1356*AP1356</f>
        <v>387021.00623216125</v>
      </c>
      <c r="M1356" s="15"/>
      <c r="N1356" s="32">
        <f t="shared" ref="N1356:N1419" si="298">C1356*$AV$5</f>
        <v>-2461200</v>
      </c>
      <c r="O1356" s="34">
        <f t="shared" ref="O1356:O1419" si="299">N1356/AP1356</f>
        <v>-0.16810058942175041</v>
      </c>
      <c r="P1356" s="34">
        <f t="shared" ref="P1356:P1419" si="300">AK1356/AP1356</f>
        <v>0.55603238196102311</v>
      </c>
      <c r="Q1356" s="34">
        <f t="shared" ref="Q1356:Q1419" si="301">AL1356/AP1356</f>
        <v>0.54110194605675088</v>
      </c>
      <c r="R1356" s="35" cm="1">
        <f t="array" ref="R1356">SQRT(MMULT(O1356:Q1356, MMULT($AU$32:$AW$34,TRANSPOSE(O1356:Q1356))))</f>
        <v>1.1344907168042045E-2</v>
      </c>
      <c r="S1356" s="36" cm="1">
        <f t="array" ref="S1356:U1356">TRANSPOSE(MMULT($AU$32:$AW$34, TRANSPOSE(O1356:Q1356))/MMULT(O1356:Q1356, MMULT($AU$32:$AW$34,TRANSPOSE(O1356:Q1356))))</f>
        <v>0.28274651796887601</v>
      </c>
      <c r="T1356" s="36">
        <v>1.2414876517763285</v>
      </c>
      <c r="U1356" s="36">
        <v>0.66017600331760951</v>
      </c>
      <c r="V1356" s="35">
        <f t="shared" si="279"/>
        <v>7.4740178863745904E-3</v>
      </c>
      <c r="W1356" s="35">
        <f t="shared" si="280"/>
        <v>3.2817029832037985E-2</v>
      </c>
      <c r="X1356" s="35">
        <f t="shared" si="281"/>
        <v>1.7450850650243002E-2</v>
      </c>
      <c r="Y1356" s="32">
        <f t="shared" si="282"/>
        <v>-18395.052821945141</v>
      </c>
      <c r="Z1356" s="32">
        <f t="shared" ref="Z1356:Z1419" si="302">W1356*AK1356</f>
        <v>267163.43986262125</v>
      </c>
      <c r="AA1356" s="32">
        <f t="shared" ref="AA1356:AA1419" si="303">X1356*AL1356</f>
        <v>138252.61919148517</v>
      </c>
      <c r="AB1356" s="40">
        <f t="shared" si="283"/>
        <v>-4.7529856327515593E-2</v>
      </c>
      <c r="AC1356" s="40">
        <f t="shared" si="284"/>
        <v>0.69030733619238904</v>
      </c>
      <c r="AD1356" s="40">
        <f t="shared" si="285"/>
        <v>0.35722252013512656</v>
      </c>
      <c r="AE1356" s="40"/>
      <c r="AF1356" s="40"/>
      <c r="AG1356" s="40"/>
      <c r="AH1356" s="40"/>
      <c r="AI1356" s="40"/>
      <c r="AJ1356" s="40"/>
      <c r="AK1356" s="33">
        <f t="shared" ref="AK1356:AK1419" si="304">D1356*$AV$6</f>
        <v>8141000</v>
      </c>
      <c r="AL1356" s="33">
        <f t="shared" ref="AL1356:AL1419" si="305">E1356*$AV$7</f>
        <v>7922400</v>
      </c>
      <c r="AM1356" s="34"/>
      <c r="AN1356" s="33"/>
      <c r="AO1356" s="15" cm="1">
        <f t="array" ref="AO1356">SUMPRODUCT(I1356:K1356, TRANSPOSE($AY$5:$AY$7))</f>
        <v>2.2483470387837504E-2</v>
      </c>
      <c r="AP1356" s="22">
        <f t="shared" si="286"/>
        <v>14641233.611769522</v>
      </c>
      <c r="AQ1356" s="22">
        <f t="shared" si="287"/>
        <v>321947.25087024644</v>
      </c>
      <c r="AR1356">
        <f t="shared" si="288"/>
        <v>0</v>
      </c>
      <c r="AS1356">
        <f t="shared" si="289"/>
        <v>0</v>
      </c>
      <c r="BJ1356">
        <f t="shared" si="290"/>
        <v>1.0613098223652968E-4</v>
      </c>
      <c r="BK1356">
        <f t="shared" si="292"/>
        <v>5.9810366400992173E-5</v>
      </c>
      <c r="BO1356">
        <f t="shared" si="293"/>
        <v>4.7217445182610196E-5</v>
      </c>
      <c r="BP1356">
        <f t="shared" si="291"/>
        <v>2.9375815310821549</v>
      </c>
    </row>
    <row r="1357" spans="1:68" x14ac:dyDescent="0.15">
      <c r="A1357" s="5">
        <v>45558</v>
      </c>
      <c r="B1357" s="1"/>
      <c r="C1357">
        <v>82.88</v>
      </c>
      <c r="D1357">
        <v>115.7</v>
      </c>
      <c r="E1357">
        <v>98.95</v>
      </c>
      <c r="G1357" s="3">
        <v>2.6208932426272603E-3</v>
      </c>
      <c r="I1357" s="15">
        <f t="shared" si="294"/>
        <v>1.0238907849829219E-2</v>
      </c>
      <c r="J1357" s="15">
        <f t="shared" si="295"/>
        <v>-5.1590713671538632E-3</v>
      </c>
      <c r="K1357" s="15">
        <f t="shared" si="296"/>
        <v>-8.0783600929009683E-4</v>
      </c>
      <c r="L1357" s="32">
        <f t="shared" si="297"/>
        <v>385343.71489683987</v>
      </c>
      <c r="M1357" s="15"/>
      <c r="N1357" s="32">
        <f t="shared" si="298"/>
        <v>-2486400</v>
      </c>
      <c r="O1357" s="34">
        <f t="shared" si="299"/>
        <v>-0.17119536617784747</v>
      </c>
      <c r="P1357" s="34">
        <f t="shared" si="300"/>
        <v>0.55763805931241428</v>
      </c>
      <c r="Q1357" s="34">
        <f t="shared" si="301"/>
        <v>0.5450380142631277</v>
      </c>
      <c r="R1357" s="35" cm="1">
        <f t="array" ref="R1357">SQRT(MMULT(O1357:Q1357, MMULT($AU$32:$AW$34,TRANSPOSE(O1357:Q1357))))</f>
        <v>1.1387106093387783E-2</v>
      </c>
      <c r="S1357" s="36" cm="1">
        <f t="array" ref="S1357:U1357">TRANSPOSE(MMULT($AU$32:$AW$34, TRANSPOSE(O1357:Q1357))/MMULT(O1357:Q1357, MMULT($AU$32:$AW$34,TRANSPOSE(O1357:Q1357))))</f>
        <v>0.28003070418226006</v>
      </c>
      <c r="T1357" s="36">
        <v>1.2359189245761604</v>
      </c>
      <c r="U1357" s="36">
        <v>0.6582009309211142</v>
      </c>
      <c r="V1357" s="35">
        <f t="shared" ref="V1357:V1420" si="306">(L1357/AP1357)*S1357</f>
        <v>7.4297626573757002E-3</v>
      </c>
      <c r="W1357" s="35">
        <f t="shared" ref="W1357:W1420" si="307">(L1357/AP1357)*T1357</f>
        <v>3.2791348006550515E-2</v>
      </c>
      <c r="X1357" s="35">
        <f t="shared" ref="X1357:X1420" si="308">(L1357/AP1357)*U1357</f>
        <v>1.746335892661522E-2</v>
      </c>
      <c r="Y1357" s="32">
        <f t="shared" ref="Y1357:Y1420" si="309">(V1357*N1357)</f>
        <v>-18473.361871298941</v>
      </c>
      <c r="Z1357" s="32">
        <f t="shared" si="302"/>
        <v>265577.1275050526</v>
      </c>
      <c r="AA1357" s="32">
        <f t="shared" si="303"/>
        <v>138239.94926308608</v>
      </c>
      <c r="AB1357" s="40">
        <f t="shared" ref="AB1357:AB1420" si="310">Y1357/L1357</f>
        <v>-4.7939958943522494E-2</v>
      </c>
      <c r="AC1357" s="40">
        <f t="shared" ref="AC1357:AC1420" si="311">Z1357/L1357</f>
        <v>0.68919543056813604</v>
      </c>
      <c r="AD1357" s="40">
        <f t="shared" ref="AD1357:AD1420" si="312">AA1357/L1357</f>
        <v>0.35874452837538612</v>
      </c>
      <c r="AE1357" s="40"/>
      <c r="AF1357" s="40"/>
      <c r="AG1357" s="40"/>
      <c r="AH1357" s="40"/>
      <c r="AI1357" s="40"/>
      <c r="AJ1357" s="40"/>
      <c r="AK1357" s="33">
        <f t="shared" si="304"/>
        <v>8099000</v>
      </c>
      <c r="AL1357" s="33">
        <f t="shared" si="305"/>
        <v>7916000</v>
      </c>
      <c r="AM1357" s="34"/>
      <c r="AN1357" s="33"/>
      <c r="AO1357" s="15" cm="1">
        <f t="array" ref="AO1357">SUMPRODUCT(I1357:K1357, TRANSPOSE($AY$5:$AY$7))</f>
        <v>-8.0236418903933127E-3</v>
      </c>
      <c r="AP1357" s="22">
        <f t="shared" si="286"/>
        <v>14523757.596435094</v>
      </c>
      <c r="AQ1357" s="22">
        <f t="shared" si="287"/>
        <v>-117476.01533442736</v>
      </c>
      <c r="AR1357">
        <f t="shared" si="288"/>
        <v>0</v>
      </c>
      <c r="AS1357">
        <f t="shared" si="289"/>
        <v>0</v>
      </c>
      <c r="BJ1357">
        <f t="shared" si="290"/>
        <v>6.8690813892492354E-6</v>
      </c>
      <c r="BK1357">
        <f t="shared" si="292"/>
        <v>6.2589603351124426E-5</v>
      </c>
      <c r="BO1357">
        <f t="shared" si="293"/>
        <v>5.8091383605455299E-5</v>
      </c>
      <c r="BP1357">
        <f t="shared" si="291"/>
        <v>3.8986850049754977</v>
      </c>
    </row>
    <row r="1358" spans="1:68" x14ac:dyDescent="0.15">
      <c r="A1358" s="5">
        <v>45559</v>
      </c>
      <c r="B1358" s="1"/>
      <c r="C1358">
        <v>84</v>
      </c>
      <c r="D1358">
        <v>117.3</v>
      </c>
      <c r="E1358">
        <v>98.5</v>
      </c>
      <c r="G1358" s="3">
        <v>6.9779085061458801E-3</v>
      </c>
      <c r="I1358" s="15">
        <f t="shared" si="294"/>
        <v>1.351351351351357E-2</v>
      </c>
      <c r="J1358" s="15">
        <f t="shared" si="295"/>
        <v>1.3828867761451981E-2</v>
      </c>
      <c r="K1358" s="15">
        <f t="shared" si="296"/>
        <v>-4.5477513895907313E-3</v>
      </c>
      <c r="L1358" s="32">
        <f t="shared" si="297"/>
        <v>388148.085175368</v>
      </c>
      <c r="M1358" s="15"/>
      <c r="N1358" s="32">
        <f t="shared" si="298"/>
        <v>-2520000</v>
      </c>
      <c r="O1358" s="34">
        <f t="shared" si="299"/>
        <v>-0.17343768643204927</v>
      </c>
      <c r="P1358" s="34">
        <f t="shared" si="300"/>
        <v>0.56511779495776049</v>
      </c>
      <c r="Q1358" s="34">
        <f t="shared" si="301"/>
        <v>0.54233689249386829</v>
      </c>
      <c r="R1358" s="35" cm="1">
        <f t="array" ref="R1358">SQRT(MMULT(O1358:Q1358, MMULT($AU$32:$AW$34,TRANSPOSE(O1358:Q1358))))</f>
        <v>1.1465274522420774E-2</v>
      </c>
      <c r="S1358" s="36" cm="1">
        <f t="array" ref="S1358:U1358">TRANSPOSE(MMULT($AU$32:$AW$34, TRANSPOSE(O1358:Q1358))/MMULT(O1358:Q1358, MMULT($AU$32:$AW$34,TRANSPOSE(O1358:Q1358))))</f>
        <v>0.27520047552958288</v>
      </c>
      <c r="T1358" s="36">
        <v>1.2316421432963938</v>
      </c>
      <c r="U1358" s="36">
        <v>0.64850325775711271</v>
      </c>
      <c r="V1358" s="35">
        <f t="shared" si="306"/>
        <v>7.3517301715084618E-3</v>
      </c>
      <c r="W1358" s="35">
        <f t="shared" si="307"/>
        <v>3.2902198617022753E-2</v>
      </c>
      <c r="X1358" s="35">
        <f t="shared" si="308"/>
        <v>1.732417415776593E-2</v>
      </c>
      <c r="Y1358" s="32">
        <f t="shared" si="309"/>
        <v>-18526.360032201323</v>
      </c>
      <c r="Z1358" s="32">
        <f t="shared" si="302"/>
        <v>270159.95284437382</v>
      </c>
      <c r="AA1358" s="32">
        <f t="shared" si="303"/>
        <v>136514.49236319552</v>
      </c>
      <c r="AB1358" s="40">
        <f t="shared" si="310"/>
        <v>-4.7730133780850635E-2</v>
      </c>
      <c r="AC1358" s="40">
        <f t="shared" si="311"/>
        <v>0.6960228921967081</v>
      </c>
      <c r="AD1358" s="40">
        <f t="shared" si="312"/>
        <v>0.35170724158414263</v>
      </c>
      <c r="AE1358" s="40"/>
      <c r="AF1358" s="40"/>
      <c r="AG1358" s="40"/>
      <c r="AH1358" s="40"/>
      <c r="AI1358" s="40"/>
      <c r="AJ1358" s="40"/>
      <c r="AK1358" s="33">
        <f t="shared" si="304"/>
        <v>8211000</v>
      </c>
      <c r="AL1358" s="33">
        <f t="shared" si="305"/>
        <v>7880000</v>
      </c>
      <c r="AM1358" s="34"/>
      <c r="AN1358" s="33"/>
      <c r="AO1358" s="15" cm="1">
        <f t="array" ref="AO1358">SUMPRODUCT(I1358:K1358, TRANSPOSE($AY$5:$AY$7))</f>
        <v>4.1012216869780417E-4</v>
      </c>
      <c r="AP1358" s="22">
        <f t="shared" ref="AP1358:AP1421" si="313">AP1357 * (1 + AO1358)</f>
        <v>14529714.111398187</v>
      </c>
      <c r="AQ1358" s="22">
        <f t="shared" ref="AQ1358:AQ1421" si="314">AP1358 - AP1357</f>
        <v>5956.5149630922824</v>
      </c>
      <c r="AR1358">
        <f t="shared" ref="AR1358:AR1421" si="315">IF(-AQ1358 &gt; L1358, 1, 0)</f>
        <v>0</v>
      </c>
      <c r="AS1358">
        <f t="shared" ref="AS1358:AS1421" si="316">IF(-AQ1358 &gt; L1357, 1, 0)</f>
        <v>0</v>
      </c>
      <c r="BJ1358">
        <f t="shared" si="290"/>
        <v>4.8691207120143029E-5</v>
      </c>
      <c r="BK1358">
        <f t="shared" si="292"/>
        <v>5.9246372033411912E-5</v>
      </c>
      <c r="BO1358">
        <f t="shared" si="293"/>
        <v>5.2483771923941317E-5</v>
      </c>
      <c r="BP1358">
        <f t="shared" si="291"/>
        <v>3.5446955710385568</v>
      </c>
    </row>
    <row r="1359" spans="1:68" x14ac:dyDescent="0.15">
      <c r="A1359" s="5">
        <v>45560</v>
      </c>
      <c r="B1359" s="1"/>
      <c r="C1359">
        <v>84.36</v>
      </c>
      <c r="D1359">
        <v>118.1</v>
      </c>
      <c r="E1359">
        <v>99.36</v>
      </c>
      <c r="G1359" s="3">
        <v>8.261285939287431E-3</v>
      </c>
      <c r="I1359" s="15">
        <f t="shared" si="294"/>
        <v>4.285714285714279E-3</v>
      </c>
      <c r="J1359" s="15">
        <f t="shared" si="295"/>
        <v>6.8201193520886372E-3</v>
      </c>
      <c r="K1359" s="15">
        <f t="shared" si="296"/>
        <v>8.7309644670050708E-3</v>
      </c>
      <c r="L1359" s="32">
        <f t="shared" si="297"/>
        <v>391103.30786442786</v>
      </c>
      <c r="M1359" s="15"/>
      <c r="N1359" s="32">
        <f t="shared" si="298"/>
        <v>-2530800</v>
      </c>
      <c r="O1359" s="34">
        <f t="shared" si="299"/>
        <v>-0.1725884035771223</v>
      </c>
      <c r="P1359" s="34">
        <f t="shared" si="300"/>
        <v>0.56376969036354907</v>
      </c>
      <c r="Q1359" s="34">
        <f t="shared" si="301"/>
        <v>0.54206997880268282</v>
      </c>
      <c r="R1359" s="35" cm="1">
        <f t="array" ref="R1359">SQRT(MMULT(O1359:Q1359, MMULT($AU$32:$AW$34,TRANSPOSE(O1359:Q1359))))</f>
        <v>1.1446938615493748E-2</v>
      </c>
      <c r="S1359" s="36" cm="1">
        <f t="array" ref="S1359:U1359">TRANSPOSE(MMULT($AU$32:$AW$34, TRANSPOSE(O1359:Q1359))/MMULT(O1359:Q1359, MMULT($AU$32:$AW$34,TRANSPOSE(O1359:Q1359))))</f>
        <v>0.27634312138857686</v>
      </c>
      <c r="T1359" s="36">
        <v>1.2331832716966722</v>
      </c>
      <c r="U1359" s="36">
        <v>0.650215434716651</v>
      </c>
      <c r="V1359" s="35">
        <f t="shared" si="306"/>
        <v>7.3704488013231163E-3</v>
      </c>
      <c r="W1359" s="35">
        <f t="shared" si="307"/>
        <v>3.2890683585743742E-2</v>
      </c>
      <c r="X1359" s="35">
        <f t="shared" si="308"/>
        <v>1.7342134471552043E-2</v>
      </c>
      <c r="Y1359" s="32">
        <f t="shared" si="309"/>
        <v>-18653.131826388544</v>
      </c>
      <c r="Z1359" s="32">
        <f t="shared" si="302"/>
        <v>271907.28120334353</v>
      </c>
      <c r="AA1359" s="32">
        <f t="shared" si="303"/>
        <v>137849.15848747289</v>
      </c>
      <c r="AB1359" s="40">
        <f t="shared" si="310"/>
        <v>-4.7693618159973403E-2</v>
      </c>
      <c r="AC1359" s="40">
        <f t="shared" si="311"/>
        <v>0.69523135124594126</v>
      </c>
      <c r="AD1359" s="40">
        <f t="shared" si="312"/>
        <v>0.35246226691403221</v>
      </c>
      <c r="AE1359" s="40"/>
      <c r="AF1359" s="40"/>
      <c r="AG1359" s="40"/>
      <c r="AH1359" s="40"/>
      <c r="AI1359" s="40"/>
      <c r="AJ1359" s="40"/>
      <c r="AK1359" s="33">
        <f t="shared" si="304"/>
        <v>8267000</v>
      </c>
      <c r="AL1359" s="33">
        <f t="shared" si="305"/>
        <v>7948800</v>
      </c>
      <c r="AM1359" s="34"/>
      <c r="AN1359" s="33"/>
      <c r="AO1359" s="15" cm="1">
        <f t="array" ref="AO1359">SUMPRODUCT(I1359:K1359, TRANSPOSE($AY$5:$AY$7))</f>
        <v>9.2276606790581573E-3</v>
      </c>
      <c r="AP1359" s="22">
        <f t="shared" si="313"/>
        <v>14663789.382981893</v>
      </c>
      <c r="AQ1359" s="22">
        <f t="shared" si="314"/>
        <v>134075.27158370614</v>
      </c>
      <c r="AR1359">
        <f t="shared" si="315"/>
        <v>0</v>
      </c>
      <c r="AS1359">
        <f t="shared" si="316"/>
        <v>0</v>
      </c>
      <c r="BJ1359">
        <f t="shared" si="290"/>
        <v>6.8248845370668217E-5</v>
      </c>
      <c r="BK1359">
        <f t="shared" si="292"/>
        <v>5.8613062138615775E-5</v>
      </c>
      <c r="BO1359">
        <f t="shared" si="293"/>
        <v>5.4041595138416948E-5</v>
      </c>
      <c r="BP1359">
        <f t="shared" si="291"/>
        <v>3.3624923686388248</v>
      </c>
    </row>
    <row r="1360" spans="1:68" x14ac:dyDescent="0.15">
      <c r="A1360" s="5">
        <v>45561</v>
      </c>
      <c r="B1360" s="1"/>
      <c r="C1360">
        <v>84.82</v>
      </c>
      <c r="D1360">
        <v>117.65</v>
      </c>
      <c r="E1360">
        <v>97.9</v>
      </c>
      <c r="G1360" s="3">
        <v>5.0404788964211102E-3</v>
      </c>
      <c r="I1360" s="15">
        <f t="shared" si="294"/>
        <v>5.4528212422948526E-3</v>
      </c>
      <c r="J1360" s="15">
        <f t="shared" si="295"/>
        <v>-3.8103302286197176E-3</v>
      </c>
      <c r="K1360" s="15">
        <f t="shared" si="296"/>
        <v>-1.4694041867954848E-2</v>
      </c>
      <c r="L1360" s="32">
        <f t="shared" si="297"/>
        <v>387945.16957416717</v>
      </c>
      <c r="M1360" s="15"/>
      <c r="N1360" s="32">
        <f t="shared" si="298"/>
        <v>-2544600</v>
      </c>
      <c r="O1360" s="34">
        <f t="shared" si="299"/>
        <v>-0.17625863986001225</v>
      </c>
      <c r="P1360" s="34">
        <f t="shared" si="300"/>
        <v>0.57045430659715901</v>
      </c>
      <c r="Q1360" s="34">
        <f t="shared" si="301"/>
        <v>0.5425047816488312</v>
      </c>
      <c r="R1360" s="35" cm="1">
        <f t="array" ref="R1360">SQRT(MMULT(O1360:Q1360, MMULT($AU$32:$AW$34,TRANSPOSE(O1360:Q1360))))</f>
        <v>1.153308039163377E-2</v>
      </c>
      <c r="S1360" s="36" cm="1">
        <f t="array" ref="S1360:U1360">TRANSPOSE(MMULT($AU$32:$AW$34, TRANSPOSE(O1360:Q1360))/MMULT(O1360:Q1360, MMULT($AU$32:$AW$34,TRANSPOSE(O1360:Q1360))))</f>
        <v>0.27106165036778918</v>
      </c>
      <c r="T1360" s="36">
        <v>1.2264294452197337</v>
      </c>
      <c r="U1360" s="36">
        <v>0.64175471042067123</v>
      </c>
      <c r="V1360" s="35">
        <f t="shared" si="306"/>
        <v>7.2839896251388871E-3</v>
      </c>
      <c r="W1360" s="35">
        <f t="shared" si="307"/>
        <v>3.2956706870279365E-2</v>
      </c>
      <c r="X1360" s="35">
        <f t="shared" si="308"/>
        <v>1.7245282194089617E-2</v>
      </c>
      <c r="Y1360" s="32">
        <f t="shared" si="309"/>
        <v>-18534.840000128414</v>
      </c>
      <c r="Z1360" s="32">
        <f t="shared" si="302"/>
        <v>271414.95943018573</v>
      </c>
      <c r="AA1360" s="32">
        <f t="shared" si="303"/>
        <v>135065.05014410987</v>
      </c>
      <c r="AB1360" s="40">
        <f t="shared" si="310"/>
        <v>-4.7776957812036711E-2</v>
      </c>
      <c r="AC1360" s="40">
        <f t="shared" si="311"/>
        <v>0.69962195876316158</v>
      </c>
      <c r="AD1360" s="40">
        <f t="shared" si="312"/>
        <v>0.34815499904887515</v>
      </c>
      <c r="AE1360" s="40"/>
      <c r="AF1360" s="40"/>
      <c r="AG1360" s="40"/>
      <c r="AH1360" s="40"/>
      <c r="AI1360" s="40"/>
      <c r="AJ1360" s="40"/>
      <c r="AK1360" s="33">
        <f t="shared" si="304"/>
        <v>8235500</v>
      </c>
      <c r="AL1360" s="33">
        <f t="shared" si="305"/>
        <v>7832000</v>
      </c>
      <c r="AM1360" s="34"/>
      <c r="AN1360" s="33"/>
      <c r="AO1360" s="15" cm="1">
        <f t="array" ref="AO1360">SUMPRODUCT(I1360:K1360, TRANSPOSE($AY$5:$AY$7))</f>
        <v>-1.5483737829013066E-2</v>
      </c>
      <c r="AP1360" s="22">
        <f t="shared" si="313"/>
        <v>14436739.112595936</v>
      </c>
      <c r="AQ1360" s="22">
        <f t="shared" si="314"/>
        <v>-227050.27038595639</v>
      </c>
      <c r="AR1360">
        <f t="shared" si="315"/>
        <v>0</v>
      </c>
      <c r="AS1360">
        <f t="shared" si="316"/>
        <v>0</v>
      </c>
      <c r="BJ1360">
        <f t="shared" si="290"/>
        <v>2.5406427505266573E-5</v>
      </c>
      <c r="BK1360">
        <f t="shared" si="292"/>
        <v>5.9191209132538919E-5</v>
      </c>
      <c r="BO1360">
        <f t="shared" si="293"/>
        <v>5.8048921203966147E-5</v>
      </c>
      <c r="BP1360">
        <f t="shared" si="291"/>
        <v>3.7393373386583928</v>
      </c>
    </row>
    <row r="1361" spans="1:68" x14ac:dyDescent="0.15">
      <c r="A1361" s="5">
        <v>45562</v>
      </c>
      <c r="B1361" s="1"/>
      <c r="C1361">
        <v>85.2</v>
      </c>
      <c r="D1361">
        <v>117.5</v>
      </c>
      <c r="E1361">
        <v>97.93</v>
      </c>
      <c r="G1361" s="3">
        <v>2.0009560961120601E-3</v>
      </c>
      <c r="I1361" s="15">
        <f t="shared" si="294"/>
        <v>4.4800754539024955E-3</v>
      </c>
      <c r="J1361" s="15">
        <f t="shared" si="295"/>
        <v>-1.2749681257969033E-3</v>
      </c>
      <c r="K1361" s="15">
        <f t="shared" si="296"/>
        <v>3.0643513789582364E-4</v>
      </c>
      <c r="L1361" s="32">
        <f t="shared" si="297"/>
        <v>387557.62776436238</v>
      </c>
      <c r="M1361" s="15"/>
      <c r="N1361" s="32">
        <f t="shared" si="298"/>
        <v>-2556000</v>
      </c>
      <c r="O1361" s="34">
        <f t="shared" si="299"/>
        <v>-0.17747043890653497</v>
      </c>
      <c r="P1361" s="34">
        <f t="shared" si="300"/>
        <v>0.57108543036238268</v>
      </c>
      <c r="Q1361" s="34">
        <f t="shared" si="301"/>
        <v>0.54396494779708837</v>
      </c>
      <c r="R1361" s="35" cm="1">
        <f t="array" ref="R1361">SQRT(MMULT(O1361:Q1361, MMULT($AU$32:$AW$34,TRANSPOSE(O1361:Q1361))))</f>
        <v>1.1549030859127542E-2</v>
      </c>
      <c r="S1361" s="36" cm="1">
        <f t="array" ref="S1361:U1361">TRANSPOSE(MMULT($AU$32:$AW$34, TRANSPOSE(O1361:Q1361))/MMULT(O1361:Q1361, MMULT($AU$32:$AW$34,TRANSPOSE(O1361:Q1361))))</f>
        <v>0.27003849871143271</v>
      </c>
      <c r="T1361" s="36">
        <v>1.224394283952968</v>
      </c>
      <c r="U1361" s="36">
        <v>0.64101577815916022</v>
      </c>
      <c r="V1361" s="35">
        <f t="shared" si="306"/>
        <v>7.266531284615985E-3</v>
      </c>
      <c r="W1361" s="35">
        <f t="shared" si="307"/>
        <v>3.2947521970031417E-2</v>
      </c>
      <c r="X1361" s="35">
        <f t="shared" si="308"/>
        <v>1.7249248637334364E-2</v>
      </c>
      <c r="Y1361" s="32">
        <f t="shared" si="309"/>
        <v>-18573.253963478459</v>
      </c>
      <c r="Z1361" s="32">
        <f t="shared" si="302"/>
        <v>270993.36820350838</v>
      </c>
      <c r="AA1361" s="32">
        <f t="shared" si="303"/>
        <v>135137.51352433235</v>
      </c>
      <c r="AB1361" s="40">
        <f t="shared" si="310"/>
        <v>-4.7923850887979735E-2</v>
      </c>
      <c r="AC1361" s="40">
        <f t="shared" si="311"/>
        <v>0.69923373658452193</v>
      </c>
      <c r="AD1361" s="40">
        <f t="shared" si="312"/>
        <v>0.34869011430345748</v>
      </c>
      <c r="AE1361" s="40"/>
      <c r="AF1361" s="40"/>
      <c r="AG1361" s="40"/>
      <c r="AH1361" s="40"/>
      <c r="AI1361" s="40"/>
      <c r="AJ1361" s="40"/>
      <c r="AK1361" s="33">
        <f t="shared" si="304"/>
        <v>8225000</v>
      </c>
      <c r="AL1361" s="33">
        <f t="shared" si="305"/>
        <v>7834400.0000000009</v>
      </c>
      <c r="AM1361" s="34"/>
      <c r="AN1361" s="33"/>
      <c r="AO1361" s="15" cm="1">
        <f t="array" ref="AO1361">SUMPRODUCT(I1361:K1361, TRANSPOSE($AY$5:$AY$7))</f>
        <v>-2.3786893363687668E-3</v>
      </c>
      <c r="AP1361" s="22">
        <f t="shared" si="313"/>
        <v>14402398.595216867</v>
      </c>
      <c r="AQ1361" s="22">
        <f t="shared" si="314"/>
        <v>-34340.517379069701</v>
      </c>
      <c r="AR1361">
        <f t="shared" si="315"/>
        <v>0</v>
      </c>
      <c r="AS1361">
        <f t="shared" si="316"/>
        <v>0</v>
      </c>
      <c r="BJ1361">
        <f t="shared" si="290"/>
        <v>4.0038252985680158E-6</v>
      </c>
      <c r="BK1361">
        <f t="shared" si="292"/>
        <v>5.7164122234902576E-5</v>
      </c>
      <c r="BO1361">
        <f t="shared" si="293"/>
        <v>5.5090557649450898E-5</v>
      </c>
      <c r="BP1361">
        <f t="shared" si="291"/>
        <v>3.9479889985682983</v>
      </c>
    </row>
    <row r="1362" spans="1:68" x14ac:dyDescent="0.15">
      <c r="A1362" s="5">
        <v>45565</v>
      </c>
      <c r="B1362" s="1"/>
      <c r="C1362">
        <v>84.96</v>
      </c>
      <c r="D1362">
        <v>116.7</v>
      </c>
      <c r="E1362">
        <v>97.15</v>
      </c>
      <c r="G1362" s="3">
        <v>-5.3277381344855003E-3</v>
      </c>
      <c r="I1362" s="15">
        <f t="shared" si="294"/>
        <v>-2.8169014084508111E-3</v>
      </c>
      <c r="J1362" s="15">
        <f t="shared" si="295"/>
        <v>-6.808510638297848E-3</v>
      </c>
      <c r="K1362" s="15">
        <f t="shared" si="296"/>
        <v>-7.9648728683753816E-3</v>
      </c>
      <c r="L1362" s="32">
        <f t="shared" si="297"/>
        <v>384688.71180847718</v>
      </c>
      <c r="M1362" s="15"/>
      <c r="N1362" s="32">
        <f t="shared" si="298"/>
        <v>-2548800</v>
      </c>
      <c r="O1362" s="34">
        <f t="shared" si="299"/>
        <v>-0.17862000349306587</v>
      </c>
      <c r="P1362" s="34">
        <f t="shared" si="300"/>
        <v>0.57248383887902354</v>
      </c>
      <c r="Q1362" s="34">
        <f t="shared" si="301"/>
        <v>0.54466206338202605</v>
      </c>
      <c r="R1362" s="35" cm="1">
        <f t="array" ref="R1362">SQRT(MMULT(O1362:Q1362, MMULT($AU$32:$AW$34,TRANSPOSE(O1362:Q1362))))</f>
        <v>1.1570386240326712E-2</v>
      </c>
      <c r="S1362" s="36" cm="1">
        <f t="array" ref="S1362:U1362">TRANSPOSE(MMULT($AU$32:$AW$34, TRANSPOSE(O1362:Q1362))/MMULT(O1362:Q1362, MMULT($AU$32:$AW$34,TRANSPOSE(O1362:Q1362))))</f>
        <v>0.2687178217013324</v>
      </c>
      <c r="T1362" s="36">
        <v>1.2223955003960858</v>
      </c>
      <c r="U1362" s="36">
        <v>0.63928944746702454</v>
      </c>
      <c r="V1362" s="35">
        <f t="shared" si="306"/>
        <v>7.2443637391127347E-3</v>
      </c>
      <c r="W1362" s="35">
        <f t="shared" si="307"/>
        <v>3.2954560221786965E-2</v>
      </c>
      <c r="X1362" s="35">
        <f t="shared" si="308"/>
        <v>1.7234604175881369E-2</v>
      </c>
      <c r="Y1362" s="32">
        <f t="shared" si="309"/>
        <v>-18464.434298250537</v>
      </c>
      <c r="Z1362" s="32">
        <f t="shared" si="302"/>
        <v>269205.80245177774</v>
      </c>
      <c r="AA1362" s="32">
        <f t="shared" si="303"/>
        <v>133947.34365495</v>
      </c>
      <c r="AB1362" s="40">
        <f t="shared" si="310"/>
        <v>-4.799837825094104E-2</v>
      </c>
      <c r="AC1362" s="40">
        <f t="shared" si="311"/>
        <v>0.69980166869519611</v>
      </c>
      <c r="AD1362" s="40">
        <f t="shared" si="312"/>
        <v>0.34819670955574494</v>
      </c>
      <c r="AE1362" s="40"/>
      <c r="AF1362" s="40"/>
      <c r="AG1362" s="40"/>
      <c r="AH1362" s="40"/>
      <c r="AI1362" s="40"/>
      <c r="AJ1362" s="40"/>
      <c r="AK1362" s="33">
        <f t="shared" si="304"/>
        <v>8169000</v>
      </c>
      <c r="AL1362" s="33">
        <f t="shared" si="305"/>
        <v>7772000</v>
      </c>
      <c r="AM1362" s="34"/>
      <c r="AN1362" s="33"/>
      <c r="AO1362" s="15" cm="1">
        <f t="array" ref="AO1362">SUMPRODUCT(I1362:K1362, TRANSPOSE($AY$5:$AY$7))</f>
        <v>-9.2345833814134488E-3</v>
      </c>
      <c r="AP1362" s="22">
        <f t="shared" si="313"/>
        <v>14269398.444496984</v>
      </c>
      <c r="AQ1362" s="22">
        <f t="shared" si="314"/>
        <v>-133000.15071988292</v>
      </c>
      <c r="AR1362">
        <f t="shared" si="315"/>
        <v>0</v>
      </c>
      <c r="AS1362">
        <f t="shared" si="316"/>
        <v>0</v>
      </c>
      <c r="BJ1362">
        <f t="shared" si="290"/>
        <v>2.8384793629651039E-5</v>
      </c>
      <c r="BK1362">
        <f t="shared" si="292"/>
        <v>5.3974504418722498E-5</v>
      </c>
      <c r="BO1362">
        <f t="shared" si="293"/>
        <v>4.9721917290958056E-5</v>
      </c>
      <c r="BP1362">
        <f t="shared" si="291"/>
        <v>3.7501584024993799</v>
      </c>
    </row>
    <row r="1363" spans="1:68" x14ac:dyDescent="0.15">
      <c r="A1363" s="5">
        <v>45566</v>
      </c>
      <c r="B1363" s="1"/>
      <c r="C1363">
        <v>84.92</v>
      </c>
      <c r="D1363">
        <v>115.35</v>
      </c>
      <c r="E1363">
        <v>96.81</v>
      </c>
      <c r="G1363" s="3">
        <v>-6.7554338364943503E-3</v>
      </c>
      <c r="I1363" s="15">
        <f t="shared" si="294"/>
        <v>-4.7080979284359751E-4</v>
      </c>
      <c r="J1363" s="15">
        <f t="shared" si="295"/>
        <v>-1.1568123393316268E-2</v>
      </c>
      <c r="K1363" s="15">
        <f t="shared" si="296"/>
        <v>-3.4997426659804775E-3</v>
      </c>
      <c r="L1363" s="32">
        <f t="shared" si="297"/>
        <v>381116.04545075551</v>
      </c>
      <c r="M1363" s="15"/>
      <c r="N1363" s="32">
        <f t="shared" si="298"/>
        <v>-2547600</v>
      </c>
      <c r="O1363" s="34">
        <f t="shared" si="299"/>
        <v>-0.1803388509119522</v>
      </c>
      <c r="P1363" s="34">
        <f t="shared" si="300"/>
        <v>0.57157562085435631</v>
      </c>
      <c r="Q1363" s="34">
        <f t="shared" si="301"/>
        <v>0.54823690239554379</v>
      </c>
      <c r="R1363" s="35" cm="1">
        <f t="array" ref="R1363">SQRT(MMULT(O1363:Q1363, MMULT($AU$32:$AW$34,TRANSPOSE(O1363:Q1363))))</f>
        <v>1.1578688500680367E-2</v>
      </c>
      <c r="S1363" s="36" cm="1">
        <f t="array" ref="S1363:U1363">TRANSPOSE(MMULT($AU$32:$AW$34, TRANSPOSE(O1363:Q1363))/MMULT(O1363:Q1363, MMULT($AU$32:$AW$34,TRANSPOSE(O1363:Q1363))))</f>
        <v>0.26806835809038743</v>
      </c>
      <c r="T1363" s="36">
        <v>1.2197365279328582</v>
      </c>
      <c r="U1363" s="36">
        <v>0.64054695132242212</v>
      </c>
      <c r="V1363" s="35">
        <f t="shared" si="306"/>
        <v>7.2320404354566251E-3</v>
      </c>
      <c r="W1363" s="35">
        <f t="shared" si="307"/>
        <v>3.2906471891917838E-2</v>
      </c>
      <c r="X1363" s="35">
        <f t="shared" si="308"/>
        <v>1.7280896133255112E-2</v>
      </c>
      <c r="Y1363" s="32">
        <f t="shared" si="309"/>
        <v>-18424.346213369299</v>
      </c>
      <c r="Z1363" s="32">
        <f t="shared" si="302"/>
        <v>265703.30729129061</v>
      </c>
      <c r="AA1363" s="32">
        <f t="shared" si="303"/>
        <v>133837.08437283419</v>
      </c>
      <c r="AB1363" s="40">
        <f t="shared" si="310"/>
        <v>-4.8343139663874192E-2</v>
      </c>
      <c r="AC1363" s="40">
        <f t="shared" si="311"/>
        <v>0.69717166323196034</v>
      </c>
      <c r="AD1363" s="40">
        <f t="shared" si="312"/>
        <v>0.35117147643191382</v>
      </c>
      <c r="AE1363" s="40"/>
      <c r="AF1363" s="40"/>
      <c r="AG1363" s="40"/>
      <c r="AH1363" s="40"/>
      <c r="AI1363" s="40"/>
      <c r="AJ1363" s="40"/>
      <c r="AK1363" s="33">
        <f t="shared" si="304"/>
        <v>8074500</v>
      </c>
      <c r="AL1363" s="33">
        <f t="shared" si="305"/>
        <v>7744800</v>
      </c>
      <c r="AM1363" s="34"/>
      <c r="AN1363" s="33"/>
      <c r="AO1363" s="15" cm="1">
        <f t="array" ref="AO1363">SUMPRODUCT(I1363:K1363, TRANSPOSE($AY$5:$AY$7))</f>
        <v>-9.9975321823964347E-3</v>
      </c>
      <c r="AP1363" s="22">
        <f t="shared" si="313"/>
        <v>14126739.674324688</v>
      </c>
      <c r="AQ1363" s="22">
        <f t="shared" si="314"/>
        <v>-142658.77017229609</v>
      </c>
      <c r="AR1363">
        <f t="shared" si="315"/>
        <v>0</v>
      </c>
      <c r="AS1363">
        <f t="shared" si="316"/>
        <v>0</v>
      </c>
      <c r="BJ1363">
        <f t="shared" si="290"/>
        <v>4.5635886319252779E-5</v>
      </c>
      <c r="BK1363">
        <f t="shared" si="292"/>
        <v>5.2439121771378209E-5</v>
      </c>
      <c r="BO1363">
        <f t="shared" si="293"/>
        <v>4.898321161966087E-5</v>
      </c>
      <c r="BP1363">
        <f t="shared" si="291"/>
        <v>3.5772460233661465</v>
      </c>
    </row>
    <row r="1364" spans="1:68" x14ac:dyDescent="0.15">
      <c r="A1364" s="5">
        <v>45567</v>
      </c>
      <c r="B1364" s="1"/>
      <c r="C1364">
        <v>85.06</v>
      </c>
      <c r="D1364">
        <v>114.4</v>
      </c>
      <c r="E1364">
        <v>97.23</v>
      </c>
      <c r="G1364" s="3">
        <v>2.9312774882343999E-3</v>
      </c>
      <c r="I1364" s="15">
        <f t="shared" si="294"/>
        <v>1.6486104569006189E-3</v>
      </c>
      <c r="J1364" s="15">
        <f t="shared" si="295"/>
        <v>-8.2358040745556024E-3</v>
      </c>
      <c r="K1364" s="15">
        <f t="shared" si="296"/>
        <v>4.3383947939262648E-3</v>
      </c>
      <c r="L1364" s="32">
        <f t="shared" si="297"/>
        <v>379481.89095988619</v>
      </c>
      <c r="M1364" s="15"/>
      <c r="N1364" s="32">
        <f t="shared" si="298"/>
        <v>-2551800</v>
      </c>
      <c r="O1364" s="34">
        <f t="shared" si="299"/>
        <v>-0.18115540607566477</v>
      </c>
      <c r="P1364" s="34">
        <f t="shared" si="300"/>
        <v>0.56849772390231346</v>
      </c>
      <c r="Q1364" s="34">
        <f t="shared" si="301"/>
        <v>0.55219813881140789</v>
      </c>
      <c r="R1364" s="35" cm="1">
        <f t="array" ref="R1364">SQRT(MMULT(O1364:Q1364, MMULT($AU$32:$AW$34,TRANSPOSE(O1364:Q1364))))</f>
        <v>1.1562181985012904E-2</v>
      </c>
      <c r="S1364" s="36" cm="1">
        <f t="array" ref="S1364:U1364">TRANSPOSE(MMULT($AU$32:$AW$34, TRANSPOSE(O1364:Q1364))/MMULT(O1364:Q1364, MMULT($AU$32:$AW$34,TRANSPOSE(O1364:Q1364))))</f>
        <v>0.268916991883205</v>
      </c>
      <c r="T1364" s="36">
        <v>1.2186729095352109</v>
      </c>
      <c r="U1364" s="36">
        <v>0.64452044764066563</v>
      </c>
      <c r="V1364" s="35">
        <f t="shared" si="306"/>
        <v>7.2445925737069415E-3</v>
      </c>
      <c r="W1364" s="35">
        <f t="shared" si="307"/>
        <v>3.2830906847385481E-2</v>
      </c>
      <c r="X1364" s="35">
        <f t="shared" si="308"/>
        <v>1.7363306111232223E-2</v>
      </c>
      <c r="Y1364" s="32">
        <f t="shared" si="309"/>
        <v>-18486.751329585375</v>
      </c>
      <c r="Z1364" s="32">
        <f t="shared" si="302"/>
        <v>262909.90203386295</v>
      </c>
      <c r="AA1364" s="32">
        <f t="shared" si="303"/>
        <v>135058.74025560872</v>
      </c>
      <c r="AB1364" s="40">
        <f t="shared" si="310"/>
        <v>-4.8715766865248256E-2</v>
      </c>
      <c r="AC1364" s="40">
        <f t="shared" si="311"/>
        <v>0.69281277525217744</v>
      </c>
      <c r="AD1364" s="40">
        <f t="shared" si="312"/>
        <v>0.35590299161307104</v>
      </c>
      <c r="AE1364" s="40"/>
      <c r="AF1364" s="40"/>
      <c r="AG1364" s="40"/>
      <c r="AH1364" s="40"/>
      <c r="AI1364" s="40"/>
      <c r="AJ1364" s="40"/>
      <c r="AK1364" s="33">
        <f t="shared" si="304"/>
        <v>8008000</v>
      </c>
      <c r="AL1364" s="33">
        <f t="shared" si="305"/>
        <v>7778400</v>
      </c>
      <c r="AM1364" s="34"/>
      <c r="AN1364" s="33"/>
      <c r="AO1364" s="15" cm="1">
        <f t="array" ref="AO1364">SUMPRODUCT(I1364:K1364, TRANSPOSE($AY$5:$AY$7))</f>
        <v>-2.8663050116031529E-3</v>
      </c>
      <c r="AP1364" s="22">
        <f t="shared" si="313"/>
        <v>14086248.129598558</v>
      </c>
      <c r="AQ1364" s="22">
        <f t="shared" si="314"/>
        <v>-40491.544726129621</v>
      </c>
      <c r="AR1364">
        <f t="shared" si="315"/>
        <v>0</v>
      </c>
      <c r="AS1364">
        <f t="shared" si="316"/>
        <v>0</v>
      </c>
      <c r="BJ1364">
        <f t="shared" si="290"/>
        <v>8.5923877130297723E-6</v>
      </c>
      <c r="BK1364">
        <f t="shared" si="292"/>
        <v>5.2030927644250682E-5</v>
      </c>
      <c r="BO1364">
        <f t="shared" si="293"/>
        <v>5.0860690415577212E-5</v>
      </c>
      <c r="BP1364">
        <f t="shared" si="291"/>
        <v>3.9398017487400869</v>
      </c>
    </row>
    <row r="1365" spans="1:68" x14ac:dyDescent="0.15">
      <c r="A1365" s="5">
        <v>45568</v>
      </c>
      <c r="B1365" s="1"/>
      <c r="C1365">
        <v>83.98</v>
      </c>
      <c r="D1365">
        <v>113.9</v>
      </c>
      <c r="E1365">
        <v>97.47</v>
      </c>
      <c r="G1365" s="3">
        <v>-9.0558311938676497E-3</v>
      </c>
      <c r="I1365" s="15">
        <f t="shared" si="294"/>
        <v>-1.2696919821302589E-2</v>
      </c>
      <c r="J1365" s="15">
        <f t="shared" si="295"/>
        <v>-4.3706293706293701E-3</v>
      </c>
      <c r="K1365" s="15">
        <f t="shared" si="296"/>
        <v>2.4683739586546837E-3</v>
      </c>
      <c r="L1365" s="32">
        <f t="shared" si="297"/>
        <v>378903.33478467452</v>
      </c>
      <c r="M1365" s="15"/>
      <c r="N1365" s="32">
        <f t="shared" si="298"/>
        <v>-2519400</v>
      </c>
      <c r="O1365" s="34">
        <f t="shared" si="299"/>
        <v>-0.1781511415800186</v>
      </c>
      <c r="P1365" s="34">
        <f t="shared" si="300"/>
        <v>0.56378465182880377</v>
      </c>
      <c r="Q1365" s="34">
        <f t="shared" si="301"/>
        <v>0.55138181375897155</v>
      </c>
      <c r="R1365" s="35" cm="1">
        <f t="array" ref="R1365">SQRT(MMULT(O1365:Q1365, MMULT($AU$32:$AW$34,TRANSPOSE(O1365:Q1365))))</f>
        <v>1.1499103717447156E-2</v>
      </c>
      <c r="S1365" s="36" cm="1">
        <f t="array" ref="S1365:U1365">TRANSPOSE(MMULT($AU$32:$AW$34, TRANSPOSE(O1365:Q1365))/MMULT(O1365:Q1365, MMULT($AU$32:$AW$34,TRANSPOSE(O1365:Q1365))))</f>
        <v>0.27286672446092219</v>
      </c>
      <c r="T1365" s="36">
        <v>1.2237942493082599</v>
      </c>
      <c r="U1365" s="36">
        <v>0.65046596524553646</v>
      </c>
      <c r="V1365" s="35">
        <f t="shared" si="306"/>
        <v>7.3108940438857909E-3</v>
      </c>
      <c r="W1365" s="35">
        <f t="shared" si="307"/>
        <v>3.2789011213753778E-2</v>
      </c>
      <c r="X1365" s="35">
        <f t="shared" si="308"/>
        <v>1.7427877145734776E-2</v>
      </c>
      <c r="Y1365" s="32">
        <f t="shared" si="309"/>
        <v>-18419.066454165863</v>
      </c>
      <c r="Z1365" s="32">
        <f t="shared" si="302"/>
        <v>261426.78640725889</v>
      </c>
      <c r="AA1365" s="32">
        <f t="shared" si="303"/>
        <v>135895.61483158148</v>
      </c>
      <c r="AB1365" s="40">
        <f t="shared" si="310"/>
        <v>-4.8611518461913673E-2</v>
      </c>
      <c r="AC1365" s="40">
        <f t="shared" si="311"/>
        <v>0.68995641475634961</v>
      </c>
      <c r="AD1365" s="40">
        <f t="shared" si="312"/>
        <v>0.35865510370556403</v>
      </c>
      <c r="AE1365" s="40"/>
      <c r="AF1365" s="40"/>
      <c r="AG1365" s="40"/>
      <c r="AH1365" s="40"/>
      <c r="AI1365" s="40"/>
      <c r="AJ1365" s="40"/>
      <c r="AK1365" s="33">
        <f t="shared" si="304"/>
        <v>7973000</v>
      </c>
      <c r="AL1365" s="33">
        <f t="shared" si="305"/>
        <v>7797600</v>
      </c>
      <c r="AM1365" s="34"/>
      <c r="AN1365" s="33"/>
      <c r="AO1365" s="15" cm="1">
        <f t="array" ref="AO1365">SUMPRODUCT(I1365:K1365, TRANSPOSE($AY$5:$AY$7))</f>
        <v>3.9525361626249148E-3</v>
      </c>
      <c r="AP1365" s="22">
        <f t="shared" si="313"/>
        <v>14141924.534726504</v>
      </c>
      <c r="AQ1365" s="22">
        <f t="shared" si="314"/>
        <v>55676.405127946287</v>
      </c>
      <c r="AR1365">
        <f t="shared" si="315"/>
        <v>0</v>
      </c>
      <c r="AS1365">
        <f t="shared" si="316"/>
        <v>0</v>
      </c>
      <c r="BJ1365">
        <f t="shared" si="290"/>
        <v>8.2008078611826377E-5</v>
      </c>
      <c r="BK1365">
        <f t="shared" si="292"/>
        <v>4.9424615248377425E-5</v>
      </c>
      <c r="BO1365">
        <f t="shared" si="293"/>
        <v>4.7057602950711583E-5</v>
      </c>
      <c r="BP1365">
        <f t="shared" si="291"/>
        <v>3.1917720868549555</v>
      </c>
    </row>
    <row r="1366" spans="1:68" x14ac:dyDescent="0.15">
      <c r="A1366" s="5">
        <v>45569</v>
      </c>
      <c r="B1366" s="1"/>
      <c r="C1366">
        <v>83.72</v>
      </c>
      <c r="D1366">
        <v>114.85</v>
      </c>
      <c r="E1366">
        <v>97.71</v>
      </c>
      <c r="G1366" s="3">
        <v>-1.26737215603933E-3</v>
      </c>
      <c r="I1366" s="15">
        <f t="shared" si="294"/>
        <v>-3.0959752321982033E-3</v>
      </c>
      <c r="J1366" s="15">
        <f t="shared" si="295"/>
        <v>8.3406496927128058E-3</v>
      </c>
      <c r="K1366" s="15">
        <f t="shared" si="296"/>
        <v>2.4622960911049028E-3</v>
      </c>
      <c r="L1366" s="32">
        <f t="shared" si="297"/>
        <v>381476.43143009505</v>
      </c>
      <c r="M1366" s="15"/>
      <c r="N1366" s="32">
        <f t="shared" si="298"/>
        <v>-2511600</v>
      </c>
      <c r="O1366" s="34">
        <f t="shared" si="299"/>
        <v>-0.17609960194739638</v>
      </c>
      <c r="P1366" s="34">
        <f t="shared" si="300"/>
        <v>0.56368559876417146</v>
      </c>
      <c r="Q1366" s="34">
        <f t="shared" si="301"/>
        <v>0.54807109750852356</v>
      </c>
      <c r="R1366" s="35" cm="1">
        <f t="array" ref="R1366">SQRT(MMULT(O1366:Q1366, MMULT($AU$32:$AW$34,TRANSPOSE(O1366:Q1366))))</f>
        <v>1.1479413243947736E-2</v>
      </c>
      <c r="S1366" s="36" cm="1">
        <f t="array" ref="S1366:U1366">TRANSPOSE(MMULT($AU$32:$AW$34, TRANSPOSE(O1366:Q1366))/MMULT(O1366:Q1366, MMULT($AU$32:$AW$34,TRANSPOSE(O1366:Q1366))))</f>
        <v>0.27419258739129071</v>
      </c>
      <c r="T1366" s="36">
        <v>1.2272086981411674</v>
      </c>
      <c r="U1366" s="36">
        <v>0.650509281180778</v>
      </c>
      <c r="V1366" s="35">
        <f t="shared" si="306"/>
        <v>7.3338381444840797E-3</v>
      </c>
      <c r="W1366" s="35">
        <f t="shared" si="307"/>
        <v>3.2824191373293912E-2</v>
      </c>
      <c r="X1366" s="35">
        <f t="shared" si="308"/>
        <v>1.7399193118435279E-2</v>
      </c>
      <c r="Y1366" s="32">
        <f t="shared" si="309"/>
        <v>-18419.667883686216</v>
      </c>
      <c r="Z1366" s="32">
        <f t="shared" si="302"/>
        <v>263890.08654559642</v>
      </c>
      <c r="AA1366" s="32">
        <f t="shared" si="303"/>
        <v>136006.01276818488</v>
      </c>
      <c r="AB1366" s="40">
        <f t="shared" si="310"/>
        <v>-4.8285205496532993E-2</v>
      </c>
      <c r="AC1366" s="40">
        <f t="shared" si="311"/>
        <v>0.69175986982030335</v>
      </c>
      <c r="AD1366" s="40">
        <f t="shared" si="312"/>
        <v>0.35652533567622974</v>
      </c>
      <c r="AE1366" s="40"/>
      <c r="AF1366" s="40"/>
      <c r="AG1366" s="40"/>
      <c r="AH1366" s="40"/>
      <c r="AI1366" s="40"/>
      <c r="AJ1366" s="40"/>
      <c r="AK1366" s="33">
        <f t="shared" si="304"/>
        <v>8039500</v>
      </c>
      <c r="AL1366" s="33">
        <f t="shared" si="305"/>
        <v>7816799.9999999991</v>
      </c>
      <c r="AM1366" s="34"/>
      <c r="AN1366" s="33"/>
      <c r="AO1366" s="15" cm="1">
        <f t="array" ref="AO1366">SUMPRODUCT(I1366:K1366, TRANSPOSE($AY$5:$AY$7))</f>
        <v>8.5178393029571656E-3</v>
      </c>
      <c r="AP1366" s="22">
        <f t="shared" si="313"/>
        <v>14262383.175347853</v>
      </c>
      <c r="AQ1366" s="22">
        <f t="shared" si="314"/>
        <v>120458.64062134922</v>
      </c>
      <c r="AR1366">
        <f t="shared" si="315"/>
        <v>0</v>
      </c>
      <c r="AS1366">
        <f t="shared" si="316"/>
        <v>0</v>
      </c>
      <c r="BJ1366">
        <f t="shared" si="290"/>
        <v>1.6062321819037798E-6</v>
      </c>
      <c r="BK1366">
        <f t="shared" si="292"/>
        <v>5.1379623050184366E-5</v>
      </c>
      <c r="BO1366">
        <f t="shared" si="293"/>
        <v>5.4530418255533907E-5</v>
      </c>
      <c r="BP1366">
        <f t="shared" si="291"/>
        <v>3.9747095512679511</v>
      </c>
    </row>
    <row r="1367" spans="1:68" x14ac:dyDescent="0.15">
      <c r="A1367" s="5">
        <v>45572</v>
      </c>
      <c r="B1367" s="1"/>
      <c r="C1367">
        <v>83.62</v>
      </c>
      <c r="D1367">
        <v>110.3</v>
      </c>
      <c r="E1367">
        <v>97.73</v>
      </c>
      <c r="G1367" s="3">
        <v>9.6779419127135293E-4</v>
      </c>
      <c r="I1367" s="15">
        <f t="shared" si="294"/>
        <v>-1.1944577161967786E-3</v>
      </c>
      <c r="J1367" s="15">
        <f t="shared" si="295"/>
        <v>-3.9616891597736154E-2</v>
      </c>
      <c r="K1367" s="15">
        <f t="shared" si="296"/>
        <v>2.0468734008812029E-4</v>
      </c>
      <c r="L1367" s="32">
        <f t="shared" si="297"/>
        <v>371111.33982455655</v>
      </c>
      <c r="M1367" s="15"/>
      <c r="N1367" s="32">
        <f t="shared" si="298"/>
        <v>-2508600</v>
      </c>
      <c r="O1367" s="34">
        <f t="shared" si="299"/>
        <v>-0.18047682234983481</v>
      </c>
      <c r="P1367" s="34">
        <f t="shared" si="300"/>
        <v>0.55547378831343164</v>
      </c>
      <c r="Q1367" s="34">
        <f t="shared" si="301"/>
        <v>0.5624810602965592</v>
      </c>
      <c r="R1367" s="35" cm="1">
        <f t="array" ref="R1367">SQRT(MMULT(O1367:Q1367, MMULT($AU$32:$AW$34,TRANSPOSE(O1367:Q1367))))</f>
        <v>1.1458778428733168E-2</v>
      </c>
      <c r="S1367" s="36" cm="1">
        <f t="array" ref="S1367:U1367">TRANSPOSE(MMULT($AU$32:$AW$34, TRANSPOSE(O1367:Q1367))/MMULT(O1367:Q1367, MMULT($AU$32:$AW$34,TRANSPOSE(O1367:Q1367))))</f>
        <v>0.27509259390783491</v>
      </c>
      <c r="T1367" s="36">
        <v>1.2200332936120917</v>
      </c>
      <c r="U1367" s="36">
        <v>0.6612690595006564</v>
      </c>
      <c r="V1367" s="35">
        <f t="shared" si="306"/>
        <v>7.3446844386725703E-3</v>
      </c>
      <c r="W1367" s="35">
        <f t="shared" si="307"/>
        <v>3.2573612466125945E-2</v>
      </c>
      <c r="X1367" s="35">
        <f t="shared" si="308"/>
        <v>1.7655192028605864E-2</v>
      </c>
      <c r="Y1367" s="32">
        <f t="shared" si="309"/>
        <v>-18424.87538285401</v>
      </c>
      <c r="Z1367" s="32">
        <f t="shared" si="302"/>
        <v>251500.86185095843</v>
      </c>
      <c r="AA1367" s="32">
        <f t="shared" si="303"/>
        <v>138035.35335645208</v>
      </c>
      <c r="AB1367" s="40">
        <f t="shared" si="310"/>
        <v>-4.9647837200459566E-2</v>
      </c>
      <c r="AC1367" s="40">
        <f t="shared" si="311"/>
        <v>0.67769651547122178</v>
      </c>
      <c r="AD1367" s="40">
        <f t="shared" si="312"/>
        <v>0.37195132172923767</v>
      </c>
      <c r="AE1367" s="40"/>
      <c r="AF1367" s="40"/>
      <c r="AG1367" s="40"/>
      <c r="AH1367" s="40"/>
      <c r="AI1367" s="40"/>
      <c r="AJ1367" s="40"/>
      <c r="AK1367" s="33">
        <f t="shared" si="304"/>
        <v>7721000</v>
      </c>
      <c r="AL1367" s="33">
        <f t="shared" si="305"/>
        <v>7818400</v>
      </c>
      <c r="AM1367" s="34"/>
      <c r="AN1367" s="33"/>
      <c r="AO1367" s="15" cm="1">
        <f t="array" ref="AO1367">SUMPRODUCT(I1367:K1367, TRANSPOSE($AY$5:$AY$7))</f>
        <v>-2.5419130673251696E-2</v>
      </c>
      <c r="AP1367" s="22">
        <f t="shared" si="313"/>
        <v>13899845.793701699</v>
      </c>
      <c r="AQ1367" s="22">
        <f t="shared" si="314"/>
        <v>-362537.38164615445</v>
      </c>
      <c r="AR1367">
        <f t="shared" si="315"/>
        <v>0</v>
      </c>
      <c r="AS1367">
        <f t="shared" si="316"/>
        <v>0</v>
      </c>
      <c r="BJ1367">
        <f t="shared" si="290"/>
        <v>9.3662559665857209E-7</v>
      </c>
      <c r="BK1367">
        <f t="shared" si="292"/>
        <v>4.8393219598087526E-5</v>
      </c>
      <c r="BO1367">
        <f t="shared" si="293"/>
        <v>4.8941090150290131E-5</v>
      </c>
      <c r="BP1367">
        <f t="shared" si="291"/>
        <v>4.0339391710845556</v>
      </c>
    </row>
    <row r="1368" spans="1:68" x14ac:dyDescent="0.15">
      <c r="A1368" s="5">
        <v>45573</v>
      </c>
      <c r="B1368" s="1"/>
      <c r="C1368">
        <v>83.34</v>
      </c>
      <c r="D1368">
        <v>110.45</v>
      </c>
      <c r="E1368">
        <v>97.58</v>
      </c>
      <c r="G1368" s="3">
        <v>1.90100833328932E-4</v>
      </c>
      <c r="I1368" s="15">
        <f t="shared" si="294"/>
        <v>-3.3484812245874328E-3</v>
      </c>
      <c r="J1368" s="15">
        <f t="shared" si="295"/>
        <v>1.3599274705349564E-3</v>
      </c>
      <c r="K1368" s="15">
        <f t="shared" si="296"/>
        <v>-1.5348408881613188E-3</v>
      </c>
      <c r="L1368" s="32">
        <f t="shared" si="297"/>
        <v>371303.41602017981</v>
      </c>
      <c r="M1368" s="15"/>
      <c r="N1368" s="32">
        <f t="shared" si="298"/>
        <v>-2500200</v>
      </c>
      <c r="O1368" s="34">
        <f t="shared" si="299"/>
        <v>-0.1796778985849013</v>
      </c>
      <c r="P1368" s="34">
        <f t="shared" si="300"/>
        <v>0.55562741897014811</v>
      </c>
      <c r="Q1368" s="34">
        <f t="shared" si="301"/>
        <v>0.56101013819421386</v>
      </c>
      <c r="R1368" s="35" cm="1">
        <f t="array" ref="R1368">SQRT(MMULT(O1368:Q1368, MMULT($AU$32:$AW$34,TRANSPOSE(O1368:Q1368))))</f>
        <v>1.1452305708745237E-2</v>
      </c>
      <c r="S1368" s="36" cm="1">
        <f t="array" ref="S1368:U1368">TRANSPOSE(MMULT($AU$32:$AW$34, TRANSPOSE(O1368:Q1368))/MMULT(O1368:Q1368, MMULT($AU$32:$AW$34,TRANSPOSE(O1368:Q1368))))</f>
        <v>0.27553211715051207</v>
      </c>
      <c r="T1368" s="36">
        <v>1.2214027648465331</v>
      </c>
      <c r="U1368" s="36">
        <v>0.6610614332947824</v>
      </c>
      <c r="V1368" s="35">
        <f t="shared" si="306"/>
        <v>7.3522638289721474E-3</v>
      </c>
      <c r="W1368" s="35">
        <f t="shared" si="307"/>
        <v>3.2591755405712963E-2</v>
      </c>
      <c r="X1368" s="35">
        <f t="shared" si="308"/>
        <v>1.763967886940283E-2</v>
      </c>
      <c r="Y1368" s="32">
        <f t="shared" si="309"/>
        <v>-18382.130025196162</v>
      </c>
      <c r="Z1368" s="32">
        <f t="shared" si="302"/>
        <v>251983.15691926976</v>
      </c>
      <c r="AA1368" s="32">
        <f t="shared" si="303"/>
        <v>137702.38912610625</v>
      </c>
      <c r="AB1368" s="40">
        <f t="shared" si="310"/>
        <v>-4.9507031802252847E-2</v>
      </c>
      <c r="AC1368" s="40">
        <f t="shared" si="311"/>
        <v>0.67864486575468197</v>
      </c>
      <c r="AD1368" s="40">
        <f t="shared" si="312"/>
        <v>0.370862166047571</v>
      </c>
      <c r="AE1368" s="40"/>
      <c r="AF1368" s="40"/>
      <c r="AG1368" s="40"/>
      <c r="AH1368" s="40"/>
      <c r="AI1368" s="40"/>
      <c r="AJ1368" s="40"/>
      <c r="AK1368" s="33">
        <f t="shared" si="304"/>
        <v>7731500</v>
      </c>
      <c r="AL1368" s="33">
        <f t="shared" si="305"/>
        <v>7806400</v>
      </c>
      <c r="AM1368" s="34"/>
      <c r="AN1368" s="33"/>
      <c r="AO1368" s="15" cm="1">
        <f t="array" ref="AO1368">SUMPRODUCT(I1368:K1368, TRANSPOSE($AY$5:$AY$7))</f>
        <v>1.0830520356400102E-3</v>
      </c>
      <c r="AP1368" s="22">
        <f t="shared" si="313"/>
        <v>13914900.049983649</v>
      </c>
      <c r="AQ1368" s="22">
        <f t="shared" si="314"/>
        <v>15054.25628194958</v>
      </c>
      <c r="AR1368">
        <f t="shared" si="315"/>
        <v>0</v>
      </c>
      <c r="AS1368">
        <f t="shared" si="316"/>
        <v>0</v>
      </c>
      <c r="BJ1368">
        <f t="shared" si="290"/>
        <v>3.6138326832354383E-8</v>
      </c>
      <c r="BK1368">
        <f t="shared" si="292"/>
        <v>4.5545823958001788E-5</v>
      </c>
      <c r="BO1368">
        <f t="shared" si="293"/>
        <v>4.4461574075481745E-5</v>
      </c>
      <c r="BP1368">
        <f t="shared" si="291"/>
        <v>4.0910976901256877</v>
      </c>
    </row>
    <row r="1369" spans="1:68" x14ac:dyDescent="0.15">
      <c r="A1369" s="5">
        <v>45574</v>
      </c>
      <c r="B1369" s="1"/>
      <c r="C1369">
        <v>83.96</v>
      </c>
      <c r="D1369">
        <v>112.55</v>
      </c>
      <c r="E1369">
        <v>99.27</v>
      </c>
      <c r="G1369" s="3">
        <v>9.3203726559314398E-3</v>
      </c>
      <c r="I1369" s="15">
        <f t="shared" si="294"/>
        <v>7.4394048476120744E-3</v>
      </c>
      <c r="J1369" s="15">
        <f t="shared" si="295"/>
        <v>1.9013128112267942E-2</v>
      </c>
      <c r="K1369" s="15">
        <f t="shared" si="296"/>
        <v>1.7319122771059622E-2</v>
      </c>
      <c r="L1369" s="32">
        <f t="shared" si="297"/>
        <v>378343.1188703996</v>
      </c>
      <c r="M1369" s="15"/>
      <c r="N1369" s="32">
        <f t="shared" si="298"/>
        <v>-2518800</v>
      </c>
      <c r="O1369" s="34">
        <f t="shared" si="299"/>
        <v>-0.17706115084482851</v>
      </c>
      <c r="P1369" s="34">
        <f t="shared" si="300"/>
        <v>0.55382574119857919</v>
      </c>
      <c r="Q1369" s="34">
        <f t="shared" si="301"/>
        <v>0.55826140842833494</v>
      </c>
      <c r="R1369" s="35" cm="1">
        <f t="array" ref="R1369">SQRT(MMULT(O1369:Q1369, MMULT($AU$32:$AW$34,TRANSPOSE(O1369:Q1369))))</f>
        <v>1.1414568972045191E-2</v>
      </c>
      <c r="S1369" s="36" cm="1">
        <f t="array" ref="S1369:U1369">TRANSPOSE(MMULT($AU$32:$AW$34, TRANSPOSE(O1369:Q1369))/MMULT(O1369:Q1369, MMULT($AU$32:$AW$34,TRANSPOSE(O1369:Q1369))))</f>
        <v>0.27801422906395956</v>
      </c>
      <c r="T1369" s="36">
        <v>1.2258183030906036</v>
      </c>
      <c r="U1369" s="36">
        <v>0.66337343666288018</v>
      </c>
      <c r="V1369" s="35">
        <f t="shared" si="306"/>
        <v>7.3940513413650513E-3</v>
      </c>
      <c r="W1369" s="35">
        <f t="shared" si="307"/>
        <v>3.2601797033027805E-2</v>
      </c>
      <c r="X1369" s="35">
        <f t="shared" si="308"/>
        <v>1.7643043903535858E-2</v>
      </c>
      <c r="Y1369" s="32">
        <f t="shared" si="309"/>
        <v>-18624.13651863029</v>
      </c>
      <c r="Z1369" s="32">
        <f t="shared" si="302"/>
        <v>256853.25792470956</v>
      </c>
      <c r="AA1369" s="32">
        <f t="shared" si="303"/>
        <v>140113.99746432036</v>
      </c>
      <c r="AB1369" s="40">
        <f t="shared" si="310"/>
        <v>-4.9225519349302443E-2</v>
      </c>
      <c r="AC1369" s="40">
        <f t="shared" si="311"/>
        <v>0.67888973028393818</v>
      </c>
      <c r="AD1369" s="40">
        <f t="shared" si="312"/>
        <v>0.3703357890653643</v>
      </c>
      <c r="AE1369" s="40"/>
      <c r="AF1369" s="40"/>
      <c r="AG1369" s="40"/>
      <c r="AH1369" s="40"/>
      <c r="AI1369" s="40"/>
      <c r="AJ1369" s="40"/>
      <c r="AK1369" s="33">
        <f t="shared" si="304"/>
        <v>7878500</v>
      </c>
      <c r="AL1369" s="33">
        <f t="shared" si="305"/>
        <v>7941600</v>
      </c>
      <c r="AM1369" s="34"/>
      <c r="AN1369" s="33"/>
      <c r="AO1369" s="15" cm="1">
        <f t="array" ref="AO1369">SUMPRODUCT(I1369:K1369, TRANSPOSE($AY$5:$AY$7))</f>
        <v>2.2328129863330513E-2</v>
      </c>
      <c r="AP1369" s="22">
        <f t="shared" si="313"/>
        <v>14225593.745334947</v>
      </c>
      <c r="AQ1369" s="22">
        <f t="shared" si="314"/>
        <v>310693.6953512989</v>
      </c>
      <c r="AR1369">
        <f t="shared" si="315"/>
        <v>0</v>
      </c>
      <c r="AS1369">
        <f t="shared" si="316"/>
        <v>0</v>
      </c>
      <c r="BJ1369">
        <f t="shared" si="290"/>
        <v>8.6869346445434486E-5</v>
      </c>
      <c r="BK1369">
        <f t="shared" si="292"/>
        <v>4.2815242820131619E-5</v>
      </c>
      <c r="BO1369">
        <f t="shared" si="293"/>
        <v>4.0819688979790846E-5</v>
      </c>
      <c r="BP1369">
        <f t="shared" si="291"/>
        <v>3.070172640218531</v>
      </c>
    </row>
    <row r="1370" spans="1:68" x14ac:dyDescent="0.15">
      <c r="A1370" s="5">
        <v>45575</v>
      </c>
      <c r="B1370" s="1"/>
      <c r="C1370">
        <v>83.8</v>
      </c>
      <c r="D1370">
        <v>115.65</v>
      </c>
      <c r="E1370">
        <v>98.65</v>
      </c>
      <c r="G1370" s="3">
        <v>-3.72650206788061E-3</v>
      </c>
      <c r="I1370" s="15">
        <f t="shared" si="294"/>
        <v>-1.9056693663648953E-3</v>
      </c>
      <c r="J1370" s="15">
        <f t="shared" si="295"/>
        <v>2.754331408263002E-2</v>
      </c>
      <c r="K1370" s="15">
        <f t="shared" si="296"/>
        <v>-6.2455928276416882E-3</v>
      </c>
      <c r="L1370" s="32">
        <f t="shared" si="297"/>
        <v>384605.97765393159</v>
      </c>
      <c r="M1370" s="15"/>
      <c r="N1370" s="32">
        <f t="shared" si="298"/>
        <v>-2514000</v>
      </c>
      <c r="O1370" s="34">
        <f t="shared" si="299"/>
        <v>-0.17424023168059977</v>
      </c>
      <c r="P1370" s="34">
        <f t="shared" si="300"/>
        <v>0.56108265535811275</v>
      </c>
      <c r="Q1370" s="34">
        <f t="shared" si="301"/>
        <v>0.54697848385970305</v>
      </c>
      <c r="R1370" s="35" cm="1">
        <f t="array" ref="R1370">SQRT(MMULT(O1370:Q1370, MMULT($AU$32:$AW$34,TRANSPOSE(O1370:Q1370))))</f>
        <v>1.1440454425545634E-2</v>
      </c>
      <c r="S1370" s="36" cm="1">
        <f t="array" ref="S1370:U1370">TRANSPOSE(MMULT($AU$32:$AW$34, TRANSPOSE(O1370:Q1370))/MMULT(O1370:Q1370, MMULT($AU$32:$AW$34,TRANSPOSE(O1370:Q1370))))</f>
        <v>0.27650482307558555</v>
      </c>
      <c r="T1370" s="36">
        <v>1.2307762275547003</v>
      </c>
      <c r="U1370" s="36">
        <v>0.65379367027750668</v>
      </c>
      <c r="V1370" s="35">
        <f t="shared" si="306"/>
        <v>7.3705841265367233E-3</v>
      </c>
      <c r="W1370" s="35">
        <f t="shared" si="307"/>
        <v>3.2807889660765956E-2</v>
      </c>
      <c r="X1370" s="35">
        <f t="shared" si="308"/>
        <v>1.7427693284251658E-2</v>
      </c>
      <c r="Y1370" s="32">
        <f t="shared" si="309"/>
        <v>-18529.648494113324</v>
      </c>
      <c r="Z1370" s="32">
        <f t="shared" si="302"/>
        <v>265596.27074873081</v>
      </c>
      <c r="AA1370" s="32">
        <f t="shared" si="303"/>
        <v>137539.35539931408</v>
      </c>
      <c r="AB1370" s="40">
        <f t="shared" si="310"/>
        <v>-4.8178264433493281E-2</v>
      </c>
      <c r="AC1370" s="40">
        <f t="shared" si="311"/>
        <v>0.69056719390803201</v>
      </c>
      <c r="AD1370" s="40">
        <f t="shared" si="312"/>
        <v>0.35761107052546121</v>
      </c>
      <c r="AE1370" s="40"/>
      <c r="AF1370" s="40"/>
      <c r="AG1370" s="40"/>
      <c r="AH1370" s="40"/>
      <c r="AI1370" s="40"/>
      <c r="AJ1370" s="40"/>
      <c r="AK1370" s="33">
        <f t="shared" si="304"/>
        <v>8095500</v>
      </c>
      <c r="AL1370" s="33">
        <f t="shared" si="305"/>
        <v>7892000</v>
      </c>
      <c r="AM1370" s="34"/>
      <c r="AN1370" s="33"/>
      <c r="AO1370" s="15" cm="1">
        <f t="array" ref="AO1370">SUMPRODUCT(I1370:K1370, TRANSPOSE($AY$5:$AY$7))</f>
        <v>1.4253304929271002E-2</v>
      </c>
      <c r="AP1370" s="22">
        <f t="shared" si="313"/>
        <v>14428355.470787138</v>
      </c>
      <c r="AQ1370" s="22">
        <f t="shared" si="314"/>
        <v>202761.72545219027</v>
      </c>
      <c r="AR1370">
        <f t="shared" si="315"/>
        <v>0</v>
      </c>
      <c r="AS1370">
        <f t="shared" si="316"/>
        <v>0</v>
      </c>
      <c r="BJ1370">
        <f t="shared" si="290"/>
        <v>1.3886817661918463E-5</v>
      </c>
      <c r="BK1370">
        <f t="shared" si="292"/>
        <v>4.545848903764979E-5</v>
      </c>
      <c r="BO1370">
        <f t="shared" si="293"/>
        <v>5.0329873344355946E-5</v>
      </c>
      <c r="BP1370">
        <f t="shared" si="291"/>
        <v>3.8915593403760336</v>
      </c>
    </row>
    <row r="1371" spans="1:68" x14ac:dyDescent="0.15">
      <c r="A1371" s="5">
        <v>45576</v>
      </c>
      <c r="B1371" s="1"/>
      <c r="C1371">
        <v>84</v>
      </c>
      <c r="D1371">
        <v>116.45</v>
      </c>
      <c r="E1371">
        <v>99.44</v>
      </c>
      <c r="G1371" s="3">
        <v>6.3287426513363096E-3</v>
      </c>
      <c r="I1371" s="15">
        <f t="shared" si="294"/>
        <v>2.386634844868769E-3</v>
      </c>
      <c r="J1371" s="15">
        <f t="shared" si="295"/>
        <v>6.9174232598356866E-3</v>
      </c>
      <c r="K1371" s="15">
        <f t="shared" si="296"/>
        <v>8.0081094779522761E-3</v>
      </c>
      <c r="L1371" s="32">
        <f t="shared" si="297"/>
        <v>387500.62316233083</v>
      </c>
      <c r="M1371" s="15"/>
      <c r="N1371" s="32">
        <f t="shared" si="298"/>
        <v>-2520000</v>
      </c>
      <c r="O1371" s="34">
        <f t="shared" si="299"/>
        <v>-0.17301114332054965</v>
      </c>
      <c r="P1371" s="34">
        <f t="shared" si="300"/>
        <v>0.55964298999105566</v>
      </c>
      <c r="Q1371" s="34">
        <f t="shared" si="301"/>
        <v>0.54616597116810972</v>
      </c>
      <c r="R1371" s="35" cm="1">
        <f t="array" ref="R1371">SQRT(MMULT(O1371:Q1371, MMULT($AU$32:$AW$34,TRANSPOSE(O1371:Q1371))))</f>
        <v>1.1417999497707663E-2</v>
      </c>
      <c r="S1371" s="36" cm="1">
        <f t="array" ref="S1371:U1371">TRANSPOSE(MMULT($AU$32:$AW$34, TRANSPOSE(O1371:Q1371))/MMULT(O1371:Q1371, MMULT($AU$32:$AW$34,TRANSPOSE(O1371:Q1371))))</f>
        <v>0.27793604692363311</v>
      </c>
      <c r="T1371" s="36">
        <v>1.2329396220396509</v>
      </c>
      <c r="U1371" s="36">
        <v>0.65562491182981886</v>
      </c>
      <c r="V1371" s="35">
        <f t="shared" si="306"/>
        <v>7.3941935909135285E-3</v>
      </c>
      <c r="W1371" s="35">
        <f t="shared" si="307"/>
        <v>3.2801050285405579E-2</v>
      </c>
      <c r="X1371" s="35">
        <f t="shared" si="308"/>
        <v>1.7442205049520983E-2</v>
      </c>
      <c r="Y1371" s="32">
        <f t="shared" si="309"/>
        <v>-18633.367849102091</v>
      </c>
      <c r="Z1371" s="32">
        <f t="shared" si="302"/>
        <v>267377.76140148356</v>
      </c>
      <c r="AA1371" s="32">
        <f t="shared" si="303"/>
        <v>138756.22960994934</v>
      </c>
      <c r="AB1371" s="40">
        <f t="shared" si="310"/>
        <v>-4.8086033248251697E-2</v>
      </c>
      <c r="AC1371" s="40">
        <f t="shared" si="311"/>
        <v>0.69000601655671223</v>
      </c>
      <c r="AD1371" s="40">
        <f t="shared" si="312"/>
        <v>0.35808001669153938</v>
      </c>
      <c r="AE1371" s="40"/>
      <c r="AF1371" s="40"/>
      <c r="AG1371" s="40"/>
      <c r="AH1371" s="40"/>
      <c r="AI1371" s="40"/>
      <c r="AJ1371" s="40"/>
      <c r="AK1371" s="33">
        <f t="shared" si="304"/>
        <v>8151500</v>
      </c>
      <c r="AL1371" s="33">
        <f t="shared" si="305"/>
        <v>7955200</v>
      </c>
      <c r="AM1371" s="34"/>
      <c r="AN1371" s="33"/>
      <c r="AO1371" s="15" cm="1">
        <f t="array" ref="AO1371">SUMPRODUCT(I1371:K1371, TRANSPOSE($AY$5:$AY$7))</f>
        <v>9.5076891394755662E-3</v>
      </c>
      <c r="AP1371" s="22">
        <f t="shared" si="313"/>
        <v>14565535.789397234</v>
      </c>
      <c r="AQ1371" s="22">
        <f t="shared" si="314"/>
        <v>137180.31861009635</v>
      </c>
      <c r="AR1371">
        <f t="shared" si="315"/>
        <v>0</v>
      </c>
      <c r="AS1371">
        <f t="shared" si="316"/>
        <v>0</v>
      </c>
      <c r="BJ1371">
        <f t="shared" si="290"/>
        <v>4.0052983546843344E-5</v>
      </c>
      <c r="BK1371">
        <f t="shared" si="292"/>
        <v>4.3564188755105904E-5</v>
      </c>
      <c r="BO1371">
        <f t="shared" si="293"/>
        <v>4.7395274996203885E-5</v>
      </c>
      <c r="BP1371">
        <f t="shared" si="291"/>
        <v>3.6370135287672904</v>
      </c>
    </row>
    <row r="1372" spans="1:68" x14ac:dyDescent="0.15">
      <c r="A1372" s="5">
        <v>45579</v>
      </c>
      <c r="B1372" s="1"/>
      <c r="C1372">
        <v>84.32</v>
      </c>
      <c r="D1372">
        <v>118.15</v>
      </c>
      <c r="E1372">
        <v>100.3</v>
      </c>
      <c r="G1372" s="3">
        <v>8.6415353803432904E-3</v>
      </c>
      <c r="I1372" s="15">
        <f t="shared" si="294"/>
        <v>3.8095238095237284E-3</v>
      </c>
      <c r="J1372" s="15">
        <f t="shared" si="295"/>
        <v>1.4598540145985425E-2</v>
      </c>
      <c r="K1372" s="15">
        <f t="shared" si="296"/>
        <v>8.6484312148028906E-3</v>
      </c>
      <c r="L1372" s="32">
        <f t="shared" si="297"/>
        <v>392533.95945731195</v>
      </c>
      <c r="M1372" s="15"/>
      <c r="N1372" s="32">
        <f t="shared" si="298"/>
        <v>-2529600</v>
      </c>
      <c r="O1372" s="34">
        <f t="shared" si="299"/>
        <v>-0.1711934914924145</v>
      </c>
      <c r="P1372" s="34">
        <f t="shared" si="300"/>
        <v>0.55971527964421808</v>
      </c>
      <c r="Q1372" s="34">
        <f t="shared" si="301"/>
        <v>0.54303311817486322</v>
      </c>
      <c r="R1372" s="35" cm="1">
        <f t="array" ref="R1372">SQRT(MMULT(O1372:Q1372, MMULT($AU$32:$AW$34,TRANSPOSE(O1372:Q1372))))</f>
        <v>1.1401361366203398E-2</v>
      </c>
      <c r="S1372" s="36" cm="1">
        <f t="array" ref="S1372:U1372">TRANSPOSE(MMULT($AU$32:$AW$34, TRANSPOSE(O1372:Q1372))/MMULT(O1372:Q1372, MMULT($AU$32:$AW$34,TRANSPOSE(O1372:Q1372))))</f>
        <v>0.2790539200396176</v>
      </c>
      <c r="T1372" s="36">
        <v>1.2360651066271087</v>
      </c>
      <c r="U1372" s="36">
        <v>0.65544379552438614</v>
      </c>
      <c r="V1372" s="35">
        <f t="shared" si="306"/>
        <v>7.4131153784536283E-3</v>
      </c>
      <c r="W1372" s="35">
        <f t="shared" si="307"/>
        <v>3.2836282140048231E-2</v>
      </c>
      <c r="X1372" s="35">
        <f t="shared" si="308"/>
        <v>1.7411977153462033E-2</v>
      </c>
      <c r="Y1372" s="32">
        <f t="shared" si="309"/>
        <v>-18752.216661336297</v>
      </c>
      <c r="Z1372" s="32">
        <f t="shared" si="302"/>
        <v>271572.47143926891</v>
      </c>
      <c r="AA1372" s="32">
        <f t="shared" si="303"/>
        <v>139713.70467937936</v>
      </c>
      <c r="AB1372" s="40">
        <f t="shared" si="310"/>
        <v>-4.7772214886227189E-2</v>
      </c>
      <c r="AC1372" s="40">
        <f t="shared" si="311"/>
        <v>0.69184452681425235</v>
      </c>
      <c r="AD1372" s="40">
        <f t="shared" si="312"/>
        <v>0.35592768807197483</v>
      </c>
      <c r="AE1372" s="40"/>
      <c r="AF1372" s="40"/>
      <c r="AG1372" s="40"/>
      <c r="AH1372" s="40"/>
      <c r="AI1372" s="40"/>
      <c r="AJ1372" s="40"/>
      <c r="AK1372" s="33">
        <f t="shared" si="304"/>
        <v>8270500</v>
      </c>
      <c r="AL1372" s="33">
        <f t="shared" si="305"/>
        <v>8024000</v>
      </c>
      <c r="AM1372" s="34"/>
      <c r="AN1372" s="33"/>
      <c r="AO1372" s="15" cm="1">
        <f t="array" ref="AO1372">SUMPRODUCT(I1372:K1372, TRANSPOSE($AY$5:$AY$7))</f>
        <v>1.4467500349085644E-2</v>
      </c>
      <c r="AP1372" s="22">
        <f t="shared" si="313"/>
        <v>14776262.68351496</v>
      </c>
      <c r="AQ1372" s="22">
        <f t="shared" si="314"/>
        <v>210726.89411772601</v>
      </c>
      <c r="AR1372">
        <f t="shared" si="315"/>
        <v>0</v>
      </c>
      <c r="AS1372">
        <f t="shared" si="316"/>
        <v>0</v>
      </c>
      <c r="BJ1372">
        <f t="shared" si="290"/>
        <v>7.4676133729724859E-5</v>
      </c>
      <c r="BK1372">
        <f t="shared" si="292"/>
        <v>4.3353516442610149E-5</v>
      </c>
      <c r="BO1372">
        <f t="shared" si="293"/>
        <v>4.8820028495189684E-5</v>
      </c>
      <c r="BP1372">
        <f t="shared" si="291"/>
        <v>3.2799359939375208</v>
      </c>
    </row>
    <row r="1373" spans="1:68" x14ac:dyDescent="0.15">
      <c r="A1373" s="5">
        <v>45580</v>
      </c>
      <c r="B1373" s="1"/>
      <c r="C1373">
        <v>83.88</v>
      </c>
      <c r="D1373">
        <v>117.3</v>
      </c>
      <c r="E1373">
        <v>100.56</v>
      </c>
      <c r="G1373" s="3">
        <v>-3.2932594387112802E-3</v>
      </c>
      <c r="I1373" s="15">
        <f t="shared" si="294"/>
        <v>-5.2182163187855521E-3</v>
      </c>
      <c r="J1373" s="15">
        <f t="shared" si="295"/>
        <v>-7.1942446043166183E-3</v>
      </c>
      <c r="K1373" s="15">
        <f t="shared" si="296"/>
        <v>2.5922233300100213E-3</v>
      </c>
      <c r="L1373" s="32">
        <f t="shared" si="297"/>
        <v>391042.97257007816</v>
      </c>
      <c r="M1373" s="15"/>
      <c r="N1373" s="32">
        <f t="shared" si="298"/>
        <v>-2516400</v>
      </c>
      <c r="O1373" s="34">
        <f t="shared" si="299"/>
        <v>-0.17042986532680676</v>
      </c>
      <c r="P1373" s="34">
        <f t="shared" si="300"/>
        <v>0.55611175655635448</v>
      </c>
      <c r="Q1373" s="34">
        <f t="shared" si="301"/>
        <v>0.54485542067282433</v>
      </c>
      <c r="R1373" s="35" cm="1">
        <f t="array" ref="R1373">SQRT(MMULT(O1373:Q1373, MMULT($AU$32:$AW$34,TRANSPOSE(O1373:Q1373))))</f>
        <v>1.136670499925853E-2</v>
      </c>
      <c r="S1373" s="36" cm="1">
        <f t="array" ref="S1373:U1373">TRANSPOSE(MMULT($AU$32:$AW$34, TRANSPOSE(O1373:Q1373))/MMULT(O1373:Q1373, MMULT($AU$32:$AW$34,TRANSPOSE(O1373:Q1373))))</f>
        <v>0.28119898599346355</v>
      </c>
      <c r="T1373" s="36">
        <v>1.2375760637664492</v>
      </c>
      <c r="U1373" s="36">
        <v>0.66016431694020195</v>
      </c>
      <c r="V1373" s="35">
        <f t="shared" si="306"/>
        <v>7.4473927933165129E-3</v>
      </c>
      <c r="W1373" s="35">
        <f t="shared" si="307"/>
        <v>3.2776487532175928E-2</v>
      </c>
      <c r="X1373" s="35">
        <f t="shared" si="308"/>
        <v>1.7484070787152348E-2</v>
      </c>
      <c r="Y1373" s="32">
        <f t="shared" si="309"/>
        <v>-18740.619225101673</v>
      </c>
      <c r="Z1373" s="32">
        <f t="shared" si="302"/>
        <v>269127.73912669654</v>
      </c>
      <c r="AA1373" s="32">
        <f t="shared" si="303"/>
        <v>140655.85266848322</v>
      </c>
      <c r="AB1373" s="40">
        <f t="shared" si="310"/>
        <v>-4.7924705312900613E-2</v>
      </c>
      <c r="AC1373" s="40">
        <f t="shared" si="311"/>
        <v>0.68823059869325898</v>
      </c>
      <c r="AD1373" s="40">
        <f t="shared" si="312"/>
        <v>0.35969410661964146</v>
      </c>
      <c r="AE1373" s="40"/>
      <c r="AF1373" s="40"/>
      <c r="AG1373" s="40"/>
      <c r="AH1373" s="40"/>
      <c r="AI1373" s="40"/>
      <c r="AJ1373" s="40"/>
      <c r="AK1373" s="33">
        <f t="shared" si="304"/>
        <v>8211000</v>
      </c>
      <c r="AL1373" s="33">
        <f t="shared" si="305"/>
        <v>8044800</v>
      </c>
      <c r="AM1373" s="34"/>
      <c r="AN1373" s="33"/>
      <c r="AO1373" s="15" cm="1">
        <f t="array" ref="AO1373">SUMPRODUCT(I1373:K1373, TRANSPOSE($AY$5:$AY$7))</f>
        <v>-7.6100808458168094E-4</v>
      </c>
      <c r="AP1373" s="22">
        <f t="shared" si="313"/>
        <v>14765017.828152902</v>
      </c>
      <c r="AQ1373" s="22">
        <f t="shared" si="314"/>
        <v>-11244.855362057686</v>
      </c>
      <c r="AR1373">
        <f t="shared" si="315"/>
        <v>0</v>
      </c>
      <c r="AS1373">
        <f t="shared" si="316"/>
        <v>0</v>
      </c>
      <c r="BJ1373">
        <f t="shared" si="290"/>
        <v>1.0845557730660936E-5</v>
      </c>
      <c r="BK1373">
        <f t="shared" si="292"/>
        <v>4.5232873479837034E-5</v>
      </c>
      <c r="BO1373">
        <f t="shared" si="293"/>
        <v>5.4868610548347371E-5</v>
      </c>
      <c r="BP1373">
        <f t="shared" si="291"/>
        <v>3.8875139524708602</v>
      </c>
    </row>
    <row r="1374" spans="1:68" x14ac:dyDescent="0.15">
      <c r="A1374" s="5">
        <v>45581</v>
      </c>
      <c r="B1374" s="1"/>
      <c r="C1374">
        <v>83.88</v>
      </c>
      <c r="D1374">
        <v>116.9</v>
      </c>
      <c r="E1374">
        <v>100.8</v>
      </c>
      <c r="G1374" s="3">
        <v>-2.10987389163797E-3</v>
      </c>
      <c r="I1374" s="15">
        <f t="shared" si="294"/>
        <v>0</v>
      </c>
      <c r="J1374" s="15">
        <f t="shared" si="295"/>
        <v>-3.4100596760442583E-3</v>
      </c>
      <c r="K1374" s="15">
        <f t="shared" si="296"/>
        <v>2.386634844868684E-3</v>
      </c>
      <c r="L1374" s="32">
        <f t="shared" si="297"/>
        <v>390461.80163227557</v>
      </c>
      <c r="M1374" s="15"/>
      <c r="N1374" s="32">
        <f t="shared" si="298"/>
        <v>-2516400</v>
      </c>
      <c r="O1374" s="34">
        <f t="shared" si="299"/>
        <v>-0.17051215628288799</v>
      </c>
      <c r="P1374" s="34">
        <f t="shared" si="300"/>
        <v>0.55448298158594511</v>
      </c>
      <c r="Q1374" s="34">
        <f t="shared" si="301"/>
        <v>0.5464194993900845</v>
      </c>
      <c r="R1374" s="35" cm="1">
        <f t="array" ref="R1374">SQRT(MMULT(O1374:Q1374, MMULT($AU$32:$AW$34,TRANSPOSE(O1374:Q1374))))</f>
        <v>1.1355291901848436E-2</v>
      </c>
      <c r="S1374" s="36" cm="1">
        <f t="array" ref="S1374:U1374">TRANSPOSE(MMULT($AU$32:$AW$34, TRANSPOSE(O1374:Q1374))/MMULT(O1374:Q1374, MMULT($AU$32:$AW$34,TRANSPOSE(O1374:Q1374))))</f>
        <v>0.28189909946226221</v>
      </c>
      <c r="T1374" s="36">
        <v>1.2374777937844716</v>
      </c>
      <c r="U1374" s="36">
        <v>0.66232417943258848</v>
      </c>
      <c r="V1374" s="35">
        <f t="shared" si="306"/>
        <v>7.4584384877409106E-3</v>
      </c>
      <c r="W1374" s="35">
        <f t="shared" si="307"/>
        <v>3.2740977259213933E-2</v>
      </c>
      <c r="X1374" s="35">
        <f t="shared" si="308"/>
        <v>1.7523660631284629E-2</v>
      </c>
      <c r="Y1374" s="32">
        <f t="shared" si="309"/>
        <v>-18768.414610551226</v>
      </c>
      <c r="Z1374" s="32">
        <f t="shared" si="302"/>
        <v>267919.4169121476</v>
      </c>
      <c r="AA1374" s="32">
        <f t="shared" si="303"/>
        <v>141310.79933067923</v>
      </c>
      <c r="AB1374" s="40">
        <f t="shared" si="310"/>
        <v>-4.8067223303514636E-2</v>
      </c>
      <c r="AC1374" s="40">
        <f t="shared" si="311"/>
        <v>0.68616037674401131</v>
      </c>
      <c r="AD1374" s="40">
        <f t="shared" si="312"/>
        <v>0.36190684655950345</v>
      </c>
      <c r="AE1374" s="40"/>
      <c r="AF1374" s="40"/>
      <c r="AG1374" s="40"/>
      <c r="AH1374" s="40"/>
      <c r="AI1374" s="40"/>
      <c r="AJ1374" s="40"/>
      <c r="AK1374" s="33">
        <f t="shared" si="304"/>
        <v>8183000</v>
      </c>
      <c r="AL1374" s="33">
        <f t="shared" si="305"/>
        <v>8064000</v>
      </c>
      <c r="AM1374" s="34"/>
      <c r="AN1374" s="33"/>
      <c r="AO1374" s="15" cm="1">
        <f t="array" ref="AO1374">SUMPRODUCT(I1374:K1374, TRANSPOSE($AY$5:$AY$7))</f>
        <v>-4.8261049461308255E-4</v>
      </c>
      <c r="AP1374" s="22">
        <f t="shared" si="313"/>
        <v>14757892.075595887</v>
      </c>
      <c r="AQ1374" s="22">
        <f t="shared" si="314"/>
        <v>-7125.7525570150465</v>
      </c>
      <c r="AR1374">
        <f t="shared" si="315"/>
        <v>0</v>
      </c>
      <c r="AS1374">
        <f t="shared" si="316"/>
        <v>0</v>
      </c>
      <c r="BJ1374">
        <f t="shared" si="290"/>
        <v>4.4515678386155527E-6</v>
      </c>
      <c r="BK1374">
        <f t="shared" si="292"/>
        <v>4.3169634534886467E-5</v>
      </c>
      <c r="BO1374">
        <f t="shared" si="293"/>
        <v>5.0522227510654496E-5</v>
      </c>
      <c r="BP1374">
        <f t="shared" si="291"/>
        <v>3.9835545135861694</v>
      </c>
    </row>
    <row r="1375" spans="1:68" x14ac:dyDescent="0.15">
      <c r="A1375" s="5">
        <v>45582</v>
      </c>
      <c r="B1375" s="1"/>
      <c r="C1375">
        <v>86</v>
      </c>
      <c r="D1375">
        <v>116.65</v>
      </c>
      <c r="E1375">
        <v>100.96</v>
      </c>
      <c r="G1375" s="3">
        <v>9.1199621640769505E-3</v>
      </c>
      <c r="I1375" s="15">
        <f t="shared" si="294"/>
        <v>2.5274201239866532E-2</v>
      </c>
      <c r="J1375" s="15">
        <f t="shared" si="295"/>
        <v>-2.1385799828913601E-3</v>
      </c>
      <c r="K1375" s="15">
        <f t="shared" si="296"/>
        <v>1.5873015873015535E-3</v>
      </c>
      <c r="L1375" s="32">
        <f t="shared" si="297"/>
        <v>389642.00718815107</v>
      </c>
      <c r="M1375" s="15"/>
      <c r="N1375" s="32">
        <f t="shared" si="298"/>
        <v>-2580000</v>
      </c>
      <c r="O1375" s="34">
        <f t="shared" si="299"/>
        <v>-0.17662351731654941</v>
      </c>
      <c r="P1375" s="34">
        <f t="shared" si="300"/>
        <v>0.55899974056135049</v>
      </c>
      <c r="Q1375" s="34">
        <f t="shared" si="301"/>
        <v>0.55292745141949851</v>
      </c>
      <c r="R1375" s="35" cm="1">
        <f t="array" ref="R1375">SQRT(MMULT(O1375:Q1375, MMULT($AU$32:$AW$34,TRANSPOSE(O1375:Q1375))))</f>
        <v>1.1448238647212207E-2</v>
      </c>
      <c r="S1375" s="36" cm="1">
        <f t="array" ref="S1375:U1375">TRANSPOSE(MMULT($AU$32:$AW$34, TRANSPOSE(O1375:Q1375))/MMULT(O1375:Q1375, MMULT($AU$32:$AW$34,TRANSPOSE(O1375:Q1375))))</f>
        <v>0.27595832229779393</v>
      </c>
      <c r="T1375" s="36">
        <v>1.2266214339221795</v>
      </c>
      <c r="U1375" s="36">
        <v>0.65661356703390006</v>
      </c>
      <c r="V1375" s="35">
        <f t="shared" si="306"/>
        <v>7.3610215817142121E-3</v>
      </c>
      <c r="W1375" s="35">
        <f t="shared" si="307"/>
        <v>3.2719385929411329E-2</v>
      </c>
      <c r="X1375" s="35">
        <f t="shared" si="308"/>
        <v>1.7514770337555167E-2</v>
      </c>
      <c r="Y1375" s="32">
        <f t="shared" si="309"/>
        <v>-18991.435680822666</v>
      </c>
      <c r="Z1375" s="32">
        <f t="shared" si="302"/>
        <v>267170.1458066082</v>
      </c>
      <c r="AA1375" s="32">
        <f t="shared" si="303"/>
        <v>141463.29706236554</v>
      </c>
      <c r="AB1375" s="40">
        <f t="shared" si="310"/>
        <v>-4.8740729517010327E-2</v>
      </c>
      <c r="AC1375" s="40">
        <f t="shared" si="311"/>
        <v>0.68568106332948997</v>
      </c>
      <c r="AD1375" s="40">
        <f t="shared" si="312"/>
        <v>0.36305966618752039</v>
      </c>
      <c r="AE1375" s="40"/>
      <c r="AF1375" s="40"/>
      <c r="AG1375" s="40"/>
      <c r="AH1375" s="40"/>
      <c r="AI1375" s="40"/>
      <c r="AJ1375" s="40"/>
      <c r="AK1375" s="33">
        <f t="shared" si="304"/>
        <v>8165500</v>
      </c>
      <c r="AL1375" s="33">
        <f t="shared" si="305"/>
        <v>8076799.9999999991</v>
      </c>
      <c r="AM1375" s="34"/>
      <c r="AN1375" s="33"/>
      <c r="AO1375" s="15" cm="1">
        <f t="array" ref="AO1375">SUMPRODUCT(I1375:K1375, TRANSPOSE($AY$5:$AY$7))</f>
        <v>-1.0201373573004584E-2</v>
      </c>
      <c r="AP1375" s="22">
        <f t="shared" si="313"/>
        <v>14607341.30538265</v>
      </c>
      <c r="AQ1375" s="22">
        <f t="shared" si="314"/>
        <v>-150550.77021323703</v>
      </c>
      <c r="AR1375">
        <f t="shared" si="315"/>
        <v>0</v>
      </c>
      <c r="AS1375">
        <f t="shared" si="316"/>
        <v>0</v>
      </c>
      <c r="BJ1375">
        <f t="shared" si="290"/>
        <v>8.3173709874195136E-5</v>
      </c>
      <c r="BK1375">
        <f t="shared" si="292"/>
        <v>4.084655053311021E-5</v>
      </c>
      <c r="BO1375">
        <f t="shared" si="293"/>
        <v>4.6202383468719529E-5</v>
      </c>
      <c r="BP1375">
        <f t="shared" si="291"/>
        <v>3.1721991134889862</v>
      </c>
    </row>
    <row r="1376" spans="1:68" x14ac:dyDescent="0.15">
      <c r="A1376" s="5">
        <v>45583</v>
      </c>
      <c r="B1376" s="1"/>
      <c r="C1376">
        <v>85.98</v>
      </c>
      <c r="D1376">
        <v>116.8</v>
      </c>
      <c r="E1376">
        <v>100.98</v>
      </c>
      <c r="G1376" s="3">
        <v>1.8279953454882699E-3</v>
      </c>
      <c r="I1376" s="15">
        <f t="shared" si="294"/>
        <v>-2.3255813953483747E-4</v>
      </c>
      <c r="J1376" s="15">
        <f t="shared" si="295"/>
        <v>1.2858979854264163E-3</v>
      </c>
      <c r="K1376" s="15">
        <f t="shared" si="296"/>
        <v>1.9809825673544208E-4</v>
      </c>
      <c r="L1376" s="32">
        <f t="shared" si="297"/>
        <v>390018.03149510996</v>
      </c>
      <c r="M1376" s="15"/>
      <c r="N1376" s="32">
        <f t="shared" si="298"/>
        <v>-2579400</v>
      </c>
      <c r="O1376" s="34">
        <f t="shared" si="299"/>
        <v>-0.1763914216651217</v>
      </c>
      <c r="P1376" s="34">
        <f t="shared" si="300"/>
        <v>0.55911307417772937</v>
      </c>
      <c r="Q1376" s="34">
        <f t="shared" si="301"/>
        <v>0.55243873023940415</v>
      </c>
      <c r="R1376" s="35" cm="1">
        <f t="array" ref="R1376">SQRT(MMULT(O1376:Q1376, MMULT($AU$32:$AW$34,TRANSPOSE(O1376:Q1376))))</f>
        <v>1.1446890541875802E-2</v>
      </c>
      <c r="S1376" s="36" cm="1">
        <f t="array" ref="S1376:U1376">TRANSPOSE(MMULT($AU$32:$AW$34, TRANSPOSE(O1376:Q1376))/MMULT(O1376:Q1376, MMULT($AU$32:$AW$34,TRANSPOSE(O1376:Q1376))))</f>
        <v>0.27605388782702189</v>
      </c>
      <c r="T1376" s="36">
        <v>1.2270154705349547</v>
      </c>
      <c r="U1376" s="36">
        <v>0.65645858279777369</v>
      </c>
      <c r="V1376" s="35">
        <f t="shared" si="306"/>
        <v>7.3627036256433713E-3</v>
      </c>
      <c r="W1376" s="35">
        <f t="shared" si="307"/>
        <v>3.272604245765634E-2</v>
      </c>
      <c r="X1376" s="35">
        <f t="shared" si="308"/>
        <v>1.7508574234167198E-2</v>
      </c>
      <c r="Y1376" s="32">
        <f t="shared" si="309"/>
        <v>-18991.357731984514</v>
      </c>
      <c r="Z1376" s="32">
        <f t="shared" si="302"/>
        <v>267568.12313379825</v>
      </c>
      <c r="AA1376" s="32">
        <f t="shared" si="303"/>
        <v>141441.26609329629</v>
      </c>
      <c r="AB1376" s="40">
        <f t="shared" si="310"/>
        <v>-4.869353772999243E-2</v>
      </c>
      <c r="AC1376" s="40">
        <f t="shared" si="311"/>
        <v>0.68604039179443177</v>
      </c>
      <c r="AD1376" s="40">
        <f t="shared" si="312"/>
        <v>0.36265314593556086</v>
      </c>
      <c r="AE1376" s="40"/>
      <c r="AF1376" s="40"/>
      <c r="AG1376" s="40"/>
      <c r="AH1376" s="40"/>
      <c r="AI1376" s="40"/>
      <c r="AJ1376" s="40"/>
      <c r="AK1376" s="33">
        <f t="shared" si="304"/>
        <v>8176000</v>
      </c>
      <c r="AL1376" s="33">
        <f t="shared" si="305"/>
        <v>8078400</v>
      </c>
      <c r="AM1376" s="34"/>
      <c r="AN1376" s="33"/>
      <c r="AO1376" s="15" cm="1">
        <f t="array" ref="AO1376">SUMPRODUCT(I1376:K1376, TRANSPOSE($AY$5:$AY$7))</f>
        <v>1.0829348334473971E-3</v>
      </c>
      <c r="AP1376" s="22">
        <f t="shared" si="313"/>
        <v>14623160.104106303</v>
      </c>
      <c r="AQ1376" s="22">
        <f t="shared" si="314"/>
        <v>15818.798723652959</v>
      </c>
      <c r="AR1376">
        <f t="shared" si="315"/>
        <v>0</v>
      </c>
      <c r="AS1376">
        <f t="shared" si="316"/>
        <v>0</v>
      </c>
      <c r="BJ1376">
        <f t="shared" si="290"/>
        <v>3.3415669831267793E-6</v>
      </c>
      <c r="BK1376">
        <f t="shared" si="292"/>
        <v>4.3386180093575308E-5</v>
      </c>
      <c r="BO1376">
        <f t="shared" si="293"/>
        <v>5.4025611632682E-5</v>
      </c>
      <c r="BP1376">
        <f t="shared" si="291"/>
        <v>3.9631618667056849</v>
      </c>
    </row>
    <row r="1377" spans="1:68" x14ac:dyDescent="0.15">
      <c r="A1377" s="5">
        <v>45586</v>
      </c>
      <c r="B1377" s="1"/>
      <c r="C1377">
        <v>86.36</v>
      </c>
      <c r="D1377">
        <v>114.65</v>
      </c>
      <c r="E1377">
        <v>100.44</v>
      </c>
      <c r="G1377" s="3">
        <v>-5.2646758361997101E-3</v>
      </c>
      <c r="I1377" s="15">
        <f t="shared" si="294"/>
        <v>4.4196324726680095E-3</v>
      </c>
      <c r="J1377" s="15">
        <f t="shared" si="295"/>
        <v>-1.840753424657527E-2</v>
      </c>
      <c r="K1377" s="15">
        <f t="shared" si="296"/>
        <v>-5.3475935828877627E-3</v>
      </c>
      <c r="L1377" s="32">
        <f t="shared" si="297"/>
        <v>384257.28493476572</v>
      </c>
      <c r="M1377" s="15"/>
      <c r="N1377" s="32">
        <f t="shared" si="298"/>
        <v>-2590800</v>
      </c>
      <c r="O1377" s="34">
        <f t="shared" si="299"/>
        <v>-0.18037873503950672</v>
      </c>
      <c r="P1377" s="34">
        <f t="shared" si="300"/>
        <v>0.55875773431355613</v>
      </c>
      <c r="Q1377" s="34">
        <f t="shared" si="301"/>
        <v>0.55943307541664522</v>
      </c>
      <c r="R1377" s="35" cm="1">
        <f t="array" ref="R1377">SQRT(MMULT(O1377:Q1377, MMULT($AU$32:$AW$34,TRANSPOSE(O1377:Q1377))))</f>
        <v>1.1482002507759105E-2</v>
      </c>
      <c r="S1377" s="36" cm="1">
        <f t="array" ref="S1377:U1377">TRANSPOSE(MMULT($AU$32:$AW$34, TRANSPOSE(O1377:Q1377))/MMULT(O1377:Q1377, MMULT($AU$32:$AW$34,TRANSPOSE(O1377:Q1377))))</f>
        <v>0.27369972170156182</v>
      </c>
      <c r="T1377" s="36">
        <v>1.2202231310997191</v>
      </c>
      <c r="U1377" s="36">
        <v>0.65702317871923244</v>
      </c>
      <c r="V1377" s="35">
        <f t="shared" si="306"/>
        <v>7.3223066759142046E-3</v>
      </c>
      <c r="W1377" s="35">
        <f t="shared" si="307"/>
        <v>3.264470976955846E-2</v>
      </c>
      <c r="X1377" s="35">
        <f t="shared" si="308"/>
        <v>1.7577384360704502E-2</v>
      </c>
      <c r="Y1377" s="32">
        <f t="shared" si="309"/>
        <v>-18970.63213595852</v>
      </c>
      <c r="Z1377" s="32">
        <f t="shared" si="302"/>
        <v>261990.11825559143</v>
      </c>
      <c r="AA1377" s="32">
        <f t="shared" si="303"/>
        <v>141237.79881513282</v>
      </c>
      <c r="AB1377" s="40">
        <f t="shared" si="310"/>
        <v>-4.9369609581192742E-2</v>
      </c>
      <c r="AC1377" s="40">
        <f t="shared" si="311"/>
        <v>0.6818091120902724</v>
      </c>
      <c r="AD1377" s="40">
        <f t="shared" si="312"/>
        <v>0.36756049749092035</v>
      </c>
      <c r="AE1377" s="40"/>
      <c r="AF1377" s="40"/>
      <c r="AG1377" s="40"/>
      <c r="AH1377" s="40"/>
      <c r="AI1377" s="40"/>
      <c r="AJ1377" s="40"/>
      <c r="AK1377" s="33">
        <f t="shared" si="304"/>
        <v>8025500</v>
      </c>
      <c r="AL1377" s="33">
        <f t="shared" si="305"/>
        <v>8035200</v>
      </c>
      <c r="AM1377" s="34"/>
      <c r="AN1377" s="33"/>
      <c r="AO1377" s="15" cm="1">
        <f t="array" ref="AO1377">SUMPRODUCT(I1377:K1377, TRANSPOSE($AY$5:$AY$7))</f>
        <v>-1.7783294236935414E-2</v>
      </c>
      <c r="AP1377" s="22">
        <f t="shared" si="313"/>
        <v>14363112.145301167</v>
      </c>
      <c r="AQ1377" s="22">
        <f t="shared" si="314"/>
        <v>-260047.95880513638</v>
      </c>
      <c r="AR1377">
        <f t="shared" si="315"/>
        <v>0</v>
      </c>
      <c r="AS1377">
        <f t="shared" si="316"/>
        <v>0</v>
      </c>
      <c r="BJ1377">
        <f t="shared" si="290"/>
        <v>2.7716811660265115E-5</v>
      </c>
      <c r="BK1377">
        <f t="shared" si="292"/>
        <v>4.0983503306948395E-5</v>
      </c>
      <c r="BO1377">
        <f t="shared" si="293"/>
        <v>4.8792277237641044E-5</v>
      </c>
      <c r="BP1377">
        <f t="shared" si="291"/>
        <v>3.7610020477630974</v>
      </c>
    </row>
    <row r="1378" spans="1:68" x14ac:dyDescent="0.15">
      <c r="A1378" s="5">
        <v>45587</v>
      </c>
      <c r="B1378" s="1"/>
      <c r="C1378">
        <v>85.52</v>
      </c>
      <c r="D1378">
        <v>112.65</v>
      </c>
      <c r="E1378">
        <v>98.81</v>
      </c>
      <c r="G1378" s="3">
        <v>-8.0365130480537506E-3</v>
      </c>
      <c r="I1378" s="15">
        <f t="shared" si="294"/>
        <v>-9.7267253358036525E-3</v>
      </c>
      <c r="J1378" s="15">
        <f t="shared" si="295"/>
        <v>-1.7444395987788922E-2</v>
      </c>
      <c r="K1378" s="15">
        <f t="shared" si="296"/>
        <v>-1.6228594185583388E-2</v>
      </c>
      <c r="L1378" s="32">
        <f t="shared" si="297"/>
        <v>377579.73409089143</v>
      </c>
      <c r="M1378" s="15"/>
      <c r="N1378" s="32">
        <f t="shared" si="298"/>
        <v>-2565600</v>
      </c>
      <c r="O1378" s="34">
        <f t="shared" si="299"/>
        <v>-0.18219367084905855</v>
      </c>
      <c r="P1378" s="34">
        <f t="shared" si="300"/>
        <v>0.55998136555981104</v>
      </c>
      <c r="Q1378" s="34">
        <f t="shared" si="301"/>
        <v>0.56135193690662533</v>
      </c>
      <c r="R1378" s="35" cm="1">
        <f t="array" ref="R1378">SQRT(MMULT(O1378:Q1378, MMULT($AU$32:$AW$34,TRANSPOSE(O1378:Q1378))))</f>
        <v>1.1507926898146444E-2</v>
      </c>
      <c r="S1378" s="36" cm="1">
        <f t="array" ref="S1378:U1378">TRANSPOSE(MMULT($AU$32:$AW$34, TRANSPOSE(O1378:Q1378))/MMULT(O1378:Q1378, MMULT($AU$32:$AW$34,TRANSPOSE(O1378:Q1378))))</f>
        <v>0.27201685671056425</v>
      </c>
      <c r="T1378" s="36">
        <v>1.2171939588400777</v>
      </c>
      <c r="U1378" s="36">
        <v>0.6554779457289126</v>
      </c>
      <c r="V1378" s="35">
        <f t="shared" si="306"/>
        <v>7.293715737866786E-3</v>
      </c>
      <c r="W1378" s="35">
        <f t="shared" si="307"/>
        <v>3.2637193301129214E-2</v>
      </c>
      <c r="X1378" s="35">
        <f t="shared" si="308"/>
        <v>1.7575638018913584E-2</v>
      </c>
      <c r="Y1378" s="32">
        <f t="shared" si="309"/>
        <v>-18712.757097071026</v>
      </c>
      <c r="Z1378" s="32">
        <f t="shared" si="302"/>
        <v>257360.58777605442</v>
      </c>
      <c r="AA1378" s="32">
        <f t="shared" si="303"/>
        <v>138931.9034119081</v>
      </c>
      <c r="AB1378" s="40">
        <f t="shared" si="310"/>
        <v>-4.9559749656920067E-2</v>
      </c>
      <c r="AC1378" s="40">
        <f t="shared" si="311"/>
        <v>0.68160593522241919</v>
      </c>
      <c r="AD1378" s="40">
        <f t="shared" si="312"/>
        <v>0.36795381443450104</v>
      </c>
      <c r="AE1378" s="40"/>
      <c r="AF1378" s="40"/>
      <c r="AG1378" s="40"/>
      <c r="AH1378" s="40"/>
      <c r="AI1378" s="40"/>
      <c r="AJ1378" s="40"/>
      <c r="AK1378" s="33">
        <f t="shared" si="304"/>
        <v>7885500</v>
      </c>
      <c r="AL1378" s="33">
        <f t="shared" si="305"/>
        <v>7904800</v>
      </c>
      <c r="AM1378" s="34"/>
      <c r="AN1378" s="33"/>
      <c r="AO1378" s="15" cm="1">
        <f t="array" ref="AO1378">SUMPRODUCT(I1378:K1378, TRANSPOSE($AY$5:$AY$7))</f>
        <v>-1.9591406249550726E-2</v>
      </c>
      <c r="AP1378" s="22">
        <f t="shared" si="313"/>
        <v>14081718.580254717</v>
      </c>
      <c r="AQ1378" s="22">
        <f t="shared" si="314"/>
        <v>-281393.56504645012</v>
      </c>
      <c r="AR1378">
        <f t="shared" si="315"/>
        <v>0</v>
      </c>
      <c r="AS1378">
        <f t="shared" si="316"/>
        <v>0</v>
      </c>
      <c r="BJ1378">
        <f t="shared" si="290"/>
        <v>6.4585541971538184E-5</v>
      </c>
      <c r="BK1378">
        <f t="shared" si="292"/>
        <v>4.0187501808147403E-5</v>
      </c>
      <c r="BO1378">
        <f t="shared" si="293"/>
        <v>4.8158887534292081E-5</v>
      </c>
      <c r="BP1378">
        <f t="shared" si="291"/>
        <v>3.3810174468880634</v>
      </c>
    </row>
    <row r="1379" spans="1:68" x14ac:dyDescent="0.15">
      <c r="A1379" s="5">
        <v>45588</v>
      </c>
      <c r="B1379" s="1"/>
      <c r="C1379">
        <v>85.38</v>
      </c>
      <c r="D1379">
        <v>111.85</v>
      </c>
      <c r="E1379">
        <v>98.68</v>
      </c>
      <c r="G1379" s="3">
        <v>-1.3338302123735398E-3</v>
      </c>
      <c r="I1379" s="15">
        <f t="shared" si="294"/>
        <v>-1.6370439663236738E-3</v>
      </c>
      <c r="J1379" s="15">
        <f t="shared" si="295"/>
        <v>-7.1016422547715164E-3</v>
      </c>
      <c r="K1379" s="15">
        <f t="shared" si="296"/>
        <v>-1.3156563100900258E-3</v>
      </c>
      <c r="L1379" s="32">
        <f t="shared" si="297"/>
        <v>375600.72660761047</v>
      </c>
      <c r="M1379" s="15"/>
      <c r="N1379" s="32">
        <f t="shared" si="298"/>
        <v>-2561400</v>
      </c>
      <c r="O1379" s="34">
        <f t="shared" si="299"/>
        <v>-0.18280802151454917</v>
      </c>
      <c r="P1379" s="34">
        <f t="shared" si="300"/>
        <v>0.55879417679712762</v>
      </c>
      <c r="Q1379" s="34">
        <f t="shared" si="301"/>
        <v>0.56342611269011367</v>
      </c>
      <c r="R1379" s="35" cm="1">
        <f t="array" ref="R1379">SQRT(MMULT(O1379:Q1379, MMULT($AU$32:$AW$34,TRANSPOSE(O1379:Q1379))))</f>
        <v>1.1505045643052025E-2</v>
      </c>
      <c r="S1379" s="36" cm="1">
        <f t="array" ref="S1379:U1379">TRANSPOSE(MMULT($AU$32:$AW$34, TRANSPOSE(O1379:Q1379))/MMULT(O1379:Q1379, MMULT($AU$32:$AW$34,TRANSPOSE(O1379:Q1379))))</f>
        <v>0.27215404496267936</v>
      </c>
      <c r="T1379" s="36">
        <v>1.2161427832551819</v>
      </c>
      <c r="U1379" s="36">
        <v>0.65701327775264373</v>
      </c>
      <c r="V1379" s="35">
        <f t="shared" si="306"/>
        <v>7.2955671725218815E-3</v>
      </c>
      <c r="W1379" s="35">
        <f t="shared" si="307"/>
        <v>3.2600843275478721E-2</v>
      </c>
      <c r="X1379" s="35">
        <f t="shared" si="308"/>
        <v>1.7612394854320444E-2</v>
      </c>
      <c r="Y1379" s="32">
        <f t="shared" si="309"/>
        <v>-18686.865755697549</v>
      </c>
      <c r="Z1379" s="32">
        <f t="shared" si="302"/>
        <v>255248.30242536066</v>
      </c>
      <c r="AA1379" s="32">
        <f t="shared" si="303"/>
        <v>139039.28993794732</v>
      </c>
      <c r="AB1379" s="40">
        <f t="shared" si="310"/>
        <v>-4.9751942506809074E-2</v>
      </c>
      <c r="AC1379" s="40">
        <f t="shared" si="311"/>
        <v>0.67957350543684703</v>
      </c>
      <c r="AD1379" s="40">
        <f t="shared" si="312"/>
        <v>0.37017843706996195</v>
      </c>
      <c r="AE1379" s="40"/>
      <c r="AF1379" s="40"/>
      <c r="AG1379" s="40"/>
      <c r="AH1379" s="40"/>
      <c r="AI1379" s="40"/>
      <c r="AJ1379" s="40"/>
      <c r="AK1379" s="33">
        <f t="shared" si="304"/>
        <v>7829500</v>
      </c>
      <c r="AL1379" s="33">
        <f t="shared" si="305"/>
        <v>7894400.0000000009</v>
      </c>
      <c r="AM1379" s="34"/>
      <c r="AN1379" s="33"/>
      <c r="AO1379" s="15" cm="1">
        <f t="array" ref="AO1379">SUMPRODUCT(I1379:K1379, TRANSPOSE($AY$5:$AY$7))</f>
        <v>-4.9921754389962419E-3</v>
      </c>
      <c r="AP1379" s="22">
        <f t="shared" si="313"/>
        <v>14011420.170619512</v>
      </c>
      <c r="AQ1379" s="22">
        <f t="shared" si="314"/>
        <v>-70298.409635204822</v>
      </c>
      <c r="AR1379">
        <f t="shared" si="315"/>
        <v>0</v>
      </c>
      <c r="AS1379">
        <f t="shared" si="316"/>
        <v>0</v>
      </c>
      <c r="BJ1379">
        <f t="shared" si="290"/>
        <v>1.7791030354404422E-6</v>
      </c>
      <c r="BK1379">
        <f t="shared" si="292"/>
        <v>4.1651384217950849E-5</v>
      </c>
      <c r="BO1379">
        <f t="shared" si="293"/>
        <v>5.2912921598822394E-5</v>
      </c>
      <c r="BP1379">
        <f t="shared" si="291"/>
        <v>3.9876813467559376</v>
      </c>
    </row>
    <row r="1380" spans="1:68" x14ac:dyDescent="0.15">
      <c r="A1380" s="5">
        <v>45589</v>
      </c>
      <c r="B1380" s="1"/>
      <c r="C1380">
        <v>84.82</v>
      </c>
      <c r="D1380">
        <v>112.25</v>
      </c>
      <c r="E1380">
        <v>98.24</v>
      </c>
      <c r="G1380" s="3">
        <v>2.1350853265409402E-3</v>
      </c>
      <c r="I1380" s="15">
        <f t="shared" si="294"/>
        <v>-6.5589130944015261E-3</v>
      </c>
      <c r="J1380" s="15">
        <f t="shared" si="295"/>
        <v>3.5762181493071586E-3</v>
      </c>
      <c r="K1380" s="15">
        <f t="shared" si="296"/>
        <v>-4.458856911228333E-3</v>
      </c>
      <c r="L1380" s="32">
        <f t="shared" si="297"/>
        <v>376017.76488379453</v>
      </c>
      <c r="M1380" s="15"/>
      <c r="N1380" s="32">
        <f t="shared" si="298"/>
        <v>-2544600</v>
      </c>
      <c r="O1380" s="34">
        <f t="shared" si="299"/>
        <v>-0.18130969527195848</v>
      </c>
      <c r="P1380" s="34">
        <f t="shared" si="300"/>
        <v>0.55986832138623499</v>
      </c>
      <c r="Q1380" s="34">
        <f t="shared" si="301"/>
        <v>0.5599894510262422</v>
      </c>
      <c r="R1380" s="35" cm="1">
        <f t="array" ref="R1380">SQRT(MMULT(O1380:Q1380, MMULT($AU$32:$AW$34,TRANSPOSE(O1380:Q1380))))</f>
        <v>1.1498837792650145E-2</v>
      </c>
      <c r="S1380" s="36" cm="1">
        <f t="array" ref="S1380:U1380">TRANSPOSE(MMULT($AU$32:$AW$34, TRANSPOSE(O1380:Q1380))/MMULT(O1380:Q1380, MMULT($AU$32:$AW$34,TRANSPOSE(O1380:Q1380))))</f>
        <v>0.27262153647212733</v>
      </c>
      <c r="T1380" s="36">
        <v>1.2186716043882309</v>
      </c>
      <c r="U1380" s="36">
        <v>0.65560753253407467</v>
      </c>
      <c r="V1380" s="35">
        <f t="shared" si="306"/>
        <v>7.3041558261551908E-3</v>
      </c>
      <c r="W1380" s="35">
        <f t="shared" si="307"/>
        <v>3.2651005546189708E-2</v>
      </c>
      <c r="X1380" s="35">
        <f t="shared" si="308"/>
        <v>1.7565228486339998E-2</v>
      </c>
      <c r="Y1380" s="32">
        <f t="shared" si="309"/>
        <v>-18586.1549152345</v>
      </c>
      <c r="Z1380" s="32">
        <f t="shared" si="302"/>
        <v>256555.27607918563</v>
      </c>
      <c r="AA1380" s="32">
        <f t="shared" si="303"/>
        <v>138048.64371984333</v>
      </c>
      <c r="AB1380" s="40">
        <f t="shared" si="310"/>
        <v>-4.9428927702334521E-2</v>
      </c>
      <c r="AC1380" s="40">
        <f t="shared" si="311"/>
        <v>0.68229562546990863</v>
      </c>
      <c r="AD1380" s="40">
        <f t="shared" si="312"/>
        <v>0.36713330223242568</v>
      </c>
      <c r="AE1380" s="40"/>
      <c r="AF1380" s="40"/>
      <c r="AG1380" s="40"/>
      <c r="AH1380" s="40"/>
      <c r="AI1380" s="40"/>
      <c r="AJ1380" s="40"/>
      <c r="AK1380" s="33">
        <f t="shared" si="304"/>
        <v>7857500</v>
      </c>
      <c r="AL1380" s="33">
        <f t="shared" si="305"/>
        <v>7859200</v>
      </c>
      <c r="AM1380" s="34"/>
      <c r="AN1380" s="33"/>
      <c r="AO1380" s="15" cm="1">
        <f t="array" ref="AO1380">SUMPRODUCT(I1380:K1380, TRANSPOSE($AY$5:$AY$7))</f>
        <v>1.6507904669320833E-3</v>
      </c>
      <c r="AP1380" s="22">
        <f t="shared" si="313"/>
        <v>14034550.08946535</v>
      </c>
      <c r="AQ1380" s="22">
        <f t="shared" si="314"/>
        <v>23129.918845837936</v>
      </c>
      <c r="AR1380">
        <f t="shared" si="315"/>
        <v>0</v>
      </c>
      <c r="AS1380">
        <f t="shared" si="316"/>
        <v>0</v>
      </c>
      <c r="BJ1380">
        <f t="shared" si="290"/>
        <v>4.5585893516104336E-6</v>
      </c>
      <c r="BK1380">
        <f t="shared" si="292"/>
        <v>3.925904734700022E-5</v>
      </c>
      <c r="BO1380">
        <f t="shared" si="293"/>
        <v>4.7696980332470955E-5</v>
      </c>
      <c r="BP1380">
        <f t="shared" si="291"/>
        <v>4.0085957198902316</v>
      </c>
    </row>
    <row r="1381" spans="1:68" x14ac:dyDescent="0.15">
      <c r="A1381" s="5">
        <v>45590</v>
      </c>
      <c r="B1381" s="1"/>
      <c r="C1381">
        <v>84.54</v>
      </c>
      <c r="D1381">
        <v>111.75</v>
      </c>
      <c r="E1381">
        <v>98.66</v>
      </c>
      <c r="G1381" s="3">
        <v>9.0028897572191902E-4</v>
      </c>
      <c r="I1381" s="15">
        <f t="shared" si="294"/>
        <v>-3.3011082291910746E-3</v>
      </c>
      <c r="J1381" s="15">
        <f t="shared" si="295"/>
        <v>-4.4543429844097994E-3</v>
      </c>
      <c r="K1381" s="15">
        <f t="shared" si="296"/>
        <v>4.2752442996742846E-3</v>
      </c>
      <c r="L1381" s="32">
        <f t="shared" si="297"/>
        <v>375528.72437544324</v>
      </c>
      <c r="M1381" s="15"/>
      <c r="N1381" s="32">
        <f t="shared" si="298"/>
        <v>-2536200</v>
      </c>
      <c r="O1381" s="34">
        <f t="shared" si="299"/>
        <v>-0.18043611157303702</v>
      </c>
      <c r="P1381" s="34">
        <f t="shared" si="300"/>
        <v>0.55652609525277275</v>
      </c>
      <c r="Q1381" s="34">
        <f t="shared" si="301"/>
        <v>0.56152753782180687</v>
      </c>
      <c r="R1381" s="35" cm="1">
        <f t="array" ref="R1381">SQRT(MMULT(O1381:Q1381, MMULT($AU$32:$AW$34,TRANSPOSE(O1381:Q1381))))</f>
        <v>1.1466403018250708E-2</v>
      </c>
      <c r="S1381" s="36" cm="1">
        <f t="array" ref="S1381:U1381">TRANSPOSE(MMULT($AU$32:$AW$34, TRANSPOSE(O1381:Q1381))/MMULT(O1381:Q1381, MMULT($AU$32:$AW$34,TRANSPOSE(O1381:Q1381))))</f>
        <v>0.27465665812584855</v>
      </c>
      <c r="T1381" s="36">
        <v>1.2200684679001772</v>
      </c>
      <c r="U1381" s="36">
        <v>0.65991071509291888</v>
      </c>
      <c r="V1381" s="35">
        <f t="shared" si="306"/>
        <v>7.3379247655603365E-3</v>
      </c>
      <c r="W1381" s="35">
        <f t="shared" si="307"/>
        <v>3.2596226457331241E-2</v>
      </c>
      <c r="X1381" s="35">
        <f t="shared" si="308"/>
        <v>1.7630649161689608E-2</v>
      </c>
      <c r="Y1381" s="32">
        <f t="shared" si="309"/>
        <v>-18610.444790414127</v>
      </c>
      <c r="Z1381" s="32">
        <f t="shared" si="302"/>
        <v>254983.98146247363</v>
      </c>
      <c r="AA1381" s="32">
        <f t="shared" si="303"/>
        <v>139155.18770338374</v>
      </c>
      <c r="AB1381" s="40">
        <f t="shared" si="310"/>
        <v>-4.9557979409873103E-2</v>
      </c>
      <c r="AC1381" s="40">
        <f t="shared" si="311"/>
        <v>0.67899994038151845</v>
      </c>
      <c r="AD1381" s="40">
        <f t="shared" si="312"/>
        <v>0.37055803902835466</v>
      </c>
      <c r="AE1381" s="40"/>
      <c r="AF1381" s="40"/>
      <c r="AG1381" s="40"/>
      <c r="AH1381" s="40"/>
      <c r="AI1381" s="40"/>
      <c r="AJ1381" s="40"/>
      <c r="AK1381" s="33">
        <f t="shared" si="304"/>
        <v>7822500</v>
      </c>
      <c r="AL1381" s="33">
        <f t="shared" si="305"/>
        <v>7892800</v>
      </c>
      <c r="AM1381" s="34"/>
      <c r="AN1381" s="33"/>
      <c r="AO1381" s="15" cm="1">
        <f t="array" ref="AO1381">SUMPRODUCT(I1381:K1381, TRANSPOSE($AY$5:$AY$7))</f>
        <v>1.5244219653652547E-3</v>
      </c>
      <c r="AP1381" s="22">
        <f t="shared" si="313"/>
        <v>14055944.665895749</v>
      </c>
      <c r="AQ1381" s="22">
        <f t="shared" si="314"/>
        <v>21394.576430398971</v>
      </c>
      <c r="AR1381">
        <f t="shared" si="315"/>
        <v>0</v>
      </c>
      <c r="AS1381">
        <f t="shared" si="316"/>
        <v>0</v>
      </c>
      <c r="BJ1381">
        <f t="shared" si="290"/>
        <v>8.1052023980642211E-7</v>
      </c>
      <c r="BK1381">
        <f t="shared" si="292"/>
        <v>3.717701986727683E-5</v>
      </c>
      <c r="BO1381">
        <f t="shared" si="293"/>
        <v>4.4001561447640367E-5</v>
      </c>
      <c r="BP1381">
        <f t="shared" si="291"/>
        <v>4.0874940549834617</v>
      </c>
    </row>
    <row r="1382" spans="1:68" x14ac:dyDescent="0.15">
      <c r="A1382" s="5">
        <v>45593</v>
      </c>
      <c r="B1382" s="1"/>
      <c r="C1382">
        <v>84.4</v>
      </c>
      <c r="D1382">
        <v>112.8</v>
      </c>
      <c r="E1382">
        <v>99.81</v>
      </c>
      <c r="G1382" s="3">
        <v>4.4298203272488098E-3</v>
      </c>
      <c r="I1382" s="15">
        <f t="shared" si="294"/>
        <v>-1.6560208185474397E-3</v>
      </c>
      <c r="J1382" s="15">
        <f t="shared" si="295"/>
        <v>9.3959731543623911E-3</v>
      </c>
      <c r="K1382" s="15">
        <f t="shared" si="296"/>
        <v>1.1656192986012627E-2</v>
      </c>
      <c r="L1382" s="32">
        <f t="shared" si="297"/>
        <v>379578.48361621599</v>
      </c>
      <c r="M1382" s="15"/>
      <c r="N1382" s="32">
        <f t="shared" si="298"/>
        <v>-2532000</v>
      </c>
      <c r="O1382" s="34">
        <f t="shared" si="299"/>
        <v>-0.17740187144672057</v>
      </c>
      <c r="P1382" s="34">
        <f t="shared" si="300"/>
        <v>0.55322479342152664</v>
      </c>
      <c r="Q1382" s="34">
        <f t="shared" si="301"/>
        <v>0.55944647042961071</v>
      </c>
      <c r="R1382" s="35" cm="1">
        <f t="array" ref="R1382">SQRT(MMULT(O1382:Q1382, MMULT($AU$32:$AW$34,TRANSPOSE(O1382:Q1382))))</f>
        <v>1.141406026117627E-2</v>
      </c>
      <c r="S1382" s="36" cm="1">
        <f t="array" ref="S1382:U1382">TRANSPOSE(MMULT($AU$32:$AW$34, TRANSPOSE(O1382:Q1382))/MMULT(O1382:Q1382, MMULT($AU$32:$AW$34,TRANSPOSE(O1382:Q1382))))</f>
        <v>0.27807530613201498</v>
      </c>
      <c r="T1382" s="36">
        <v>1.2251159757369472</v>
      </c>
      <c r="U1382" s="36">
        <v>0.6641681854407282</v>
      </c>
      <c r="V1382" s="35">
        <f t="shared" si="306"/>
        <v>7.3953461421125497E-3</v>
      </c>
      <c r="W1382" s="35">
        <f t="shared" si="307"/>
        <v>3.2581665847399688E-2</v>
      </c>
      <c r="X1382" s="35">
        <f t="shared" si="308"/>
        <v>1.7663393762771405E-2</v>
      </c>
      <c r="Y1382" s="32">
        <f t="shared" si="309"/>
        <v>-18725.016431828975</v>
      </c>
      <c r="Z1382" s="32">
        <f t="shared" si="302"/>
        <v>257264.83353106794</v>
      </c>
      <c r="AA1382" s="32">
        <f t="shared" si="303"/>
        <v>141038.6665169771</v>
      </c>
      <c r="AB1382" s="40">
        <f t="shared" si="310"/>
        <v>-4.9331079710939189E-2</v>
      </c>
      <c r="AC1382" s="40">
        <f t="shared" si="311"/>
        <v>0.67776453259448477</v>
      </c>
      <c r="AD1382" s="40">
        <f t="shared" si="312"/>
        <v>0.37156654711645459</v>
      </c>
      <c r="AE1382" s="40"/>
      <c r="AF1382" s="40"/>
      <c r="AG1382" s="40"/>
      <c r="AH1382" s="40"/>
      <c r="AI1382" s="40"/>
      <c r="AJ1382" s="40"/>
      <c r="AK1382" s="33">
        <f t="shared" si="304"/>
        <v>7896000</v>
      </c>
      <c r="AL1382" s="33">
        <f t="shared" si="305"/>
        <v>7984800</v>
      </c>
      <c r="AM1382" s="34"/>
      <c r="AN1382" s="33"/>
      <c r="AO1382" s="15" cm="1">
        <f t="array" ref="AO1382">SUMPRODUCT(I1382:K1382, TRANSPOSE($AY$5:$AY$7))</f>
        <v>1.5419421152810756E-2</v>
      </c>
      <c r="AP1382" s="22">
        <f t="shared" si="313"/>
        <v>14272679.196399799</v>
      </c>
      <c r="AQ1382" s="22">
        <f t="shared" si="314"/>
        <v>216734.53050404973</v>
      </c>
      <c r="AR1382">
        <f t="shared" si="315"/>
        <v>0</v>
      </c>
      <c r="AS1382">
        <f t="shared" si="316"/>
        <v>0</v>
      </c>
      <c r="BJ1382">
        <f t="shared" si="290"/>
        <v>1.9623308131706753E-5</v>
      </c>
      <c r="BK1382">
        <f t="shared" si="292"/>
        <v>3.4995029889628607E-5</v>
      </c>
      <c r="BO1382">
        <f t="shared" si="293"/>
        <v>4.0569152436268866E-5</v>
      </c>
      <c r="BP1382">
        <f t="shared" si="291"/>
        <v>3.8954626408398543</v>
      </c>
    </row>
    <row r="1383" spans="1:68" x14ac:dyDescent="0.15">
      <c r="A1383" s="5">
        <v>45594</v>
      </c>
      <c r="B1383" s="1"/>
      <c r="C1383">
        <v>83.06</v>
      </c>
      <c r="D1383">
        <v>112.4</v>
      </c>
      <c r="E1383">
        <v>95.74</v>
      </c>
      <c r="G1383" s="3">
        <v>-1.1227616681883199E-2</v>
      </c>
      <c r="I1383" s="15">
        <f t="shared" si="294"/>
        <v>-1.5876777251184873E-2</v>
      </c>
      <c r="J1383" s="15">
        <f t="shared" si="295"/>
        <v>-3.5460992907800663E-3</v>
      </c>
      <c r="K1383" s="15">
        <f t="shared" si="296"/>
        <v>-4.0777477206692787E-2</v>
      </c>
      <c r="L1383" s="32">
        <f t="shared" si="297"/>
        <v>373251.02827709547</v>
      </c>
      <c r="M1383" s="15"/>
      <c r="N1383" s="32">
        <f t="shared" si="298"/>
        <v>-2491800</v>
      </c>
      <c r="O1383" s="34">
        <f t="shared" si="299"/>
        <v>-0.17926828186724814</v>
      </c>
      <c r="P1383" s="34">
        <f t="shared" si="300"/>
        <v>0.56604977997090788</v>
      </c>
      <c r="Q1383" s="34">
        <f t="shared" si="301"/>
        <v>0.55102802170223408</v>
      </c>
      <c r="R1383" s="35" cm="1">
        <f t="array" ref="R1383">SQRT(MMULT(O1383:Q1383, MMULT($AU$32:$AW$34,TRANSPOSE(O1383:Q1383))))</f>
        <v>1.1524852252627855E-2</v>
      </c>
      <c r="S1383" s="36" cm="1">
        <f t="array" ref="S1383:U1383">TRANSPOSE(MMULT($AU$32:$AW$34, TRANSPOSE(O1383:Q1383))/MMULT(O1383:Q1383, MMULT($AU$32:$AW$34,TRANSPOSE(O1383:Q1383))))</f>
        <v>0.27113761241381285</v>
      </c>
      <c r="T1383" s="36">
        <v>1.2221183210545234</v>
      </c>
      <c r="U1383" s="36">
        <v>0.64756519295221371</v>
      </c>
      <c r="V1383" s="35">
        <f t="shared" si="306"/>
        <v>7.2808327510547645E-3</v>
      </c>
      <c r="W1383" s="35">
        <f t="shared" si="307"/>
        <v>3.2817428088942391E-2</v>
      </c>
      <c r="X1383" s="35">
        <f t="shared" si="308"/>
        <v>1.73890070924346E-2</v>
      </c>
      <c r="Y1383" s="32">
        <f t="shared" si="309"/>
        <v>-18142.379049078263</v>
      </c>
      <c r="Z1383" s="32">
        <f t="shared" si="302"/>
        <v>258207.52420379873</v>
      </c>
      <c r="AA1383" s="32">
        <f t="shared" si="303"/>
        <v>133185.88312237509</v>
      </c>
      <c r="AB1383" s="40">
        <f t="shared" si="310"/>
        <v>-4.8606373927012086E-2</v>
      </c>
      <c r="AC1383" s="40">
        <f t="shared" si="311"/>
        <v>0.69177980673132855</v>
      </c>
      <c r="AD1383" s="40">
        <f t="shared" si="312"/>
        <v>0.35682656719568384</v>
      </c>
      <c r="AE1383" s="40"/>
      <c r="AF1383" s="40"/>
      <c r="AG1383" s="40"/>
      <c r="AH1383" s="40"/>
      <c r="AI1383" s="40"/>
      <c r="AJ1383" s="40"/>
      <c r="AK1383" s="33">
        <f t="shared" si="304"/>
        <v>7868000</v>
      </c>
      <c r="AL1383" s="33">
        <f t="shared" si="305"/>
        <v>7659200</v>
      </c>
      <c r="AM1383" s="34"/>
      <c r="AN1383" s="33"/>
      <c r="AO1383" s="15" cm="1">
        <f t="array" ref="AO1383">SUMPRODUCT(I1383:K1383, TRANSPOSE($AY$5:$AY$7))</f>
        <v>-2.6122749482802091E-2</v>
      </c>
      <c r="AP1383" s="22">
        <f t="shared" si="313"/>
        <v>13899837.573303845</v>
      </c>
      <c r="AQ1383" s="22">
        <f t="shared" si="314"/>
        <v>-372841.62309595384</v>
      </c>
      <c r="AR1383">
        <f t="shared" si="315"/>
        <v>0</v>
      </c>
      <c r="AS1383">
        <f t="shared" si="316"/>
        <v>0</v>
      </c>
      <c r="BJ1383">
        <f t="shared" si="290"/>
        <v>1.2605937635530188E-4</v>
      </c>
      <c r="BK1383">
        <f t="shared" si="292"/>
        <v>3.4072726584153292E-5</v>
      </c>
      <c r="BO1383">
        <f t="shared" si="293"/>
        <v>4.0556164312981105E-5</v>
      </c>
      <c r="BP1383">
        <f t="shared" si="291"/>
        <v>2.5833394859429069</v>
      </c>
    </row>
    <row r="1384" spans="1:68" x14ac:dyDescent="0.15">
      <c r="A1384" s="5">
        <v>45595</v>
      </c>
      <c r="B1384" s="1"/>
      <c r="C1384">
        <v>82.42</v>
      </c>
      <c r="D1384">
        <v>111.7</v>
      </c>
      <c r="E1384">
        <v>95.35</v>
      </c>
      <c r="G1384" s="3">
        <v>-1.0980479790981299E-2</v>
      </c>
      <c r="I1384" s="15">
        <f t="shared" si="294"/>
        <v>-7.7052732964122388E-3</v>
      </c>
      <c r="J1384" s="15">
        <f t="shared" si="295"/>
        <v>-6.2277580071174628E-3</v>
      </c>
      <c r="K1384" s="15">
        <f t="shared" si="296"/>
        <v>-4.0735324838103255E-3</v>
      </c>
      <c r="L1384" s="32">
        <f t="shared" si="297"/>
        <v>371240.41318716615</v>
      </c>
      <c r="M1384" s="15"/>
      <c r="N1384" s="32">
        <f t="shared" si="298"/>
        <v>-2472600</v>
      </c>
      <c r="O1384" s="34">
        <f t="shared" si="299"/>
        <v>-0.17861170132289925</v>
      </c>
      <c r="P1384" s="34">
        <f t="shared" si="300"/>
        <v>0.56481634418982019</v>
      </c>
      <c r="Q1384" s="34">
        <f t="shared" si="301"/>
        <v>0.55101919343649419</v>
      </c>
      <c r="R1384" s="35" cm="1">
        <f t="array" ref="R1384">SQRT(MMULT(O1384:Q1384, MMULT($AU$32:$AW$34,TRANSPOSE(O1384:Q1384))))</f>
        <v>1.1509471151316425E-2</v>
      </c>
      <c r="S1384" s="36" cm="1">
        <f t="array" ref="S1384:U1384">TRANSPOSE(MMULT($AU$32:$AW$34, TRANSPOSE(O1384:Q1384))/MMULT(O1384:Q1384, MMULT($AU$32:$AW$34,TRANSPOSE(O1384:Q1384))))</f>
        <v>0.27209317361970636</v>
      </c>
      <c r="T1384" s="36">
        <v>1.2232584739647723</v>
      </c>
      <c r="U1384" s="36">
        <v>0.64912919487220233</v>
      </c>
      <c r="V1384" s="35">
        <f t="shared" si="306"/>
        <v>7.2967410801335108E-3</v>
      </c>
      <c r="W1384" s="35">
        <f t="shared" si="307"/>
        <v>3.2804205411913097E-2</v>
      </c>
      <c r="X1384" s="35">
        <f t="shared" si="308"/>
        <v>1.7407741618531168E-2</v>
      </c>
      <c r="Y1384" s="32">
        <f t="shared" si="309"/>
        <v>-18041.921994738117</v>
      </c>
      <c r="Z1384" s="32">
        <f t="shared" si="302"/>
        <v>256496.08211574852</v>
      </c>
      <c r="AA1384" s="32">
        <f t="shared" si="303"/>
        <v>132786.25306615574</v>
      </c>
      <c r="AB1384" s="40">
        <f t="shared" si="310"/>
        <v>-4.8599024658562764E-2</v>
      </c>
      <c r="AC1384" s="40">
        <f t="shared" si="311"/>
        <v>0.69091637926400096</v>
      </c>
      <c r="AD1384" s="40">
        <f t="shared" si="312"/>
        <v>0.35768264539456174</v>
      </c>
      <c r="AE1384" s="40"/>
      <c r="AF1384" s="40"/>
      <c r="AG1384" s="40"/>
      <c r="AH1384" s="40"/>
      <c r="AI1384" s="40"/>
      <c r="AJ1384" s="40"/>
      <c r="AK1384" s="33">
        <f t="shared" si="304"/>
        <v>7819000</v>
      </c>
      <c r="AL1384" s="33">
        <f t="shared" si="305"/>
        <v>7628000</v>
      </c>
      <c r="AM1384" s="34"/>
      <c r="AN1384" s="33"/>
      <c r="AO1384" s="15" cm="1">
        <f t="array" ref="AO1384">SUMPRODUCT(I1384:K1384, TRANSPOSE($AY$5:$AY$7))</f>
        <v>-4.0575760459632586E-3</v>
      </c>
      <c r="AP1384" s="22">
        <f t="shared" si="313"/>
        <v>13843437.925323628</v>
      </c>
      <c r="AQ1384" s="22">
        <f t="shared" si="314"/>
        <v>-56399.647980216891</v>
      </c>
      <c r="AR1384">
        <f t="shared" si="315"/>
        <v>0</v>
      </c>
      <c r="AS1384">
        <f t="shared" si="316"/>
        <v>0</v>
      </c>
      <c r="BJ1384">
        <f t="shared" si="290"/>
        <v>1.2057093644014871E-4</v>
      </c>
      <c r="BK1384">
        <f t="shared" si="292"/>
        <v>3.9591925570422213E-5</v>
      </c>
      <c r="BO1384">
        <f t="shared" si="293"/>
        <v>5.5704621636569125E-5</v>
      </c>
      <c r="BP1384">
        <f t="shared" si="291"/>
        <v>2.8965505996438878</v>
      </c>
    </row>
    <row r="1385" spans="1:68" x14ac:dyDescent="0.15">
      <c r="A1385" s="5">
        <v>45596</v>
      </c>
      <c r="B1385" s="1"/>
      <c r="C1385">
        <v>81.58</v>
      </c>
      <c r="D1385">
        <v>110.65</v>
      </c>
      <c r="E1385">
        <v>93.8</v>
      </c>
      <c r="G1385" s="3">
        <v>-1.4604024198148101E-2</v>
      </c>
      <c r="I1385" s="15">
        <f t="shared" si="294"/>
        <v>-1.0191701043436101E-2</v>
      </c>
      <c r="J1385" s="15">
        <f t="shared" si="295"/>
        <v>-9.4001790510295172E-3</v>
      </c>
      <c r="K1385" s="15">
        <f t="shared" si="296"/>
        <v>-1.6255899318300966E-2</v>
      </c>
      <c r="L1385" s="32">
        <f t="shared" si="297"/>
        <v>366855.95693260018</v>
      </c>
      <c r="M1385" s="15"/>
      <c r="N1385" s="32">
        <f t="shared" si="298"/>
        <v>-2447400</v>
      </c>
      <c r="O1385" s="34">
        <f t="shared" si="299"/>
        <v>-0.17932713283046983</v>
      </c>
      <c r="P1385" s="34">
        <f t="shared" si="300"/>
        <v>0.56753220043246055</v>
      </c>
      <c r="Q1385" s="34">
        <f t="shared" si="301"/>
        <v>0.54983689007103276</v>
      </c>
      <c r="R1385" s="35" cm="1">
        <f t="array" ref="R1385">SQRT(MMULT(O1385:Q1385, MMULT($AU$32:$AW$34,TRANSPOSE(O1385:Q1385))))</f>
        <v>1.1536676202669226E-2</v>
      </c>
      <c r="S1385" s="36" cm="1">
        <f t="array" ref="S1385:U1385">TRANSPOSE(MMULT($AU$32:$AW$34, TRANSPOSE(O1385:Q1385))/MMULT(O1385:Q1385, MMULT($AU$32:$AW$34,TRANSPOSE(O1385:Q1385))))</f>
        <v>0.27044407834089124</v>
      </c>
      <c r="T1385" s="36">
        <v>1.2219407685796788</v>
      </c>
      <c r="U1385" s="36">
        <v>0.64565916616440744</v>
      </c>
      <c r="V1385" s="35">
        <f t="shared" si="306"/>
        <v>7.2696600272032412E-3</v>
      </c>
      <c r="W1385" s="35">
        <f t="shared" si="307"/>
        <v>3.2846324517250745E-2</v>
      </c>
      <c r="X1385" s="35">
        <f t="shared" si="308"/>
        <v>1.735561251796533E-2</v>
      </c>
      <c r="Y1385" s="32">
        <f t="shared" si="309"/>
        <v>-17791.765950577214</v>
      </c>
      <c r="Z1385" s="32">
        <f t="shared" si="302"/>
        <v>254411.20654836565</v>
      </c>
      <c r="AA1385" s="32">
        <f t="shared" si="303"/>
        <v>130236.51633481184</v>
      </c>
      <c r="AB1385" s="40">
        <f t="shared" si="310"/>
        <v>-4.8497961159851E-2</v>
      </c>
      <c r="AC1385" s="40">
        <f t="shared" si="311"/>
        <v>0.69349073319015719</v>
      </c>
      <c r="AD1385" s="40">
        <f t="shared" si="312"/>
        <v>0.35500722796969403</v>
      </c>
      <c r="AE1385" s="40"/>
      <c r="AF1385" s="40"/>
      <c r="AG1385" s="40"/>
      <c r="AH1385" s="40"/>
      <c r="AI1385" s="40"/>
      <c r="AJ1385" s="40"/>
      <c r="AK1385" s="33">
        <f t="shared" si="304"/>
        <v>7745500</v>
      </c>
      <c r="AL1385" s="33">
        <f t="shared" si="305"/>
        <v>7504000</v>
      </c>
      <c r="AM1385" s="34"/>
      <c r="AN1385" s="33"/>
      <c r="AO1385" s="15" cm="1">
        <f t="array" ref="AO1385">SUMPRODUCT(I1385:K1385, TRANSPOSE($AY$5:$AY$7))</f>
        <v>-1.4140573879081176E-2</v>
      </c>
      <c r="AP1385" s="22">
        <f t="shared" si="313"/>
        <v>13647683.768600116</v>
      </c>
      <c r="AQ1385" s="22">
        <f t="shared" si="314"/>
        <v>-195754.15672351234</v>
      </c>
      <c r="AR1385">
        <f t="shared" si="315"/>
        <v>0</v>
      </c>
      <c r="AS1385">
        <f t="shared" si="316"/>
        <v>0</v>
      </c>
      <c r="BJ1385">
        <f t="shared" si="290"/>
        <v>2.1327752278009528E-4</v>
      </c>
      <c r="BK1385">
        <f t="shared" si="292"/>
        <v>4.4450666222605813E-5</v>
      </c>
      <c r="BO1385">
        <f t="shared" si="293"/>
        <v>6.6805086053595519E-5</v>
      </c>
      <c r="BP1385">
        <f t="shared" si="291"/>
        <v>2.2916600315542994</v>
      </c>
    </row>
    <row r="1386" spans="1:68" x14ac:dyDescent="0.15">
      <c r="A1386" s="5">
        <v>45597</v>
      </c>
      <c r="B1386" s="1"/>
      <c r="C1386">
        <v>82.72</v>
      </c>
      <c r="D1386">
        <v>111.9</v>
      </c>
      <c r="E1386">
        <v>95.49</v>
      </c>
      <c r="G1386" s="3">
        <v>1.47783433441555E-2</v>
      </c>
      <c r="I1386" s="15">
        <f t="shared" si="294"/>
        <v>1.3974013238538864E-2</v>
      </c>
      <c r="J1386" s="15">
        <f t="shared" si="295"/>
        <v>1.1296882060551287E-2</v>
      </c>
      <c r="K1386" s="15">
        <f t="shared" si="296"/>
        <v>1.8017057569296353E-2</v>
      </c>
      <c r="L1386" s="32">
        <f t="shared" si="297"/>
        <v>371828.99570130085</v>
      </c>
      <c r="M1386" s="15"/>
      <c r="N1386" s="32">
        <f t="shared" si="298"/>
        <v>-2481600</v>
      </c>
      <c r="O1386" s="34">
        <f t="shared" si="299"/>
        <v>-0.17911164787145759</v>
      </c>
      <c r="P1386" s="34">
        <f t="shared" si="300"/>
        <v>0.56535361773739812</v>
      </c>
      <c r="Q1386" s="34">
        <f t="shared" si="301"/>
        <v>0.55136593343795892</v>
      </c>
      <c r="R1386" s="35" cm="1">
        <f t="array" ref="R1386">SQRT(MMULT(O1386:Q1386, MMULT($AU$32:$AW$34,TRANSPOSE(O1386:Q1386))))</f>
        <v>1.1518061195886551E-2</v>
      </c>
      <c r="S1386" s="36" cm="1">
        <f t="array" ref="S1386:U1386">TRANSPOSE(MMULT($AU$32:$AW$34, TRANSPOSE(O1386:Q1386))/MMULT(O1386:Q1386, MMULT($AU$32:$AW$34,TRANSPOSE(O1386:Q1386))))</f>
        <v>0.27154249902503674</v>
      </c>
      <c r="T1386" s="36">
        <v>1.222421440287969</v>
      </c>
      <c r="U1386" s="36">
        <v>0.64845508058791723</v>
      </c>
      <c r="V1386" s="35">
        <f t="shared" si="306"/>
        <v>7.287408472056606E-3</v>
      </c>
      <c r="W1386" s="35">
        <f t="shared" si="307"/>
        <v>3.2806225148413408E-2</v>
      </c>
      <c r="X1386" s="35">
        <f t="shared" si="308"/>
        <v>1.7402642551318761E-2</v>
      </c>
      <c r="Y1386" s="32">
        <f t="shared" si="309"/>
        <v>-18084.432864255672</v>
      </c>
      <c r="Z1386" s="32">
        <f t="shared" si="302"/>
        <v>256971.16158752222</v>
      </c>
      <c r="AA1386" s="32">
        <f t="shared" si="303"/>
        <v>132942.26697803428</v>
      </c>
      <c r="AB1386" s="40">
        <f t="shared" si="310"/>
        <v>-4.8636424467507988E-2</v>
      </c>
      <c r="AC1386" s="40">
        <f t="shared" si="311"/>
        <v>0.69110038366656401</v>
      </c>
      <c r="AD1386" s="40">
        <f t="shared" si="312"/>
        <v>0.35753604080094387</v>
      </c>
      <c r="AE1386" s="40"/>
      <c r="AF1386" s="40"/>
      <c r="AG1386" s="40"/>
      <c r="AH1386" s="40"/>
      <c r="AI1386" s="40"/>
      <c r="AJ1386" s="40"/>
      <c r="AK1386" s="33">
        <f t="shared" si="304"/>
        <v>7833000</v>
      </c>
      <c r="AL1386" s="33">
        <f t="shared" si="305"/>
        <v>7639200</v>
      </c>
      <c r="AM1386" s="34"/>
      <c r="AN1386" s="33"/>
      <c r="AO1386" s="15" cm="1">
        <f t="array" ref="AO1386">SUMPRODUCT(I1386:K1386, TRANSPOSE($AY$5:$AY$7))</f>
        <v>1.5193901231747568E-2</v>
      </c>
      <c r="AP1386" s="22">
        <f t="shared" si="313"/>
        <v>13855045.327822348</v>
      </c>
      <c r="AQ1386" s="22">
        <f t="shared" si="314"/>
        <v>207361.55922223255</v>
      </c>
      <c r="AR1386">
        <f t="shared" si="315"/>
        <v>0</v>
      </c>
      <c r="AS1386">
        <f t="shared" si="316"/>
        <v>0</v>
      </c>
      <c r="BJ1386">
        <f t="shared" si="290"/>
        <v>2.1839943199774517E-4</v>
      </c>
      <c r="BK1386">
        <f t="shared" si="292"/>
        <v>5.4580277616055194E-5</v>
      </c>
      <c r="BO1386">
        <f t="shared" si="293"/>
        <v>8.8715344754289658E-5</v>
      </c>
      <c r="BP1386">
        <f t="shared" si="291"/>
        <v>2.5152003315062283</v>
      </c>
    </row>
    <row r="1387" spans="1:68" x14ac:dyDescent="0.15">
      <c r="A1387" s="5">
        <v>45600</v>
      </c>
      <c r="B1387" s="1"/>
      <c r="C1387">
        <v>81.78</v>
      </c>
      <c r="D1387">
        <v>110.35</v>
      </c>
      <c r="E1387">
        <v>95.58</v>
      </c>
      <c r="G1387" s="3">
        <v>-5.8707153984668406E-3</v>
      </c>
      <c r="I1387" s="15">
        <f t="shared" si="294"/>
        <v>-1.1363636363636336E-2</v>
      </c>
      <c r="J1387" s="15">
        <f t="shared" si="295"/>
        <v>-1.385165326184103E-2</v>
      </c>
      <c r="K1387" s="15">
        <f t="shared" si="296"/>
        <v>9.4250706880305178E-4</v>
      </c>
      <c r="L1387" s="32">
        <f t="shared" si="297"/>
        <v>368606.42206937348</v>
      </c>
      <c r="M1387" s="15"/>
      <c r="N1387" s="32">
        <f t="shared" si="298"/>
        <v>-2453400</v>
      </c>
      <c r="O1387" s="34">
        <f t="shared" si="299"/>
        <v>-0.17777489950806447</v>
      </c>
      <c r="P1387" s="34">
        <f t="shared" si="300"/>
        <v>0.55972210452842741</v>
      </c>
      <c r="Q1387" s="34">
        <f t="shared" si="301"/>
        <v>0.55406292964802484</v>
      </c>
      <c r="R1387" s="35" cm="1">
        <f t="array" ref="R1387">SQRT(MMULT(O1387:Q1387, MMULT($AU$32:$AW$34,TRANSPOSE(O1387:Q1387))))</f>
        <v>1.1463284138471594E-2</v>
      </c>
      <c r="S1387" s="36" cm="1">
        <f t="array" ref="S1387:U1387">TRANSPOSE(MMULT($AU$32:$AW$34, TRANSPOSE(O1387:Q1387))/MMULT(O1387:Q1387, MMULT($AU$32:$AW$34,TRANSPOSE(O1387:Q1387))))</f>
        <v>0.27488919188365385</v>
      </c>
      <c r="T1387" s="36">
        <v>1.2248434257334633</v>
      </c>
      <c r="U1387" s="36">
        <v>0.65569529931268877</v>
      </c>
      <c r="V1387" s="35">
        <f t="shared" si="306"/>
        <v>7.3421396876561899E-3</v>
      </c>
      <c r="W1387" s="35">
        <f t="shared" si="307"/>
        <v>3.2714896739369372E-2</v>
      </c>
      <c r="X1387" s="35">
        <f t="shared" si="308"/>
        <v>1.7513262151575962E-2</v>
      </c>
      <c r="Y1387" s="32">
        <f t="shared" si="309"/>
        <v>-18013.205509695697</v>
      </c>
      <c r="Z1387" s="32">
        <f t="shared" si="302"/>
        <v>252706.21986325871</v>
      </c>
      <c r="AA1387" s="32">
        <f t="shared" si="303"/>
        <v>133913.40771581043</v>
      </c>
      <c r="AB1387" s="40">
        <f t="shared" si="310"/>
        <v>-4.8868398462969607E-2</v>
      </c>
      <c r="AC1387" s="40">
        <f t="shared" si="311"/>
        <v>0.68557193996934274</v>
      </c>
      <c r="AD1387" s="40">
        <f t="shared" si="312"/>
        <v>0.36329645849362685</v>
      </c>
      <c r="AE1387" s="40"/>
      <c r="AF1387" s="40"/>
      <c r="AG1387" s="40"/>
      <c r="AH1387" s="40"/>
      <c r="AI1387" s="40"/>
      <c r="AJ1387" s="40"/>
      <c r="AK1387" s="33">
        <f t="shared" si="304"/>
        <v>7724500</v>
      </c>
      <c r="AL1387" s="33">
        <f t="shared" si="305"/>
        <v>7646400</v>
      </c>
      <c r="AM1387" s="34"/>
      <c r="AN1387" s="33"/>
      <c r="AO1387" s="15" cm="1">
        <f t="array" ref="AO1387">SUMPRODUCT(I1387:K1387, TRANSPOSE($AY$5:$AY$7))</f>
        <v>-3.929752025977654E-3</v>
      </c>
      <c r="AP1387" s="22">
        <f t="shared" si="313"/>
        <v>13800598.435375325</v>
      </c>
      <c r="AQ1387" s="22">
        <f t="shared" si="314"/>
        <v>-54446.892447022721</v>
      </c>
      <c r="AR1387">
        <f t="shared" si="315"/>
        <v>0</v>
      </c>
      <c r="AS1387">
        <f t="shared" si="316"/>
        <v>0</v>
      </c>
      <c r="BJ1387">
        <f t="shared" si="290"/>
        <v>3.4465299289795674E-5</v>
      </c>
      <c r="BK1387">
        <f t="shared" si="292"/>
        <v>6.4409426878956607E-5</v>
      </c>
      <c r="BO1387">
        <f t="shared" si="293"/>
        <v>1.066307508769989E-4</v>
      </c>
      <c r="BP1387">
        <f t="shared" si="291"/>
        <v>3.4925202694486868</v>
      </c>
    </row>
    <row r="1388" spans="1:68" x14ac:dyDescent="0.15">
      <c r="A1388" s="5">
        <v>45601</v>
      </c>
      <c r="B1388" s="1"/>
      <c r="C1388">
        <v>80.819999999999993</v>
      </c>
      <c r="D1388">
        <v>112.1</v>
      </c>
      <c r="E1388">
        <v>93.98</v>
      </c>
      <c r="G1388" s="3">
        <v>-2.6002362491238601E-3</v>
      </c>
      <c r="I1388" s="15">
        <f t="shared" si="294"/>
        <v>-1.1738811445341257E-2</v>
      </c>
      <c r="J1388" s="15">
        <f t="shared" si="295"/>
        <v>1.5858631626642503E-2</v>
      </c>
      <c r="K1388" s="15">
        <f t="shared" si="296"/>
        <v>-1.6739903745553404E-2</v>
      </c>
      <c r="L1388" s="32">
        <f t="shared" si="297"/>
        <v>370609.04125945235</v>
      </c>
      <c r="M1388" s="15"/>
      <c r="N1388" s="32">
        <f t="shared" si="298"/>
        <v>-2424600</v>
      </c>
      <c r="O1388" s="34">
        <f t="shared" si="299"/>
        <v>-0.17521218425403992</v>
      </c>
      <c r="P1388" s="34">
        <f t="shared" si="300"/>
        <v>0.56705848793262859</v>
      </c>
      <c r="Q1388" s="34">
        <f t="shared" si="301"/>
        <v>0.54331241693292653</v>
      </c>
      <c r="R1388" s="35" cm="1">
        <f t="array" ref="R1388">SQRT(MMULT(O1388:Q1388, MMULT($AU$32:$AW$34,TRANSPOSE(O1388:Q1388))))</f>
        <v>1.1494346684566925E-2</v>
      </c>
      <c r="S1388" s="36" cm="1">
        <f t="array" ref="S1388:U1388">TRANSPOSE(MMULT($AU$32:$AW$34, TRANSPOSE(O1388:Q1388))/MMULT(O1388:Q1388, MMULT($AU$32:$AW$34,TRANSPOSE(O1388:Q1388))))</f>
        <v>0.27318315033175788</v>
      </c>
      <c r="T1388" s="36">
        <v>1.2289033988837239</v>
      </c>
      <c r="U1388" s="36">
        <v>0.64604618327375185</v>
      </c>
      <c r="V1388" s="35">
        <f t="shared" si="306"/>
        <v>7.3163440832282566E-3</v>
      </c>
      <c r="W1388" s="35">
        <f t="shared" si="307"/>
        <v>3.2912279181066324E-2</v>
      </c>
      <c r="X1388" s="35">
        <f t="shared" si="308"/>
        <v>1.7302297615160153E-2</v>
      </c>
      <c r="Y1388" s="32">
        <f t="shared" si="309"/>
        <v>-17739.207864195232</v>
      </c>
      <c r="Z1388" s="32">
        <f t="shared" si="302"/>
        <v>258262.65473382745</v>
      </c>
      <c r="AA1388" s="32">
        <f t="shared" si="303"/>
        <v>130085.59438982009</v>
      </c>
      <c r="AB1388" s="40">
        <f t="shared" si="310"/>
        <v>-4.7865016471027054E-2</v>
      </c>
      <c r="AC1388" s="40">
        <f t="shared" si="311"/>
        <v>0.69686010318627245</v>
      </c>
      <c r="AD1388" s="40">
        <f t="shared" si="312"/>
        <v>0.35100491328475453</v>
      </c>
      <c r="AE1388" s="40"/>
      <c r="AF1388" s="40"/>
      <c r="AG1388" s="40"/>
      <c r="AH1388" s="40"/>
      <c r="AI1388" s="40"/>
      <c r="AJ1388" s="40"/>
      <c r="AK1388" s="33">
        <f t="shared" si="304"/>
        <v>7847000</v>
      </c>
      <c r="AL1388" s="33">
        <f t="shared" si="305"/>
        <v>7518400</v>
      </c>
      <c r="AM1388" s="34"/>
      <c r="AN1388" s="33"/>
      <c r="AO1388" s="15" cm="1">
        <f t="array" ref="AO1388">SUMPRODUCT(I1388:K1388, TRANSPOSE($AY$5:$AY$7))</f>
        <v>2.7158455390006563E-3</v>
      </c>
      <c r="AP1388" s="22">
        <f t="shared" si="313"/>
        <v>13838078.729071578</v>
      </c>
      <c r="AQ1388" s="22">
        <f t="shared" si="314"/>
        <v>37480.293696252629</v>
      </c>
      <c r="AR1388">
        <f t="shared" si="315"/>
        <v>0</v>
      </c>
      <c r="AS1388">
        <f t="shared" si="316"/>
        <v>0</v>
      </c>
      <c r="BJ1388">
        <f t="shared" si="290"/>
        <v>6.7612285512577213E-6</v>
      </c>
      <c r="BK1388">
        <f t="shared" si="292"/>
        <v>6.2612779223606948E-5</v>
      </c>
      <c r="BO1388">
        <f t="shared" si="293"/>
        <v>9.4487282065930974E-5</v>
      </c>
      <c r="BP1388">
        <f t="shared" si="291"/>
        <v>3.6788056125550983</v>
      </c>
    </row>
    <row r="1389" spans="1:68" x14ac:dyDescent="0.15">
      <c r="A1389" s="5">
        <v>45602</v>
      </c>
      <c r="B1389" s="1"/>
      <c r="C1389">
        <v>79.36</v>
      </c>
      <c r="D1389">
        <v>111.85</v>
      </c>
      <c r="E1389">
        <v>93.76</v>
      </c>
      <c r="G1389" s="3">
        <v>-1.5775714466113001E-3</v>
      </c>
      <c r="I1389" s="15">
        <f t="shared" si="294"/>
        <v>-1.8064835436773001E-2</v>
      </c>
      <c r="J1389" s="15">
        <f t="shared" si="295"/>
        <v>-2.2301516503122213E-3</v>
      </c>
      <c r="K1389" s="15">
        <f t="shared" si="296"/>
        <v>-2.3409236007661083E-3</v>
      </c>
      <c r="L1389" s="32">
        <f t="shared" si="297"/>
        <v>370050.2753893105</v>
      </c>
      <c r="M1389" s="15"/>
      <c r="N1389" s="32">
        <f t="shared" si="298"/>
        <v>-2380800</v>
      </c>
      <c r="O1389" s="34">
        <f t="shared" si="299"/>
        <v>-0.171373213644717</v>
      </c>
      <c r="P1389" s="34">
        <f t="shared" si="300"/>
        <v>0.56357803101113568</v>
      </c>
      <c r="Q1389" s="34">
        <f t="shared" si="301"/>
        <v>0.53991775911722673</v>
      </c>
      <c r="R1389" s="35" cm="1">
        <f t="array" ref="R1389">SQRT(MMULT(O1389:Q1389, MMULT($AU$32:$AW$34,TRANSPOSE(O1389:Q1389))))</f>
        <v>1.1432069017010668E-2</v>
      </c>
      <c r="S1389" s="36" cm="1">
        <f t="array" ref="S1389:U1389">TRANSPOSE(MMULT($AU$32:$AW$34, TRANSPOSE(O1389:Q1389))/MMULT(O1389:Q1389, MMULT($AU$32:$AW$34,TRANSPOSE(O1389:Q1389))))</f>
        <v>0.27715900012260136</v>
      </c>
      <c r="T1389" s="36">
        <v>1.2355934338167793</v>
      </c>
      <c r="U1389" s="36">
        <v>0.65036629755417596</v>
      </c>
      <c r="V1389" s="35">
        <f t="shared" si="306"/>
        <v>7.3826069061432862E-3</v>
      </c>
      <c r="W1389" s="35">
        <f t="shared" si="307"/>
        <v>3.2912157330795597E-2</v>
      </c>
      <c r="X1389" s="35">
        <f t="shared" si="308"/>
        <v>1.7323625491946496E-2</v>
      </c>
      <c r="Y1389" s="32">
        <f t="shared" si="309"/>
        <v>-17576.510522145934</v>
      </c>
      <c r="Z1389" s="32">
        <f t="shared" si="302"/>
        <v>257685.73582146413</v>
      </c>
      <c r="AA1389" s="32">
        <f t="shared" si="303"/>
        <v>129941.05008999228</v>
      </c>
      <c r="AB1389" s="40">
        <f t="shared" si="310"/>
        <v>-4.7497628541566708E-2</v>
      </c>
      <c r="AC1389" s="40">
        <f t="shared" si="311"/>
        <v>0.69635331456074845</v>
      </c>
      <c r="AD1389" s="40">
        <f t="shared" si="312"/>
        <v>0.35114431398081819</v>
      </c>
      <c r="AE1389" s="40"/>
      <c r="AF1389" s="40"/>
      <c r="AG1389" s="40"/>
      <c r="AH1389" s="40"/>
      <c r="AI1389" s="40"/>
      <c r="AJ1389" s="40"/>
      <c r="AK1389" s="33">
        <f t="shared" si="304"/>
        <v>7829500</v>
      </c>
      <c r="AL1389" s="33">
        <f t="shared" si="305"/>
        <v>7500800</v>
      </c>
      <c r="AM1389" s="34"/>
      <c r="AN1389" s="33"/>
      <c r="AO1389" s="15" cm="1">
        <f t="array" ref="AO1389">SUMPRODUCT(I1389:K1389, TRANSPOSE($AY$5:$AY$7))</f>
        <v>3.931719082148997E-3</v>
      </c>
      <c r="AP1389" s="22">
        <f t="shared" si="313"/>
        <v>13892486.167270949</v>
      </c>
      <c r="AQ1389" s="22">
        <f t="shared" si="314"/>
        <v>54407.438199371099</v>
      </c>
      <c r="AR1389">
        <f t="shared" si="315"/>
        <v>0</v>
      </c>
      <c r="AS1389">
        <f t="shared" si="316"/>
        <v>0</v>
      </c>
      <c r="BJ1389">
        <f t="shared" si="290"/>
        <v>2.4887316691632698E-6</v>
      </c>
      <c r="BK1389">
        <f t="shared" si="292"/>
        <v>5.926168618326599E-5</v>
      </c>
      <c r="BO1389">
        <f t="shared" si="293"/>
        <v>8.1016583355320617E-5</v>
      </c>
      <c r="BP1389">
        <f t="shared" si="291"/>
        <v>3.7761304159321418</v>
      </c>
    </row>
    <row r="1390" spans="1:68" x14ac:dyDescent="0.15">
      <c r="A1390" s="5">
        <v>45603</v>
      </c>
      <c r="B1390" s="1"/>
      <c r="C1390">
        <v>79.459999999999994</v>
      </c>
      <c r="D1390">
        <v>119.95</v>
      </c>
      <c r="E1390">
        <v>93</v>
      </c>
      <c r="G1390" s="3">
        <v>5.8838781984549204E-3</v>
      </c>
      <c r="I1390" s="15">
        <f t="shared" si="294"/>
        <v>1.2600806451612187E-3</v>
      </c>
      <c r="J1390" s="15">
        <f t="shared" si="295"/>
        <v>7.2418417523469017E-2</v>
      </c>
      <c r="K1390" s="15">
        <f t="shared" si="296"/>
        <v>-8.1058020477816246E-3</v>
      </c>
      <c r="L1390" s="32">
        <f t="shared" si="297"/>
        <v>387780.58798109216</v>
      </c>
      <c r="M1390" s="15"/>
      <c r="N1390" s="32">
        <f t="shared" si="298"/>
        <v>-2383800</v>
      </c>
      <c r="O1390" s="34">
        <f t="shared" si="299"/>
        <v>-0.16481027757866171</v>
      </c>
      <c r="P1390" s="34">
        <f t="shared" si="300"/>
        <v>0.58051409333385062</v>
      </c>
      <c r="Q1390" s="34">
        <f t="shared" si="301"/>
        <v>0.51438395217100552</v>
      </c>
      <c r="R1390" s="35" cm="1">
        <f t="array" ref="R1390">SQRT(MMULT(O1390:Q1390, MMULT($AU$32:$AW$34,TRANSPOSE(O1390:Q1390))))</f>
        <v>1.1506536493430161E-2</v>
      </c>
      <c r="S1390" s="36" cm="1">
        <f t="array" ref="S1390:U1390">TRANSPOSE(MMULT($AU$32:$AW$34, TRANSPOSE(O1390:Q1390))/MMULT(O1390:Q1390, MMULT($AU$32:$AW$34,TRANSPOSE(O1390:Q1390))))</f>
        <v>0.27335875734887022</v>
      </c>
      <c r="T1390" s="36">
        <v>1.24417169638227</v>
      </c>
      <c r="U1390" s="36">
        <v>0.62753343497178404</v>
      </c>
      <c r="V1390" s="35">
        <f t="shared" si="306"/>
        <v>7.3288111651540443E-3</v>
      </c>
      <c r="W1390" s="35">
        <f t="shared" si="307"/>
        <v>3.335652937644111E-2</v>
      </c>
      <c r="X1390" s="35">
        <f t="shared" si="308"/>
        <v>1.6824315742916467E-2</v>
      </c>
      <c r="Y1390" s="32">
        <f t="shared" si="309"/>
        <v>-17470.420055494211</v>
      </c>
      <c r="Z1390" s="32">
        <f t="shared" si="302"/>
        <v>280078.09890928777</v>
      </c>
      <c r="AA1390" s="32">
        <f t="shared" si="303"/>
        <v>125172.90912729852</v>
      </c>
      <c r="AB1390" s="40">
        <f t="shared" si="310"/>
        <v>-4.5052332677225332E-2</v>
      </c>
      <c r="AC1390" s="40">
        <f t="shared" si="311"/>
        <v>0.72225920427699219</v>
      </c>
      <c r="AD1390" s="40">
        <f t="shared" si="312"/>
        <v>0.322793128400233</v>
      </c>
      <c r="AE1390" s="40"/>
      <c r="AF1390" s="40"/>
      <c r="AG1390" s="40"/>
      <c r="AH1390" s="40"/>
      <c r="AI1390" s="40"/>
      <c r="AJ1390" s="40"/>
      <c r="AK1390" s="33">
        <f t="shared" si="304"/>
        <v>8396500</v>
      </c>
      <c r="AL1390" s="33">
        <f t="shared" si="305"/>
        <v>7440000</v>
      </c>
      <c r="AM1390" s="34"/>
      <c r="AN1390" s="33"/>
      <c r="AO1390" s="15" cm="1">
        <f t="array" ref="AO1390">SUMPRODUCT(I1390:K1390, TRANSPOSE($AY$5:$AY$7))</f>
        <v>4.1131416288238597E-2</v>
      </c>
      <c r="AP1390" s="22">
        <f t="shared" si="313"/>
        <v>14463903.799095567</v>
      </c>
      <c r="AQ1390" s="22">
        <f t="shared" si="314"/>
        <v>571417.63182461821</v>
      </c>
      <c r="AR1390">
        <f t="shared" si="315"/>
        <v>0</v>
      </c>
      <c r="AS1390">
        <f t="shared" si="316"/>
        <v>0</v>
      </c>
      <c r="BJ1390">
        <f t="shared" si="290"/>
        <v>3.4620022654253118E-5</v>
      </c>
      <c r="BK1390">
        <f t="shared" si="292"/>
        <v>5.5855308912419827E-5</v>
      </c>
      <c r="BO1390">
        <f t="shared" si="293"/>
        <v>6.9841962796195821E-5</v>
      </c>
      <c r="BP1390">
        <f t="shared" si="291"/>
        <v>3.6178538077470979</v>
      </c>
    </row>
    <row r="1391" spans="1:68" x14ac:dyDescent="0.15">
      <c r="A1391" s="5">
        <v>45604</v>
      </c>
      <c r="B1391" s="1"/>
      <c r="C1391">
        <v>78.98</v>
      </c>
      <c r="D1391">
        <v>118.35</v>
      </c>
      <c r="E1391">
        <v>92.86</v>
      </c>
      <c r="G1391" s="3">
        <v>-1.0009315525083501E-2</v>
      </c>
      <c r="I1391" s="15">
        <f t="shared" si="294"/>
        <v>-6.0407752328214175E-3</v>
      </c>
      <c r="J1391" s="15">
        <f t="shared" si="295"/>
        <v>-1.3338891204668683E-2</v>
      </c>
      <c r="K1391" s="15">
        <f t="shared" si="296"/>
        <v>-1.5053763440860276E-3</v>
      </c>
      <c r="L1391" s="32">
        <f t="shared" si="297"/>
        <v>383965.11385517794</v>
      </c>
      <c r="M1391" s="15"/>
      <c r="N1391" s="32">
        <f t="shared" si="298"/>
        <v>-2369400</v>
      </c>
      <c r="O1391" s="34">
        <f t="shared" si="299"/>
        <v>-0.16505184134545778</v>
      </c>
      <c r="P1391" s="34">
        <f t="shared" si="300"/>
        <v>0.57709630270382584</v>
      </c>
      <c r="Q1391" s="34">
        <f t="shared" si="301"/>
        <v>0.51748844390442161</v>
      </c>
      <c r="R1391" s="35" cm="1">
        <f t="array" ref="R1391">SQRT(MMULT(O1391:Q1391, MMULT($AU$32:$AW$34,TRANSPOSE(O1391:Q1391))))</f>
        <v>1.1479364228356367E-2</v>
      </c>
      <c r="S1391" s="36" cm="1">
        <f t="array" ref="S1391:U1391">TRANSPOSE(MMULT($AU$32:$AW$34, TRANSPOSE(O1391:Q1391))/MMULT(O1391:Q1391, MMULT($AU$32:$AW$34,TRANSPOSE(O1391:Q1391))))</f>
        <v>0.27477897672858154</v>
      </c>
      <c r="T1391" s="36">
        <v>1.2446656511033818</v>
      </c>
      <c r="U1391" s="36">
        <v>0.63201571855441951</v>
      </c>
      <c r="V1391" s="35">
        <f t="shared" si="306"/>
        <v>7.3494909378584994E-3</v>
      </c>
      <c r="W1391" s="35">
        <f t="shared" si="307"/>
        <v>3.3290970919088315E-2</v>
      </c>
      <c r="X1391" s="35">
        <f t="shared" si="308"/>
        <v>1.6904473011004843E-2</v>
      </c>
      <c r="Y1391" s="32">
        <f t="shared" si="309"/>
        <v>-17413.883828161928</v>
      </c>
      <c r="Z1391" s="32">
        <f t="shared" si="302"/>
        <v>275799.04857918713</v>
      </c>
      <c r="AA1391" s="32">
        <f t="shared" si="303"/>
        <v>125579.94910415278</v>
      </c>
      <c r="AB1391" s="40">
        <f t="shared" si="310"/>
        <v>-4.5352776072073074E-2</v>
      </c>
      <c r="AC1391" s="40">
        <f t="shared" si="311"/>
        <v>0.7182919453542117</v>
      </c>
      <c r="AD1391" s="40">
        <f t="shared" si="312"/>
        <v>0.32706083071786152</v>
      </c>
      <c r="AE1391" s="40"/>
      <c r="AF1391" s="40"/>
      <c r="AG1391" s="40"/>
      <c r="AH1391" s="40"/>
      <c r="AI1391" s="40"/>
      <c r="AJ1391" s="40"/>
      <c r="AK1391" s="33">
        <f t="shared" si="304"/>
        <v>8284500</v>
      </c>
      <c r="AL1391" s="33">
        <f t="shared" si="305"/>
        <v>7428800</v>
      </c>
      <c r="AM1391" s="34"/>
      <c r="AN1391" s="33"/>
      <c r="AO1391" s="15" cm="1">
        <f t="array" ref="AO1391">SUMPRODUCT(I1391:K1391, TRANSPOSE($AY$5:$AY$7))</f>
        <v>-7.4954971699970948E-3</v>
      </c>
      <c r="AP1391" s="22">
        <f t="shared" si="313"/>
        <v>14355489.649102336</v>
      </c>
      <c r="AQ1391" s="22">
        <f t="shared" si="314"/>
        <v>-108414.14999323152</v>
      </c>
      <c r="AR1391">
        <f t="shared" si="315"/>
        <v>0</v>
      </c>
      <c r="AS1391">
        <f t="shared" si="316"/>
        <v>0</v>
      </c>
      <c r="BJ1391">
        <f t="shared" si="290"/>
        <v>1.0018639728067759E-4</v>
      </c>
      <c r="BK1391">
        <f t="shared" si="292"/>
        <v>5.4581191736929825E-5</v>
      </c>
      <c r="BO1391">
        <f t="shared" si="293"/>
        <v>6.5652971647368508E-5</v>
      </c>
      <c r="BP1391">
        <f t="shared" si="291"/>
        <v>3.1336255986505623</v>
      </c>
    </row>
    <row r="1392" spans="1:68" x14ac:dyDescent="0.15">
      <c r="A1392" s="5">
        <v>45607</v>
      </c>
      <c r="B1392" s="1"/>
      <c r="C1392">
        <v>79.02</v>
      </c>
      <c r="D1392">
        <v>122.55</v>
      </c>
      <c r="E1392">
        <v>93.09</v>
      </c>
      <c r="G1392" s="3">
        <v>8.9066275493618896E-3</v>
      </c>
      <c r="I1392" s="15">
        <f t="shared" si="294"/>
        <v>5.0645733096976503E-4</v>
      </c>
      <c r="J1392" s="15">
        <f t="shared" si="295"/>
        <v>3.5487959442332094E-2</v>
      </c>
      <c r="K1392" s="15">
        <f t="shared" si="296"/>
        <v>2.4768468662503119E-3</v>
      </c>
      <c r="L1392" s="32">
        <f t="shared" si="297"/>
        <v>394079.11082301952</v>
      </c>
      <c r="M1392" s="15"/>
      <c r="N1392" s="32">
        <f t="shared" si="298"/>
        <v>-2370600</v>
      </c>
      <c r="O1392" s="34">
        <f t="shared" si="299"/>
        <v>-0.16111519042216124</v>
      </c>
      <c r="P1392" s="34">
        <f t="shared" si="300"/>
        <v>0.58302820426748936</v>
      </c>
      <c r="Q1392" s="34">
        <f t="shared" si="301"/>
        <v>0.5061406589521299</v>
      </c>
      <c r="R1392" s="35" cm="1">
        <f t="array" ref="R1392">SQRT(MMULT(O1392:Q1392, MMULT($AU$32:$AW$34,TRANSPOSE(O1392:Q1392))))</f>
        <v>1.1494913364981171E-2</v>
      </c>
      <c r="S1392" s="36" cm="1">
        <f t="array" ref="S1392:U1392">TRANSPOSE(MMULT($AU$32:$AW$34, TRANSPOSE(O1392:Q1392))/MMULT(O1392:Q1392, MMULT($AU$32:$AW$34,TRANSPOSE(O1392:Q1392))))</f>
        <v>0.27440636339276564</v>
      </c>
      <c r="T1392" s="36">
        <v>1.2495207152603978</v>
      </c>
      <c r="U1392" s="36">
        <v>0.623749957830672</v>
      </c>
      <c r="V1392" s="35">
        <f t="shared" si="306"/>
        <v>7.3494662814185601E-3</v>
      </c>
      <c r="W1392" s="35">
        <f t="shared" si="307"/>
        <v>3.346609842132546E-2</v>
      </c>
      <c r="X1392" s="35">
        <f t="shared" si="308"/>
        <v>1.6705987523150966E-2</v>
      </c>
      <c r="Y1392" s="32">
        <f t="shared" si="309"/>
        <v>-17422.644766730838</v>
      </c>
      <c r="Z1392" s="32">
        <f t="shared" si="302"/>
        <v>287088.92530734045</v>
      </c>
      <c r="AA1392" s="32">
        <f t="shared" si="303"/>
        <v>124412.83028240986</v>
      </c>
      <c r="AB1392" s="40">
        <f t="shared" si="310"/>
        <v>-4.421103349107821E-2</v>
      </c>
      <c r="AC1392" s="40">
        <f t="shared" si="311"/>
        <v>0.72850581881329857</v>
      </c>
      <c r="AD1392" s="40">
        <f t="shared" si="312"/>
        <v>0.31570521467777957</v>
      </c>
      <c r="AE1392" s="40"/>
      <c r="AF1392" s="40"/>
      <c r="AG1392" s="40"/>
      <c r="AH1392" s="40"/>
      <c r="AI1392" s="40"/>
      <c r="AJ1392" s="40"/>
      <c r="AK1392" s="33">
        <f t="shared" si="304"/>
        <v>8578500</v>
      </c>
      <c r="AL1392" s="33">
        <f t="shared" si="305"/>
        <v>7447200</v>
      </c>
      <c r="AM1392" s="34"/>
      <c r="AN1392" s="33"/>
      <c r="AO1392" s="15" cm="1">
        <f t="array" ref="AO1392">SUMPRODUCT(I1392:K1392, TRANSPOSE($AY$5:$AY$7))</f>
        <v>2.4952598372642673E-2</v>
      </c>
      <c r="AP1392" s="22">
        <f t="shared" si="313"/>
        <v>14713696.416759014</v>
      </c>
      <c r="AQ1392" s="22">
        <f t="shared" si="314"/>
        <v>358206.76765667833</v>
      </c>
      <c r="AR1392">
        <f t="shared" si="315"/>
        <v>0</v>
      </c>
      <c r="AS1392">
        <f t="shared" si="316"/>
        <v>0</v>
      </c>
      <c r="BJ1392">
        <f t="shared" si="290"/>
        <v>7.9328014303052175E-5</v>
      </c>
      <c r="BK1392">
        <f t="shared" si="292"/>
        <v>5.7317504069554692E-5</v>
      </c>
      <c r="BO1392">
        <f t="shared" si="293"/>
        <v>7.1705191170769812E-5</v>
      </c>
      <c r="BP1392">
        <f t="shared" si="291"/>
        <v>3.2993812586340354</v>
      </c>
    </row>
    <row r="1393" spans="1:68" x14ac:dyDescent="0.15">
      <c r="A1393" s="5">
        <v>45608</v>
      </c>
      <c r="B1393" s="1"/>
      <c r="C1393">
        <v>78</v>
      </c>
      <c r="D1393">
        <v>120.45</v>
      </c>
      <c r="E1393">
        <v>92.36</v>
      </c>
      <c r="G1393" s="3">
        <v>-1.60214625377187E-2</v>
      </c>
      <c r="I1393" s="15">
        <f t="shared" si="294"/>
        <v>-1.2908124525436548E-2</v>
      </c>
      <c r="J1393" s="15">
        <f t="shared" si="295"/>
        <v>-1.7135862913096649E-2</v>
      </c>
      <c r="K1393" s="15">
        <f t="shared" si="296"/>
        <v>-7.8418734557955099E-3</v>
      </c>
      <c r="L1393" s="32">
        <f t="shared" si="297"/>
        <v>388411.00138439384</v>
      </c>
      <c r="M1393" s="15"/>
      <c r="N1393" s="32">
        <f t="shared" si="298"/>
        <v>-2340000</v>
      </c>
      <c r="O1393" s="34">
        <f t="shared" si="299"/>
        <v>-0.16095950951547089</v>
      </c>
      <c r="P1393" s="34">
        <f t="shared" si="300"/>
        <v>0.57997013011952692</v>
      </c>
      <c r="Q1393" s="34">
        <f t="shared" si="301"/>
        <v>0.50824684782389373</v>
      </c>
      <c r="R1393" s="35" cm="1">
        <f t="array" ref="R1393">SQRT(MMULT(O1393:Q1393, MMULT($AU$32:$AW$34,TRANSPOSE(O1393:Q1393))))</f>
        <v>1.146664544096785E-2</v>
      </c>
      <c r="S1393" s="36" cm="1">
        <f t="array" ref="S1393:U1393">TRANSPOSE(MMULT($AU$32:$AW$34, TRANSPOSE(O1393:Q1393))/MMULT(O1393:Q1393, MMULT($AU$32:$AW$34,TRANSPOSE(O1393:Q1393))))</f>
        <v>0.27591508192367425</v>
      </c>
      <c r="T1393" s="36">
        <v>1.2507076459866422</v>
      </c>
      <c r="U1393" s="36">
        <v>0.62772269308897211</v>
      </c>
      <c r="V1393" s="35">
        <f t="shared" si="306"/>
        <v>7.3717015698260835E-3</v>
      </c>
      <c r="W1393" s="35">
        <f t="shared" si="307"/>
        <v>3.341551122552873E-2</v>
      </c>
      <c r="X1393" s="35">
        <f t="shared" si="308"/>
        <v>1.6771045387578686E-2</v>
      </c>
      <c r="Y1393" s="32">
        <f t="shared" si="309"/>
        <v>-17249.781673393034</v>
      </c>
      <c r="Z1393" s="32">
        <f t="shared" si="302"/>
        <v>281742.88289804547</v>
      </c>
      <c r="AA1393" s="32">
        <f t="shared" si="303"/>
        <v>123917.9001597414</v>
      </c>
      <c r="AB1393" s="40">
        <f t="shared" si="310"/>
        <v>-4.4411156254355572E-2</v>
      </c>
      <c r="AC1393" s="40">
        <f t="shared" si="311"/>
        <v>0.72537307618435998</v>
      </c>
      <c r="AD1393" s="40">
        <f t="shared" si="312"/>
        <v>0.31903808006999557</v>
      </c>
      <c r="AE1393" s="40"/>
      <c r="AF1393" s="40"/>
      <c r="AG1393" s="40"/>
      <c r="AH1393" s="40"/>
      <c r="AI1393" s="40"/>
      <c r="AJ1393" s="40"/>
      <c r="AK1393" s="33">
        <f t="shared" si="304"/>
        <v>8431500</v>
      </c>
      <c r="AL1393" s="33">
        <f t="shared" si="305"/>
        <v>7388800</v>
      </c>
      <c r="AM1393" s="34"/>
      <c r="AN1393" s="33"/>
      <c r="AO1393" s="15" cm="1">
        <f t="array" ref="AO1393">SUMPRODUCT(I1393:K1393, TRANSPOSE($AY$5:$AY$7))</f>
        <v>-1.1953403933760213E-2</v>
      </c>
      <c r="AP1393" s="22">
        <f t="shared" si="313"/>
        <v>14537817.660130773</v>
      </c>
      <c r="AQ1393" s="22">
        <f t="shared" si="314"/>
        <v>-175878.75662824139</v>
      </c>
      <c r="AR1393">
        <f t="shared" si="315"/>
        <v>0</v>
      </c>
      <c r="AS1393">
        <f t="shared" si="316"/>
        <v>0</v>
      </c>
      <c r="BJ1393">
        <f t="shared" si="290"/>
        <v>2.5668726184752372E-4</v>
      </c>
      <c r="BK1393">
        <f t="shared" si="292"/>
        <v>5.8638134683564543E-5</v>
      </c>
      <c r="BO1393">
        <f t="shared" si="293"/>
        <v>7.3481769131301559E-5</v>
      </c>
      <c r="BP1393">
        <f t="shared" si="291"/>
        <v>2.0936930020349545</v>
      </c>
    </row>
    <row r="1394" spans="1:68" x14ac:dyDescent="0.15">
      <c r="A1394" s="5">
        <v>45609</v>
      </c>
      <c r="B1394" s="1"/>
      <c r="C1394">
        <v>77.72</v>
      </c>
      <c r="D1394">
        <v>120.55</v>
      </c>
      <c r="E1394">
        <v>91.95</v>
      </c>
      <c r="G1394" s="3">
        <v>-7.0688131539276E-4</v>
      </c>
      <c r="I1394" s="15">
        <f t="shared" si="294"/>
        <v>-3.5897435897436045E-3</v>
      </c>
      <c r="J1394" s="15">
        <f t="shared" si="295"/>
        <v>8.3022000830215291E-4</v>
      </c>
      <c r="K1394" s="15">
        <f t="shared" si="296"/>
        <v>-4.4391511476829428E-3</v>
      </c>
      <c r="L1394" s="32">
        <f t="shared" si="297"/>
        <v>388157.37645271426</v>
      </c>
      <c r="M1394" s="15"/>
      <c r="N1394" s="32">
        <f t="shared" si="298"/>
        <v>-2331600</v>
      </c>
      <c r="O1394" s="34">
        <f t="shared" si="299"/>
        <v>-0.16059214730003576</v>
      </c>
      <c r="P1394" s="34">
        <f t="shared" si="300"/>
        <v>0.58121325913164856</v>
      </c>
      <c r="Q1394" s="34">
        <f t="shared" si="301"/>
        <v>0.50665458721009737</v>
      </c>
      <c r="R1394" s="35" cm="1">
        <f t="array" ref="R1394">SQRT(MMULT(O1394:Q1394, MMULT($AU$32:$AW$34,TRANSPOSE(O1394:Q1394))))</f>
        <v>1.1474193810967679E-2</v>
      </c>
      <c r="S1394" s="36" cm="1">
        <f t="array" ref="S1394:U1394">TRANSPOSE(MMULT($AU$32:$AW$34, TRANSPOSE(O1394:Q1394))/MMULT(O1394:Q1394, MMULT($AU$32:$AW$34,TRANSPOSE(O1394:Q1394))))</f>
        <v>0.27555854785067702</v>
      </c>
      <c r="T1394" s="36">
        <v>1.2509433471756504</v>
      </c>
      <c r="U1394" s="36">
        <v>0.62604323954078145</v>
      </c>
      <c r="V1394" s="35">
        <f t="shared" si="306"/>
        <v>7.3670223894364267E-3</v>
      </c>
      <c r="W1394" s="35">
        <f t="shared" si="307"/>
        <v>3.3443809740039313E-2</v>
      </c>
      <c r="X1394" s="35">
        <f t="shared" si="308"/>
        <v>1.673718561237119E-2</v>
      </c>
      <c r="Y1394" s="32">
        <f t="shared" si="309"/>
        <v>-17176.949403209972</v>
      </c>
      <c r="Z1394" s="32">
        <f t="shared" si="302"/>
        <v>282215.58849132172</v>
      </c>
      <c r="AA1394" s="32">
        <f t="shared" si="303"/>
        <v>123118.73736460248</v>
      </c>
      <c r="AB1394" s="40">
        <f t="shared" si="310"/>
        <v>-4.4252538906219871E-2</v>
      </c>
      <c r="AC1394" s="40">
        <f t="shared" si="311"/>
        <v>0.72706485980101299</v>
      </c>
      <c r="AD1394" s="40">
        <f t="shared" si="312"/>
        <v>0.31718767910520679</v>
      </c>
      <c r="AE1394" s="40"/>
      <c r="AF1394" s="40"/>
      <c r="AG1394" s="40"/>
      <c r="AH1394" s="40"/>
      <c r="AI1394" s="40"/>
      <c r="AJ1394" s="40"/>
      <c r="AK1394" s="33">
        <f t="shared" si="304"/>
        <v>8438500</v>
      </c>
      <c r="AL1394" s="33">
        <f t="shared" si="305"/>
        <v>7356000</v>
      </c>
      <c r="AM1394" s="34"/>
      <c r="AN1394" s="33"/>
      <c r="AO1394" s="15" cm="1">
        <f t="array" ref="AO1394">SUMPRODUCT(I1394:K1394, TRANSPOSE($AY$5:$AY$7))</f>
        <v>-1.3104074862585681E-3</v>
      </c>
      <c r="AP1394" s="22">
        <f t="shared" si="313"/>
        <v>14518767.195035076</v>
      </c>
      <c r="AQ1394" s="22">
        <f t="shared" si="314"/>
        <v>-19050.465095696971</v>
      </c>
      <c r="AR1394">
        <f t="shared" si="315"/>
        <v>0</v>
      </c>
      <c r="AS1394">
        <f t="shared" si="316"/>
        <v>0</v>
      </c>
      <c r="BJ1394">
        <f t="shared" si="290"/>
        <v>4.9968119405139862E-7</v>
      </c>
      <c r="BK1394">
        <f t="shared" si="292"/>
        <v>7.0521082313402105E-5</v>
      </c>
      <c r="BO1394">
        <f t="shared" si="293"/>
        <v>1.0013481677608818E-4</v>
      </c>
      <c r="BP1394">
        <f t="shared" si="291"/>
        <v>3.6830629806493191</v>
      </c>
    </row>
    <row r="1395" spans="1:68" x14ac:dyDescent="0.15">
      <c r="A1395" s="5">
        <v>45610</v>
      </c>
      <c r="B1395" s="1"/>
      <c r="C1395">
        <v>78.739999999999995</v>
      </c>
      <c r="D1395">
        <v>121.2</v>
      </c>
      <c r="E1395">
        <v>92.73</v>
      </c>
      <c r="G1395" s="3">
        <v>6.8211880508746107E-3</v>
      </c>
      <c r="I1395" s="15">
        <f t="shared" si="294"/>
        <v>1.3124034997426608E-2</v>
      </c>
      <c r="J1395" s="15">
        <f t="shared" si="295"/>
        <v>5.3919535462464184E-3</v>
      </c>
      <c r="K1395" s="15">
        <f t="shared" si="296"/>
        <v>8.4828711256117583E-3</v>
      </c>
      <c r="L1395" s="32">
        <f t="shared" si="297"/>
        <v>390498.34060981293</v>
      </c>
      <c r="M1395" s="15"/>
      <c r="N1395" s="32">
        <f t="shared" si="298"/>
        <v>-2362200</v>
      </c>
      <c r="O1395" s="34">
        <f t="shared" si="299"/>
        <v>-0.16195135909738539</v>
      </c>
      <c r="P1395" s="34">
        <f t="shared" si="300"/>
        <v>0.58165918659817872</v>
      </c>
      <c r="Q1395" s="34">
        <f t="shared" si="301"/>
        <v>0.50860213458980774</v>
      </c>
      <c r="R1395" s="35" cm="1">
        <f t="array" ref="R1395">SQRT(MMULT(O1395:Q1395, MMULT($AU$32:$AW$34,TRANSPOSE(O1395:Q1395))))</f>
        <v>1.1490295652055085E-2</v>
      </c>
      <c r="S1395" s="36" cm="1">
        <f t="array" ref="S1395:U1395">TRANSPOSE(MMULT($AU$32:$AW$34, TRANSPOSE(O1395:Q1395))/MMULT(O1395:Q1395, MMULT($AU$32:$AW$34,TRANSPOSE(O1395:Q1395))))</f>
        <v>0.27453692817010494</v>
      </c>
      <c r="T1395" s="36">
        <v>1.2485899360978652</v>
      </c>
      <c r="U1395" s="36">
        <v>0.62565176269040057</v>
      </c>
      <c r="V1395" s="35">
        <f t="shared" si="306"/>
        <v>7.3500093999499319E-3</v>
      </c>
      <c r="W1395" s="35">
        <f t="shared" si="307"/>
        <v>3.3427735307491935E-2</v>
      </c>
      <c r="X1395" s="35">
        <f t="shared" si="308"/>
        <v>1.6750192287503116E-2</v>
      </c>
      <c r="Y1395" s="32">
        <f t="shared" si="309"/>
        <v>-17362.192204561728</v>
      </c>
      <c r="Z1395" s="32">
        <f t="shared" si="302"/>
        <v>283600.90634876158</v>
      </c>
      <c r="AA1395" s="32">
        <f t="shared" si="303"/>
        <v>124259.62646561311</v>
      </c>
      <c r="AB1395" s="40">
        <f t="shared" si="310"/>
        <v>-4.4461628639569768E-2</v>
      </c>
      <c r="AC1395" s="40">
        <f t="shared" si="311"/>
        <v>0.72625380662535621</v>
      </c>
      <c r="AD1395" s="40">
        <f t="shared" si="312"/>
        <v>0.3182078220142136</v>
      </c>
      <c r="AE1395" s="40"/>
      <c r="AF1395" s="40"/>
      <c r="AG1395" s="40"/>
      <c r="AH1395" s="40"/>
      <c r="AI1395" s="40"/>
      <c r="AJ1395" s="40"/>
      <c r="AK1395" s="33">
        <f t="shared" si="304"/>
        <v>8484000</v>
      </c>
      <c r="AL1395" s="33">
        <f t="shared" si="305"/>
        <v>7418400</v>
      </c>
      <c r="AM1395" s="34"/>
      <c r="AN1395" s="33"/>
      <c r="AO1395" s="15" cm="1">
        <f t="array" ref="AO1395">SUMPRODUCT(I1395:K1395, TRANSPOSE($AY$5:$AY$7))</f>
        <v>4.6211724822754069E-3</v>
      </c>
      <c r="AP1395" s="22">
        <f t="shared" si="313"/>
        <v>14585860.922473334</v>
      </c>
      <c r="AQ1395" s="22">
        <f t="shared" si="314"/>
        <v>67093.727438258007</v>
      </c>
      <c r="AR1395">
        <f t="shared" si="315"/>
        <v>0</v>
      </c>
      <c r="AS1395">
        <f t="shared" si="316"/>
        <v>0</v>
      </c>
      <c r="BJ1395">
        <f t="shared" si="290"/>
        <v>4.6528606425394573E-5</v>
      </c>
      <c r="BK1395">
        <f t="shared" si="292"/>
        <v>6.6319798246241066E-5</v>
      </c>
      <c r="BO1395">
        <f t="shared" si="293"/>
        <v>8.4554619205010458E-5</v>
      </c>
      <c r="BP1395">
        <f t="shared" si="291"/>
        <v>3.4949785395417488</v>
      </c>
    </row>
    <row r="1396" spans="1:68" x14ac:dyDescent="0.15">
      <c r="A1396" s="5">
        <v>45611</v>
      </c>
      <c r="B1396" s="1"/>
      <c r="C1396">
        <v>77.52</v>
      </c>
      <c r="D1396">
        <v>122.35</v>
      </c>
      <c r="E1396">
        <v>91.71</v>
      </c>
      <c r="G1396" s="3">
        <v>-1.3290044989185099E-2</v>
      </c>
      <c r="I1396" s="15">
        <f t="shared" si="294"/>
        <v>-1.5494030988061963E-2</v>
      </c>
      <c r="J1396" s="15">
        <f t="shared" si="295"/>
        <v>9.4884488448844177E-3</v>
      </c>
      <c r="K1396" s="15">
        <f t="shared" si="296"/>
        <v>-1.0999676480103636E-2</v>
      </c>
      <c r="L1396" s="32">
        <f t="shared" si="297"/>
        <v>392100.99855601788</v>
      </c>
      <c r="M1396" s="15"/>
      <c r="N1396" s="32">
        <f t="shared" si="298"/>
        <v>-2325600</v>
      </c>
      <c r="O1396" s="34">
        <f t="shared" si="299"/>
        <v>-0.15876895394569804</v>
      </c>
      <c r="P1396" s="34">
        <f t="shared" si="300"/>
        <v>0.58469930601476217</v>
      </c>
      <c r="Q1396" s="34">
        <f t="shared" si="301"/>
        <v>0.50088409928998845</v>
      </c>
      <c r="R1396" s="35" cm="1">
        <f t="array" ref="R1396">SQRT(MMULT(O1396:Q1396, MMULT($AU$32:$AW$34,TRANSPOSE(O1396:Q1396))))</f>
        <v>1.1488745048913052E-2</v>
      </c>
      <c r="S1396" s="36" cm="1">
        <f t="array" ref="S1396:U1396">TRANSPOSE(MMULT($AU$32:$AW$34, TRANSPOSE(O1396:Q1396))/MMULT(O1396:Q1396, MMULT($AU$32:$AW$34,TRANSPOSE(O1396:Q1396))))</f>
        <v>0.27502922004783981</v>
      </c>
      <c r="T1396" s="36">
        <v>1.2527963953009393</v>
      </c>
      <c r="U1396" s="36">
        <v>0.62121540512528128</v>
      </c>
      <c r="V1396" s="35">
        <f t="shared" si="306"/>
        <v>7.3621955750053187E-3</v>
      </c>
      <c r="W1396" s="35">
        <f t="shared" si="307"/>
        <v>3.3535826034276801E-2</v>
      </c>
      <c r="X1396" s="35">
        <f t="shared" si="308"/>
        <v>1.662917600516391E-2</v>
      </c>
      <c r="Y1396" s="32">
        <f t="shared" si="309"/>
        <v>-17121.522029232368</v>
      </c>
      <c r="Z1396" s="32">
        <f t="shared" si="302"/>
        <v>287217.58207056369</v>
      </c>
      <c r="AA1396" s="32">
        <f t="shared" si="303"/>
        <v>122004.93851468655</v>
      </c>
      <c r="AB1396" s="40">
        <f t="shared" si="310"/>
        <v>-4.3666101571496731E-2</v>
      </c>
      <c r="AC1396" s="40">
        <f t="shared" si="311"/>
        <v>0.73250918291025491</v>
      </c>
      <c r="AD1396" s="40">
        <f t="shared" si="312"/>
        <v>0.31115691866124184</v>
      </c>
      <c r="AE1396" s="40"/>
      <c r="AF1396" s="40"/>
      <c r="AG1396" s="40"/>
      <c r="AH1396" s="40"/>
      <c r="AI1396" s="40"/>
      <c r="AJ1396" s="40"/>
      <c r="AK1396" s="33">
        <f t="shared" si="304"/>
        <v>8564500</v>
      </c>
      <c r="AL1396" s="33">
        <f t="shared" si="305"/>
        <v>7336799.9999999991</v>
      </c>
      <c r="AM1396" s="34"/>
      <c r="AN1396" s="33"/>
      <c r="AO1396" s="15" cm="1">
        <f t="array" ref="AO1396">SUMPRODUCT(I1396:K1396, TRANSPOSE($AY$5:$AY$7))</f>
        <v>4.2396561704621857E-3</v>
      </c>
      <c r="AP1396" s="22">
        <f t="shared" si="313"/>
        <v>14647699.957734803</v>
      </c>
      <c r="AQ1396" s="22">
        <f t="shared" si="314"/>
        <v>61839.035261468962</v>
      </c>
      <c r="AR1396">
        <f t="shared" si="315"/>
        <v>0</v>
      </c>
      <c r="AS1396">
        <f t="shared" si="316"/>
        <v>0</v>
      </c>
      <c r="BJ1396">
        <f t="shared" si="290"/>
        <v>1.7662529581456398E-4</v>
      </c>
      <c r="BK1396">
        <f t="shared" si="292"/>
        <v>6.5132326736990273E-5</v>
      </c>
      <c r="BO1396">
        <f t="shared" si="293"/>
        <v>7.8889290455621939E-5</v>
      </c>
      <c r="BP1396">
        <f t="shared" si="291"/>
        <v>2.6853436023787793</v>
      </c>
    </row>
    <row r="1397" spans="1:68" x14ac:dyDescent="0.15">
      <c r="A1397" s="5">
        <v>45614</v>
      </c>
      <c r="B1397" s="1"/>
      <c r="C1397">
        <v>78.180000000000007</v>
      </c>
      <c r="D1397">
        <v>125</v>
      </c>
      <c r="E1397">
        <v>91.22</v>
      </c>
      <c r="G1397" s="3">
        <v>1.0798336158706001E-3</v>
      </c>
      <c r="I1397" s="15">
        <f t="shared" si="294"/>
        <v>8.5139318885450316E-3</v>
      </c>
      <c r="J1397" s="15">
        <f t="shared" si="295"/>
        <v>2.1659174499387052E-2</v>
      </c>
      <c r="K1397" s="15">
        <f t="shared" si="296"/>
        <v>-5.3429287972957687E-3</v>
      </c>
      <c r="L1397" s="32">
        <f t="shared" si="297"/>
        <v>397541.41935979575</v>
      </c>
      <c r="M1397" s="15"/>
      <c r="N1397" s="32">
        <f t="shared" si="298"/>
        <v>-2345400</v>
      </c>
      <c r="O1397" s="34">
        <f t="shared" si="299"/>
        <v>-0.15901674268500116</v>
      </c>
      <c r="P1397" s="34">
        <f t="shared" si="300"/>
        <v>0.59324486164140877</v>
      </c>
      <c r="Q1397" s="34">
        <f t="shared" si="301"/>
        <v>0.49477299455021084</v>
      </c>
      <c r="R1397" s="35" cm="1">
        <f t="array" ref="R1397">SQRT(MMULT(O1397:Q1397, MMULT($AU$32:$AW$34,TRANSPOSE(O1397:Q1397))))</f>
        <v>1.1567843253210608E-2</v>
      </c>
      <c r="S1397" s="36" cm="1">
        <f t="array" ref="S1397:U1397">TRANSPOSE(MMULT($AU$32:$AW$34, TRANSPOSE(O1397:Q1397))/MMULT(O1397:Q1397, MMULT($AU$32:$AW$34,TRANSPOSE(O1397:Q1397))))</f>
        <v>0.27093163664963765</v>
      </c>
      <c r="T1397" s="36">
        <v>1.2493750676475761</v>
      </c>
      <c r="U1397" s="36">
        <v>0.61017341393092617</v>
      </c>
      <c r="V1397" s="35">
        <f t="shared" si="306"/>
        <v>7.3024406628802484E-3</v>
      </c>
      <c r="W1397" s="35">
        <f t="shared" si="307"/>
        <v>3.3674499626548587E-2</v>
      </c>
      <c r="X1397" s="35">
        <f t="shared" si="308"/>
        <v>1.6446049654436381E-2</v>
      </c>
      <c r="Y1397" s="32">
        <f t="shared" si="309"/>
        <v>-17127.144330719333</v>
      </c>
      <c r="Z1397" s="32">
        <f t="shared" si="302"/>
        <v>294651.87173230015</v>
      </c>
      <c r="AA1397" s="32">
        <f t="shared" si="303"/>
        <v>120016.69195821493</v>
      </c>
      <c r="AB1397" s="40">
        <f t="shared" si="310"/>
        <v>-4.3082666350341657E-2</v>
      </c>
      <c r="AC1397" s="40">
        <f t="shared" si="311"/>
        <v>0.74118533914481199</v>
      </c>
      <c r="AD1397" s="40">
        <f t="shared" si="312"/>
        <v>0.30189732720552964</v>
      </c>
      <c r="AE1397" s="40"/>
      <c r="AF1397" s="40"/>
      <c r="AG1397" s="40"/>
      <c r="AH1397" s="40"/>
      <c r="AI1397" s="40"/>
      <c r="AJ1397" s="40"/>
      <c r="AK1397" s="33">
        <f t="shared" si="304"/>
        <v>8750000</v>
      </c>
      <c r="AL1397" s="33">
        <f t="shared" si="305"/>
        <v>7297600</v>
      </c>
      <c r="AM1397" s="34"/>
      <c r="AN1397" s="33"/>
      <c r="AO1397" s="15" cm="1">
        <f t="array" ref="AO1397">SUMPRODUCT(I1397:K1397, TRANSPOSE($AY$5:$AY$7))</f>
        <v>6.9424093461209636E-3</v>
      </c>
      <c r="AP1397" s="22">
        <f t="shared" si="313"/>
        <v>14749390.286820557</v>
      </c>
      <c r="AQ1397" s="22">
        <f t="shared" si="314"/>
        <v>101690.32908575423</v>
      </c>
      <c r="AR1397">
        <f t="shared" si="315"/>
        <v>0</v>
      </c>
      <c r="AS1397">
        <f t="shared" si="316"/>
        <v>0</v>
      </c>
      <c r="BJ1397">
        <f t="shared" si="290"/>
        <v>1.1660406379641747E-6</v>
      </c>
      <c r="BK1397">
        <f t="shared" si="292"/>
        <v>7.1821904881644701E-5</v>
      </c>
      <c r="BO1397">
        <f t="shared" si="293"/>
        <v>9.2973921647721336E-5</v>
      </c>
      <c r="BP1397">
        <f t="shared" si="291"/>
        <v>3.7163864309609962</v>
      </c>
    </row>
    <row r="1398" spans="1:68" x14ac:dyDescent="0.15">
      <c r="A1398" s="5">
        <v>45615</v>
      </c>
      <c r="B1398" s="1"/>
      <c r="C1398">
        <v>76.66</v>
      </c>
      <c r="D1398">
        <v>125.25</v>
      </c>
      <c r="E1398">
        <v>91.06</v>
      </c>
      <c r="G1398" s="3">
        <v>-8.4340895641313793E-3</v>
      </c>
      <c r="I1398" s="15">
        <f t="shared" si="294"/>
        <v>-1.9442312611921336E-2</v>
      </c>
      <c r="J1398" s="15">
        <f t="shared" si="295"/>
        <v>2E-3</v>
      </c>
      <c r="K1398" s="15">
        <f t="shared" si="296"/>
        <v>-1.7540013155009492E-3</v>
      </c>
      <c r="L1398" s="32">
        <f t="shared" si="297"/>
        <v>398254.86763089878</v>
      </c>
      <c r="M1398" s="15"/>
      <c r="N1398" s="32">
        <f t="shared" si="298"/>
        <v>-2299800</v>
      </c>
      <c r="O1398" s="34">
        <f t="shared" si="299"/>
        <v>-0.15473548991494837</v>
      </c>
      <c r="P1398" s="34">
        <f t="shared" si="300"/>
        <v>0.58989625525233047</v>
      </c>
      <c r="Q1398" s="34">
        <f t="shared" si="301"/>
        <v>0.49013701058023124</v>
      </c>
      <c r="R1398" s="35" cm="1">
        <f t="array" ref="R1398">SQRT(MMULT(O1398:Q1398, MMULT($AU$32:$AW$34,TRANSPOSE(O1398:Q1398))))</f>
        <v>1.1500190547242963E-2</v>
      </c>
      <c r="S1398" s="36" cm="1">
        <f t="array" ref="S1398:U1398">TRANSPOSE(MMULT($AU$32:$AW$34, TRANSPOSE(O1398:Q1398))/MMULT(O1398:Q1398, MMULT($AU$32:$AW$34,TRANSPOSE(O1398:Q1398))))</f>
        <v>0.274991342634893</v>
      </c>
      <c r="T1398" s="36">
        <v>1.2573818303211657</v>
      </c>
      <c r="U1398" s="36">
        <v>0.61375917448078543</v>
      </c>
      <c r="V1398" s="35">
        <f t="shared" si="306"/>
        <v>7.3685151152042324E-3</v>
      </c>
      <c r="W1398" s="35">
        <f t="shared" si="307"/>
        <v>3.3692104389649445E-2</v>
      </c>
      <c r="X1398" s="35">
        <f t="shared" si="308"/>
        <v>1.6445949573988847E-2</v>
      </c>
      <c r="Y1398" s="32">
        <f t="shared" si="309"/>
        <v>-16946.111061946693</v>
      </c>
      <c r="Z1398" s="32">
        <f t="shared" si="302"/>
        <v>295395.52523625153</v>
      </c>
      <c r="AA1398" s="32">
        <f t="shared" si="303"/>
        <v>119805.45345659395</v>
      </c>
      <c r="AB1398" s="40">
        <f t="shared" si="310"/>
        <v>-4.2550920124979588E-2</v>
      </c>
      <c r="AC1398" s="40">
        <f t="shared" si="311"/>
        <v>0.74172483312877691</v>
      </c>
      <c r="AD1398" s="40">
        <f t="shared" si="312"/>
        <v>0.30082608699620272</v>
      </c>
      <c r="AE1398" s="40"/>
      <c r="AF1398" s="40"/>
      <c r="AG1398" s="40"/>
      <c r="AH1398" s="40"/>
      <c r="AI1398" s="40"/>
      <c r="AJ1398" s="40"/>
      <c r="AK1398" s="33">
        <f t="shared" si="304"/>
        <v>8767500</v>
      </c>
      <c r="AL1398" s="33">
        <f t="shared" si="305"/>
        <v>7284800</v>
      </c>
      <c r="AM1398" s="34"/>
      <c r="AN1398" s="33"/>
      <c r="AO1398" s="15" cm="1">
        <f t="array" ref="AO1398">SUMPRODUCT(I1398:K1398, TRANSPOSE($AY$5:$AY$7))</f>
        <v>7.6879554192477518E-3</v>
      </c>
      <c r="AP1398" s="22">
        <f t="shared" si="313"/>
        <v>14862782.941806719</v>
      </c>
      <c r="AQ1398" s="22">
        <f t="shared" si="314"/>
        <v>113392.65498616174</v>
      </c>
      <c r="AR1398">
        <f t="shared" si="315"/>
        <v>0</v>
      </c>
      <c r="AS1398">
        <f t="shared" si="316"/>
        <v>0</v>
      </c>
      <c r="BJ1398">
        <f t="shared" si="290"/>
        <v>7.113386677578984E-5</v>
      </c>
      <c r="BK1398">
        <f t="shared" si="292"/>
        <v>6.7582553027023865E-5</v>
      </c>
      <c r="BO1398">
        <f t="shared" si="293"/>
        <v>7.9032667778650476E-5</v>
      </c>
      <c r="BP1398">
        <f t="shared" si="291"/>
        <v>3.3538578514725499</v>
      </c>
    </row>
    <row r="1399" spans="1:68" x14ac:dyDescent="0.15">
      <c r="A1399" s="5">
        <v>45616</v>
      </c>
      <c r="B1399" s="1"/>
      <c r="C1399">
        <v>76.52</v>
      </c>
      <c r="D1399">
        <v>125.95</v>
      </c>
      <c r="E1399">
        <v>90.99</v>
      </c>
      <c r="G1399" s="3">
        <v>-1.5521482576985599E-4</v>
      </c>
      <c r="I1399" s="15">
        <f t="shared" si="294"/>
        <v>-1.8262457605009207E-3</v>
      </c>
      <c r="J1399" s="15">
        <f t="shared" si="295"/>
        <v>5.5888223552894439E-3</v>
      </c>
      <c r="K1399" s="15">
        <f t="shared" si="296"/>
        <v>-7.6872391829571043E-4</v>
      </c>
      <c r="L1399" s="32">
        <f t="shared" si="297"/>
        <v>399845.51940942154</v>
      </c>
      <c r="M1399" s="15"/>
      <c r="N1399" s="32">
        <f t="shared" si="298"/>
        <v>-2295600</v>
      </c>
      <c r="O1399" s="34">
        <f t="shared" si="299"/>
        <v>-0.15386403838142165</v>
      </c>
      <c r="P1399" s="34">
        <f t="shared" si="300"/>
        <v>0.59093147516544864</v>
      </c>
      <c r="Q1399" s="34">
        <f t="shared" si="301"/>
        <v>0.48789297272436155</v>
      </c>
      <c r="R1399" s="35" cm="1">
        <f t="array" ref="R1399">SQRT(MMULT(O1399:Q1399, MMULT($AU$32:$AW$34,TRANSPOSE(O1399:Q1399))))</f>
        <v>1.15021022387016E-2</v>
      </c>
      <c r="S1399" s="36" cm="1">
        <f t="array" ref="S1399:U1399">TRANSPOSE(MMULT($AU$32:$AW$34, TRANSPOSE(O1399:Q1399))/MMULT(O1399:Q1399, MMULT($AU$32:$AW$34,TRANSPOSE(O1399:Q1399))))</f>
        <v>0.27501834744570575</v>
      </c>
      <c r="T1399" s="36">
        <v>1.2583560447352329</v>
      </c>
      <c r="U1399" s="36">
        <v>0.61225157251238138</v>
      </c>
      <c r="V1399" s="35">
        <f t="shared" si="306"/>
        <v>7.3704637191254916E-3</v>
      </c>
      <c r="W1399" s="35">
        <f t="shared" si="307"/>
        <v>3.3723813918612455E-2</v>
      </c>
      <c r="X1399" s="35">
        <f t="shared" si="308"/>
        <v>1.6408279826024743E-2</v>
      </c>
      <c r="Y1399" s="32">
        <f t="shared" si="309"/>
        <v>-16919.636513624479</v>
      </c>
      <c r="Z1399" s="32">
        <f t="shared" si="302"/>
        <v>297326.00541344669</v>
      </c>
      <c r="AA1399" s="32">
        <f t="shared" si="303"/>
        <v>119439.15050959931</v>
      </c>
      <c r="AB1399" s="40">
        <f t="shared" si="310"/>
        <v>-4.2315433566981225E-2</v>
      </c>
      <c r="AC1399" s="40">
        <f t="shared" si="311"/>
        <v>0.74360219379875037</v>
      </c>
      <c r="AD1399" s="40">
        <f t="shared" si="312"/>
        <v>0.29871323976823078</v>
      </c>
      <c r="AE1399" s="40"/>
      <c r="AF1399" s="40"/>
      <c r="AG1399" s="40"/>
      <c r="AH1399" s="40"/>
      <c r="AI1399" s="40"/>
      <c r="AJ1399" s="40"/>
      <c r="AK1399" s="33">
        <f t="shared" si="304"/>
        <v>8816500</v>
      </c>
      <c r="AL1399" s="33">
        <f t="shared" si="305"/>
        <v>7279200</v>
      </c>
      <c r="AM1399" s="34"/>
      <c r="AN1399" s="33"/>
      <c r="AO1399" s="15" cm="1">
        <f t="array" ref="AO1399">SUMPRODUCT(I1399:K1399, TRANSPOSE($AY$5:$AY$7))</f>
        <v>3.8271873484221623E-3</v>
      </c>
      <c r="AP1399" s="22">
        <f t="shared" si="313"/>
        <v>14919665.596643945</v>
      </c>
      <c r="AQ1399" s="22">
        <f t="shared" si="314"/>
        <v>56882.654837226495</v>
      </c>
      <c r="AR1399">
        <f t="shared" si="315"/>
        <v>0</v>
      </c>
      <c r="AS1399">
        <f t="shared" si="316"/>
        <v>0</v>
      </c>
      <c r="BJ1399">
        <f t="shared" si="290"/>
        <v>2.4091642138766751E-8</v>
      </c>
      <c r="BK1399">
        <f t="shared" si="292"/>
        <v>6.7795631851949814E-5</v>
      </c>
      <c r="BO1399">
        <f t="shared" si="293"/>
        <v>7.8062274541701424E-5</v>
      </c>
      <c r="BP1399">
        <f t="shared" si="291"/>
        <v>3.809908985521703</v>
      </c>
    </row>
    <row r="1400" spans="1:68" x14ac:dyDescent="0.15">
      <c r="A1400" s="5">
        <v>45617</v>
      </c>
      <c r="B1400" s="1"/>
      <c r="C1400">
        <v>75.959999999999994</v>
      </c>
      <c r="D1400">
        <v>127.2</v>
      </c>
      <c r="E1400">
        <v>91.56</v>
      </c>
      <c r="G1400" s="3">
        <v>4.5023900450493698E-3</v>
      </c>
      <c r="I1400" s="15">
        <f t="shared" si="294"/>
        <v>-7.3183481442760361E-3</v>
      </c>
      <c r="J1400" s="15">
        <f t="shared" si="295"/>
        <v>9.9245732433505349E-3</v>
      </c>
      <c r="K1400" s="15">
        <f t="shared" si="296"/>
        <v>6.2644246620508562E-3</v>
      </c>
      <c r="L1400" s="32">
        <f t="shared" si="297"/>
        <v>403669.42512320541</v>
      </c>
      <c r="M1400" s="15"/>
      <c r="N1400" s="32">
        <f t="shared" si="298"/>
        <v>-2278800</v>
      </c>
      <c r="O1400" s="34">
        <f t="shared" si="299"/>
        <v>-0.15062535097338373</v>
      </c>
      <c r="P1400" s="34">
        <f t="shared" si="300"/>
        <v>0.58854139242891379</v>
      </c>
      <c r="Q1400" s="34">
        <f t="shared" si="301"/>
        <v>0.48415857943208757</v>
      </c>
      <c r="R1400" s="35" cm="1">
        <f t="array" ref="R1400">SQRT(MMULT(O1400:Q1400, MMULT($AU$32:$AW$34,TRANSPOSE(O1400:Q1400))))</f>
        <v>1.1451484675016603E-2</v>
      </c>
      <c r="S1400" s="36" cm="1">
        <f t="array" ref="S1400:U1400">TRANSPOSE(MMULT($AU$32:$AW$34, TRANSPOSE(O1400:Q1400))/MMULT(O1400:Q1400, MMULT($AU$32:$AW$34,TRANSPOSE(O1400:Q1400))))</f>
        <v>0.27805136653975437</v>
      </c>
      <c r="T1400" s="36">
        <v>1.2645522464586465</v>
      </c>
      <c r="U1400" s="36">
        <v>0.61475776199799126</v>
      </c>
      <c r="V1400" s="35">
        <f t="shared" si="306"/>
        <v>7.418955243317993E-3</v>
      </c>
      <c r="W1400" s="35">
        <f t="shared" si="307"/>
        <v>3.3740731563614096E-2</v>
      </c>
      <c r="X1400" s="35">
        <f t="shared" si="308"/>
        <v>1.6402941580556277E-2</v>
      </c>
      <c r="Y1400" s="32">
        <f t="shared" si="309"/>
        <v>-16906.315208473043</v>
      </c>
      <c r="Z1400" s="32">
        <f t="shared" si="302"/>
        <v>300427.47384241992</v>
      </c>
      <c r="AA1400" s="32">
        <f t="shared" si="303"/>
        <v>120148.26648925862</v>
      </c>
      <c r="AB1400" s="40">
        <f t="shared" si="310"/>
        <v>-4.1881584673679473E-2</v>
      </c>
      <c r="AC1400" s="40">
        <f t="shared" si="311"/>
        <v>0.74424133992988284</v>
      </c>
      <c r="AD1400" s="40">
        <f t="shared" si="312"/>
        <v>0.2976402447437968</v>
      </c>
      <c r="AE1400" s="40"/>
      <c r="AF1400" s="40"/>
      <c r="AG1400" s="40"/>
      <c r="AH1400" s="40"/>
      <c r="AI1400" s="40"/>
      <c r="AJ1400" s="40"/>
      <c r="AK1400" s="33">
        <f t="shared" si="304"/>
        <v>8904000</v>
      </c>
      <c r="AL1400" s="33">
        <f t="shared" si="305"/>
        <v>7324800</v>
      </c>
      <c r="AM1400" s="34"/>
      <c r="AN1400" s="33"/>
      <c r="AO1400" s="15" cm="1">
        <f t="array" ref="AO1400">SUMPRODUCT(I1400:K1400, TRANSPOSE($AY$5:$AY$7))</f>
        <v>1.4025904634417996E-2</v>
      </c>
      <c r="AP1400" s="22">
        <f t="shared" si="313"/>
        <v>15128927.40347988</v>
      </c>
      <c r="AQ1400" s="22">
        <f t="shared" si="314"/>
        <v>209261.80683593452</v>
      </c>
      <c r="AR1400">
        <f t="shared" si="315"/>
        <v>0</v>
      </c>
      <c r="AS1400">
        <f t="shared" si="316"/>
        <v>0</v>
      </c>
      <c r="BJ1400">
        <f t="shared" si="290"/>
        <v>2.0271516117759668E-5</v>
      </c>
      <c r="BK1400">
        <f t="shared" si="292"/>
        <v>6.3729339439361153E-5</v>
      </c>
      <c r="BO1400">
        <f t="shared" si="293"/>
        <v>6.7173651039848092E-5</v>
      </c>
      <c r="BP1400">
        <f t="shared" si="291"/>
        <v>3.7342873130724268</v>
      </c>
    </row>
    <row r="1401" spans="1:68" x14ac:dyDescent="0.15">
      <c r="A1401" s="5">
        <v>45618</v>
      </c>
      <c r="B1401" s="1"/>
      <c r="C1401">
        <v>76</v>
      </c>
      <c r="D1401">
        <v>128.30000000000001</v>
      </c>
      <c r="E1401">
        <v>93.68</v>
      </c>
      <c r="G1401" s="3">
        <v>1.07755824921766E-2</v>
      </c>
      <c r="I1401" s="15">
        <f t="shared" si="294"/>
        <v>5.2659294365463738E-4</v>
      </c>
      <c r="J1401" s="15">
        <f t="shared" si="295"/>
        <v>8.6477987421384322E-3</v>
      </c>
      <c r="K1401" s="15">
        <f t="shared" si="296"/>
        <v>2.3154215814766323E-2</v>
      </c>
      <c r="L1401" s="32">
        <f t="shared" si="297"/>
        <v>409047.44033306331</v>
      </c>
      <c r="M1401" s="15"/>
      <c r="N1401" s="32">
        <f t="shared" si="298"/>
        <v>-2280000</v>
      </c>
      <c r="O1401" s="34">
        <f t="shared" si="299"/>
        <v>-0.14738255094945987</v>
      </c>
      <c r="P1401" s="34">
        <f t="shared" si="300"/>
        <v>0.58054503950749958</v>
      </c>
      <c r="Q1401" s="34">
        <f t="shared" si="301"/>
        <v>0.48444903062966321</v>
      </c>
      <c r="R1401" s="35" cm="1">
        <f t="array" ref="R1401">SQRT(MMULT(O1401:Q1401, MMULT($AU$32:$AW$34,TRANSPOSE(O1401:Q1401))))</f>
        <v>1.1348252242985062E-2</v>
      </c>
      <c r="S1401" s="36" cm="1">
        <f t="array" ref="S1401:U1401">TRANSPOSE(MMULT($AU$32:$AW$34, TRANSPOSE(O1401:Q1401))/MMULT(O1401:Q1401, MMULT($AU$32:$AW$34,TRANSPOSE(O1401:Q1401))))</f>
        <v>0.28382815743485834</v>
      </c>
      <c r="T1401" s="36">
        <v>1.2732666094005436</v>
      </c>
      <c r="U1401" s="36">
        <v>0.6247152634873796</v>
      </c>
      <c r="V1401" s="35">
        <f t="shared" si="306"/>
        <v>7.504821711461605E-3</v>
      </c>
      <c r="W1401" s="35">
        <f t="shared" si="307"/>
        <v>3.3666987028591153E-2</v>
      </c>
      <c r="X1401" s="35">
        <f t="shared" si="308"/>
        <v>1.6518363488927545E-2</v>
      </c>
      <c r="Y1401" s="32">
        <f t="shared" si="309"/>
        <v>-17110.99350213246</v>
      </c>
      <c r="Z1401" s="32">
        <f t="shared" si="302"/>
        <v>302363.21050377714</v>
      </c>
      <c r="AA1401" s="32">
        <f t="shared" si="303"/>
        <v>123795.22333141862</v>
      </c>
      <c r="AB1401" s="40">
        <f t="shared" si="310"/>
        <v>-4.1831317874034324E-2</v>
      </c>
      <c r="AC1401" s="40">
        <f t="shared" si="311"/>
        <v>0.73918861405801861</v>
      </c>
      <c r="AD1401" s="40">
        <f t="shared" si="312"/>
        <v>0.30264270381601566</v>
      </c>
      <c r="AE1401" s="40"/>
      <c r="AF1401" s="40"/>
      <c r="AG1401" s="40"/>
      <c r="AH1401" s="40"/>
      <c r="AI1401" s="40"/>
      <c r="AJ1401" s="40"/>
      <c r="AK1401" s="33">
        <f t="shared" si="304"/>
        <v>8981000</v>
      </c>
      <c r="AL1401" s="33">
        <f t="shared" si="305"/>
        <v>7494400.0000000009</v>
      </c>
      <c r="AM1401" s="34"/>
      <c r="AN1401" s="33"/>
      <c r="AO1401" s="15" cm="1">
        <f t="array" ref="AO1401">SUMPRODUCT(I1401:K1401, TRANSPOSE($AY$5:$AY$7))</f>
        <v>2.2540784166649203E-2</v>
      </c>
      <c r="AP1401" s="22">
        <f t="shared" si="313"/>
        <v>15469945.290754624</v>
      </c>
      <c r="AQ1401" s="22">
        <f t="shared" si="314"/>
        <v>341017.88727474399</v>
      </c>
      <c r="AR1401">
        <f t="shared" si="315"/>
        <v>0</v>
      </c>
      <c r="AS1401">
        <f t="shared" si="316"/>
        <v>0</v>
      </c>
      <c r="BJ1401">
        <f t="shared" si="290"/>
        <v>1.1611317804570287E-4</v>
      </c>
      <c r="BK1401">
        <f t="shared" si="292"/>
        <v>6.1121870040065058E-5</v>
      </c>
      <c r="BO1401">
        <f t="shared" si="293"/>
        <v>6.1516487413008417E-5</v>
      </c>
      <c r="BP1401">
        <f t="shared" si="291"/>
        <v>2.9854075645464926</v>
      </c>
    </row>
    <row r="1402" spans="1:68" x14ac:dyDescent="0.15">
      <c r="A1402" s="5">
        <v>45621</v>
      </c>
      <c r="B1402" s="1"/>
      <c r="C1402">
        <v>75.959999999999994</v>
      </c>
      <c r="D1402">
        <v>129.35</v>
      </c>
      <c r="E1402">
        <v>91.93</v>
      </c>
      <c r="G1402" s="3">
        <v>-3.2359056902647697E-3</v>
      </c>
      <c r="I1402" s="15">
        <f t="shared" si="294"/>
        <v>-5.2631578947376649E-4</v>
      </c>
      <c r="J1402" s="15">
        <f t="shared" si="295"/>
        <v>8.1839438815275358E-3</v>
      </c>
      <c r="K1402" s="15">
        <f t="shared" si="296"/>
        <v>-1.868061485909479E-2</v>
      </c>
      <c r="L1402" s="32">
        <f t="shared" si="297"/>
        <v>409236.56809342705</v>
      </c>
      <c r="M1402" s="15"/>
      <c r="N1402" s="32">
        <f t="shared" si="298"/>
        <v>-2278800</v>
      </c>
      <c r="O1402" s="34">
        <f t="shared" si="299"/>
        <v>-0.14851989438210333</v>
      </c>
      <c r="P1402" s="34">
        <f t="shared" si="300"/>
        <v>0.59012347888483174</v>
      </c>
      <c r="Q1402" s="34">
        <f t="shared" si="301"/>
        <v>0.47932012956105885</v>
      </c>
      <c r="R1402" s="35" cm="1">
        <f t="array" ref="R1402">SQRT(MMULT(O1402:Q1402, MMULT($AU$32:$AW$34,TRANSPOSE(O1402:Q1402))))</f>
        <v>1.1447138406278553E-2</v>
      </c>
      <c r="S1402" s="36" cm="1">
        <f t="array" ref="S1402:U1402">TRANSPOSE(MMULT($AU$32:$AW$34, TRANSPOSE(O1402:Q1402))/MMULT(O1402:Q1402, MMULT($AU$32:$AW$34,TRANSPOSE(O1402:Q1402))))</f>
        <v>0.27852815901559108</v>
      </c>
      <c r="T1402" s="36">
        <v>1.2673717594543734</v>
      </c>
      <c r="U1402" s="36">
        <v>0.61224455834678104</v>
      </c>
      <c r="V1402" s="35">
        <f t="shared" si="306"/>
        <v>7.4288564000730183E-3</v>
      </c>
      <c r="W1402" s="35">
        <f t="shared" si="307"/>
        <v>3.3803127266451349E-2</v>
      </c>
      <c r="X1402" s="35">
        <f t="shared" si="308"/>
        <v>1.6329684301075516E-2</v>
      </c>
      <c r="Y1402" s="32">
        <f t="shared" si="309"/>
        <v>-16928.877964486393</v>
      </c>
      <c r="Z1402" s="32">
        <f t="shared" si="302"/>
        <v>306070.41583408375</v>
      </c>
      <c r="AA1402" s="32">
        <f t="shared" si="303"/>
        <v>120095.03022382979</v>
      </c>
      <c r="AB1402" s="40">
        <f t="shared" si="310"/>
        <v>-4.1366972759437272E-2</v>
      </c>
      <c r="AC1402" s="40">
        <f t="shared" si="311"/>
        <v>0.74790583172960512</v>
      </c>
      <c r="AD1402" s="40">
        <f t="shared" si="312"/>
        <v>0.29346114102983234</v>
      </c>
      <c r="AE1402" s="40"/>
      <c r="AF1402" s="40"/>
      <c r="AG1402" s="40"/>
      <c r="AH1402" s="40"/>
      <c r="AI1402" s="40"/>
      <c r="AJ1402" s="40"/>
      <c r="AK1402" s="33">
        <f t="shared" si="304"/>
        <v>9054500</v>
      </c>
      <c r="AL1402" s="33">
        <f t="shared" si="305"/>
        <v>7354400.0000000009</v>
      </c>
      <c r="AM1402" s="34"/>
      <c r="AN1402" s="33"/>
      <c r="AO1402" s="15" cm="1">
        <f t="array" ref="AO1402">SUMPRODUCT(I1402:K1402, TRANSPOSE($AY$5:$AY$7))</f>
        <v>-8.1801377610425004E-3</v>
      </c>
      <c r="AP1402" s="22">
        <f t="shared" si="313"/>
        <v>15343399.00712046</v>
      </c>
      <c r="AQ1402" s="22">
        <f t="shared" si="314"/>
        <v>-126546.28363416344</v>
      </c>
      <c r="AR1402">
        <f t="shared" si="315"/>
        <v>0</v>
      </c>
      <c r="AS1402">
        <f t="shared" si="316"/>
        <v>0</v>
      </c>
      <c r="BJ1402">
        <f t="shared" si="290"/>
        <v>1.0471085636287915E-5</v>
      </c>
      <c r="BK1402">
        <f t="shared" si="292"/>
        <v>6.4421348520403332E-5</v>
      </c>
      <c r="BO1402">
        <f t="shared" si="293"/>
        <v>7.0728915675636285E-5</v>
      </c>
      <c r="BP1402">
        <f t="shared" si="291"/>
        <v>3.7853668407287704</v>
      </c>
    </row>
    <row r="1403" spans="1:68" x14ac:dyDescent="0.15">
      <c r="A1403" s="5">
        <v>45622</v>
      </c>
      <c r="B1403" s="1"/>
      <c r="C1403">
        <v>75.84</v>
      </c>
      <c r="D1403">
        <v>128.80000000000001</v>
      </c>
      <c r="E1403">
        <v>91.93</v>
      </c>
      <c r="G1403" s="3">
        <v>-3.9137242358066003E-3</v>
      </c>
      <c r="I1403" s="15">
        <f t="shared" si="294"/>
        <v>-1.579778830963538E-3</v>
      </c>
      <c r="J1403" s="15">
        <f t="shared" si="295"/>
        <v>-4.2520293776573863E-3</v>
      </c>
      <c r="K1403" s="15">
        <f t="shared" si="296"/>
        <v>0</v>
      </c>
      <c r="L1403" s="32">
        <f t="shared" si="297"/>
        <v>407962.30917826941</v>
      </c>
      <c r="M1403" s="15"/>
      <c r="N1403" s="32">
        <f t="shared" si="298"/>
        <v>-2275200</v>
      </c>
      <c r="O1403" s="34">
        <f t="shared" si="299"/>
        <v>-0.14860804915843723</v>
      </c>
      <c r="P1403" s="34">
        <f t="shared" si="300"/>
        <v>0.58889335935850473</v>
      </c>
      <c r="Q1403" s="34">
        <f t="shared" si="301"/>
        <v>0.48036350067282474</v>
      </c>
      <c r="R1403" s="35" cm="1">
        <f t="array" ref="R1403">SQRT(MMULT(O1403:Q1403, MMULT($AU$32:$AW$34,TRANSPOSE(O1403:Q1403))))</f>
        <v>1.1436335153510785E-2</v>
      </c>
      <c r="S1403" s="36" cm="1">
        <f t="array" ref="S1403:U1403">TRANSPOSE(MMULT($AU$32:$AW$34, TRANSPOSE(O1403:Q1403))/MMULT(O1403:Q1403, MMULT($AU$32:$AW$34,TRANSPOSE(O1403:Q1403))))</f>
        <v>0.27906309043299654</v>
      </c>
      <c r="T1403" s="36">
        <v>1.2677789985447243</v>
      </c>
      <c r="U1403" s="36">
        <v>0.61387758993174224</v>
      </c>
      <c r="V1403" s="35">
        <f t="shared" si="306"/>
        <v>7.4360995426173328E-3</v>
      </c>
      <c r="W1403" s="35">
        <f t="shared" si="307"/>
        <v>3.3782077080099567E-2</v>
      </c>
      <c r="X1403" s="35">
        <f t="shared" si="308"/>
        <v>1.6357787977735048E-2</v>
      </c>
      <c r="Y1403" s="32">
        <f t="shared" si="309"/>
        <v>-16918.613679362956</v>
      </c>
      <c r="Z1403" s="32">
        <f t="shared" si="302"/>
        <v>304579.2069541777</v>
      </c>
      <c r="AA1403" s="32">
        <f t="shared" si="303"/>
        <v>120301.71590345465</v>
      </c>
      <c r="AB1403" s="40">
        <f t="shared" si="310"/>
        <v>-4.147102146137216E-2</v>
      </c>
      <c r="AC1403" s="40">
        <f t="shared" si="311"/>
        <v>0.74658663337716358</v>
      </c>
      <c r="AD1403" s="40">
        <f t="shared" si="312"/>
        <v>0.29488438808420847</v>
      </c>
      <c r="AE1403" s="40"/>
      <c r="AF1403" s="40"/>
      <c r="AG1403" s="40"/>
      <c r="AH1403" s="40"/>
      <c r="AI1403" s="40"/>
      <c r="AJ1403" s="40"/>
      <c r="AK1403" s="33">
        <f t="shared" si="304"/>
        <v>9016000</v>
      </c>
      <c r="AL1403" s="33">
        <f t="shared" si="305"/>
        <v>7354400.0000000009</v>
      </c>
      <c r="AM1403" s="34"/>
      <c r="AN1403" s="33"/>
      <c r="AO1403" s="15" cm="1">
        <f t="array" ref="AO1403">SUMPRODUCT(I1403:K1403, TRANSPOSE($AY$5:$AY$7))</f>
        <v>-2.1720449416005221E-3</v>
      </c>
      <c r="AP1403" s="22">
        <f t="shared" si="313"/>
        <v>15310072.454920087</v>
      </c>
      <c r="AQ1403" s="22">
        <f t="shared" si="314"/>
        <v>-33326.552200373262</v>
      </c>
      <c r="AR1403">
        <f t="shared" si="315"/>
        <v>0</v>
      </c>
      <c r="AS1403">
        <f t="shared" si="316"/>
        <v>0</v>
      </c>
      <c r="BJ1403">
        <f t="shared" si="290"/>
        <v>1.5317237393939958E-5</v>
      </c>
      <c r="BK1403">
        <f t="shared" si="292"/>
        <v>6.1184332747356404E-5</v>
      </c>
      <c r="BO1403">
        <f t="shared" si="293"/>
        <v>6.2909382529889739E-5</v>
      </c>
      <c r="BP1403">
        <f t="shared" si="291"/>
        <v>3.7962286022656242</v>
      </c>
    </row>
    <row r="1404" spans="1:68" x14ac:dyDescent="0.15">
      <c r="A1404" s="5">
        <v>45623</v>
      </c>
      <c r="B1404" s="1"/>
      <c r="C1404">
        <v>76.36</v>
      </c>
      <c r="D1404">
        <v>128.69999999999999</v>
      </c>
      <c r="E1404">
        <v>92.75</v>
      </c>
      <c r="G1404" s="3">
        <v>9.5708532680904802E-4</v>
      </c>
      <c r="I1404" s="15">
        <f t="shared" si="294"/>
        <v>6.8565400843881331E-3</v>
      </c>
      <c r="J1404" s="15">
        <f t="shared" si="295"/>
        <v>-7.7639751552812677E-4</v>
      </c>
      <c r="K1404" s="15">
        <f t="shared" si="296"/>
        <v>8.9198303056672815E-3</v>
      </c>
      <c r="L1404" s="32">
        <f t="shared" si="297"/>
        <v>408685.01742719911</v>
      </c>
      <c r="M1404" s="15"/>
      <c r="N1404" s="32">
        <f t="shared" si="298"/>
        <v>-2290800</v>
      </c>
      <c r="O1404" s="34">
        <f t="shared" si="299"/>
        <v>-0.14912594479948099</v>
      </c>
      <c r="P1404" s="34">
        <f t="shared" si="300"/>
        <v>0.58646570486228577</v>
      </c>
      <c r="Q1404" s="34">
        <f t="shared" si="301"/>
        <v>0.48302536686404263</v>
      </c>
      <c r="R1404" s="35" cm="1">
        <f t="array" ref="R1404">SQRT(MMULT(O1404:Q1404, MMULT($AU$32:$AW$34,TRANSPOSE(O1404:Q1404))))</f>
        <v>1.1418231116146507E-2</v>
      </c>
      <c r="S1404" s="36" cm="1">
        <f t="array" ref="S1404:U1404">TRANSPOSE(MMULT($AU$32:$AW$34, TRANSPOSE(O1404:Q1404))/MMULT(O1404:Q1404, MMULT($AU$32:$AW$34,TRANSPOSE(O1404:Q1404))))</f>
        <v>0.27991707215506473</v>
      </c>
      <c r="T1404" s="36">
        <v>1.2679859430547162</v>
      </c>
      <c r="U1404" s="36">
        <v>0.61717799613096536</v>
      </c>
      <c r="V1404" s="35">
        <f t="shared" si="306"/>
        <v>7.4470477281062975E-3</v>
      </c>
      <c r="W1404" s="35">
        <f t="shared" si="307"/>
        <v>3.3734104761089297E-2</v>
      </c>
      <c r="X1404" s="35">
        <f t="shared" si="308"/>
        <v>1.6419698729122842E-2</v>
      </c>
      <c r="Y1404" s="32">
        <f t="shared" si="309"/>
        <v>-17059.696935545908</v>
      </c>
      <c r="Z1404" s="32">
        <f t="shared" si="302"/>
        <v>303910.54979265347</v>
      </c>
      <c r="AA1404" s="32">
        <f t="shared" si="303"/>
        <v>121834.16457009148</v>
      </c>
      <c r="AB1404" s="40">
        <f t="shared" si="310"/>
        <v>-4.174289785062852E-2</v>
      </c>
      <c r="AC1404" s="40">
        <f t="shared" si="311"/>
        <v>0.74363026984905412</v>
      </c>
      <c r="AD1404" s="40">
        <f t="shared" si="312"/>
        <v>0.29811262800157423</v>
      </c>
      <c r="AE1404" s="40"/>
      <c r="AF1404" s="40"/>
      <c r="AG1404" s="40"/>
      <c r="AH1404" s="40"/>
      <c r="AI1404" s="40"/>
      <c r="AJ1404" s="40"/>
      <c r="AK1404" s="33">
        <f t="shared" si="304"/>
        <v>9009000</v>
      </c>
      <c r="AL1404" s="33">
        <f t="shared" si="305"/>
        <v>7420000</v>
      </c>
      <c r="AM1404" s="34"/>
      <c r="AN1404" s="33"/>
      <c r="AO1404" s="15" cm="1">
        <f t="array" ref="AO1404">SUMPRODUCT(I1404:K1404, TRANSPOSE($AY$5:$AY$7))</f>
        <v>3.3598540183433969E-3</v>
      </c>
      <c r="AP1404" s="22">
        <f t="shared" si="313"/>
        <v>15361512.06337888</v>
      </c>
      <c r="AQ1404" s="22">
        <f t="shared" si="314"/>
        <v>51439.608458792791</v>
      </c>
      <c r="AR1404">
        <f t="shared" si="315"/>
        <v>0</v>
      </c>
      <c r="AS1404">
        <f t="shared" si="316"/>
        <v>0</v>
      </c>
      <c r="BJ1404">
        <f t="shared" si="290"/>
        <v>9.1601232279318221E-7</v>
      </c>
      <c r="BK1404">
        <f t="shared" si="292"/>
        <v>5.8432307026151416E-5</v>
      </c>
      <c r="BO1404">
        <f t="shared" si="293"/>
        <v>5.7466096203773038E-5</v>
      </c>
      <c r="BP1404">
        <f t="shared" si="291"/>
        <v>3.9552491505245024</v>
      </c>
    </row>
    <row r="1405" spans="1:68" x14ac:dyDescent="0.15">
      <c r="A1405" s="5">
        <v>45625</v>
      </c>
      <c r="B1405" s="1"/>
      <c r="C1405">
        <v>76.48</v>
      </c>
      <c r="D1405">
        <v>130.15</v>
      </c>
      <c r="E1405">
        <v>93.27</v>
      </c>
      <c r="G1405" s="3">
        <v>1.0322079246098901E-2</v>
      </c>
      <c r="I1405" s="15">
        <f t="shared" si="294"/>
        <v>1.5715034049241035E-3</v>
      </c>
      <c r="J1405" s="15">
        <f t="shared" si="295"/>
        <v>1.12665112665114E-2</v>
      </c>
      <c r="K1405" s="15">
        <f t="shared" si="296"/>
        <v>5.6064690026953745E-3</v>
      </c>
      <c r="L1405" s="32">
        <f t="shared" si="297"/>
        <v>412766.03737457329</v>
      </c>
      <c r="M1405" s="15"/>
      <c r="N1405" s="32">
        <f t="shared" si="298"/>
        <v>-2294400</v>
      </c>
      <c r="O1405" s="34">
        <f t="shared" si="299"/>
        <v>-0.14774720997614466</v>
      </c>
      <c r="P1405" s="34">
        <f t="shared" si="300"/>
        <v>0.5866679552334666</v>
      </c>
      <c r="Q1405" s="34">
        <f t="shared" si="301"/>
        <v>0.48048752700401015</v>
      </c>
      <c r="R1405" s="35" cm="1">
        <f t="array" ref="R1405">SQRT(MMULT(O1405:Q1405, MMULT($AU$32:$AW$34,TRANSPOSE(O1405:Q1405))))</f>
        <v>1.1407702574771014E-2</v>
      </c>
      <c r="S1405" s="36" cm="1">
        <f t="array" ref="S1405:U1405">TRANSPOSE(MMULT($AU$32:$AW$34, TRANSPOSE(O1405:Q1405))/MMULT(O1405:Q1405, MMULT($AU$32:$AW$34,TRANSPOSE(O1405:Q1405))))</f>
        <v>0.28063688574507367</v>
      </c>
      <c r="T1405" s="36">
        <v>1.2701889875950145</v>
      </c>
      <c r="U1405" s="36">
        <v>0.61663232471448015</v>
      </c>
      <c r="V1405" s="35">
        <f t="shared" si="306"/>
        <v>7.4593135491292243E-3</v>
      </c>
      <c r="W1405" s="35">
        <f t="shared" si="307"/>
        <v>3.3761555969263904E-2</v>
      </c>
      <c r="X1405" s="35">
        <f t="shared" si="308"/>
        <v>1.6390054508914519E-2</v>
      </c>
      <c r="Y1405" s="32">
        <f t="shared" si="309"/>
        <v>-17114.649007122091</v>
      </c>
      <c r="Z1405" s="32">
        <f t="shared" si="302"/>
        <v>307584.65565797879</v>
      </c>
      <c r="AA1405" s="32">
        <f t="shared" si="303"/>
        <v>122296.03072371658</v>
      </c>
      <c r="AB1405" s="40">
        <f t="shared" si="310"/>
        <v>-4.146331688522871E-2</v>
      </c>
      <c r="AC1405" s="40">
        <f t="shared" si="311"/>
        <v>0.74517917611243434</v>
      </c>
      <c r="AD1405" s="40">
        <f t="shared" si="312"/>
        <v>0.29628414077279441</v>
      </c>
      <c r="AE1405" s="40"/>
      <c r="AF1405" s="40"/>
      <c r="AG1405" s="40"/>
      <c r="AH1405" s="40"/>
      <c r="AI1405" s="40"/>
      <c r="AJ1405" s="40"/>
      <c r="AK1405" s="33">
        <f t="shared" si="304"/>
        <v>9110500</v>
      </c>
      <c r="AL1405" s="33">
        <f t="shared" si="305"/>
        <v>7461600</v>
      </c>
      <c r="AM1405" s="34"/>
      <c r="AN1405" s="33"/>
      <c r="AO1405" s="15" cm="1">
        <f t="array" ref="AO1405">SUMPRODUCT(I1405:K1405, TRANSPOSE($AY$5:$AY$7))</f>
        <v>1.0917883008495863E-2</v>
      </c>
      <c r="AP1405" s="22">
        <f t="shared" si="313"/>
        <v>15529227.254920449</v>
      </c>
      <c r="AQ1405" s="22">
        <f t="shared" si="314"/>
        <v>167715.19154156931</v>
      </c>
      <c r="AR1405">
        <f t="shared" si="315"/>
        <v>0</v>
      </c>
      <c r="AS1405">
        <f t="shared" si="316"/>
        <v>0</v>
      </c>
      <c r="BJ1405">
        <f t="shared" si="290"/>
        <v>1.0654531996274566E-4</v>
      </c>
      <c r="BK1405">
        <f t="shared" si="292"/>
        <v>5.4981329343949913E-5</v>
      </c>
      <c r="BO1405">
        <f t="shared" si="293"/>
        <v>5.1145472509806631E-5</v>
      </c>
      <c r="BP1405">
        <f t="shared" si="291"/>
        <v>2.9798888343043828</v>
      </c>
    </row>
    <row r="1406" spans="1:68" x14ac:dyDescent="0.15">
      <c r="A1406" s="5">
        <v>45628</v>
      </c>
      <c r="B1406" s="1"/>
      <c r="C1406">
        <v>76.599999999999994</v>
      </c>
      <c r="D1406">
        <v>132.19999999999999</v>
      </c>
      <c r="E1406">
        <v>93.14</v>
      </c>
      <c r="G1406" s="3">
        <v>5.5287520657341105E-3</v>
      </c>
      <c r="I1406" s="15">
        <f t="shared" si="294"/>
        <v>1.5690376569036392E-3</v>
      </c>
      <c r="J1406" s="15">
        <f t="shared" si="295"/>
        <v>1.5751056473299906E-2</v>
      </c>
      <c r="K1406" s="15">
        <f t="shared" si="296"/>
        <v>-1.3938029377076814E-3</v>
      </c>
      <c r="L1406" s="32">
        <f t="shared" si="297"/>
        <v>417420.13489166537</v>
      </c>
      <c r="M1406" s="15"/>
      <c r="N1406" s="32">
        <f t="shared" si="298"/>
        <v>-2298000</v>
      </c>
      <c r="O1406" s="34">
        <f t="shared" si="299"/>
        <v>-0.14670160963984527</v>
      </c>
      <c r="P1406" s="34">
        <f t="shared" si="300"/>
        <v>0.59076444543391138</v>
      </c>
      <c r="Q1406" s="34">
        <f t="shared" si="301"/>
        <v>0.47567581973386214</v>
      </c>
      <c r="R1406" s="35" cm="1">
        <f t="array" ref="R1406">SQRT(MMULT(O1406:Q1406, MMULT($AU$32:$AW$34,TRANSPOSE(O1406:Q1406))))</f>
        <v>1.1436742097940857E-2</v>
      </c>
      <c r="S1406" s="36" cm="1">
        <f t="array" ref="S1406:U1406">TRANSPOSE(MMULT($AU$32:$AW$34, TRANSPOSE(O1406:Q1406))/MMULT(O1406:Q1406, MMULT($AU$32:$AW$34,TRANSPOSE(O1406:Q1406))))</f>
        <v>0.27928169363695221</v>
      </c>
      <c r="T1406" s="36">
        <v>1.2700988978736376</v>
      </c>
      <c r="U1406" s="36">
        <v>0.61100815070556636</v>
      </c>
      <c r="V1406" s="35">
        <f t="shared" si="306"/>
        <v>7.4421893975285501E-3</v>
      </c>
      <c r="W1406" s="35">
        <f t="shared" si="307"/>
        <v>3.384509893389314E-2</v>
      </c>
      <c r="X1406" s="35">
        <f t="shared" si="308"/>
        <v>1.6281906349707269E-2</v>
      </c>
      <c r="Y1406" s="32">
        <f t="shared" si="309"/>
        <v>-17102.151235520607</v>
      </c>
      <c r="Z1406" s="32">
        <f t="shared" si="302"/>
        <v>313202.54553424713</v>
      </c>
      <c r="AA1406" s="32">
        <f t="shared" si="303"/>
        <v>121319.7405929388</v>
      </c>
      <c r="AB1406" s="40">
        <f t="shared" si="310"/>
        <v>-4.0971073999483021E-2</v>
      </c>
      <c r="AC1406" s="40">
        <f t="shared" si="311"/>
        <v>0.75032927104854152</v>
      </c>
      <c r="AD1406" s="40">
        <f t="shared" si="312"/>
        <v>0.29064180295094144</v>
      </c>
      <c r="AE1406" s="40"/>
      <c r="AF1406" s="40"/>
      <c r="AG1406" s="40"/>
      <c r="AH1406" s="40"/>
      <c r="AI1406" s="40"/>
      <c r="AJ1406" s="40"/>
      <c r="AK1406" s="33">
        <f t="shared" si="304"/>
        <v>9254000</v>
      </c>
      <c r="AL1406" s="33">
        <f t="shared" si="305"/>
        <v>7451200</v>
      </c>
      <c r="AM1406" s="34"/>
      <c r="AN1406" s="33"/>
      <c r="AO1406" s="15" cm="1">
        <f t="array" ref="AO1406">SUMPRODUCT(I1406:K1406, TRANSPOSE($AY$5:$AY$7))</f>
        <v>8.7076159258954941E-3</v>
      </c>
      <c r="AP1406" s="22">
        <f t="shared" si="313"/>
        <v>15664449.801482243</v>
      </c>
      <c r="AQ1406" s="22">
        <f t="shared" si="314"/>
        <v>135222.54656179436</v>
      </c>
      <c r="AR1406">
        <f t="shared" si="315"/>
        <v>0</v>
      </c>
      <c r="AS1406">
        <f t="shared" si="316"/>
        <v>0</v>
      </c>
      <c r="BJ1406">
        <f t="shared" si="290"/>
        <v>3.0567099404359195E-5</v>
      </c>
      <c r="BK1406">
        <f t="shared" si="292"/>
        <v>5.8075168781077665E-5</v>
      </c>
      <c r="BO1406">
        <f t="shared" si="293"/>
        <v>6.1231455098781438E-5</v>
      </c>
      <c r="BP1406">
        <f t="shared" si="291"/>
        <v>3.6818833156125161</v>
      </c>
    </row>
    <row r="1407" spans="1:68" x14ac:dyDescent="0.15">
      <c r="A1407" s="5">
        <v>45629</v>
      </c>
      <c r="B1407" s="1"/>
      <c r="C1407">
        <v>76.599999999999994</v>
      </c>
      <c r="D1407">
        <v>132.25</v>
      </c>
      <c r="E1407">
        <v>93.02</v>
      </c>
      <c r="G1407" s="3">
        <v>4.2917629244687496E-4</v>
      </c>
      <c r="I1407" s="15">
        <f t="shared" si="294"/>
        <v>0</v>
      </c>
      <c r="J1407" s="15">
        <f t="shared" si="295"/>
        <v>3.7821482602126607E-4</v>
      </c>
      <c r="K1407" s="15">
        <f t="shared" si="296"/>
        <v>-1.2883830792356082E-3</v>
      </c>
      <c r="L1407" s="32">
        <f t="shared" si="297"/>
        <v>417382.35729480133</v>
      </c>
      <c r="M1407" s="15"/>
      <c r="N1407" s="32">
        <f t="shared" si="298"/>
        <v>-2298000</v>
      </c>
      <c r="O1407" s="34">
        <f t="shared" si="299"/>
        <v>-0.14680450443733051</v>
      </c>
      <c r="P1407" s="34">
        <f t="shared" si="300"/>
        <v>0.59140239331096056</v>
      </c>
      <c r="Q1407" s="34">
        <f t="shared" si="301"/>
        <v>0.47539617067921619</v>
      </c>
      <c r="R1407" s="35" cm="1">
        <f t="array" ref="R1407">SQRT(MMULT(O1407:Q1407, MMULT($AU$32:$AW$34,TRANSPOSE(O1407:Q1407))))</f>
        <v>1.1443727914840695E-2</v>
      </c>
      <c r="S1407" s="36" cm="1">
        <f t="array" ref="S1407:U1407">TRANSPOSE(MMULT($AU$32:$AW$34, TRANSPOSE(O1407:Q1407))/MMULT(O1407:Q1407, MMULT($AU$32:$AW$34,TRANSPOSE(O1407:Q1407))))</f>
        <v>0.2789160901508041</v>
      </c>
      <c r="T1407" s="36">
        <v>1.2696305186628669</v>
      </c>
      <c r="U1407" s="36">
        <v>0.61019341115406478</v>
      </c>
      <c r="V1407" s="35">
        <f t="shared" si="306"/>
        <v>7.4369868429437656E-3</v>
      </c>
      <c r="W1407" s="35">
        <f t="shared" si="307"/>
        <v>3.3853283464537295E-2</v>
      </c>
      <c r="X1407" s="35">
        <f t="shared" si="308"/>
        <v>1.6270127578334233E-2</v>
      </c>
      <c r="Y1407" s="32">
        <f t="shared" si="309"/>
        <v>-17090.195765084773</v>
      </c>
      <c r="Z1407" s="32">
        <f t="shared" si="302"/>
        <v>313396.77167295403</v>
      </c>
      <c r="AA1407" s="32">
        <f t="shared" si="303"/>
        <v>121075.78138693204</v>
      </c>
      <c r="AB1407" s="40">
        <f t="shared" si="310"/>
        <v>-4.0946138394186593E-2</v>
      </c>
      <c r="AC1407" s="40">
        <f t="shared" si="311"/>
        <v>0.75086252735785564</v>
      </c>
      <c r="AD1407" s="40">
        <f t="shared" si="312"/>
        <v>0.2900836110363309</v>
      </c>
      <c r="AE1407" s="40"/>
      <c r="AF1407" s="40"/>
      <c r="AG1407" s="40"/>
      <c r="AH1407" s="40"/>
      <c r="AI1407" s="40"/>
      <c r="AJ1407" s="40"/>
      <c r="AK1407" s="33">
        <f t="shared" si="304"/>
        <v>9257500</v>
      </c>
      <c r="AL1407" s="33">
        <f t="shared" si="305"/>
        <v>7441600</v>
      </c>
      <c r="AM1407" s="34"/>
      <c r="AN1407" s="33"/>
      <c r="AO1407" s="15" cm="1">
        <f t="array" ref="AO1407">SUMPRODUCT(I1407:K1407, TRANSPOSE($AY$5:$AY$7))</f>
        <v>-7.008967325601665E-4</v>
      </c>
      <c r="AP1407" s="22">
        <f t="shared" si="313"/>
        <v>15653470.639799032</v>
      </c>
      <c r="AQ1407" s="22">
        <f t="shared" si="314"/>
        <v>-10979.161683211103</v>
      </c>
      <c r="AR1407">
        <f t="shared" si="315"/>
        <v>0</v>
      </c>
      <c r="AS1407">
        <f t="shared" si="316"/>
        <v>0</v>
      </c>
      <c r="BJ1407">
        <f t="shared" si="290"/>
        <v>1.8419228999844554E-7</v>
      </c>
      <c r="BK1407">
        <f t="shared" si="292"/>
        <v>5.6424684618474556E-5</v>
      </c>
      <c r="BO1407">
        <f t="shared" si="293"/>
        <v>5.8321853693718838E-5</v>
      </c>
      <c r="BP1407">
        <f t="shared" si="291"/>
        <v>3.9542492079293554</v>
      </c>
    </row>
    <row r="1408" spans="1:68" x14ac:dyDescent="0.15">
      <c r="A1408" s="5">
        <v>45630</v>
      </c>
      <c r="B1408" s="1"/>
      <c r="C1408">
        <v>76.36</v>
      </c>
      <c r="D1408">
        <v>132.44999999999999</v>
      </c>
      <c r="E1408">
        <v>90.1</v>
      </c>
      <c r="G1408" s="3">
        <v>-4.2852905166300597E-3</v>
      </c>
      <c r="I1408" s="15">
        <f t="shared" si="294"/>
        <v>-3.1331592689294373E-3</v>
      </c>
      <c r="J1408" s="15">
        <f t="shared" si="295"/>
        <v>1.5122873345934868E-3</v>
      </c>
      <c r="K1408" s="15">
        <f t="shared" si="296"/>
        <v>-3.1391098688454112E-2</v>
      </c>
      <c r="L1408" s="32">
        <f t="shared" si="297"/>
        <v>414137.63934410189</v>
      </c>
      <c r="M1408" s="15"/>
      <c r="N1408" s="32">
        <f t="shared" si="298"/>
        <v>-2290800</v>
      </c>
      <c r="O1408" s="34">
        <f t="shared" si="299"/>
        <v>-0.14946919301063183</v>
      </c>
      <c r="P1408" s="34">
        <f t="shared" si="300"/>
        <v>0.60494308669376329</v>
      </c>
      <c r="Q1408" s="34">
        <f t="shared" si="301"/>
        <v>0.47030467226324174</v>
      </c>
      <c r="R1408" s="35" cm="1">
        <f t="array" ref="R1408">SQRT(MMULT(O1408:Q1408, MMULT($AU$32:$AW$34,TRANSPOSE(O1408:Q1408))))</f>
        <v>1.1597204033167751E-2</v>
      </c>
      <c r="S1408" s="36" cm="1">
        <f t="array" ref="S1408:U1408">TRANSPOSE(MMULT($AU$32:$AW$34, TRANSPOSE(O1408:Q1408))/MMULT(O1408:Q1408, MMULT($AU$32:$AW$34,TRANSPOSE(O1408:Q1408))))</f>
        <v>0.27100667990364913</v>
      </c>
      <c r="T1408" s="36">
        <v>1.2587698432545145</v>
      </c>
      <c r="U1408" s="36">
        <v>0.59328144453156106</v>
      </c>
      <c r="V1408" s="35">
        <f t="shared" si="306"/>
        <v>7.3230030435820241E-3</v>
      </c>
      <c r="W1408" s="35">
        <f t="shared" si="307"/>
        <v>3.4013830938039384E-2</v>
      </c>
      <c r="X1408" s="35">
        <f t="shared" si="308"/>
        <v>1.6031345889887274E-2</v>
      </c>
      <c r="Y1408" s="32">
        <f t="shared" si="309"/>
        <v>-16775.5353722377</v>
      </c>
      <c r="Z1408" s="32">
        <f t="shared" si="302"/>
        <v>315359.23354203213</v>
      </c>
      <c r="AA1408" s="32">
        <f t="shared" si="303"/>
        <v>115553.94117430747</v>
      </c>
      <c r="AB1408" s="40">
        <f t="shared" si="310"/>
        <v>-4.0507149745689051E-2</v>
      </c>
      <c r="AC1408" s="40">
        <f t="shared" si="311"/>
        <v>0.76148411441541064</v>
      </c>
      <c r="AD1408" s="40">
        <f t="shared" si="312"/>
        <v>0.2790230353302785</v>
      </c>
      <c r="AE1408" s="40"/>
      <c r="AF1408" s="40"/>
      <c r="AG1408" s="40"/>
      <c r="AH1408" s="40"/>
      <c r="AI1408" s="40"/>
      <c r="AJ1408" s="40"/>
      <c r="AK1408" s="33">
        <f t="shared" si="304"/>
        <v>9271500</v>
      </c>
      <c r="AL1408" s="33">
        <f t="shared" si="305"/>
        <v>7208000</v>
      </c>
      <c r="AM1408" s="34"/>
      <c r="AN1408" s="33"/>
      <c r="AO1408" s="15" cm="1">
        <f t="array" ref="AO1408">SUMPRODUCT(I1408:K1408, TRANSPOSE($AY$5:$AY$7))</f>
        <v>-2.09049798434215E-2</v>
      </c>
      <c r="AP1408" s="22">
        <f t="shared" si="313"/>
        <v>15326235.151594443</v>
      </c>
      <c r="AQ1408" s="22">
        <f t="shared" si="314"/>
        <v>-327235.48820458911</v>
      </c>
      <c r="AR1408">
        <f t="shared" si="315"/>
        <v>0</v>
      </c>
      <c r="AS1408">
        <f t="shared" si="316"/>
        <v>0</v>
      </c>
      <c r="BJ1408">
        <f t="shared" si="290"/>
        <v>1.8363714811919525E-5</v>
      </c>
      <c r="BK1408">
        <f t="shared" si="292"/>
        <v>5.3050255078765986E-5</v>
      </c>
      <c r="BO1408">
        <f t="shared" si="293"/>
        <v>5.1712484611924946E-5</v>
      </c>
      <c r="BP1408">
        <f t="shared" si="291"/>
        <v>3.8384112159162873</v>
      </c>
    </row>
    <row r="1409" spans="1:68" x14ac:dyDescent="0.15">
      <c r="A1409" s="5">
        <v>45631</v>
      </c>
      <c r="B1409" s="1"/>
      <c r="C1409">
        <v>75.959999999999994</v>
      </c>
      <c r="D1409">
        <v>132.55000000000001</v>
      </c>
      <c r="E1409">
        <v>90.38</v>
      </c>
      <c r="G1409" s="3">
        <v>6.0959177516650698E-4</v>
      </c>
      <c r="I1409" s="15">
        <f t="shared" si="294"/>
        <v>-5.2383446830802215E-3</v>
      </c>
      <c r="J1409" s="15">
        <f t="shared" si="295"/>
        <v>7.5500188750489048E-4</v>
      </c>
      <c r="K1409" s="15">
        <f t="shared" si="296"/>
        <v>3.1076581576026767E-3</v>
      </c>
      <c r="L1409" s="32">
        <f t="shared" si="297"/>
        <v>414823.13132082735</v>
      </c>
      <c r="M1409" s="15"/>
      <c r="N1409" s="32">
        <f t="shared" si="298"/>
        <v>-2278800</v>
      </c>
      <c r="O1409" s="34">
        <f t="shared" si="299"/>
        <v>-0.14796828222509439</v>
      </c>
      <c r="P1409" s="34">
        <f t="shared" si="300"/>
        <v>0.60247661340422076</v>
      </c>
      <c r="Q1409" s="34">
        <f t="shared" si="301"/>
        <v>0.46948826917690117</v>
      </c>
      <c r="R1409" s="35" cm="1">
        <f t="array" ref="R1409">SQRT(MMULT(O1409:Q1409, MMULT($AU$32:$AW$34,TRANSPOSE(O1409:Q1409))))</f>
        <v>1.1560309614196759E-2</v>
      </c>
      <c r="S1409" s="36" cm="1">
        <f t="array" ref="S1409:U1409">TRANSPOSE(MMULT($AU$32:$AW$34, TRANSPOSE(O1409:Q1409))/MMULT(O1409:Q1409, MMULT($AU$32:$AW$34,TRANSPOSE(O1409:Q1409))))</f>
        <v>0.27300120425380825</v>
      </c>
      <c r="T1409" s="36">
        <v>1.2623568562328322</v>
      </c>
      <c r="U1409" s="36">
        <v>0.59608525699417303</v>
      </c>
      <c r="V1409" s="35">
        <f t="shared" si="306"/>
        <v>7.3534297796986406E-3</v>
      </c>
      <c r="W1409" s="35">
        <f t="shared" si="307"/>
        <v>3.4002240116857561E-2</v>
      </c>
      <c r="X1409" s="35">
        <f t="shared" si="308"/>
        <v>1.6055867196633895E-2</v>
      </c>
      <c r="Y1409" s="32">
        <f t="shared" si="309"/>
        <v>-16756.995781977261</v>
      </c>
      <c r="Z1409" s="32">
        <f t="shared" si="302"/>
        <v>315489.7849242629</v>
      </c>
      <c r="AA1409" s="32">
        <f t="shared" si="303"/>
        <v>116090.34217854172</v>
      </c>
      <c r="AB1409" s="40">
        <f t="shared" si="310"/>
        <v>-4.039551923881813E-2</v>
      </c>
      <c r="AC1409" s="40">
        <f t="shared" si="311"/>
        <v>0.76054048365075555</v>
      </c>
      <c r="AD1409" s="40">
        <f t="shared" si="312"/>
        <v>0.27985503558806263</v>
      </c>
      <c r="AE1409" s="40"/>
      <c r="AF1409" s="40"/>
      <c r="AG1409" s="40"/>
      <c r="AH1409" s="40"/>
      <c r="AI1409" s="40"/>
      <c r="AJ1409" s="40"/>
      <c r="AK1409" s="33">
        <f t="shared" si="304"/>
        <v>9278500</v>
      </c>
      <c r="AL1409" s="33">
        <f t="shared" si="305"/>
        <v>7230400</v>
      </c>
      <c r="AM1409" s="34"/>
      <c r="AN1409" s="33"/>
      <c r="AO1409" s="15" cm="1">
        <f t="array" ref="AO1409">SUMPRODUCT(I1409:K1409, TRANSPOSE($AY$5:$AY$7))</f>
        <v>4.8519832916202581E-3</v>
      </c>
      <c r="AP1409" s="22">
        <f t="shared" si="313"/>
        <v>15400597.788473424</v>
      </c>
      <c r="AQ1409" s="22">
        <f t="shared" si="314"/>
        <v>74362.636878980324</v>
      </c>
      <c r="AR1409">
        <f t="shared" si="315"/>
        <v>0</v>
      </c>
      <c r="AS1409">
        <f t="shared" si="316"/>
        <v>0</v>
      </c>
      <c r="BJ1409">
        <f t="shared" si="290"/>
        <v>3.7160213235065319E-7</v>
      </c>
      <c r="BK1409">
        <f t="shared" si="292"/>
        <v>5.0969062662755192E-5</v>
      </c>
      <c r="BO1409">
        <f t="shared" si="293"/>
        <v>4.9117366526851429E-5</v>
      </c>
      <c r="BP1409">
        <f t="shared" si="291"/>
        <v>4.0379276133002229</v>
      </c>
    </row>
    <row r="1410" spans="1:68" x14ac:dyDescent="0.15">
      <c r="A1410" s="5">
        <v>45632</v>
      </c>
      <c r="B1410" s="1"/>
      <c r="C1410">
        <v>75.760000000000005</v>
      </c>
      <c r="D1410">
        <v>131.30000000000001</v>
      </c>
      <c r="E1410">
        <v>89.81</v>
      </c>
      <c r="G1410" s="3">
        <v>-8.5978770891315104E-4</v>
      </c>
      <c r="I1410" s="15">
        <f t="shared" si="294"/>
        <v>-2.6329647182726256E-3</v>
      </c>
      <c r="J1410" s="15">
        <f t="shared" si="295"/>
        <v>-9.4304036212749902E-3</v>
      </c>
      <c r="K1410" s="15">
        <f t="shared" si="296"/>
        <v>-6.3067050232351535E-3</v>
      </c>
      <c r="L1410" s="32">
        <f t="shared" si="297"/>
        <v>411160.165958361</v>
      </c>
      <c r="M1410" s="15"/>
      <c r="N1410" s="32">
        <f t="shared" si="298"/>
        <v>-2272800</v>
      </c>
      <c r="O1410" s="34">
        <f t="shared" si="299"/>
        <v>-0.14904055162835264</v>
      </c>
      <c r="P1410" s="34">
        <f t="shared" si="300"/>
        <v>0.60270666579381782</v>
      </c>
      <c r="Q1410" s="34">
        <f t="shared" si="301"/>
        <v>0.47114860759388777</v>
      </c>
      <c r="R1410" s="35" cm="1">
        <f t="array" ref="R1410">SQRT(MMULT(O1410:Q1410, MMULT($AU$32:$AW$34,TRANSPOSE(O1410:Q1410))))</f>
        <v>1.157173129021984E-2</v>
      </c>
      <c r="S1410" s="36" cm="1">
        <f t="array" ref="S1410:U1410">TRANSPOSE(MMULT($AU$32:$AW$34, TRANSPOSE(O1410:Q1410))/MMULT(O1410:Q1410, MMULT($AU$32:$AW$34,TRANSPOSE(O1410:Q1410))))</f>
        <v>0.27228708536255142</v>
      </c>
      <c r="T1410" s="36">
        <v>1.2605791464181808</v>
      </c>
      <c r="U1410" s="36">
        <v>0.59603776509268702</v>
      </c>
      <c r="V1410" s="35">
        <f t="shared" si="306"/>
        <v>7.3414408564773503E-3</v>
      </c>
      <c r="W1410" s="35">
        <f t="shared" si="307"/>
        <v>3.3987903745105699E-2</v>
      </c>
      <c r="X1410" s="35">
        <f t="shared" si="308"/>
        <v>1.6070450035588494E-2</v>
      </c>
      <c r="Y1410" s="32">
        <f t="shared" si="309"/>
        <v>-16685.626778601723</v>
      </c>
      <c r="Z1410" s="32">
        <f t="shared" si="302"/>
        <v>312382.82332126651</v>
      </c>
      <c r="AA1410" s="32">
        <f t="shared" si="303"/>
        <v>115462.96941569621</v>
      </c>
      <c r="AB1410" s="40">
        <f t="shared" si="310"/>
        <v>-4.0581817403711015E-2</v>
      </c>
      <c r="AC1410" s="40">
        <f t="shared" si="311"/>
        <v>0.75975945430691871</v>
      </c>
      <c r="AD1410" s="40">
        <f t="shared" si="312"/>
        <v>0.28082236309679226</v>
      </c>
      <c r="AE1410" s="40"/>
      <c r="AF1410" s="40"/>
      <c r="AG1410" s="40"/>
      <c r="AH1410" s="40"/>
      <c r="AI1410" s="40"/>
      <c r="AJ1410" s="40"/>
      <c r="AK1410" s="33">
        <f t="shared" si="304"/>
        <v>9191000</v>
      </c>
      <c r="AL1410" s="33">
        <f t="shared" si="305"/>
        <v>7184800</v>
      </c>
      <c r="AM1410" s="34"/>
      <c r="AN1410" s="33"/>
      <c r="AO1410" s="15" cm="1">
        <f t="array" ref="AO1410">SUMPRODUCT(I1410:K1410, TRANSPOSE($AY$5:$AY$7))</f>
        <v>-9.8085028122122699E-3</v>
      </c>
      <c r="AP1410" s="22">
        <f t="shared" si="313"/>
        <v>15249540.981755432</v>
      </c>
      <c r="AQ1410" s="22">
        <f t="shared" si="314"/>
        <v>-151056.80671799183</v>
      </c>
      <c r="AR1410">
        <f t="shared" si="315"/>
        <v>0</v>
      </c>
      <c r="AS1410">
        <f t="shared" si="316"/>
        <v>0</v>
      </c>
      <c r="BJ1410">
        <f t="shared" ref="BJ1410:BJ1470" si="317">G1410^2</f>
        <v>7.3923490439812532E-7</v>
      </c>
      <c r="BK1410">
        <f t="shared" si="292"/>
        <v>4.7933215030930917E-5</v>
      </c>
      <c r="BO1410">
        <f t="shared" si="293"/>
        <v>4.4519370783088733E-5</v>
      </c>
      <c r="BP1410">
        <f t="shared" ref="BP1410:BP1470" si="318" xml:space="preserve"> -0.5 * (LN(2 * PI()) + LN(BO1410) + (BJ1410) / BO1410)</f>
        <v>4.082552153159412</v>
      </c>
    </row>
    <row r="1411" spans="1:68" x14ac:dyDescent="0.15">
      <c r="A1411" s="5">
        <v>45635</v>
      </c>
      <c r="B1411" s="1"/>
      <c r="C1411">
        <v>75.599999999999994</v>
      </c>
      <c r="D1411">
        <v>130.94999999999999</v>
      </c>
      <c r="E1411">
        <v>89.38</v>
      </c>
      <c r="G1411" s="3">
        <v>-1.60728754477723E-3</v>
      </c>
      <c r="I1411" s="15">
        <f t="shared" si="294"/>
        <v>-2.1119324181627613E-3</v>
      </c>
      <c r="J1411" s="15">
        <f t="shared" si="295"/>
        <v>-2.6656511805028386E-3</v>
      </c>
      <c r="K1411" s="15">
        <f t="shared" si="296"/>
        <v>-4.7878855361319101E-3</v>
      </c>
      <c r="L1411" s="32">
        <f t="shared" si="297"/>
        <v>409810.00800963282</v>
      </c>
      <c r="M1411" s="15"/>
      <c r="N1411" s="32">
        <f t="shared" si="298"/>
        <v>-2268000</v>
      </c>
      <c r="O1411" s="34">
        <f t="shared" si="299"/>
        <v>-0.14939027748592398</v>
      </c>
      <c r="P1411" s="34">
        <f t="shared" si="300"/>
        <v>0.60378570483894267</v>
      </c>
      <c r="Q1411" s="34">
        <f t="shared" si="301"/>
        <v>0.47098776020077193</v>
      </c>
      <c r="R1411" s="35" cm="1">
        <f t="array" ref="R1411">SQRT(MMULT(O1411:Q1411, MMULT($AU$32:$AW$34,TRANSPOSE(O1411:Q1411))))</f>
        <v>1.1585263682257301E-2</v>
      </c>
      <c r="S1411" s="36" cm="1">
        <f t="array" ref="S1411:U1411">TRANSPOSE(MMULT($AU$32:$AW$34, TRANSPOSE(O1411:Q1411))/MMULT(O1411:Q1411, MMULT($AU$32:$AW$34,TRANSPOSE(O1411:Q1411))))</f>
        <v>0.27158850492110725</v>
      </c>
      <c r="T1411" s="36">
        <v>1.2594824632271113</v>
      </c>
      <c r="U1411" s="36">
        <v>0.59473981914280583</v>
      </c>
      <c r="V1411" s="35">
        <f t="shared" si="306"/>
        <v>7.3311689512138749E-3</v>
      </c>
      <c r="W1411" s="35">
        <f t="shared" si="307"/>
        <v>3.3998046904419495E-2</v>
      </c>
      <c r="X1411" s="35">
        <f t="shared" si="308"/>
        <v>1.6054207071160297E-2</v>
      </c>
      <c r="Y1411" s="32">
        <f t="shared" si="309"/>
        <v>-16627.091181353069</v>
      </c>
      <c r="Z1411" s="32">
        <f t="shared" si="302"/>
        <v>311643.09694936132</v>
      </c>
      <c r="AA1411" s="32">
        <f t="shared" si="303"/>
        <v>114794.00224162459</v>
      </c>
      <c r="AB1411" s="40">
        <f t="shared" si="310"/>
        <v>-4.0572682112151447E-2</v>
      </c>
      <c r="AC1411" s="40">
        <f t="shared" si="311"/>
        <v>0.76045750679186919</v>
      </c>
      <c r="AD1411" s="40">
        <f t="shared" si="312"/>
        <v>0.28011517532028229</v>
      </c>
      <c r="AE1411" s="40"/>
      <c r="AF1411" s="40"/>
      <c r="AG1411" s="40"/>
      <c r="AH1411" s="40"/>
      <c r="AI1411" s="40"/>
      <c r="AJ1411" s="40"/>
      <c r="AK1411" s="33">
        <f t="shared" si="304"/>
        <v>9166500</v>
      </c>
      <c r="AL1411" s="33">
        <f t="shared" si="305"/>
        <v>7150400</v>
      </c>
      <c r="AM1411" s="34"/>
      <c r="AN1411" s="33"/>
      <c r="AO1411" s="15" cm="1">
        <f t="array" ref="AO1411">SUMPRODUCT(I1411:K1411, TRANSPOSE($AY$5:$AY$7))</f>
        <v>-4.4480098796168509E-3</v>
      </c>
      <c r="AP1411" s="22">
        <f t="shared" si="313"/>
        <v>15181710.872808963</v>
      </c>
      <c r="AQ1411" s="22">
        <f t="shared" si="314"/>
        <v>-67830.108946468681</v>
      </c>
      <c r="AR1411">
        <f t="shared" si="315"/>
        <v>0</v>
      </c>
      <c r="AS1411">
        <f t="shared" si="316"/>
        <v>0</v>
      </c>
      <c r="BJ1411">
        <f t="shared" si="317"/>
        <v>2.5833732515960162E-6</v>
      </c>
      <c r="BK1411">
        <f t="shared" ref="BK1411:BK1470" si="319">$BM$2 * BK1410 + (1 - $BM$2) * BJ1410</f>
        <v>4.5101576223338949E-5</v>
      </c>
      <c r="BO1411">
        <f t="shared" ref="BO1411:BO1470" si="320" xml:space="preserve"> $BR$2 + $BS$2 * BJ1410 + $BT$2 * BO1410</f>
        <v>4.0965158640376211E-5</v>
      </c>
      <c r="BP1411">
        <f t="shared" si="318"/>
        <v>4.1009244408440484</v>
      </c>
    </row>
    <row r="1412" spans="1:68" x14ac:dyDescent="0.15">
      <c r="A1412" s="5">
        <v>45636</v>
      </c>
      <c r="B1412" s="1"/>
      <c r="C1412">
        <v>74.459999999999994</v>
      </c>
      <c r="D1412">
        <v>129.05000000000001</v>
      </c>
      <c r="E1412">
        <v>88.76</v>
      </c>
      <c r="G1412" s="3">
        <v>-1.01455490795346E-2</v>
      </c>
      <c r="I1412" s="15">
        <f t="shared" ref="I1412:I1469" si="321">(C1412-C1411)/C1411</f>
        <v>-1.5079365079365088E-2</v>
      </c>
      <c r="J1412" s="15">
        <f t="shared" ref="J1412:J1470" si="322">(D1412-D1411)/D1411</f>
        <v>-1.450935471554011E-2</v>
      </c>
      <c r="K1412" s="15">
        <f t="shared" ref="K1412:K1470" si="323">(E1412-E1411)/E1411</f>
        <v>-6.9366748713357617E-3</v>
      </c>
      <c r="L1412" s="32">
        <f t="shared" si="297"/>
        <v>404744.26097285526</v>
      </c>
      <c r="M1412" s="15"/>
      <c r="N1412" s="32">
        <f t="shared" si="298"/>
        <v>-2233800</v>
      </c>
      <c r="O1412" s="34">
        <f t="shared" si="299"/>
        <v>-0.148429457857746</v>
      </c>
      <c r="P1412" s="34">
        <f t="shared" si="300"/>
        <v>0.60024957809918011</v>
      </c>
      <c r="Q1412" s="34">
        <f t="shared" si="301"/>
        <v>0.47182733206029315</v>
      </c>
      <c r="R1412" s="35" cm="1">
        <f t="array" ref="R1412">SQRT(MMULT(O1412:Q1412, MMULT($AU$32:$AW$34,TRANSPOSE(O1412:Q1412))))</f>
        <v>1.1542518863953027E-2</v>
      </c>
      <c r="S1412" s="36" cm="1">
        <f t="array" ref="S1412:U1412">TRANSPOSE(MMULT($AU$32:$AW$34, TRANSPOSE(O1412:Q1412))/MMULT(O1412:Q1412, MMULT($AU$32:$AW$34,TRANSPOSE(O1412:Q1412))))</f>
        <v>0.27377995788260107</v>
      </c>
      <c r="T1412" s="36">
        <v>1.2627906473959309</v>
      </c>
      <c r="U1412" s="36">
        <v>0.59904850395083609</v>
      </c>
      <c r="V1412" s="35">
        <f t="shared" si="306"/>
        <v>7.363057065246998E-3</v>
      </c>
      <c r="W1412" s="35">
        <f t="shared" si="307"/>
        <v>3.3961578744283002E-2</v>
      </c>
      <c r="X1412" s="35">
        <f t="shared" si="308"/>
        <v>1.6110851771451599E-2</v>
      </c>
      <c r="Y1412" s="32">
        <f t="shared" si="309"/>
        <v>-16447.596872348746</v>
      </c>
      <c r="Z1412" s="32">
        <f t="shared" si="302"/>
        <v>306791.92158648052</v>
      </c>
      <c r="AA1412" s="32">
        <f t="shared" si="303"/>
        <v>114399.93625872352</v>
      </c>
      <c r="AB1412" s="40">
        <f t="shared" si="310"/>
        <v>-4.0637010720831014E-2</v>
      </c>
      <c r="AC1412" s="40">
        <f t="shared" si="311"/>
        <v>0.75798955332699813</v>
      </c>
      <c r="AD1412" s="40">
        <f t="shared" si="312"/>
        <v>0.28264745739383296</v>
      </c>
      <c r="AE1412" s="40"/>
      <c r="AF1412" s="40"/>
      <c r="AG1412" s="40"/>
      <c r="AH1412" s="40"/>
      <c r="AI1412" s="40"/>
      <c r="AJ1412" s="40"/>
      <c r="AK1412" s="33">
        <f t="shared" si="304"/>
        <v>9033500</v>
      </c>
      <c r="AL1412" s="33">
        <f t="shared" si="305"/>
        <v>7100800</v>
      </c>
      <c r="AM1412" s="34"/>
      <c r="AN1412" s="33"/>
      <c r="AO1412" s="15" cm="1">
        <f t="array" ref="AO1412">SUMPRODUCT(I1412:K1412, TRANSPOSE($AY$5:$AY$7))</f>
        <v>-8.70373660313499E-3</v>
      </c>
      <c r="AP1412" s="22">
        <f t="shared" si="313"/>
        <v>15049573.260187084</v>
      </c>
      <c r="AQ1412" s="22">
        <f t="shared" si="314"/>
        <v>-132137.61262187921</v>
      </c>
      <c r="AR1412">
        <f t="shared" si="315"/>
        <v>0</v>
      </c>
      <c r="AS1412">
        <f t="shared" si="316"/>
        <v>0</v>
      </c>
      <c r="BJ1412">
        <f t="shared" si="317"/>
        <v>1.0293216612524537E-4</v>
      </c>
      <c r="BK1412">
        <f t="shared" si="319"/>
        <v>4.2550484045034372E-5</v>
      </c>
      <c r="BO1412">
        <f t="shared" si="320"/>
        <v>3.8439952448795101E-5</v>
      </c>
      <c r="BP1412">
        <f t="shared" si="318"/>
        <v>2.8253984903583813</v>
      </c>
    </row>
    <row r="1413" spans="1:68" x14ac:dyDescent="0.15">
      <c r="A1413" s="5">
        <v>45637</v>
      </c>
      <c r="B1413" s="1"/>
      <c r="C1413">
        <v>74.819999999999993</v>
      </c>
      <c r="D1413">
        <v>128.19999999999999</v>
      </c>
      <c r="E1413">
        <v>87.94</v>
      </c>
      <c r="G1413" s="3">
        <v>3.3913100049560701E-3</v>
      </c>
      <c r="I1413" s="15">
        <f t="shared" si="321"/>
        <v>4.8348106365833929E-3</v>
      </c>
      <c r="J1413" s="15">
        <f t="shared" si="322"/>
        <v>-6.5865943432779749E-3</v>
      </c>
      <c r="K1413" s="15">
        <f t="shared" si="323"/>
        <v>-9.2383956737269873E-3</v>
      </c>
      <c r="L1413" s="32">
        <f t="shared" si="297"/>
        <v>401588.12502769596</v>
      </c>
      <c r="M1413" s="15"/>
      <c r="N1413" s="32">
        <f t="shared" si="298"/>
        <v>-2244600</v>
      </c>
      <c r="O1413" s="34">
        <f t="shared" si="299"/>
        <v>-0.15111831639776516</v>
      </c>
      <c r="P1413" s="34">
        <f t="shared" si="300"/>
        <v>0.60417703437295933</v>
      </c>
      <c r="Q1413" s="34">
        <f t="shared" si="301"/>
        <v>0.47364678763323415</v>
      </c>
      <c r="R1413" s="35" cm="1">
        <f t="array" ref="R1413">SQRT(MMULT(O1413:Q1413, MMULT($AU$32:$AW$34,TRANSPOSE(O1413:Q1413))))</f>
        <v>1.1603876263360272E-2</v>
      </c>
      <c r="S1413" s="36" cm="1">
        <f t="array" ref="S1413:U1413">TRANSPOSE(MMULT($AU$32:$AW$34, TRANSPOSE(O1413:Q1413))/MMULT(O1413:Q1413, MMULT($AU$32:$AW$34,TRANSPOSE(O1413:Q1413))))</f>
        <v>0.27043554037964146</v>
      </c>
      <c r="T1413" s="36">
        <v>1.2566201601369054</v>
      </c>
      <c r="U1413" s="36">
        <v>0.59463450238702797</v>
      </c>
      <c r="V1413" s="35">
        <f t="shared" si="306"/>
        <v>7.3117742763281687E-3</v>
      </c>
      <c r="W1413" s="35">
        <f t="shared" si="307"/>
        <v>3.3975279096475207E-2</v>
      </c>
      <c r="X1413" s="35">
        <f t="shared" si="308"/>
        <v>1.6077151887163642E-2</v>
      </c>
      <c r="Y1413" s="32">
        <f t="shared" si="309"/>
        <v>-16412.008540646206</v>
      </c>
      <c r="Z1413" s="32">
        <f t="shared" si="302"/>
        <v>304894.15461176849</v>
      </c>
      <c r="AA1413" s="32">
        <f t="shared" si="303"/>
        <v>113105.97895657366</v>
      </c>
      <c r="AB1413" s="40">
        <f t="shared" si="310"/>
        <v>-4.0867763556291244E-2</v>
      </c>
      <c r="AC1413" s="40">
        <f t="shared" si="311"/>
        <v>0.75922104168478866</v>
      </c>
      <c r="AD1413" s="40">
        <f t="shared" si="312"/>
        <v>0.28164672187150253</v>
      </c>
      <c r="AE1413" s="40"/>
      <c r="AF1413" s="40"/>
      <c r="AG1413" s="40"/>
      <c r="AH1413" s="40"/>
      <c r="AI1413" s="40"/>
      <c r="AJ1413" s="40"/>
      <c r="AK1413" s="33">
        <f t="shared" si="304"/>
        <v>8974000</v>
      </c>
      <c r="AL1413" s="33">
        <f t="shared" si="305"/>
        <v>7035200</v>
      </c>
      <c r="AM1413" s="34"/>
      <c r="AN1413" s="33"/>
      <c r="AO1413" s="15" cm="1">
        <f t="array" ref="AO1413">SUMPRODUCT(I1413:K1413, TRANSPOSE($AY$5:$AY$7))</f>
        <v>-1.3044283878849225E-2</v>
      </c>
      <c r="AP1413" s="22">
        <f t="shared" si="313"/>
        <v>14853262.354325665</v>
      </c>
      <c r="AQ1413" s="22">
        <f t="shared" si="314"/>
        <v>-196310.90586141869</v>
      </c>
      <c r="AR1413">
        <f t="shared" si="315"/>
        <v>0</v>
      </c>
      <c r="AS1413">
        <f t="shared" si="316"/>
        <v>0</v>
      </c>
      <c r="BJ1413">
        <f t="shared" si="317"/>
        <v>1.1500983549715141E-5</v>
      </c>
      <c r="BK1413">
        <f t="shared" si="319"/>
        <v>4.6173384969847036E-5</v>
      </c>
      <c r="BO1413">
        <f t="shared" si="320"/>
        <v>5.075092822609664E-5</v>
      </c>
      <c r="BP1413">
        <f t="shared" si="318"/>
        <v>3.9120436814841684</v>
      </c>
    </row>
    <row r="1414" spans="1:68" x14ac:dyDescent="0.15">
      <c r="A1414" s="5">
        <v>45638</v>
      </c>
      <c r="B1414" s="1"/>
      <c r="C1414">
        <v>74.900000000000006</v>
      </c>
      <c r="D1414">
        <v>127.8</v>
      </c>
      <c r="E1414">
        <v>88.06</v>
      </c>
      <c r="G1414" s="3">
        <v>2.9087815869155396E-3</v>
      </c>
      <c r="I1414" s="15">
        <f t="shared" si="321"/>
        <v>1.0692328254479084E-3</v>
      </c>
      <c r="J1414" s="15">
        <f t="shared" si="322"/>
        <v>-3.1201248049921334E-3</v>
      </c>
      <c r="K1414" s="15">
        <f t="shared" si="323"/>
        <v>1.3645667500569087E-3</v>
      </c>
      <c r="L1414" s="32">
        <f t="shared" si="297"/>
        <v>400774.03414673329</v>
      </c>
      <c r="M1414" s="15"/>
      <c r="N1414" s="32">
        <f t="shared" si="298"/>
        <v>-2247000</v>
      </c>
      <c r="O1414" s="34">
        <f t="shared" si="299"/>
        <v>-0.15150212937039106</v>
      </c>
      <c r="P1414" s="34">
        <f t="shared" si="300"/>
        <v>0.60317670197931395</v>
      </c>
      <c r="Q1414" s="34">
        <f t="shared" si="301"/>
        <v>0.47498985357745033</v>
      </c>
      <c r="R1414" s="35" cm="1">
        <f t="array" ref="R1414">SQRT(MMULT(O1414:Q1414, MMULT($AU$32:$AW$34,TRANSPOSE(O1414:Q1414))))</f>
        <v>1.159736483543951E-2</v>
      </c>
      <c r="S1414" s="36" cm="1">
        <f t="array" ref="S1414:U1414">TRANSPOSE(MMULT($AU$32:$AW$34, TRANSPOSE(O1414:Q1414))/MMULT(O1414:Q1414, MMULT($AU$32:$AW$34,TRANSPOSE(O1414:Q1414))))</f>
        <v>0.27067892782448605</v>
      </c>
      <c r="T1414" s="36">
        <v>1.2565451365568425</v>
      </c>
      <c r="U1414" s="36">
        <v>0.59599101002363053</v>
      </c>
      <c r="V1414" s="35">
        <f t="shared" si="306"/>
        <v>7.3142481106435609E-3</v>
      </c>
      <c r="W1414" s="35">
        <f t="shared" si="307"/>
        <v>3.395418684737319E-2</v>
      </c>
      <c r="X1414" s="35">
        <f t="shared" si="308"/>
        <v>1.610478567379468E-2</v>
      </c>
      <c r="Y1414" s="32">
        <f t="shared" si="309"/>
        <v>-16435.115504616082</v>
      </c>
      <c r="Z1414" s="32">
        <f t="shared" si="302"/>
        <v>303754.15553660056</v>
      </c>
      <c r="AA1414" s="32">
        <f t="shared" si="303"/>
        <v>113454.99411474876</v>
      </c>
      <c r="AB1414" s="40">
        <f t="shared" si="310"/>
        <v>-4.1008433941104025E-2</v>
      </c>
      <c r="AC1414" s="40">
        <f t="shared" si="311"/>
        <v>0.75791875135650288</v>
      </c>
      <c r="AD1414" s="40">
        <f t="shared" si="312"/>
        <v>0.28308968258460099</v>
      </c>
      <c r="AE1414" s="40"/>
      <c r="AF1414" s="40"/>
      <c r="AG1414" s="40"/>
      <c r="AH1414" s="40"/>
      <c r="AI1414" s="40"/>
      <c r="AJ1414" s="40"/>
      <c r="AK1414" s="33">
        <f t="shared" si="304"/>
        <v>8946000</v>
      </c>
      <c r="AL1414" s="33">
        <f t="shared" si="305"/>
        <v>7044800</v>
      </c>
      <c r="AM1414" s="34"/>
      <c r="AN1414" s="33"/>
      <c r="AO1414" s="15" cm="1">
        <f t="array" ref="AO1414">SUMPRODUCT(I1414:K1414, TRANSPOSE($AY$5:$AY$7))</f>
        <v>-1.466859305084149E-3</v>
      </c>
      <c r="AP1414" s="22">
        <f t="shared" si="313"/>
        <v>14831474.708230367</v>
      </c>
      <c r="AQ1414" s="22">
        <f t="shared" si="314"/>
        <v>-21787.646095298231</v>
      </c>
      <c r="AR1414">
        <f t="shared" si="315"/>
        <v>0</v>
      </c>
      <c r="AS1414">
        <f t="shared" si="316"/>
        <v>0</v>
      </c>
      <c r="BJ1414">
        <f t="shared" si="317"/>
        <v>8.4610103203788856E-6</v>
      </c>
      <c r="BK1414">
        <f t="shared" si="319"/>
        <v>4.4093040884639125E-5</v>
      </c>
      <c r="BO1414">
        <f t="shared" si="320"/>
        <v>4.7385750582376886E-5</v>
      </c>
      <c r="BP1414">
        <f t="shared" si="318"/>
        <v>3.9703779618111565</v>
      </c>
    </row>
    <row r="1415" spans="1:68" x14ac:dyDescent="0.15">
      <c r="A1415" s="5">
        <v>45639</v>
      </c>
      <c r="B1415" s="1"/>
      <c r="C1415">
        <v>75.180000000000007</v>
      </c>
      <c r="D1415">
        <v>133.55000000000001</v>
      </c>
      <c r="E1415">
        <v>87.74</v>
      </c>
      <c r="G1415" s="3">
        <v>-1.8289521736342099E-3</v>
      </c>
      <c r="I1415" s="15">
        <f t="shared" si="321"/>
        <v>3.7383177570093607E-3</v>
      </c>
      <c r="J1415" s="15">
        <f t="shared" si="322"/>
        <v>4.499217527386553E-2</v>
      </c>
      <c r="K1415" s="15">
        <f t="shared" si="323"/>
        <v>-3.633885986827247E-3</v>
      </c>
      <c r="L1415" s="32">
        <f t="shared" si="297"/>
        <v>414015.52641598397</v>
      </c>
      <c r="M1415" s="15"/>
      <c r="N1415" s="32">
        <f t="shared" si="298"/>
        <v>-2255400</v>
      </c>
      <c r="O1415" s="34">
        <f t="shared" si="299"/>
        <v>-0.1482984273056516</v>
      </c>
      <c r="P1415" s="34">
        <f t="shared" si="300"/>
        <v>0.61468823608534362</v>
      </c>
      <c r="Q1415" s="34">
        <f t="shared" si="301"/>
        <v>0.46153069120503226</v>
      </c>
      <c r="R1415" s="35" cm="1">
        <f t="array" ref="R1415">SQRT(MMULT(O1415:Q1415, MMULT($AU$32:$AW$34,TRANSPOSE(O1415:Q1415))))</f>
        <v>1.1683519200578009E-2</v>
      </c>
      <c r="S1415" s="36" cm="1">
        <f t="array" ref="S1415:U1415">TRANSPOSE(MMULT($AU$32:$AW$34, TRANSPOSE(O1415:Q1415))/MMULT(O1415:Q1415, MMULT($AU$32:$AW$34,TRANSPOSE(O1415:Q1415))))</f>
        <v>0.26716350538035694</v>
      </c>
      <c r="T1415" s="36">
        <v>1.2552928328367217</v>
      </c>
      <c r="U1415" s="36">
        <v>0.58068985573774823</v>
      </c>
      <c r="V1415" s="35">
        <f t="shared" si="306"/>
        <v>7.2728851713959441E-3</v>
      </c>
      <c r="W1415" s="35">
        <f t="shared" si="307"/>
        <v>3.4172334341474209E-2</v>
      </c>
      <c r="X1415" s="35">
        <f t="shared" si="308"/>
        <v>1.5807887514286353E-2</v>
      </c>
      <c r="Y1415" s="32">
        <f t="shared" si="309"/>
        <v>-16403.265215566411</v>
      </c>
      <c r="Z1415" s="32">
        <f t="shared" si="302"/>
        <v>319460.06759127165</v>
      </c>
      <c r="AA1415" s="32">
        <f t="shared" si="303"/>
        <v>110958.72404027877</v>
      </c>
      <c r="AB1415" s="40">
        <f t="shared" si="310"/>
        <v>-3.9619927681371923E-2</v>
      </c>
      <c r="AC1415" s="40">
        <f t="shared" si="311"/>
        <v>0.77161373718697857</v>
      </c>
      <c r="AD1415" s="40">
        <f t="shared" si="312"/>
        <v>0.26800619049439345</v>
      </c>
      <c r="AE1415" s="40"/>
      <c r="AF1415" s="40"/>
      <c r="AG1415" s="40"/>
      <c r="AH1415" s="40"/>
      <c r="AI1415" s="40"/>
      <c r="AJ1415" s="40"/>
      <c r="AK1415" s="33">
        <f t="shared" si="304"/>
        <v>9348500</v>
      </c>
      <c r="AL1415" s="33">
        <f t="shared" si="305"/>
        <v>7019200</v>
      </c>
      <c r="AM1415" s="34"/>
      <c r="AN1415" s="33"/>
      <c r="AO1415" s="15" cm="1">
        <f t="array" ref="AO1415">SUMPRODUCT(I1415:K1415, TRANSPOSE($AY$5:$AY$7))</f>
        <v>2.5422152032800526E-2</v>
      </c>
      <c r="AP1415" s="22">
        <f t="shared" si="313"/>
        <v>15208522.713133637</v>
      </c>
      <c r="AQ1415" s="22">
        <f t="shared" si="314"/>
        <v>377048.00490326993</v>
      </c>
      <c r="AR1415">
        <f t="shared" si="315"/>
        <v>0</v>
      </c>
      <c r="AS1415">
        <f t="shared" si="316"/>
        <v>0</v>
      </c>
      <c r="BJ1415">
        <f t="shared" si="317"/>
        <v>3.3450660534413012E-6</v>
      </c>
      <c r="BK1415">
        <f t="shared" si="319"/>
        <v>4.1955119050783507E-5</v>
      </c>
      <c r="BO1415">
        <f t="shared" si="320"/>
        <v>4.4313222954986939E-5</v>
      </c>
      <c r="BP1415">
        <f t="shared" si="318"/>
        <v>4.0554317562808926</v>
      </c>
    </row>
    <row r="1416" spans="1:68" x14ac:dyDescent="0.15">
      <c r="A1416" s="5">
        <v>45642</v>
      </c>
      <c r="B1416" s="1"/>
      <c r="C1416">
        <v>74.459999999999994</v>
      </c>
      <c r="D1416">
        <v>132.85</v>
      </c>
      <c r="E1416">
        <v>88</v>
      </c>
      <c r="G1416" s="3">
        <v>6.0618443479087904E-4</v>
      </c>
      <c r="I1416" s="15">
        <f t="shared" si="321"/>
        <v>-9.5770151636075159E-3</v>
      </c>
      <c r="J1416" s="15">
        <f t="shared" si="322"/>
        <v>-5.2414825907900935E-3</v>
      </c>
      <c r="K1416" s="15">
        <f t="shared" si="323"/>
        <v>2.9633006610440523E-3</v>
      </c>
      <c r="L1416" s="32">
        <f t="shared" si="297"/>
        <v>412829.07605808898</v>
      </c>
      <c r="M1416" s="15"/>
      <c r="N1416" s="32">
        <f t="shared" si="298"/>
        <v>-2233800</v>
      </c>
      <c r="O1416" s="34">
        <f t="shared" si="299"/>
        <v>-0.14650974316212709</v>
      </c>
      <c r="P1416" s="34">
        <f t="shared" si="300"/>
        <v>0.60993256179434185</v>
      </c>
      <c r="Q1416" s="34">
        <f t="shared" si="301"/>
        <v>0.4617372154451494</v>
      </c>
      <c r="R1416" s="35" cm="1">
        <f t="array" ref="R1416">SQRT(MMULT(O1416:Q1416, MMULT($AU$32:$AW$34,TRANSPOSE(O1416:Q1416))))</f>
        <v>1.162081472114318E-2</v>
      </c>
      <c r="S1416" s="36" cm="1">
        <f t="array" ref="S1416:U1416">TRANSPOSE(MMULT($AU$32:$AW$34, TRANSPOSE(O1416:Q1416))/MMULT(O1416:Q1416, MMULT($AU$32:$AW$34,TRANSPOSE(O1416:Q1416))))</f>
        <v>0.27033132645084584</v>
      </c>
      <c r="T1416" s="36">
        <v>1.2606787607079422</v>
      </c>
      <c r="U1416" s="36">
        <v>0.58621470835467793</v>
      </c>
      <c r="V1416" s="35">
        <f t="shared" si="306"/>
        <v>7.319625701154334E-3</v>
      </c>
      <c r="W1416" s="35">
        <f t="shared" si="307"/>
        <v>3.4134766321487028E-2</v>
      </c>
      <c r="X1416" s="35">
        <f t="shared" si="308"/>
        <v>1.5872641554354961E-2</v>
      </c>
      <c r="Y1416" s="32">
        <f t="shared" si="309"/>
        <v>-16350.579891238551</v>
      </c>
      <c r="Z1416" s="32">
        <f t="shared" si="302"/>
        <v>317436.2594066686</v>
      </c>
      <c r="AA1416" s="32">
        <f t="shared" si="303"/>
        <v>111743.39654265893</v>
      </c>
      <c r="AB1416" s="40">
        <f t="shared" si="310"/>
        <v>-3.9606173206990558E-2</v>
      </c>
      <c r="AC1416" s="40">
        <f t="shared" si="311"/>
        <v>0.76892902611831127</v>
      </c>
      <c r="AD1416" s="40">
        <f t="shared" si="312"/>
        <v>0.27067714708867929</v>
      </c>
      <c r="AE1416" s="40"/>
      <c r="AF1416" s="40"/>
      <c r="AG1416" s="40"/>
      <c r="AH1416" s="40"/>
      <c r="AI1416" s="40"/>
      <c r="AJ1416" s="40"/>
      <c r="AK1416" s="33">
        <f t="shared" si="304"/>
        <v>9299500</v>
      </c>
      <c r="AL1416" s="33">
        <f t="shared" si="305"/>
        <v>7040000</v>
      </c>
      <c r="AM1416" s="34"/>
      <c r="AN1416" s="33"/>
      <c r="AO1416" s="15" cm="1">
        <f t="array" ref="AO1416">SUMPRODUCT(I1416:K1416, TRANSPOSE($AY$5:$AY$7))</f>
        <v>2.5146986714151475E-3</v>
      </c>
      <c r="AP1416" s="22">
        <f t="shared" si="313"/>
        <v>15246767.56499454</v>
      </c>
      <c r="AQ1416" s="22">
        <f t="shared" si="314"/>
        <v>38244.851860903203</v>
      </c>
      <c r="AR1416">
        <f t="shared" si="315"/>
        <v>0</v>
      </c>
      <c r="AS1416">
        <f t="shared" si="316"/>
        <v>0</v>
      </c>
      <c r="BJ1416">
        <f t="shared" si="317"/>
        <v>3.6745956898273748E-7</v>
      </c>
      <c r="BK1416">
        <f t="shared" si="319"/>
        <v>3.9638515870942971E-5</v>
      </c>
      <c r="BO1416">
        <f t="shared" si="320"/>
        <v>4.1174583614667365E-5</v>
      </c>
      <c r="BP1416">
        <f t="shared" si="318"/>
        <v>4.1254439505198048</v>
      </c>
    </row>
    <row r="1417" spans="1:68" x14ac:dyDescent="0.15">
      <c r="A1417" s="5">
        <v>45643</v>
      </c>
      <c r="B1417" s="1"/>
      <c r="C1417">
        <v>75.22</v>
      </c>
      <c r="D1417">
        <v>131.94999999999999</v>
      </c>
      <c r="E1417">
        <v>88.72</v>
      </c>
      <c r="G1417" s="3">
        <v>3.3335686108910603E-3</v>
      </c>
      <c r="I1417" s="15">
        <f t="shared" si="321"/>
        <v>1.020682245500947E-2</v>
      </c>
      <c r="J1417" s="15">
        <f t="shared" si="322"/>
        <v>-6.7745577719232645E-3</v>
      </c>
      <c r="K1417" s="15">
        <f t="shared" si="323"/>
        <v>8.1818181818181686E-3</v>
      </c>
      <c r="L1417" s="32">
        <f t="shared" si="297"/>
        <v>411430.62343625893</v>
      </c>
      <c r="M1417" s="15"/>
      <c r="N1417" s="32">
        <f t="shared" si="298"/>
        <v>-2256600</v>
      </c>
      <c r="O1417" s="34">
        <f t="shared" si="299"/>
        <v>-0.14836830932332176</v>
      </c>
      <c r="P1417" s="34">
        <f t="shared" si="300"/>
        <v>0.60728701988161893</v>
      </c>
      <c r="Q1417" s="34">
        <f t="shared" si="301"/>
        <v>0.46665732174652508</v>
      </c>
      <c r="R1417" s="35" cm="1">
        <f t="array" ref="R1417">SQRT(MMULT(O1417:Q1417, MMULT($AU$32:$AW$34,TRANSPOSE(O1417:Q1417))))</f>
        <v>1.1609867327290206E-2</v>
      </c>
      <c r="S1417" s="36" cm="1">
        <f t="array" ref="S1417:U1417">TRANSPOSE(MMULT($AU$32:$AW$34, TRANSPOSE(O1417:Q1417))/MMULT(O1417:Q1417, MMULT($AU$32:$AW$34,TRANSPOSE(O1417:Q1417))))</f>
        <v>0.27051587980094544</v>
      </c>
      <c r="T1417" s="36">
        <v>1.259377777238665</v>
      </c>
      <c r="U1417" s="36">
        <v>0.59000940016606795</v>
      </c>
      <c r="V1417" s="35">
        <f t="shared" si="306"/>
        <v>7.3177225953849952E-3</v>
      </c>
      <c r="W1417" s="35">
        <f t="shared" si="307"/>
        <v>3.4067416757220997E-2</v>
      </c>
      <c r="X1417" s="35">
        <f t="shared" si="308"/>
        <v>1.596033889863235E-2</v>
      </c>
      <c r="Y1417" s="32">
        <f t="shared" si="309"/>
        <v>-16513.172808745781</v>
      </c>
      <c r="Z1417" s="32">
        <f t="shared" si="302"/>
        <v>314663.69487807172</v>
      </c>
      <c r="AA1417" s="32">
        <f t="shared" si="303"/>
        <v>113280.10136693297</v>
      </c>
      <c r="AB1417" s="40">
        <f t="shared" si="310"/>
        <v>-4.0135983731177202E-2</v>
      </c>
      <c r="AC1417" s="40">
        <f t="shared" si="311"/>
        <v>0.76480377724440618</v>
      </c>
      <c r="AD1417" s="40">
        <f t="shared" si="312"/>
        <v>0.27533220648677098</v>
      </c>
      <c r="AE1417" s="40"/>
      <c r="AF1417" s="40"/>
      <c r="AG1417" s="40"/>
      <c r="AH1417" s="40"/>
      <c r="AI1417" s="40"/>
      <c r="AJ1417" s="40"/>
      <c r="AK1417" s="33">
        <f t="shared" si="304"/>
        <v>9236500</v>
      </c>
      <c r="AL1417" s="33">
        <f t="shared" si="305"/>
        <v>7097600</v>
      </c>
      <c r="AM1417" s="34"/>
      <c r="AN1417" s="33"/>
      <c r="AO1417" s="15" cm="1">
        <f t="array" ref="AO1417">SUMPRODUCT(I1417:K1417, TRANSPOSE($AY$5:$AY$7))</f>
        <v>-2.447741208793942E-3</v>
      </c>
      <c r="AP1417" s="22">
        <f t="shared" si="313"/>
        <v>15209447.423724798</v>
      </c>
      <c r="AQ1417" s="22">
        <f t="shared" si="314"/>
        <v>-37320.14126974158</v>
      </c>
      <c r="AR1417">
        <f t="shared" si="315"/>
        <v>0</v>
      </c>
      <c r="AS1417">
        <f t="shared" si="316"/>
        <v>0</v>
      </c>
      <c r="BJ1417">
        <f t="shared" si="317"/>
        <v>1.1112679683518153E-5</v>
      </c>
      <c r="BK1417">
        <f t="shared" si="319"/>
        <v>3.7282252492825354E-5</v>
      </c>
      <c r="BO1417">
        <f t="shared" si="320"/>
        <v>3.8288630117750353E-5</v>
      </c>
      <c r="BP1417">
        <f t="shared" si="318"/>
        <v>4.0211230242526206</v>
      </c>
    </row>
    <row r="1418" spans="1:68" x14ac:dyDescent="0.15">
      <c r="A1418" s="5">
        <v>45644</v>
      </c>
      <c r="B1418" s="1"/>
      <c r="C1418">
        <v>74.099999999999994</v>
      </c>
      <c r="D1418">
        <v>129.6</v>
      </c>
      <c r="E1418">
        <v>88.04</v>
      </c>
      <c r="G1418" s="3">
        <v>-8.6550993996388197E-3</v>
      </c>
      <c r="I1418" s="15">
        <f t="shared" si="321"/>
        <v>-1.4889657006115456E-2</v>
      </c>
      <c r="J1418" s="15">
        <f t="shared" si="322"/>
        <v>-1.7809776430466044E-2</v>
      </c>
      <c r="K1418" s="15">
        <f t="shared" si="323"/>
        <v>-7.6645626690711524E-3</v>
      </c>
      <c r="L1418" s="32">
        <f t="shared" si="297"/>
        <v>405206.63550064398</v>
      </c>
      <c r="M1418" s="15"/>
      <c r="N1418" s="32">
        <f t="shared" si="298"/>
        <v>-2223000</v>
      </c>
      <c r="O1418" s="34">
        <f t="shared" si="299"/>
        <v>-0.14785720773681313</v>
      </c>
      <c r="P1418" s="34">
        <f t="shared" si="300"/>
        <v>0.60340107448869496</v>
      </c>
      <c r="Q1418" s="34">
        <f t="shared" si="301"/>
        <v>0.46846058728381573</v>
      </c>
      <c r="R1418" s="35" cm="1">
        <f t="array" ref="R1418">SQRT(MMULT(O1418:Q1418, MMULT($AU$32:$AW$34,TRANSPOSE(O1418:Q1418))))</f>
        <v>1.1567078027711428E-2</v>
      </c>
      <c r="S1418" s="36" cm="1">
        <f t="array" ref="S1418:U1418">TRANSPOSE(MMULT($AU$32:$AW$34, TRANSPOSE(O1418:Q1418))/MMULT(O1418:Q1418, MMULT($AU$32:$AW$34,TRANSPOSE(O1418:Q1418))))</f>
        <v>0.27260429567528138</v>
      </c>
      <c r="T1418" s="36">
        <v>1.2622630383665938</v>
      </c>
      <c r="U1418" s="36">
        <v>0.59483261538289711</v>
      </c>
      <c r="V1418" s="35">
        <f t="shared" si="306"/>
        <v>7.3470379199231418E-3</v>
      </c>
      <c r="W1418" s="35">
        <f t="shared" si="307"/>
        <v>3.4019619481138214E-2</v>
      </c>
      <c r="X1418" s="35">
        <f t="shared" si="308"/>
        <v>1.6031507392058605E-2</v>
      </c>
      <c r="Y1418" s="32">
        <f t="shared" si="309"/>
        <v>-16332.465295989145</v>
      </c>
      <c r="Z1418" s="32">
        <f t="shared" si="302"/>
        <v>308625.98793288588</v>
      </c>
      <c r="AA1418" s="32">
        <f t="shared" si="303"/>
        <v>112913.11286374718</v>
      </c>
      <c r="AB1418" s="40">
        <f t="shared" si="310"/>
        <v>-4.030650997560771E-2</v>
      </c>
      <c r="AC1418" s="40">
        <f t="shared" si="311"/>
        <v>0.7616508736377674</v>
      </c>
      <c r="AD1418" s="40">
        <f t="shared" si="312"/>
        <v>0.27865563633784013</v>
      </c>
      <c r="AE1418" s="40"/>
      <c r="AF1418" s="40"/>
      <c r="AG1418" s="40"/>
      <c r="AH1418" s="40"/>
      <c r="AI1418" s="40"/>
      <c r="AJ1418" s="40"/>
      <c r="AK1418" s="33">
        <f t="shared" si="304"/>
        <v>9072000</v>
      </c>
      <c r="AL1418" s="33">
        <f t="shared" si="305"/>
        <v>7043200.0000000009</v>
      </c>
      <c r="AM1418" s="34"/>
      <c r="AN1418" s="33"/>
      <c r="AO1418" s="15" cm="1">
        <f t="array" ref="AO1418">SUMPRODUCT(I1418:K1418, TRANSPOSE($AY$5:$AY$7))</f>
        <v>-1.1484402254609186E-2</v>
      </c>
      <c r="AP1418" s="22">
        <f t="shared" si="313"/>
        <v>15034776.011440413</v>
      </c>
      <c r="AQ1418" s="22">
        <f t="shared" si="314"/>
        <v>-174671.41228438541</v>
      </c>
      <c r="AR1418">
        <f t="shared" si="315"/>
        <v>0</v>
      </c>
      <c r="AS1418">
        <f t="shared" si="316"/>
        <v>0</v>
      </c>
      <c r="BJ1418">
        <f t="shared" si="317"/>
        <v>7.4910745617628253E-5</v>
      </c>
      <c r="BK1418">
        <f t="shared" si="319"/>
        <v>3.5712078124266916E-5</v>
      </c>
      <c r="BO1418">
        <f t="shared" si="320"/>
        <v>3.755528559948303E-5</v>
      </c>
      <c r="BP1418">
        <f t="shared" si="318"/>
        <v>3.1785700996818131</v>
      </c>
    </row>
    <row r="1419" spans="1:68" x14ac:dyDescent="0.15">
      <c r="A1419" s="5">
        <v>45645</v>
      </c>
      <c r="B1419" s="1"/>
      <c r="C1419">
        <v>74.2</v>
      </c>
      <c r="D1419">
        <v>129.1</v>
      </c>
      <c r="E1419">
        <v>87.04</v>
      </c>
      <c r="G1419" s="3">
        <v>-1.9251509464186502E-2</v>
      </c>
      <c r="I1419" s="15">
        <f t="shared" si="321"/>
        <v>1.3495276653172541E-3</v>
      </c>
      <c r="J1419" s="15">
        <f t="shared" si="322"/>
        <v>-3.8580246913580249E-3</v>
      </c>
      <c r="K1419" s="15">
        <f t="shared" si="323"/>
        <v>-1.1358473421172193E-2</v>
      </c>
      <c r="L1419" s="32">
        <f t="shared" si="297"/>
        <v>402713.28566814068</v>
      </c>
      <c r="M1419" s="15"/>
      <c r="N1419" s="32">
        <f t="shared" si="298"/>
        <v>-2226000</v>
      </c>
      <c r="O1419" s="34">
        <f t="shared" si="299"/>
        <v>-0.1497699578707638</v>
      </c>
      <c r="P1419" s="34">
        <f t="shared" si="300"/>
        <v>0.60802835097847818</v>
      </c>
      <c r="Q1419" s="34">
        <f t="shared" si="301"/>
        <v>0.46849872895134886</v>
      </c>
      <c r="R1419" s="35" cm="1">
        <f t="array" ref="R1419">SQRT(MMULT(O1419:Q1419, MMULT($AU$32:$AW$34,TRANSPOSE(O1419:Q1419))))</f>
        <v>1.1628925385998922E-2</v>
      </c>
      <c r="S1419" s="36" cm="1">
        <f t="array" ref="S1419:U1419">TRANSPOSE(MMULT($AU$32:$AW$34, TRANSPOSE(O1419:Q1419))/MMULT(O1419:Q1419, MMULT($AU$32:$AW$34,TRANSPOSE(O1419:Q1419))))</f>
        <v>0.26939070015556565</v>
      </c>
      <c r="T1419" s="36">
        <v>1.256871675193205</v>
      </c>
      <c r="U1419" s="36">
        <v>0.58939972446001621</v>
      </c>
      <c r="V1419" s="35">
        <f t="shared" si="306"/>
        <v>7.2992477396732194E-3</v>
      </c>
      <c r="W1419" s="35">
        <f t="shared" si="307"/>
        <v>3.40554359482916E-2</v>
      </c>
      <c r="X1419" s="35">
        <f t="shared" si="308"/>
        <v>1.5970019024578078E-2</v>
      </c>
      <c r="Y1419" s="32">
        <f t="shared" si="309"/>
        <v>-16248.125468512586</v>
      </c>
      <c r="Z1419" s="32">
        <f t="shared" si="302"/>
        <v>307758.97466471116</v>
      </c>
      <c r="AA1419" s="32">
        <f t="shared" si="303"/>
        <v>111202.43647194208</v>
      </c>
      <c r="AB1419" s="40">
        <f t="shared" si="310"/>
        <v>-4.0346633813074628E-2</v>
      </c>
      <c r="AC1419" s="40">
        <f t="shared" si="311"/>
        <v>0.76421361205928173</v>
      </c>
      <c r="AD1419" s="40">
        <f t="shared" si="312"/>
        <v>0.27613302175379284</v>
      </c>
      <c r="AE1419" s="40"/>
      <c r="AF1419" s="40"/>
      <c r="AG1419" s="40"/>
      <c r="AH1419" s="40"/>
      <c r="AI1419" s="40"/>
      <c r="AJ1419" s="40"/>
      <c r="AK1419" s="33">
        <f t="shared" si="304"/>
        <v>9037000</v>
      </c>
      <c r="AL1419" s="33">
        <f t="shared" si="305"/>
        <v>6963200.0000000009</v>
      </c>
      <c r="AM1419" s="34"/>
      <c r="AN1419" s="33"/>
      <c r="AO1419" s="15" cm="1">
        <f t="array" ref="AO1419">SUMPRODUCT(I1419:K1419, TRANSPOSE($AY$5:$AY$7))</f>
        <v>-1.1438961230606849E-2</v>
      </c>
      <c r="AP1419" s="22">
        <f t="shared" si="313"/>
        <v>14862793.791534688</v>
      </c>
      <c r="AQ1419" s="22">
        <f t="shared" si="314"/>
        <v>-171982.21990572475</v>
      </c>
      <c r="AR1419">
        <f t="shared" si="315"/>
        <v>0</v>
      </c>
      <c r="AS1419">
        <f t="shared" si="316"/>
        <v>0</v>
      </c>
      <c r="BJ1419">
        <f t="shared" si="317"/>
        <v>3.7062061664966243E-4</v>
      </c>
      <c r="BK1419">
        <f t="shared" si="319"/>
        <v>3.8063998173868598E-5</v>
      </c>
      <c r="BO1419">
        <f t="shared" si="320"/>
        <v>4.60661982882093E-5</v>
      </c>
      <c r="BP1419">
        <f t="shared" si="318"/>
        <v>5.1081089035347915E-2</v>
      </c>
    </row>
    <row r="1420" spans="1:68" x14ac:dyDescent="0.15">
      <c r="A1420" s="5">
        <v>45646</v>
      </c>
      <c r="B1420" s="1"/>
      <c r="C1420">
        <v>73.98</v>
      </c>
      <c r="D1420">
        <v>128.5</v>
      </c>
      <c r="E1420">
        <v>86.72</v>
      </c>
      <c r="G1420" s="3">
        <v>-2.6209353029644699E-3</v>
      </c>
      <c r="I1420" s="15">
        <f t="shared" si="321"/>
        <v>-2.9649595687331384E-3</v>
      </c>
      <c r="J1420" s="15">
        <f t="shared" si="322"/>
        <v>-4.6475600309836898E-3</v>
      </c>
      <c r="K1420" s="15">
        <f t="shared" si="323"/>
        <v>-3.6764705882353786E-3</v>
      </c>
      <c r="L1420" s="32">
        <f t="shared" ref="L1420:L1469" si="324">2.33*R1420*AP1420</f>
        <v>400922.32101875212</v>
      </c>
      <c r="M1420" s="15"/>
      <c r="N1420" s="32">
        <f t="shared" ref="N1420:N1470" si="325">C1420*$AV$5</f>
        <v>-2219400</v>
      </c>
      <c r="O1420" s="34">
        <f t="shared" ref="O1420:O1470" si="326">N1420/AP1420</f>
        <v>-0.15001526569524404</v>
      </c>
      <c r="P1420" s="34">
        <f t="shared" ref="P1420:P1470" si="327">AK1420/AP1420</f>
        <v>0.60799644720587553</v>
      </c>
      <c r="Q1420" s="34">
        <f t="shared" ref="Q1420:Q1470" si="328">AL1420/AP1420</f>
        <v>0.4689312009044449</v>
      </c>
      <c r="R1420" s="35" cm="1">
        <f t="array" ref="R1420">SQRT(MMULT(O1420:Q1420, MMULT($AU$32:$AW$34,TRANSPOSE(O1420:Q1420))))</f>
        <v>1.1630655408700341E-2</v>
      </c>
      <c r="S1420" s="36" cm="1">
        <f t="array" ref="S1420:U1420">TRANSPOSE(MMULT($AU$32:$AW$34, TRANSPOSE(O1420:Q1420))/MMULT(O1420:Q1420, MMULT($AU$32:$AW$34,TRANSPOSE(O1420:Q1420))))</f>
        <v>0.26926828806424857</v>
      </c>
      <c r="T1420" s="36">
        <v>1.2565219603099134</v>
      </c>
      <c r="U1420" s="36">
        <v>0.58949685058171641</v>
      </c>
      <c r="V1420" s="35">
        <f t="shared" si="306"/>
        <v>7.2970163433506265E-3</v>
      </c>
      <c r="W1420" s="35">
        <f t="shared" si="307"/>
        <v>3.4051025265822148E-2</v>
      </c>
      <c r="X1420" s="35">
        <f t="shared" si="308"/>
        <v>1.5975026929358031E-2</v>
      </c>
      <c r="Y1420" s="32">
        <f t="shared" si="309"/>
        <v>-16194.99807243238</v>
      </c>
      <c r="Z1420" s="32">
        <f t="shared" ref="Z1420:Z1469" si="329">W1420*AK1420</f>
        <v>306288.9722660702</v>
      </c>
      <c r="AA1420" s="32">
        <f t="shared" ref="AA1420:AA1470" si="330">X1420*AL1420</f>
        <v>110828.34682511428</v>
      </c>
      <c r="AB1420" s="40">
        <f t="shared" si="310"/>
        <v>-4.0394353777261756E-2</v>
      </c>
      <c r="AC1420" s="40">
        <f t="shared" si="311"/>
        <v>0.76396088770458936</v>
      </c>
      <c r="AD1420" s="40">
        <f t="shared" si="312"/>
        <v>0.27643346607267238</v>
      </c>
      <c r="AE1420" s="40"/>
      <c r="AF1420" s="40"/>
      <c r="AG1420" s="40"/>
      <c r="AH1420" s="40"/>
      <c r="AI1420" s="40"/>
      <c r="AJ1420" s="40"/>
      <c r="AK1420" s="33">
        <f t="shared" ref="AK1420:AK1470" si="331">D1420*$AV$6</f>
        <v>8995000</v>
      </c>
      <c r="AL1420" s="33">
        <f t="shared" ref="AL1420:AL1470" si="332">E1420*$AV$7</f>
        <v>6937600</v>
      </c>
      <c r="AM1420" s="34"/>
      <c r="AN1420" s="33"/>
      <c r="AO1420" s="15" cm="1">
        <f t="array" ref="AO1420">SUMPRODUCT(I1420:K1420, TRANSPOSE($AY$5:$AY$7))</f>
        <v>-4.5953302884412369E-3</v>
      </c>
      <c r="AP1420" s="22">
        <f t="shared" si="313"/>
        <v>14794494.345053593</v>
      </c>
      <c r="AQ1420" s="22">
        <f t="shared" si="314"/>
        <v>-68299.446481095627</v>
      </c>
      <c r="AR1420">
        <f t="shared" si="315"/>
        <v>0</v>
      </c>
      <c r="AS1420">
        <f t="shared" si="316"/>
        <v>0</v>
      </c>
      <c r="BJ1420">
        <f t="shared" si="317"/>
        <v>6.8693018623254578E-6</v>
      </c>
      <c r="BK1420">
        <f t="shared" si="319"/>
        <v>5.8017395282416246E-5</v>
      </c>
      <c r="BO1420">
        <f t="shared" si="320"/>
        <v>9.485703359688137E-5</v>
      </c>
      <c r="BP1420">
        <f t="shared" si="318"/>
        <v>3.6764226103256141</v>
      </c>
    </row>
    <row r="1421" spans="1:68" x14ac:dyDescent="0.15">
      <c r="A1421" s="5">
        <v>45649</v>
      </c>
      <c r="B1421" s="1"/>
      <c r="C1421">
        <v>74.08</v>
      </c>
      <c r="D1421">
        <v>130.35</v>
      </c>
      <c r="E1421">
        <v>87.68</v>
      </c>
      <c r="G1421" s="3">
        <v>9.0782501057513603E-3</v>
      </c>
      <c r="I1421" s="15">
        <f t="shared" si="321"/>
        <v>1.3517166801837565E-3</v>
      </c>
      <c r="J1421" s="15">
        <f t="shared" si="322"/>
        <v>1.439688715953303E-2</v>
      </c>
      <c r="K1421" s="15">
        <f t="shared" si="323"/>
        <v>1.1070110701107102E-2</v>
      </c>
      <c r="L1421" s="32">
        <f t="shared" si="324"/>
        <v>406537.49072081328</v>
      </c>
      <c r="M1421" s="15"/>
      <c r="N1421" s="32">
        <f t="shared" si="325"/>
        <v>-2222400</v>
      </c>
      <c r="O1421" s="34">
        <f t="shared" si="326"/>
        <v>-0.14769413410123419</v>
      </c>
      <c r="P1421" s="34">
        <f t="shared" si="327"/>
        <v>0.60638729598934105</v>
      </c>
      <c r="Q1421" s="34">
        <f t="shared" si="328"/>
        <v>0.46615628790483138</v>
      </c>
      <c r="R1421" s="35" cm="1">
        <f t="array" ref="R1421">SQRT(MMULT(O1421:Q1421, MMULT($AU$32:$AW$34,TRANSPOSE(O1421:Q1421))))</f>
        <v>1.1595399064325744E-2</v>
      </c>
      <c r="S1421" s="36" cm="1">
        <f t="array" ref="S1421:U1421">TRANSPOSE(MMULT($AU$32:$AW$34, TRANSPOSE(O1421:Q1421))/MMULT(O1421:Q1421, MMULT($AU$32:$AW$34,TRANSPOSE(O1421:Q1421))))</f>
        <v>0.27131241149303409</v>
      </c>
      <c r="T1421" s="36">
        <v>1.2608694955818722</v>
      </c>
      <c r="U1421" s="36">
        <v>0.59099494056656321</v>
      </c>
      <c r="V1421" s="35">
        <f t="shared" ref="V1421:V1470" si="333">(L1421/AP1421)*S1421</f>
        <v>7.3301233399134524E-3</v>
      </c>
      <c r="W1421" s="35">
        <f t="shared" ref="W1421:W1469" si="334">(L1421/AP1421)*T1421</f>
        <v>3.4065263978485111E-2</v>
      </c>
      <c r="X1421" s="35">
        <f t="shared" ref="X1421:X1470" si="335">(L1421/AP1421)*U1421</f>
        <v>1.5967075681419588E-2</v>
      </c>
      <c r="Y1421" s="32">
        <f t="shared" ref="Y1421:Y1470" si="336">(V1421*N1421)</f>
        <v>-16290.466110623656</v>
      </c>
      <c r="Z1421" s="32">
        <f t="shared" si="329"/>
        <v>310828.50117168739</v>
      </c>
      <c r="AA1421" s="32">
        <f t="shared" si="330"/>
        <v>111999.45565974957</v>
      </c>
      <c r="AB1421" s="40">
        <f t="shared" ref="AB1421:AB1470" si="337">Y1421/L1421</f>
        <v>-4.0071251686381412E-2</v>
      </c>
      <c r="AC1421" s="40">
        <f t="shared" ref="AC1421:AC1469" si="338">Z1421/L1421</f>
        <v>0.76457524402133592</v>
      </c>
      <c r="AD1421" s="40">
        <f t="shared" ref="AD1421:AD1470" si="339">AA1421/L1421</f>
        <v>0.27549600766504556</v>
      </c>
      <c r="AE1421" s="40"/>
      <c r="AF1421" s="40"/>
      <c r="AG1421" s="40"/>
      <c r="AH1421" s="40"/>
      <c r="AI1421" s="40"/>
      <c r="AJ1421" s="40"/>
      <c r="AK1421" s="33">
        <f t="shared" si="331"/>
        <v>9124500</v>
      </c>
      <c r="AL1421" s="33">
        <f t="shared" si="332"/>
        <v>7014400.0000000009</v>
      </c>
      <c r="AM1421" s="34"/>
      <c r="AN1421" s="33"/>
      <c r="AO1421" s="15" cm="1">
        <f t="array" ref="AO1421">SUMPRODUCT(I1421:K1421, TRANSPOSE($AY$5:$AY$7))</f>
        <v>1.7088760811599456E-2</v>
      </c>
      <c r="AP1421" s="22">
        <f t="shared" si="313"/>
        <v>15047313.920244776</v>
      </c>
      <c r="AQ1421" s="22">
        <f t="shared" si="314"/>
        <v>252819.57519118302</v>
      </c>
      <c r="AR1421">
        <f t="shared" si="315"/>
        <v>0</v>
      </c>
      <c r="AS1421">
        <f t="shared" si="316"/>
        <v>0</v>
      </c>
      <c r="BJ1421">
        <f t="shared" si="317"/>
        <v>8.2414624982574591E-5</v>
      </c>
      <c r="BK1421">
        <f t="shared" si="319"/>
        <v>5.4948509677210799E-5</v>
      </c>
      <c r="BO1421">
        <f t="shared" si="320"/>
        <v>8.1322000445879206E-5</v>
      </c>
      <c r="BP1421">
        <f t="shared" si="318"/>
        <v>3.2828905615276271</v>
      </c>
    </row>
    <row r="1422" spans="1:68" x14ac:dyDescent="0.15">
      <c r="A1422" s="5">
        <v>45653</v>
      </c>
      <c r="B1422" s="1"/>
      <c r="C1422">
        <v>74.42</v>
      </c>
      <c r="D1422">
        <v>131.65</v>
      </c>
      <c r="E1422">
        <v>88.82</v>
      </c>
      <c r="G1422" s="3">
        <v>8.7968710064221193E-3</v>
      </c>
      <c r="I1422" s="15">
        <f t="shared" si="321"/>
        <v>4.5896328293736962E-3</v>
      </c>
      <c r="J1422" s="15">
        <f t="shared" si="322"/>
        <v>9.9731492136556302E-3</v>
      </c>
      <c r="K1422" s="15">
        <f t="shared" si="323"/>
        <v>1.3001824817518092E-2</v>
      </c>
      <c r="L1422" s="32">
        <f t="shared" si="324"/>
        <v>411019.34157905279</v>
      </c>
      <c r="M1422" s="15"/>
      <c r="N1422" s="32">
        <f t="shared" si="325"/>
        <v>-2232600</v>
      </c>
      <c r="O1422" s="34">
        <f t="shared" si="326"/>
        <v>-0.14627616749931383</v>
      </c>
      <c r="P1422" s="34">
        <f t="shared" si="327"/>
        <v>0.60378393872163694</v>
      </c>
      <c r="Q1422" s="34">
        <f t="shared" si="328"/>
        <v>0.46554686723243049</v>
      </c>
      <c r="R1422" s="35" cm="1">
        <f t="array" ref="R1422">SQRT(MMULT(O1422:Q1422, MMULT($AU$32:$AW$34,TRANSPOSE(O1422:Q1422))))</f>
        <v>1.1557635423868324E-2</v>
      </c>
      <c r="S1422" s="36" cm="1">
        <f t="array" ref="S1422:U1422">TRANSPOSE(MMULT($AU$32:$AW$34, TRANSPOSE(O1422:Q1422))/MMULT(O1422:Q1422, MMULT($AU$32:$AW$34,TRANSPOSE(O1422:Q1422))))</f>
        <v>0.27332369706975135</v>
      </c>
      <c r="T1422" s="36">
        <v>1.2644541442626789</v>
      </c>
      <c r="U1422" s="36">
        <v>0.59397594270617504</v>
      </c>
      <c r="V1422" s="35">
        <f t="shared" si="333"/>
        <v>7.3604132492059091E-3</v>
      </c>
      <c r="W1422" s="35">
        <f t="shared" si="334"/>
        <v>3.4050853022338741E-2</v>
      </c>
      <c r="X1422" s="35">
        <f t="shared" si="335"/>
        <v>1.5995350733487276E-2</v>
      </c>
      <c r="Y1422" s="32">
        <f t="shared" si="336"/>
        <v>-16432.858620177114</v>
      </c>
      <c r="Z1422" s="32">
        <f t="shared" si="329"/>
        <v>313795.63602736266</v>
      </c>
      <c r="AA1422" s="32">
        <f t="shared" si="330"/>
        <v>113656.56417186717</v>
      </c>
      <c r="AB1422" s="40">
        <f t="shared" si="337"/>
        <v>-3.9980742894106663E-2</v>
      </c>
      <c r="AC1422" s="40">
        <f t="shared" si="338"/>
        <v>0.76345710355581708</v>
      </c>
      <c r="AD1422" s="40">
        <f t="shared" si="339"/>
        <v>0.27652363933828938</v>
      </c>
      <c r="AE1422" s="40"/>
      <c r="AF1422" s="40"/>
      <c r="AG1422" s="40"/>
      <c r="AH1422" s="40"/>
      <c r="AI1422" s="40"/>
      <c r="AJ1422" s="40"/>
      <c r="AK1422" s="33">
        <f t="shared" si="331"/>
        <v>9215500</v>
      </c>
      <c r="AL1422" s="33">
        <f t="shared" si="332"/>
        <v>7105599.9999999991</v>
      </c>
      <c r="AM1422" s="34"/>
      <c r="AN1422" s="33"/>
      <c r="AO1422" s="15" cm="1">
        <f t="array" ref="AO1422">SUMPRODUCT(I1422:K1422, TRANSPOSE($AY$5:$AY$7))</f>
        <v>1.4327887340274527E-2</v>
      </c>
      <c r="AP1422" s="22">
        <f t="shared" ref="AP1422:AP1470" si="340">AP1421 * (1 + AO1422)</f>
        <v>15262910.138867788</v>
      </c>
      <c r="AQ1422" s="22">
        <f t="shared" ref="AQ1422:AQ1453" si="341">AP1422 - AP1421</f>
        <v>215596.2186230123</v>
      </c>
      <c r="AR1422">
        <f t="shared" ref="AR1422:AR1470" si="342">IF(-AQ1422 &gt; L1422, 1, 0)</f>
        <v>0</v>
      </c>
      <c r="AS1422">
        <f t="shared" ref="AS1422:AS1470" si="343">IF(-AQ1422 &gt; L1421, 1, 0)</f>
        <v>0</v>
      </c>
      <c r="BJ1422">
        <f t="shared" si="317"/>
        <v>7.7384939503630115E-5</v>
      </c>
      <c r="BK1422">
        <f t="shared" si="319"/>
        <v>5.659647659553263E-5</v>
      </c>
      <c r="BO1422">
        <f t="shared" si="320"/>
        <v>8.1464586309358449E-5</v>
      </c>
      <c r="BP1422">
        <f t="shared" si="318"/>
        <v>3.3137719329972581</v>
      </c>
    </row>
    <row r="1423" spans="1:68" x14ac:dyDescent="0.15">
      <c r="A1423" s="5">
        <v>45656</v>
      </c>
      <c r="B1423" s="1"/>
      <c r="C1423">
        <v>74.88</v>
      </c>
      <c r="D1423">
        <v>131.19999999999999</v>
      </c>
      <c r="E1423">
        <v>88.7</v>
      </c>
      <c r="G1423" s="3">
        <v>9.9728480291649802E-4</v>
      </c>
      <c r="I1423" s="15">
        <f t="shared" si="321"/>
        <v>6.1811341037354712E-3</v>
      </c>
      <c r="J1423" s="15">
        <f t="shared" si="322"/>
        <v>-3.4181541967338931E-3</v>
      </c>
      <c r="K1423" s="15">
        <f t="shared" si="323"/>
        <v>-1.3510470614725325E-3</v>
      </c>
      <c r="L1423" s="32">
        <f t="shared" si="324"/>
        <v>409691.91024878947</v>
      </c>
      <c r="M1423" s="15"/>
      <c r="N1423" s="32">
        <f t="shared" si="325"/>
        <v>-2246400</v>
      </c>
      <c r="O1423" s="34">
        <f t="shared" si="326"/>
        <v>-0.14802103273552342</v>
      </c>
      <c r="P1423" s="34">
        <f t="shared" si="327"/>
        <v>0.60515721360534502</v>
      </c>
      <c r="Q1423" s="34">
        <f t="shared" si="328"/>
        <v>0.46757356138322392</v>
      </c>
      <c r="R1423" s="35" cm="1">
        <f t="array" ref="R1423">SQRT(MMULT(O1423:Q1423, MMULT($AU$32:$AW$34,TRANSPOSE(O1423:Q1423))))</f>
        <v>1.158611425556335E-2</v>
      </c>
      <c r="S1423" s="36" cm="1">
        <f t="array" ref="S1423:U1423">TRANSPOSE(MMULT($AU$32:$AW$34, TRANSPOSE(O1423:Q1423))/MMULT(O1423:Q1423, MMULT($AU$32:$AW$34,TRANSPOSE(O1423:Q1423))))</f>
        <v>0.27170222580735975</v>
      </c>
      <c r="T1423" s="36">
        <v>1.2610180895204999</v>
      </c>
      <c r="U1423" s="36">
        <v>0.5926414014527015</v>
      </c>
      <c r="V1423" s="35">
        <f t="shared" si="333"/>
        <v>7.334777163849217E-3</v>
      </c>
      <c r="W1423" s="35">
        <f t="shared" si="334"/>
        <v>3.4041998215993963E-2</v>
      </c>
      <c r="X1423" s="35">
        <f t="shared" si="335"/>
        <v>1.5998737606253075E-2</v>
      </c>
      <c r="Y1423" s="32">
        <f t="shared" si="336"/>
        <v>-16476.843420870882</v>
      </c>
      <c r="Z1423" s="32">
        <f t="shared" si="329"/>
        <v>312641.71161568857</v>
      </c>
      <c r="AA1423" s="32">
        <f t="shared" si="330"/>
        <v>113527.04205397182</v>
      </c>
      <c r="AB1423" s="40">
        <f t="shared" si="337"/>
        <v>-4.0217644060545781E-2</v>
      </c>
      <c r="AC1423" s="40">
        <f t="shared" si="338"/>
        <v>0.76311419336016129</v>
      </c>
      <c r="AD1423" s="40">
        <f t="shared" si="339"/>
        <v>0.27710345070038456</v>
      </c>
      <c r="AE1423" s="40"/>
      <c r="AF1423" s="40"/>
      <c r="AG1423" s="40"/>
      <c r="AH1423" s="40"/>
      <c r="AI1423" s="40"/>
      <c r="AJ1423" s="40"/>
      <c r="AK1423" s="33">
        <f t="shared" si="331"/>
        <v>9184000</v>
      </c>
      <c r="AL1423" s="33">
        <f t="shared" si="332"/>
        <v>7096000</v>
      </c>
      <c r="AM1423" s="34"/>
      <c r="AN1423" s="33"/>
      <c r="AO1423" s="15" cm="1">
        <f t="array" ref="AO1423">SUMPRODUCT(I1423:K1423, TRANSPOSE($AY$5:$AY$7))</f>
        <v>-5.6796835772519672E-3</v>
      </c>
      <c r="AP1423" s="22">
        <f t="shared" si="340"/>
        <v>15176221.638810987</v>
      </c>
      <c r="AQ1423" s="22">
        <f t="shared" si="341"/>
        <v>-86688.500056801364</v>
      </c>
      <c r="AR1423">
        <f t="shared" si="342"/>
        <v>0</v>
      </c>
      <c r="AS1423">
        <f t="shared" si="343"/>
        <v>0</v>
      </c>
      <c r="BJ1423">
        <f t="shared" si="317"/>
        <v>9.9457697812819833E-7</v>
      </c>
      <c r="BK1423">
        <f t="shared" si="319"/>
        <v>5.7843784370018482E-5</v>
      </c>
      <c r="BO1423">
        <f t="shared" si="320"/>
        <v>8.0860098885011909E-5</v>
      </c>
      <c r="BP1423">
        <f t="shared" si="318"/>
        <v>3.7863065160530671</v>
      </c>
    </row>
    <row r="1424" spans="1:68" x14ac:dyDescent="0.15">
      <c r="A1424" s="5">
        <v>45660</v>
      </c>
      <c r="B1424" s="1"/>
      <c r="C1424">
        <v>74.7</v>
      </c>
      <c r="D1424">
        <v>132.69999999999999</v>
      </c>
      <c r="E1424">
        <v>89.02</v>
      </c>
      <c r="G1424" s="3">
        <v>1.9929949276389302E-3</v>
      </c>
      <c r="I1424" s="15">
        <f t="shared" si="321"/>
        <v>-2.4038461538460551E-3</v>
      </c>
      <c r="J1424" s="15">
        <f t="shared" si="322"/>
        <v>1.1432926829268294E-2</v>
      </c>
      <c r="K1424" s="15">
        <f t="shared" si="323"/>
        <v>3.6076662908680179E-3</v>
      </c>
      <c r="L1424" s="32">
        <f t="shared" si="324"/>
        <v>413716.88031618309</v>
      </c>
      <c r="M1424" s="15"/>
      <c r="N1424" s="32">
        <f t="shared" si="325"/>
        <v>-2241000</v>
      </c>
      <c r="O1424" s="34">
        <f t="shared" si="326"/>
        <v>-0.14604099482918506</v>
      </c>
      <c r="P1424" s="34">
        <f t="shared" si="327"/>
        <v>0.60534350779486834</v>
      </c>
      <c r="Q1424" s="34">
        <f t="shared" si="328"/>
        <v>0.46409886156873015</v>
      </c>
      <c r="R1424" s="35" cm="1">
        <f t="array" ref="R1424">SQRT(MMULT(O1424:Q1424, MMULT($AU$32:$AW$34,TRANSPOSE(O1424:Q1424))))</f>
        <v>1.1571249189222749E-2</v>
      </c>
      <c r="S1424" s="36" cm="1">
        <f t="array" ref="S1424:U1424">TRANSPOSE(MMULT($AU$32:$AW$34, TRANSPOSE(O1424:Q1424))/MMULT(O1424:Q1424, MMULT($AU$32:$AW$34,TRANSPOSE(O1424:Q1424))))</f>
        <v>0.27273008614087124</v>
      </c>
      <c r="T1424" s="36">
        <v>1.2639354724881136</v>
      </c>
      <c r="U1424" s="36">
        <v>0.59193129590743387</v>
      </c>
      <c r="V1424" s="35">
        <f t="shared" si="333"/>
        <v>7.3530787463527026E-3</v>
      </c>
      <c r="W1424" s="35">
        <f t="shared" si="334"/>
        <v>3.407697768523104E-2</v>
      </c>
      <c r="X1424" s="35">
        <f t="shared" si="335"/>
        <v>1.5959065949877605E-2</v>
      </c>
      <c r="Y1424" s="32">
        <f t="shared" si="336"/>
        <v>-16478.249470576407</v>
      </c>
      <c r="Z1424" s="32">
        <f t="shared" si="329"/>
        <v>316541.04571811116</v>
      </c>
      <c r="AA1424" s="32">
        <f t="shared" si="330"/>
        <v>113654.08406864836</v>
      </c>
      <c r="AB1424" s="40">
        <f t="shared" si="337"/>
        <v>-3.9829773099862173E-2</v>
      </c>
      <c r="AC1424" s="40">
        <f t="shared" si="338"/>
        <v>0.765115132542319</v>
      </c>
      <c r="AD1424" s="40">
        <f t="shared" si="339"/>
        <v>0.27471464055754319</v>
      </c>
      <c r="AE1424" s="40"/>
      <c r="AF1424" s="40"/>
      <c r="AG1424" s="40"/>
      <c r="AH1424" s="40"/>
      <c r="AI1424" s="40"/>
      <c r="AJ1424" s="40"/>
      <c r="AK1424" s="33">
        <f t="shared" si="331"/>
        <v>9289000</v>
      </c>
      <c r="AL1424" s="33">
        <f t="shared" si="332"/>
        <v>7121600</v>
      </c>
      <c r="AM1424" s="34"/>
      <c r="AN1424" s="33"/>
      <c r="AO1424" s="15" cm="1">
        <f t="array" ref="AO1424">SUMPRODUCT(I1424:K1424, TRANSPOSE($AY$5:$AY$7))</f>
        <v>1.1121658805518958E-2</v>
      </c>
      <c r="AP1424" s="22">
        <f t="shared" si="340"/>
        <v>15345006.397834776</v>
      </c>
      <c r="AQ1424" s="22">
        <f t="shared" si="341"/>
        <v>168784.75902378932</v>
      </c>
      <c r="AR1424">
        <f t="shared" si="342"/>
        <v>0</v>
      </c>
      <c r="AS1424">
        <f t="shared" si="343"/>
        <v>0</v>
      </c>
      <c r="BJ1424">
        <f t="shared" si="317"/>
        <v>3.9720287815945048E-6</v>
      </c>
      <c r="BK1424">
        <f t="shared" si="319"/>
        <v>5.4432831926505058E-5</v>
      </c>
      <c r="BO1424">
        <f t="shared" si="320"/>
        <v>6.9506421898968691E-5</v>
      </c>
      <c r="BP1424">
        <f t="shared" si="318"/>
        <v>3.8395340644800067</v>
      </c>
    </row>
    <row r="1425" spans="1:68" x14ac:dyDescent="0.15">
      <c r="A1425" s="5">
        <v>45663</v>
      </c>
      <c r="B1425" s="1"/>
      <c r="C1425">
        <v>74.02</v>
      </c>
      <c r="D1425">
        <v>132.6</v>
      </c>
      <c r="E1425">
        <v>88.96</v>
      </c>
      <c r="G1425" s="3">
        <v>5.7735788809634104E-3</v>
      </c>
      <c r="I1425" s="15">
        <f t="shared" si="321"/>
        <v>-9.1030789825971466E-3</v>
      </c>
      <c r="J1425" s="15">
        <f t="shared" si="322"/>
        <v>-7.5357950263748544E-4</v>
      </c>
      <c r="K1425" s="15">
        <f t="shared" si="323"/>
        <v>-6.7400584138398428E-4</v>
      </c>
      <c r="L1425" s="32">
        <f t="shared" si="324"/>
        <v>413552.01884929166</v>
      </c>
      <c r="M1425" s="15"/>
      <c r="N1425" s="32">
        <f t="shared" si="325"/>
        <v>-2220600</v>
      </c>
      <c r="O1425" s="34">
        <f t="shared" si="326"/>
        <v>-0.14433669877393213</v>
      </c>
      <c r="P1425" s="34">
        <f t="shared" si="327"/>
        <v>0.60332038098695751</v>
      </c>
      <c r="Q1425" s="34">
        <f t="shared" si="328"/>
        <v>0.4625846248015491</v>
      </c>
      <c r="R1425" s="35" cm="1">
        <f t="array" ref="R1425">SQRT(MMULT(O1425:Q1425, MMULT($AU$32:$AW$34,TRANSPOSE(O1425:Q1425))))</f>
        <v>1.1536674960446778E-2</v>
      </c>
      <c r="S1425" s="36" cm="1">
        <f t="array" ref="S1425:U1425">TRANSPOSE(MMULT($AU$32:$AW$34, TRANSPOSE(O1425:Q1425))/MMULT(O1425:Q1425, MMULT($AU$32:$AW$34,TRANSPOSE(O1425:Q1425))))</f>
        <v>0.27464098655678543</v>
      </c>
      <c r="T1425" s="36">
        <v>1.2676814057107912</v>
      </c>
      <c r="U1425" s="36">
        <v>0.59410263538699726</v>
      </c>
      <c r="V1425" s="35">
        <f t="shared" si="333"/>
        <v>7.3824740370424151E-3</v>
      </c>
      <c r="W1425" s="35">
        <f t="shared" si="334"/>
        <v>3.4075850011434247E-2</v>
      </c>
      <c r="X1425" s="35">
        <f t="shared" si="335"/>
        <v>1.596974776441875E-2</v>
      </c>
      <c r="Y1425" s="32">
        <f t="shared" si="336"/>
        <v>-16393.521846656386</v>
      </c>
      <c r="Z1425" s="32">
        <f t="shared" si="329"/>
        <v>316292.03980613267</v>
      </c>
      <c r="AA1425" s="32">
        <f t="shared" si="330"/>
        <v>113653.50088981535</v>
      </c>
      <c r="AB1425" s="40">
        <f t="shared" si="337"/>
        <v>-3.9640773347622275E-2</v>
      </c>
      <c r="AC1425" s="40">
        <f t="shared" si="338"/>
        <v>0.76481802866351656</v>
      </c>
      <c r="AD1425" s="40">
        <f t="shared" si="339"/>
        <v>0.27482274468410567</v>
      </c>
      <c r="AE1425" s="40"/>
      <c r="AF1425" s="40"/>
      <c r="AG1425" s="40"/>
      <c r="AH1425" s="40"/>
      <c r="AI1425" s="40"/>
      <c r="AJ1425" s="40"/>
      <c r="AK1425" s="33">
        <f t="shared" si="331"/>
        <v>9282000</v>
      </c>
      <c r="AL1425" s="33">
        <f t="shared" si="332"/>
        <v>7116799.9999999991</v>
      </c>
      <c r="AM1425" s="34"/>
      <c r="AN1425" s="33"/>
      <c r="AO1425" s="15" cm="1">
        <f t="array" ref="AO1425">SUMPRODUCT(I1425:K1425, TRANSPOSE($AY$5:$AY$7))</f>
        <v>2.5972143454172343E-3</v>
      </c>
      <c r="AP1425" s="22">
        <f t="shared" si="340"/>
        <v>15384860.66858175</v>
      </c>
      <c r="AQ1425" s="22">
        <f t="shared" si="341"/>
        <v>39854.270746974275</v>
      </c>
      <c r="AR1425">
        <f t="shared" si="342"/>
        <v>0</v>
      </c>
      <c r="AS1425">
        <f t="shared" si="343"/>
        <v>0</v>
      </c>
      <c r="BJ1425">
        <f t="shared" si="317"/>
        <v>3.3334213094706705E-5</v>
      </c>
      <c r="BK1425">
        <f t="shared" si="319"/>
        <v>5.1405183737810421E-5</v>
      </c>
      <c r="BO1425">
        <f t="shared" si="320"/>
        <v>6.1024887400723363E-5</v>
      </c>
      <c r="BP1425">
        <f t="shared" si="318"/>
        <v>3.6600560355362273</v>
      </c>
    </row>
    <row r="1426" spans="1:68" x14ac:dyDescent="0.15">
      <c r="A1426" s="5">
        <v>45664</v>
      </c>
      <c r="B1426" s="1"/>
      <c r="C1426">
        <v>74.94</v>
      </c>
      <c r="D1426">
        <v>134.85</v>
      </c>
      <c r="E1426">
        <v>90.39</v>
      </c>
      <c r="G1426" s="3">
        <v>1.19441782069862E-2</v>
      </c>
      <c r="I1426" s="15">
        <f t="shared" si="321"/>
        <v>1.2429073223453144E-2</v>
      </c>
      <c r="J1426" s="15">
        <f t="shared" si="322"/>
        <v>1.6968325791855206E-2</v>
      </c>
      <c r="K1426" s="15">
        <f t="shared" si="323"/>
        <v>1.6074640287769861E-2</v>
      </c>
      <c r="L1426" s="32">
        <f t="shared" si="324"/>
        <v>420542.2119760316</v>
      </c>
      <c r="M1426" s="15"/>
      <c r="N1426" s="32">
        <f t="shared" si="325"/>
        <v>-2248200</v>
      </c>
      <c r="O1426" s="34">
        <f t="shared" si="326"/>
        <v>-0.14353279843316469</v>
      </c>
      <c r="P1426" s="34">
        <f t="shared" si="327"/>
        <v>0.60265005373625924</v>
      </c>
      <c r="Q1426" s="34">
        <f t="shared" si="328"/>
        <v>0.46166460814424892</v>
      </c>
      <c r="R1426" s="35" cm="1">
        <f t="array" ref="R1426">SQRT(MMULT(O1426:Q1426, MMULT($AU$32:$AW$34,TRANSPOSE(O1426:Q1426))))</f>
        <v>1.1523114637478788E-2</v>
      </c>
      <c r="S1426" s="36" cm="1">
        <f t="array" ref="S1426:U1426">TRANSPOSE(MMULT($AU$32:$AW$34, TRANSPOSE(O1426:Q1426))/MMULT(O1426:Q1426, MMULT($AU$32:$AW$34,TRANSPOSE(O1426:Q1426))))</f>
        <v>0.27541218380626326</v>
      </c>
      <c r="T1426" s="36">
        <v>1.2693094886345688</v>
      </c>
      <c r="U1426" s="36">
        <v>0.59476348216179808</v>
      </c>
      <c r="V1426" s="35">
        <f t="shared" si="333"/>
        <v>7.3945023680800246E-3</v>
      </c>
      <c r="W1426" s="35">
        <f t="shared" si="334"/>
        <v>3.4079509082783413E-2</v>
      </c>
      <c r="X1426" s="35">
        <f t="shared" si="335"/>
        <v>1.5968719744027974E-2</v>
      </c>
      <c r="Y1426" s="32">
        <f t="shared" si="336"/>
        <v>-16624.320223917512</v>
      </c>
      <c r="Z1426" s="32">
        <f t="shared" si="329"/>
        <v>321693.52598693402</v>
      </c>
      <c r="AA1426" s="32">
        <f t="shared" si="330"/>
        <v>115473.00621301509</v>
      </c>
      <c r="AB1426" s="40">
        <f t="shared" si="337"/>
        <v>-3.9530681464302088E-2</v>
      </c>
      <c r="AC1426" s="40">
        <f t="shared" si="338"/>
        <v>0.76494943153356654</v>
      </c>
      <c r="AD1426" s="40">
        <f t="shared" si="339"/>
        <v>0.27458124993073552</v>
      </c>
      <c r="AE1426" s="40"/>
      <c r="AF1426" s="40"/>
      <c r="AG1426" s="40"/>
      <c r="AH1426" s="40"/>
      <c r="AI1426" s="40"/>
      <c r="AJ1426" s="40"/>
      <c r="AK1426" s="33">
        <f t="shared" si="331"/>
        <v>9439500</v>
      </c>
      <c r="AL1426" s="33">
        <f t="shared" si="332"/>
        <v>7231200</v>
      </c>
      <c r="AM1426" s="34"/>
      <c r="AN1426" s="33"/>
      <c r="AO1426" s="15" cm="1">
        <f t="array" ref="AO1426">SUMPRODUCT(I1426:K1426, TRANSPOSE($AY$5:$AY$7))</f>
        <v>1.809949897876344E-2</v>
      </c>
      <c r="AP1426" s="22">
        <f t="shared" si="340"/>
        <v>15663318.938541165</v>
      </c>
      <c r="AQ1426" s="22">
        <f t="shared" si="341"/>
        <v>278458.26995941438</v>
      </c>
      <c r="AR1426">
        <f t="shared" si="342"/>
        <v>0</v>
      </c>
      <c r="AS1426">
        <f t="shared" si="343"/>
        <v>0</v>
      </c>
      <c r="BJ1426">
        <f t="shared" si="317"/>
        <v>1.4266339304024408E-4</v>
      </c>
      <c r="BK1426">
        <f t="shared" si="319"/>
        <v>5.0320925499224193E-5</v>
      </c>
      <c r="BO1426">
        <f t="shared" si="320"/>
        <v>5.8553919220893542E-5</v>
      </c>
      <c r="BP1426">
        <f t="shared" si="318"/>
        <v>2.7356203240302754</v>
      </c>
    </row>
    <row r="1427" spans="1:68" x14ac:dyDescent="0.15">
      <c r="A1427" s="5">
        <v>45665</v>
      </c>
      <c r="B1427" s="1"/>
      <c r="C1427">
        <v>75.36</v>
      </c>
      <c r="D1427">
        <v>134.80000000000001</v>
      </c>
      <c r="E1427">
        <v>90.96</v>
      </c>
      <c r="G1427" s="3">
        <v>3.84071696310805E-3</v>
      </c>
      <c r="I1427" s="15">
        <f t="shared" si="321"/>
        <v>5.6044835868695186E-3</v>
      </c>
      <c r="J1427" s="15">
        <f t="shared" si="322"/>
        <v>-3.7078235075997738E-4</v>
      </c>
      <c r="K1427" s="15">
        <f t="shared" si="323"/>
        <v>6.3060073016925899E-3</v>
      </c>
      <c r="L1427" s="32">
        <f t="shared" si="324"/>
        <v>421058.89716489776</v>
      </c>
      <c r="M1427" s="15"/>
      <c r="N1427" s="32">
        <f t="shared" si="325"/>
        <v>-2260800</v>
      </c>
      <c r="O1427" s="34">
        <f t="shared" si="326"/>
        <v>-0.14402126736001022</v>
      </c>
      <c r="P1427" s="34">
        <f t="shared" si="327"/>
        <v>0.6011078727923993</v>
      </c>
      <c r="Q1427" s="34">
        <f t="shared" si="328"/>
        <v>0.46355889876385448</v>
      </c>
      <c r="R1427" s="35" cm="1">
        <f t="array" ref="R1427">SQRT(MMULT(O1427:Q1427, MMULT($AU$32:$AW$34,TRANSPOSE(O1427:Q1427))))</f>
        <v>1.1512016712321967E-2</v>
      </c>
      <c r="S1427" s="36" cm="1">
        <f t="array" ref="S1427:U1427">TRANSPOSE(MMULT($AU$32:$AW$34, TRANSPOSE(O1427:Q1427))/MMULT(O1427:Q1427, MMULT($AU$32:$AW$34,TRANSPOSE(O1427:Q1427))))</f>
        <v>0.27586549913506803</v>
      </c>
      <c r="T1427" s="36">
        <v>1.2693985369947824</v>
      </c>
      <c r="U1427" s="36">
        <v>0.59687139055131222</v>
      </c>
      <c r="V1427" s="35">
        <f t="shared" si="333"/>
        <v>7.3995399908025504E-3</v>
      </c>
      <c r="W1427" s="35">
        <f t="shared" si="334"/>
        <v>3.4049075611880711E-2</v>
      </c>
      <c r="X1427" s="35">
        <f t="shared" si="335"/>
        <v>1.6009880675901193E-2</v>
      </c>
      <c r="Y1427" s="32">
        <f t="shared" si="336"/>
        <v>-16728.880011206405</v>
      </c>
      <c r="Z1427" s="32">
        <f t="shared" si="329"/>
        <v>321287.07747370639</v>
      </c>
      <c r="AA1427" s="32">
        <f t="shared" si="330"/>
        <v>116500.69970239779</v>
      </c>
      <c r="AB1427" s="40">
        <f t="shared" si="337"/>
        <v>-3.9730498806334294E-2</v>
      </c>
      <c r="AC1427" s="40">
        <f t="shared" si="338"/>
        <v>0.76304545429871751</v>
      </c>
      <c r="AD1427" s="40">
        <f t="shared" si="339"/>
        <v>0.27668504450761683</v>
      </c>
      <c r="AE1427" s="40"/>
      <c r="AF1427" s="40"/>
      <c r="AG1427" s="40"/>
      <c r="AH1427" s="40"/>
      <c r="AI1427" s="40"/>
      <c r="AJ1427" s="40"/>
      <c r="AK1427" s="33">
        <f t="shared" si="331"/>
        <v>9436000</v>
      </c>
      <c r="AL1427" s="33">
        <f t="shared" si="332"/>
        <v>7276799.9999999991</v>
      </c>
      <c r="AM1427" s="34"/>
      <c r="AN1427" s="33"/>
      <c r="AO1427" s="15" cm="1">
        <f t="array" ref="AO1427">SUMPRODUCT(I1427:K1427, TRANSPOSE($AY$5:$AY$7))</f>
        <v>2.1938307580697211E-3</v>
      </c>
      <c r="AP1427" s="22">
        <f t="shared" si="340"/>
        <v>15697681.609401993</v>
      </c>
      <c r="AQ1427" s="22">
        <f t="shared" si="341"/>
        <v>34362.670860828832</v>
      </c>
      <c r="AR1427">
        <f t="shared" si="342"/>
        <v>0</v>
      </c>
      <c r="AS1427">
        <f t="shared" si="343"/>
        <v>0</v>
      </c>
      <c r="BJ1427">
        <f t="shared" si="317"/>
        <v>1.4751106790705922E-5</v>
      </c>
      <c r="BK1427">
        <f t="shared" si="319"/>
        <v>5.5861473551685393E-5</v>
      </c>
      <c r="BO1427">
        <f t="shared" si="320"/>
        <v>7.2186426568148469E-5</v>
      </c>
      <c r="BP1427">
        <f t="shared" si="318"/>
        <v>3.7470170429251772</v>
      </c>
    </row>
    <row r="1428" spans="1:68" x14ac:dyDescent="0.15">
      <c r="A1428" s="5">
        <v>45667</v>
      </c>
      <c r="B1428" s="1"/>
      <c r="C1428">
        <v>74.040000000000006</v>
      </c>
      <c r="D1428">
        <v>131.44999999999999</v>
      </c>
      <c r="E1428">
        <v>91.09</v>
      </c>
      <c r="G1428" s="3">
        <v>-7.09852112225994E-3</v>
      </c>
      <c r="I1428" s="15">
        <f t="shared" si="321"/>
        <v>-1.751592356687889E-2</v>
      </c>
      <c r="J1428" s="15">
        <f t="shared" si="322"/>
        <v>-2.4851632047477912E-2</v>
      </c>
      <c r="K1428" s="15">
        <f t="shared" si="323"/>
        <v>1.4291996481971159E-3</v>
      </c>
      <c r="L1428" s="32">
        <f t="shared" si="324"/>
        <v>413550.99142814701</v>
      </c>
      <c r="M1428" s="15"/>
      <c r="N1428" s="32">
        <f t="shared" si="325"/>
        <v>-2221200</v>
      </c>
      <c r="O1428" s="34">
        <f t="shared" si="326"/>
        <v>-0.14269377147412596</v>
      </c>
      <c r="P1428" s="34">
        <f t="shared" si="327"/>
        <v>0.59112044760452465</v>
      </c>
      <c r="Q1428" s="34">
        <f t="shared" si="328"/>
        <v>0.46814246870441684</v>
      </c>
      <c r="R1428" s="35" cm="1">
        <f t="array" ref="R1428">SQRT(MMULT(O1428:Q1428, MMULT($AU$32:$AW$34,TRANSPOSE(O1428:Q1428))))</f>
        <v>1.1402248381330865E-2</v>
      </c>
      <c r="S1428" s="36" cm="1">
        <f t="array" ref="S1428:U1428">TRANSPOSE(MMULT($AU$32:$AW$34, TRANSPOSE(O1428:Q1428))/MMULT(O1428:Q1428, MMULT($AU$32:$AW$34,TRANSPOSE(O1428:Q1428))))</f>
        <v>0.28141193803418579</v>
      </c>
      <c r="T1428" s="36">
        <v>1.2768830261092576</v>
      </c>
      <c r="U1428" s="36">
        <v>0.60956671082066305</v>
      </c>
      <c r="V1428" s="35">
        <f t="shared" si="333"/>
        <v>7.4763381388043204E-3</v>
      </c>
      <c r="W1428" s="35">
        <f t="shared" si="334"/>
        <v>3.3923256183015317E-2</v>
      </c>
      <c r="X1428" s="35">
        <f t="shared" si="335"/>
        <v>1.6194504327319639E-2</v>
      </c>
      <c r="Y1428" s="32">
        <f t="shared" si="336"/>
        <v>-16606.442273912155</v>
      </c>
      <c r="Z1428" s="32">
        <f t="shared" si="329"/>
        <v>312144.84176801547</v>
      </c>
      <c r="AA1428" s="32">
        <f t="shared" si="330"/>
        <v>118012.59193404367</v>
      </c>
      <c r="AB1428" s="40">
        <f t="shared" si="337"/>
        <v>-4.0155730775941E-2</v>
      </c>
      <c r="AC1428" s="40">
        <f t="shared" si="338"/>
        <v>0.75479166593232438</v>
      </c>
      <c r="AD1428" s="40">
        <f t="shared" si="339"/>
        <v>0.28536406484361659</v>
      </c>
      <c r="AE1428" s="40"/>
      <c r="AF1428" s="40"/>
      <c r="AG1428" s="40"/>
      <c r="AH1428" s="40"/>
      <c r="AI1428" s="40"/>
      <c r="AJ1428" s="40"/>
      <c r="AK1428" s="33">
        <f t="shared" si="331"/>
        <v>9201500</v>
      </c>
      <c r="AL1428" s="33">
        <f t="shared" si="332"/>
        <v>7287200</v>
      </c>
      <c r="AM1428" s="34"/>
      <c r="AN1428" s="33"/>
      <c r="AO1428" s="15" cm="1">
        <f t="array" ref="AO1428">SUMPRODUCT(I1428:K1428, TRANSPOSE($AY$5:$AY$7))</f>
        <v>-8.3757658996029879E-3</v>
      </c>
      <c r="AP1428" s="22">
        <f t="shared" si="340"/>
        <v>15566201.50307514</v>
      </c>
      <c r="AQ1428" s="22">
        <f t="shared" si="341"/>
        <v>-131480.10632685386</v>
      </c>
      <c r="AR1428">
        <f t="shared" si="342"/>
        <v>0</v>
      </c>
      <c r="AS1428">
        <f t="shared" si="343"/>
        <v>0</v>
      </c>
      <c r="BJ1428">
        <f t="shared" si="317"/>
        <v>5.0389002123170517E-5</v>
      </c>
      <c r="BK1428">
        <f t="shared" si="319"/>
        <v>5.3394851546026622E-5</v>
      </c>
      <c r="BO1428">
        <f t="shared" si="320"/>
        <v>6.4662184623435286E-5</v>
      </c>
      <c r="BP1428">
        <f t="shared" si="318"/>
        <v>3.5145957748137766</v>
      </c>
    </row>
    <row r="1429" spans="1:68" x14ac:dyDescent="0.15">
      <c r="A1429" s="5">
        <v>45670</v>
      </c>
      <c r="B1429" s="1"/>
      <c r="C1429">
        <v>74.239999999999995</v>
      </c>
      <c r="D1429">
        <v>131.1</v>
      </c>
      <c r="E1429">
        <v>90.79</v>
      </c>
      <c r="G1429" s="3">
        <v>-7.6482303009848193E-3</v>
      </c>
      <c r="I1429" s="15">
        <f t="shared" si="321"/>
        <v>2.7012425715827746E-3</v>
      </c>
      <c r="J1429" s="15">
        <f t="shared" si="322"/>
        <v>-2.6626093571699835E-3</v>
      </c>
      <c r="K1429" s="15">
        <f t="shared" si="323"/>
        <v>-3.293446042375641E-3</v>
      </c>
      <c r="L1429" s="32">
        <f t="shared" si="324"/>
        <v>412286.49571345944</v>
      </c>
      <c r="M1429" s="15"/>
      <c r="N1429" s="32">
        <f t="shared" si="325"/>
        <v>-2227200</v>
      </c>
      <c r="O1429" s="34">
        <f t="shared" si="326"/>
        <v>-0.1438332605499627</v>
      </c>
      <c r="P1429" s="34">
        <f t="shared" si="327"/>
        <v>0.5926534806335344</v>
      </c>
      <c r="Q1429" s="34">
        <f t="shared" si="328"/>
        <v>0.46905968840988205</v>
      </c>
      <c r="R1429" s="35" cm="1">
        <f t="array" ref="R1429">SQRT(MMULT(O1429:Q1429, MMULT($AU$32:$AW$34,TRANSPOSE(O1429:Q1429))))</f>
        <v>1.1427291250274618E-2</v>
      </c>
      <c r="S1429" s="36" cm="1">
        <f t="array" ref="S1429:U1429">TRANSPOSE(MMULT($AU$32:$AW$34, TRANSPOSE(O1429:Q1429))/MMULT(O1429:Q1429, MMULT($AU$32:$AW$34,TRANSPOSE(O1429:Q1429))))</f>
        <v>0.28000714348231842</v>
      </c>
      <c r="T1429" s="36">
        <v>1.2742203245827346</v>
      </c>
      <c r="U1429" s="36">
        <v>0.60781865722227579</v>
      </c>
      <c r="V1429" s="35">
        <f t="shared" si="333"/>
        <v>7.4553550111006364E-3</v>
      </c>
      <c r="W1429" s="35">
        <f t="shared" si="334"/>
        <v>3.3926866164841432E-2</v>
      </c>
      <c r="X1429" s="35">
        <f t="shared" si="335"/>
        <v>1.6183529518591387E-2</v>
      </c>
      <c r="Y1429" s="32">
        <f t="shared" si="336"/>
        <v>-16604.566680723336</v>
      </c>
      <c r="Z1429" s="32">
        <f t="shared" si="329"/>
        <v>311346.8507947498</v>
      </c>
      <c r="AA1429" s="32">
        <f t="shared" si="330"/>
        <v>117544.21159943298</v>
      </c>
      <c r="AB1429" s="40">
        <f t="shared" si="337"/>
        <v>-4.0274340424343094E-2</v>
      </c>
      <c r="AC1429" s="40">
        <f t="shared" si="338"/>
        <v>0.75517111045794949</v>
      </c>
      <c r="AD1429" s="40">
        <f t="shared" si="339"/>
        <v>0.28510322996639359</v>
      </c>
      <c r="AE1429" s="40"/>
      <c r="AF1429" s="40"/>
      <c r="AG1429" s="40"/>
      <c r="AH1429" s="40"/>
      <c r="AI1429" s="40"/>
      <c r="AJ1429" s="40"/>
      <c r="AK1429" s="33">
        <f t="shared" si="331"/>
        <v>9177000</v>
      </c>
      <c r="AL1429" s="33">
        <f t="shared" si="332"/>
        <v>7263200.0000000009</v>
      </c>
      <c r="AM1429" s="34"/>
      <c r="AN1429" s="33"/>
      <c r="AO1429" s="15" cm="1">
        <f t="array" ref="AO1429">SUMPRODUCT(I1429:K1429, TRANSPOSE($AY$5:$AY$7))</f>
        <v>-5.2424493663563009E-3</v>
      </c>
      <c r="AP1429" s="22">
        <f t="shared" si="340"/>
        <v>15484596.479868768</v>
      </c>
      <c r="AQ1429" s="22">
        <f t="shared" si="341"/>
        <v>-81605.023206371814</v>
      </c>
      <c r="AR1429">
        <f t="shared" si="342"/>
        <v>0</v>
      </c>
      <c r="AS1429">
        <f t="shared" si="343"/>
        <v>0</v>
      </c>
      <c r="BJ1429">
        <f t="shared" si="317"/>
        <v>5.849542673690234E-5</v>
      </c>
      <c r="BK1429">
        <f t="shared" si="319"/>
        <v>5.3214500580655258E-5</v>
      </c>
      <c r="BO1429">
        <f t="shared" si="320"/>
        <v>6.3835884394517744E-5</v>
      </c>
      <c r="BP1429">
        <f t="shared" si="318"/>
        <v>3.4524885933290177</v>
      </c>
    </row>
    <row r="1430" spans="1:68" x14ac:dyDescent="0.15">
      <c r="A1430" s="5">
        <v>45671</v>
      </c>
      <c r="B1430" s="1"/>
      <c r="C1430">
        <v>74.16</v>
      </c>
      <c r="D1430">
        <v>132.30000000000001</v>
      </c>
      <c r="E1430">
        <v>90.11</v>
      </c>
      <c r="G1430" s="3">
        <v>7.2988650292149502E-5</v>
      </c>
      <c r="I1430" s="15">
        <f t="shared" si="321"/>
        <v>-1.0775862068965287E-3</v>
      </c>
      <c r="J1430" s="15">
        <f t="shared" si="322"/>
        <v>9.1533180778033338E-3</v>
      </c>
      <c r="K1430" s="15">
        <f t="shared" si="323"/>
        <v>-7.4898116532658527E-3</v>
      </c>
      <c r="L1430" s="32">
        <f t="shared" si="324"/>
        <v>414280.10686427733</v>
      </c>
      <c r="M1430" s="15"/>
      <c r="N1430" s="32">
        <f t="shared" si="325"/>
        <v>-2224800</v>
      </c>
      <c r="O1430" s="34">
        <f t="shared" si="326"/>
        <v>-0.14354595548602161</v>
      </c>
      <c r="P1430" s="34">
        <f t="shared" si="327"/>
        <v>0.59752746033623072</v>
      </c>
      <c r="Q1430" s="34">
        <f t="shared" si="328"/>
        <v>0.46511780110914808</v>
      </c>
      <c r="R1430" s="35" cm="1">
        <f t="array" ref="R1430">SQRT(MMULT(O1430:Q1430, MMULT($AU$32:$AW$34,TRANSPOSE(O1430:Q1430))))</f>
        <v>1.1471973712385359E-2</v>
      </c>
      <c r="S1430" s="36" cm="1">
        <f t="array" ref="S1430:U1430">TRANSPOSE(MMULT($AU$32:$AW$34, TRANSPOSE(O1430:Q1430))/MMULT(O1430:Q1430, MMULT($AU$32:$AW$34,TRANSPOSE(O1430:Q1430))))</f>
        <v>0.27782806404708876</v>
      </c>
      <c r="T1430" s="36">
        <v>1.2721964341740239</v>
      </c>
      <c r="U1430" s="36">
        <v>0.60137193177007442</v>
      </c>
      <c r="V1430" s="35">
        <f t="shared" si="333"/>
        <v>7.4262604562349063E-3</v>
      </c>
      <c r="W1430" s="35">
        <f t="shared" si="334"/>
        <v>3.4005427436115072E-2</v>
      </c>
      <c r="X1430" s="35">
        <f t="shared" si="335"/>
        <v>1.6074490572834183E-2</v>
      </c>
      <c r="Y1430" s="32">
        <f t="shared" si="336"/>
        <v>-16521.944263031419</v>
      </c>
      <c r="Z1430" s="32">
        <f t="shared" si="329"/>
        <v>314924.26348586171</v>
      </c>
      <c r="AA1430" s="32">
        <f t="shared" si="330"/>
        <v>115877.78764144707</v>
      </c>
      <c r="AB1430" s="40">
        <f t="shared" si="337"/>
        <v>-3.9881094914470963E-2</v>
      </c>
      <c r="AC1430" s="40">
        <f t="shared" si="338"/>
        <v>0.7601723043608134</v>
      </c>
      <c r="AD1430" s="40">
        <f t="shared" si="339"/>
        <v>0.27970879055365766</v>
      </c>
      <c r="AE1430" s="40"/>
      <c r="AF1430" s="40"/>
      <c r="AG1430" s="40"/>
      <c r="AH1430" s="40"/>
      <c r="AI1430" s="40"/>
      <c r="AJ1430" s="40"/>
      <c r="AK1430" s="33">
        <f t="shared" si="331"/>
        <v>9261000</v>
      </c>
      <c r="AL1430" s="33">
        <f t="shared" si="332"/>
        <v>7208800</v>
      </c>
      <c r="AM1430" s="34"/>
      <c r="AN1430" s="33"/>
      <c r="AO1430" s="15" cm="1">
        <f t="array" ref="AO1430">SUMPRODUCT(I1430:K1430, TRANSPOSE($AY$5:$AY$7))</f>
        <v>9.2174193157520783E-4</v>
      </c>
      <c r="AP1430" s="22">
        <f t="shared" si="340"/>
        <v>15498869.281737786</v>
      </c>
      <c r="AQ1430" s="22">
        <f t="shared" si="341"/>
        <v>14272.801869018003</v>
      </c>
      <c r="AR1430">
        <f t="shared" si="342"/>
        <v>0</v>
      </c>
      <c r="AS1430">
        <f t="shared" si="343"/>
        <v>0</v>
      </c>
      <c r="BJ1430">
        <f t="shared" si="317"/>
        <v>5.3273430714696958E-9</v>
      </c>
      <c r="BK1430">
        <f t="shared" si="319"/>
        <v>5.3531356150030081E-5</v>
      </c>
      <c r="BO1430">
        <f t="shared" si="320"/>
        <v>6.4342270520819424E-5</v>
      </c>
      <c r="BP1430">
        <f t="shared" si="318"/>
        <v>3.9066669420072668</v>
      </c>
    </row>
    <row r="1431" spans="1:68" x14ac:dyDescent="0.15">
      <c r="A1431" s="5">
        <v>45672</v>
      </c>
      <c r="B1431" s="1"/>
      <c r="C1431">
        <v>73.66</v>
      </c>
      <c r="D1431">
        <v>134</v>
      </c>
      <c r="E1431">
        <v>90.58</v>
      </c>
      <c r="G1431" s="3">
        <v>6.76497446408896E-3</v>
      </c>
      <c r="I1431" s="15">
        <f t="shared" si="321"/>
        <v>-6.7421790722761599E-3</v>
      </c>
      <c r="J1431" s="15">
        <f t="shared" si="322"/>
        <v>1.2849584278155619E-2</v>
      </c>
      <c r="K1431" s="15">
        <f t="shared" si="323"/>
        <v>5.2158472977471854E-3</v>
      </c>
      <c r="L1431" s="32">
        <f t="shared" si="324"/>
        <v>419044.24465769005</v>
      </c>
      <c r="M1431" s="15"/>
      <c r="N1431" s="32">
        <f t="shared" si="325"/>
        <v>-2209800</v>
      </c>
      <c r="O1431" s="34">
        <f t="shared" si="326"/>
        <v>-0.14047818829106631</v>
      </c>
      <c r="P1431" s="34">
        <f t="shared" si="327"/>
        <v>0.59629170339858906</v>
      </c>
      <c r="Q1431" s="34">
        <f t="shared" si="328"/>
        <v>0.46065759056583538</v>
      </c>
      <c r="R1431" s="35" cm="1">
        <f t="array" ref="R1431">SQRT(MMULT(O1431:Q1431, MMULT($AU$32:$AW$34,TRANSPOSE(O1431:Q1431))))</f>
        <v>1.1432991683808538E-2</v>
      </c>
      <c r="S1431" s="36" cm="1">
        <f t="array" ref="S1431:U1431">TRANSPOSE(MMULT($AU$32:$AW$34, TRANSPOSE(O1431:Q1431))/MMULT(O1431:Q1431, MMULT($AU$32:$AW$34,TRANSPOSE(O1431:Q1431))))</f>
        <v>0.28018874101248742</v>
      </c>
      <c r="T1431" s="36">
        <v>1.2777990209035017</v>
      </c>
      <c r="U1431" s="36">
        <v>0.60222485773138013</v>
      </c>
      <c r="V1431" s="35">
        <f t="shared" si="333"/>
        <v>7.4639116219296477E-3</v>
      </c>
      <c r="W1431" s="35">
        <f t="shared" si="334"/>
        <v>3.4039122800394436E-2</v>
      </c>
      <c r="X1431" s="35">
        <f t="shared" si="335"/>
        <v>1.604259007122576E-2</v>
      </c>
      <c r="Y1431" s="32">
        <f t="shared" si="336"/>
        <v>-16493.751902140135</v>
      </c>
      <c r="Z1431" s="32">
        <f t="shared" si="329"/>
        <v>319286.97186769982</v>
      </c>
      <c r="AA1431" s="32">
        <f t="shared" si="330"/>
        <v>116251.02469213035</v>
      </c>
      <c r="AB1431" s="40">
        <f t="shared" si="337"/>
        <v>-3.9360406716989024E-2</v>
      </c>
      <c r="AC1431" s="40">
        <f t="shared" si="338"/>
        <v>0.76194095477559842</v>
      </c>
      <c r="AD1431" s="40">
        <f t="shared" si="339"/>
        <v>0.27741945194139056</v>
      </c>
      <c r="AE1431" s="40"/>
      <c r="AF1431" s="40"/>
      <c r="AG1431" s="40"/>
      <c r="AH1431" s="40"/>
      <c r="AI1431" s="40"/>
      <c r="AJ1431" s="40"/>
      <c r="AK1431" s="33">
        <f t="shared" si="331"/>
        <v>9380000</v>
      </c>
      <c r="AL1431" s="33">
        <f t="shared" si="332"/>
        <v>7246400</v>
      </c>
      <c r="AM1431" s="34"/>
      <c r="AN1431" s="33"/>
      <c r="AO1431" s="15" cm="1">
        <f t="array" ref="AO1431">SUMPRODUCT(I1431:K1431, TRANSPOSE($AY$5:$AY$7))</f>
        <v>1.4948617173340244E-2</v>
      </c>
      <c r="AP1431" s="22">
        <f t="shared" si="340"/>
        <v>15730555.945250126</v>
      </c>
      <c r="AQ1431" s="22">
        <f t="shared" si="341"/>
        <v>231686.66351233982</v>
      </c>
      <c r="AR1431">
        <f t="shared" si="342"/>
        <v>0</v>
      </c>
      <c r="AS1431">
        <f t="shared" si="343"/>
        <v>0</v>
      </c>
      <c r="BJ1431">
        <f t="shared" si="317"/>
        <v>4.5764879499775713E-5</v>
      </c>
      <c r="BK1431">
        <f t="shared" si="319"/>
        <v>5.0319794421612556E-5</v>
      </c>
      <c r="BO1431">
        <f t="shared" si="320"/>
        <v>5.6409298073481718E-5</v>
      </c>
      <c r="BP1431">
        <f t="shared" si="318"/>
        <v>3.566849602010782</v>
      </c>
    </row>
    <row r="1432" spans="1:68" x14ac:dyDescent="0.15">
      <c r="A1432" s="5">
        <v>45673</v>
      </c>
      <c r="B1432" s="1"/>
      <c r="C1432">
        <v>73.900000000000006</v>
      </c>
      <c r="D1432">
        <v>135.19999999999999</v>
      </c>
      <c r="E1432">
        <v>90.59</v>
      </c>
      <c r="G1432" s="3">
        <v>1.3602848145576501E-2</v>
      </c>
      <c r="I1432" s="15">
        <f t="shared" si="321"/>
        <v>3.2582134129786736E-3</v>
      </c>
      <c r="J1432" s="15">
        <f t="shared" si="322"/>
        <v>8.9552238805969304E-3</v>
      </c>
      <c r="K1432" s="15">
        <f t="shared" si="323"/>
        <v>1.1039964672118698E-4</v>
      </c>
      <c r="L1432" s="32">
        <f t="shared" si="324"/>
        <v>421864.36195285147</v>
      </c>
      <c r="M1432" s="15"/>
      <c r="N1432" s="32">
        <f t="shared" si="325"/>
        <v>-2217000</v>
      </c>
      <c r="O1432" s="34">
        <f t="shared" si="326"/>
        <v>-0.14027895418508601</v>
      </c>
      <c r="P1432" s="34">
        <f t="shared" si="327"/>
        <v>0.5988272541306513</v>
      </c>
      <c r="Q1432" s="34">
        <f t="shared" si="328"/>
        <v>0.45856095479032716</v>
      </c>
      <c r="R1432" s="35" cm="1">
        <f t="array" ref="R1432">SQRT(MMULT(O1432:Q1432, MMULT($AU$32:$AW$34,TRANSPOSE(O1432:Q1432))))</f>
        <v>1.145628328555671E-2</v>
      </c>
      <c r="S1432" s="36" cm="1">
        <f t="array" ref="S1432:U1432">TRANSPOSE(MMULT($AU$32:$AW$34, TRANSPOSE(O1432:Q1432))/MMULT(O1432:Q1432, MMULT($AU$32:$AW$34,TRANSPOSE(O1432:Q1432))))</f>
        <v>0.27907619606682688</v>
      </c>
      <c r="T1432" s="36">
        <v>1.2767192286283628</v>
      </c>
      <c r="U1432" s="36">
        <v>0.5988609454820365</v>
      </c>
      <c r="V1432" s="35">
        <f t="shared" si="333"/>
        <v>7.4494199877253265E-3</v>
      </c>
      <c r="W1432" s="35">
        <f t="shared" si="334"/>
        <v>3.407964518113165E-2</v>
      </c>
      <c r="X1432" s="35">
        <f t="shared" si="335"/>
        <v>1.5985479091429604E-2</v>
      </c>
      <c r="Y1432" s="32">
        <f t="shared" si="336"/>
        <v>-16515.364112787051</v>
      </c>
      <c r="Z1432" s="32">
        <f t="shared" si="329"/>
        <v>322529.76199422992</v>
      </c>
      <c r="AA1432" s="32">
        <f t="shared" si="330"/>
        <v>115849.96407140863</v>
      </c>
      <c r="AB1432" s="40">
        <f t="shared" si="337"/>
        <v>-3.9148516922206493E-2</v>
      </c>
      <c r="AC1432" s="40">
        <f t="shared" si="338"/>
        <v>0.76453426997532581</v>
      </c>
      <c r="AD1432" s="40">
        <f t="shared" si="339"/>
        <v>0.27461424694688075</v>
      </c>
      <c r="AE1432" s="40"/>
      <c r="AF1432" s="40"/>
      <c r="AG1432" s="40"/>
      <c r="AH1432" s="40"/>
      <c r="AI1432" s="40"/>
      <c r="AJ1432" s="40"/>
      <c r="AK1432" s="33">
        <f t="shared" si="331"/>
        <v>9464000</v>
      </c>
      <c r="AL1432" s="33">
        <f t="shared" si="332"/>
        <v>7247200</v>
      </c>
      <c r="AM1432" s="34"/>
      <c r="AN1432" s="33"/>
      <c r="AO1432" s="15" cm="1">
        <f t="array" ref="AO1432">SUMPRODUCT(I1432:K1432, TRANSPOSE($AY$5:$AY$7))</f>
        <v>4.6831117833572976E-3</v>
      </c>
      <c r="AP1432" s="22">
        <f t="shared" si="340"/>
        <v>15804223.897156086</v>
      </c>
      <c r="AQ1432" s="22">
        <f t="shared" si="341"/>
        <v>73667.951905960217</v>
      </c>
      <c r="AR1432">
        <f t="shared" si="342"/>
        <v>0</v>
      </c>
      <c r="AS1432">
        <f t="shared" si="343"/>
        <v>0</v>
      </c>
      <c r="BJ1432">
        <f t="shared" si="317"/>
        <v>1.8503747767161405E-4</v>
      </c>
      <c r="BK1432">
        <f t="shared" si="319"/>
        <v>5.004649952630235E-5</v>
      </c>
      <c r="BO1432">
        <f t="shared" si="320"/>
        <v>5.6703926571561985E-5</v>
      </c>
      <c r="BP1432">
        <f t="shared" si="318"/>
        <v>2.3382842185930741</v>
      </c>
    </row>
    <row r="1433" spans="1:68" x14ac:dyDescent="0.15">
      <c r="A1433" s="5">
        <v>45674</v>
      </c>
      <c r="B1433" s="1"/>
      <c r="C1433">
        <v>74.2</v>
      </c>
      <c r="D1433">
        <v>135.85</v>
      </c>
      <c r="E1433">
        <v>89.32</v>
      </c>
      <c r="G1433" s="3">
        <v>4.0419404638576397E-3</v>
      </c>
      <c r="I1433" s="15">
        <f t="shared" si="321"/>
        <v>4.0595399188091625E-3</v>
      </c>
      <c r="J1433" s="15">
        <f t="shared" si="322"/>
        <v>4.8076923076923505E-3</v>
      </c>
      <c r="K1433" s="15">
        <f t="shared" si="323"/>
        <v>-1.4019207418037423E-2</v>
      </c>
      <c r="L1433" s="32">
        <f t="shared" si="324"/>
        <v>421732.98591591505</v>
      </c>
      <c r="M1433" s="15"/>
      <c r="N1433" s="32">
        <f t="shared" si="325"/>
        <v>-2226000</v>
      </c>
      <c r="O1433" s="34">
        <f t="shared" si="326"/>
        <v>-0.14209491416284858</v>
      </c>
      <c r="P1433" s="34">
        <f t="shared" si="327"/>
        <v>0.60703126066110003</v>
      </c>
      <c r="Q1433" s="34">
        <f t="shared" si="328"/>
        <v>0.45613361124979818</v>
      </c>
      <c r="R1433" s="35" cm="1">
        <f t="array" ref="R1433">SQRT(MMULT(O1433:Q1433, MMULT($AU$32:$AW$34,TRANSPOSE(O1433:Q1433))))</f>
        <v>1.1554070781394248E-2</v>
      </c>
      <c r="S1433" s="36" cm="1">
        <f t="array" ref="S1433:U1433">TRANSPOSE(MMULT($AU$32:$AW$34, TRANSPOSE(O1433:Q1433))/MMULT(O1433:Q1433, MMULT($AU$32:$AW$34,TRANSPOSE(O1433:Q1433))))</f>
        <v>0.27413617424669467</v>
      </c>
      <c r="T1433" s="36">
        <v>1.2691308785895656</v>
      </c>
      <c r="U1433" s="36">
        <v>0.5887556460453256</v>
      </c>
      <c r="V1433" s="35">
        <f t="shared" si="333"/>
        <v>7.3800158130995636E-3</v>
      </c>
      <c r="W1433" s="35">
        <f t="shared" si="334"/>
        <v>3.4166253244839205E-2</v>
      </c>
      <c r="X1433" s="35">
        <f t="shared" si="335"/>
        <v>1.5849881869132932E-2</v>
      </c>
      <c r="Y1433" s="32">
        <f t="shared" si="336"/>
        <v>-16427.915199959629</v>
      </c>
      <c r="Z1433" s="32">
        <f t="shared" si="329"/>
        <v>324903.98523179843</v>
      </c>
      <c r="AA1433" s="32">
        <f t="shared" si="330"/>
        <v>113256.91588407627</v>
      </c>
      <c r="AB1433" s="40">
        <f t="shared" si="337"/>
        <v>-3.8953356148515778E-2</v>
      </c>
      <c r="AC1433" s="40">
        <f t="shared" si="338"/>
        <v>0.77040211717415352</v>
      </c>
      <c r="AD1433" s="40">
        <f t="shared" si="339"/>
        <v>0.26855123897436228</v>
      </c>
      <c r="AE1433" s="40"/>
      <c r="AF1433" s="40"/>
      <c r="AG1433" s="40"/>
      <c r="AH1433" s="40"/>
      <c r="AI1433" s="40"/>
      <c r="AJ1433" s="40"/>
      <c r="AK1433" s="33">
        <f t="shared" si="331"/>
        <v>9509500</v>
      </c>
      <c r="AL1433" s="33">
        <f t="shared" si="332"/>
        <v>7145599.9999999991</v>
      </c>
      <c r="AM1433" s="34"/>
      <c r="AN1433" s="33"/>
      <c r="AO1433" s="15" cm="1">
        <f t="array" ref="AO1433">SUMPRODUCT(I1433:K1433, TRANSPOSE($AY$5:$AY$7))</f>
        <v>-8.7722489634700432E-3</v>
      </c>
      <c r="AP1433" s="22">
        <f t="shared" si="340"/>
        <v>15665585.31045581</v>
      </c>
      <c r="AQ1433" s="22">
        <f t="shared" si="341"/>
        <v>-138638.58670027554</v>
      </c>
      <c r="AR1433">
        <f t="shared" si="342"/>
        <v>0</v>
      </c>
      <c r="AS1433">
        <f t="shared" si="343"/>
        <v>0</v>
      </c>
      <c r="BJ1433">
        <f t="shared" si="317"/>
        <v>1.6337282713369713E-5</v>
      </c>
      <c r="BK1433">
        <f t="shared" si="319"/>
        <v>5.8145958215021056E-5</v>
      </c>
      <c r="BO1433">
        <f t="shared" si="320"/>
        <v>7.6770256652371839E-5</v>
      </c>
      <c r="BP1433">
        <f t="shared" si="318"/>
        <v>3.7120043787557941</v>
      </c>
    </row>
    <row r="1434" spans="1:68" x14ac:dyDescent="0.15">
      <c r="A1434" s="5">
        <v>45678</v>
      </c>
      <c r="B1434" s="1"/>
      <c r="C1434">
        <v>74.739999999999995</v>
      </c>
      <c r="D1434">
        <v>135.85</v>
      </c>
      <c r="E1434">
        <v>89.36</v>
      </c>
      <c r="G1434" s="3">
        <v>1.0082073862798399E-2</v>
      </c>
      <c r="I1434" s="15">
        <f t="shared" si="321"/>
        <v>7.2776280323449058E-3</v>
      </c>
      <c r="J1434" s="15">
        <f t="shared" si="322"/>
        <v>0</v>
      </c>
      <c r="K1434" s="15">
        <f t="shared" si="323"/>
        <v>4.4782803403500062E-4</v>
      </c>
      <c r="L1434" s="32">
        <f t="shared" si="324"/>
        <v>421664.32689622574</v>
      </c>
      <c r="M1434" s="15"/>
      <c r="N1434" s="32">
        <f t="shared" si="325"/>
        <v>-2242200</v>
      </c>
      <c r="O1434" s="34">
        <f t="shared" si="326"/>
        <v>-0.1434934269340912</v>
      </c>
      <c r="P1434" s="34">
        <f t="shared" si="327"/>
        <v>0.60857672974299371</v>
      </c>
      <c r="Q1434" s="34">
        <f t="shared" si="328"/>
        <v>0.45749969247454786</v>
      </c>
      <c r="R1434" s="35" cm="1">
        <f t="array" ref="R1434">SQRT(MMULT(O1434:Q1434, MMULT($AU$32:$AW$34,TRANSPOSE(O1434:Q1434))))</f>
        <v>1.1581601010770829E-2</v>
      </c>
      <c r="S1434" s="36" cm="1">
        <f t="array" ref="S1434:U1434">TRANSPOSE(MMULT($AU$32:$AW$34, TRANSPOSE(O1434:Q1434))/MMULT(O1434:Q1434, MMULT($AU$32:$AW$34,TRANSPOSE(O1434:Q1434))))</f>
        <v>0.27263247087471354</v>
      </c>
      <c r="T1434" s="36">
        <v>1.2660638523358525</v>
      </c>
      <c r="U1434" s="36">
        <v>0.587156610283178</v>
      </c>
      <c r="V1434" s="35">
        <f t="shared" si="333"/>
        <v>7.3570227655860672E-3</v>
      </c>
      <c r="W1434" s="35">
        <f t="shared" si="334"/>
        <v>3.4164898093158036E-2</v>
      </c>
      <c r="X1434" s="35">
        <f t="shared" si="335"/>
        <v>1.5844497667347877E-2</v>
      </c>
      <c r="Y1434" s="32">
        <f t="shared" si="336"/>
        <v>-16495.916444997081</v>
      </c>
      <c r="Z1434" s="32">
        <f t="shared" si="329"/>
        <v>324891.09841688635</v>
      </c>
      <c r="AA1434" s="32">
        <f t="shared" si="330"/>
        <v>113269.14492433651</v>
      </c>
      <c r="AB1434" s="40">
        <f t="shared" si="337"/>
        <v>-3.9120967539321462E-2</v>
      </c>
      <c r="AC1434" s="40">
        <f t="shared" si="338"/>
        <v>0.7704969989003696</v>
      </c>
      <c r="AD1434" s="40">
        <f t="shared" si="339"/>
        <v>0.26862396863895188</v>
      </c>
      <c r="AE1434" s="40"/>
      <c r="AF1434" s="40"/>
      <c r="AG1434" s="40"/>
      <c r="AH1434" s="40"/>
      <c r="AI1434" s="40"/>
      <c r="AJ1434" s="40"/>
      <c r="AK1434" s="33">
        <f t="shared" si="331"/>
        <v>9509500</v>
      </c>
      <c r="AL1434" s="33">
        <f t="shared" si="332"/>
        <v>7148800</v>
      </c>
      <c r="AM1434" s="34"/>
      <c r="AN1434" s="33"/>
      <c r="AO1434" s="15" cm="1">
        <f t="array" ref="AO1434">SUMPRODUCT(I1434:K1434, TRANSPOSE($AY$5:$AY$7))</f>
        <v>-2.539481065183511E-3</v>
      </c>
      <c r="AP1434" s="22">
        <f t="shared" si="340"/>
        <v>15625802.85318489</v>
      </c>
      <c r="AQ1434" s="22">
        <f t="shared" si="341"/>
        <v>-39782.457270920277</v>
      </c>
      <c r="AR1434">
        <f t="shared" si="342"/>
        <v>0</v>
      </c>
      <c r="AS1434">
        <f t="shared" si="343"/>
        <v>0</v>
      </c>
      <c r="BJ1434">
        <f t="shared" si="317"/>
        <v>1.0164821337492263E-4</v>
      </c>
      <c r="BK1434">
        <f t="shared" si="319"/>
        <v>5.5637437684921973E-5</v>
      </c>
      <c r="BO1434">
        <f t="shared" si="320"/>
        <v>6.8483547326042847E-5</v>
      </c>
      <c r="BP1434">
        <f t="shared" si="318"/>
        <v>3.1333839682639977</v>
      </c>
    </row>
    <row r="1435" spans="1:68" x14ac:dyDescent="0.15">
      <c r="A1435" s="5">
        <v>45679</v>
      </c>
      <c r="B1435" s="1"/>
      <c r="C1435">
        <v>74.180000000000007</v>
      </c>
      <c r="D1435">
        <v>137.85</v>
      </c>
      <c r="E1435">
        <v>89.73</v>
      </c>
      <c r="G1435" s="3">
        <v>7.9869935884735403E-3</v>
      </c>
      <c r="I1435" s="15">
        <f t="shared" si="321"/>
        <v>-7.4926411560073333E-3</v>
      </c>
      <c r="J1435" s="15">
        <f t="shared" si="322"/>
        <v>1.4722119985277881E-2</v>
      </c>
      <c r="K1435" s="15">
        <f t="shared" si="323"/>
        <v>4.1405550581916353E-3</v>
      </c>
      <c r="L1435" s="32">
        <f t="shared" si="324"/>
        <v>427042.74511976109</v>
      </c>
      <c r="M1435" s="15"/>
      <c r="N1435" s="32">
        <f t="shared" si="325"/>
        <v>-2225400</v>
      </c>
      <c r="O1435" s="34">
        <f t="shared" si="326"/>
        <v>-0.14021923640642422</v>
      </c>
      <c r="P1435" s="34">
        <f t="shared" si="327"/>
        <v>0.60800104327482274</v>
      </c>
      <c r="Q1435" s="34">
        <f t="shared" si="328"/>
        <v>0.45230060511363152</v>
      </c>
      <c r="R1435" s="35" cm="1">
        <f t="array" ref="R1435">SQRT(MMULT(O1435:Q1435, MMULT($AU$32:$AW$34,TRANSPOSE(O1435:Q1435))))</f>
        <v>1.1548217137526927E-2</v>
      </c>
      <c r="S1435" s="36" cm="1">
        <f t="array" ref="S1435:U1435">TRANSPOSE(MMULT($AU$32:$AW$34, TRANSPOSE(O1435:Q1435))/MMULT(O1435:Q1435, MMULT($AU$32:$AW$34,TRANSPOSE(O1435:Q1435))))</f>
        <v>0.27472916283219567</v>
      </c>
      <c r="T1435" s="36">
        <v>1.2713980421431745</v>
      </c>
      <c r="U1435" s="36">
        <v>0.58702326370663394</v>
      </c>
      <c r="V1435" s="35">
        <f t="shared" si="333"/>
        <v>7.3922326215054473E-3</v>
      </c>
      <c r="W1435" s="35">
        <f t="shared" si="334"/>
        <v>3.4209946935227657E-2</v>
      </c>
      <c r="X1435" s="35">
        <f t="shared" si="335"/>
        <v>1.5795238025768977E-2</v>
      </c>
      <c r="Y1435" s="32">
        <f t="shared" si="336"/>
        <v>-16450.674475898224</v>
      </c>
      <c r="Z1435" s="32">
        <f t="shared" si="329"/>
        <v>330108.88295147929</v>
      </c>
      <c r="AA1435" s="32">
        <f t="shared" si="330"/>
        <v>113384.53664418003</v>
      </c>
      <c r="AB1435" s="40">
        <f t="shared" si="337"/>
        <v>-3.8522313430906667E-2</v>
      </c>
      <c r="AC1435" s="40">
        <f t="shared" si="338"/>
        <v>0.77301133604061723</v>
      </c>
      <c r="AD1435" s="40">
        <f t="shared" si="339"/>
        <v>0.26551097739028945</v>
      </c>
      <c r="AE1435" s="40"/>
      <c r="AF1435" s="40"/>
      <c r="AG1435" s="40"/>
      <c r="AH1435" s="40"/>
      <c r="AI1435" s="40"/>
      <c r="AJ1435" s="40"/>
      <c r="AK1435" s="33">
        <f t="shared" si="331"/>
        <v>9649500</v>
      </c>
      <c r="AL1435" s="33">
        <f t="shared" si="332"/>
        <v>7178400</v>
      </c>
      <c r="AM1435" s="34"/>
      <c r="AN1435" s="33"/>
      <c r="AO1435" s="15" cm="1">
        <f t="array" ref="AO1435">SUMPRODUCT(I1435:K1435, TRANSPOSE($AY$5:$AY$7))</f>
        <v>1.5682910760048224E-2</v>
      </c>
      <c r="AP1435" s="22">
        <f t="shared" si="340"/>
        <v>15870860.924885496</v>
      </c>
      <c r="AQ1435" s="22">
        <f t="shared" si="341"/>
        <v>245058.0717006065</v>
      </c>
      <c r="AR1435">
        <f t="shared" si="342"/>
        <v>0</v>
      </c>
      <c r="AS1435">
        <f t="shared" si="343"/>
        <v>0</v>
      </c>
      <c r="BJ1435">
        <f t="shared" si="317"/>
        <v>6.3792066582317434E-5</v>
      </c>
      <c r="BK1435">
        <f t="shared" si="319"/>
        <v>5.8398084226322022E-5</v>
      </c>
      <c r="BO1435">
        <f t="shared" si="320"/>
        <v>7.413362690300362E-5</v>
      </c>
      <c r="BP1435">
        <f t="shared" si="318"/>
        <v>3.4056315850852714</v>
      </c>
    </row>
    <row r="1436" spans="1:68" x14ac:dyDescent="0.15">
      <c r="A1436" s="5">
        <v>45680</v>
      </c>
      <c r="B1436" s="1"/>
      <c r="C1436">
        <v>74.7</v>
      </c>
      <c r="D1436">
        <v>138.6</v>
      </c>
      <c r="E1436">
        <v>90.26</v>
      </c>
      <c r="G1436" s="3">
        <v>4.7108540810860602E-3</v>
      </c>
      <c r="I1436" s="15">
        <f t="shared" si="321"/>
        <v>7.0099757346993256E-3</v>
      </c>
      <c r="J1436" s="15">
        <f t="shared" si="322"/>
        <v>5.4406964091403701E-3</v>
      </c>
      <c r="K1436" s="15">
        <f t="shared" si="323"/>
        <v>5.9066087150340032E-3</v>
      </c>
      <c r="L1436" s="32">
        <f t="shared" si="324"/>
        <v>429393.1751829962</v>
      </c>
      <c r="M1436" s="15"/>
      <c r="N1436" s="32">
        <f t="shared" si="325"/>
        <v>-2241000</v>
      </c>
      <c r="O1436" s="34">
        <f t="shared" si="326"/>
        <v>-0.14047656546645013</v>
      </c>
      <c r="P1436" s="34">
        <f t="shared" si="327"/>
        <v>0.60816762077443076</v>
      </c>
      <c r="Q1436" s="34">
        <f t="shared" si="328"/>
        <v>0.45263417399381667</v>
      </c>
      <c r="R1436" s="35" cm="1">
        <f t="array" ref="R1436">SQRT(MMULT(O1436:Q1436, MMULT($AU$32:$AW$34,TRANSPOSE(O1436:Q1436))))</f>
        <v>1.1552107999846991E-2</v>
      </c>
      <c r="S1436" s="36" cm="1">
        <f t="array" ref="S1436:U1436">TRANSPOSE(MMULT($AU$32:$AW$34, TRANSPOSE(O1436:Q1436))/MMULT(O1436:Q1436, MMULT($AU$32:$AW$34,TRANSPOSE(O1436:Q1436))))</f>
        <v>0.27450736452010155</v>
      </c>
      <c r="T1436" s="36">
        <v>1.2708984950577189</v>
      </c>
      <c r="U1436" s="36">
        <v>0.58688131175354419</v>
      </c>
      <c r="V1436" s="35">
        <f t="shared" si="333"/>
        <v>7.3887532215367192E-3</v>
      </c>
      <c r="W1436" s="35">
        <f t="shared" si="334"/>
        <v>3.4208027045176975E-2</v>
      </c>
      <c r="X1436" s="35">
        <f t="shared" si="335"/>
        <v>1.5796738970772335E-2</v>
      </c>
      <c r="Y1436" s="32">
        <f t="shared" si="336"/>
        <v>-16558.195969463788</v>
      </c>
      <c r="Z1436" s="32">
        <f t="shared" si="329"/>
        <v>331886.27839230699</v>
      </c>
      <c r="AA1436" s="32">
        <f t="shared" si="330"/>
        <v>114065.09276015288</v>
      </c>
      <c r="AB1436" s="40">
        <f t="shared" si="337"/>
        <v>-3.8561851763030737E-2</v>
      </c>
      <c r="AC1436" s="40">
        <f t="shared" si="338"/>
        <v>0.77291931398505742</v>
      </c>
      <c r="AD1436" s="40">
        <f t="shared" si="339"/>
        <v>0.26564253777797309</v>
      </c>
      <c r="AE1436" s="40"/>
      <c r="AF1436" s="40"/>
      <c r="AG1436" s="40"/>
      <c r="AH1436" s="40"/>
      <c r="AI1436" s="40"/>
      <c r="AJ1436" s="40"/>
      <c r="AK1436" s="33">
        <f t="shared" si="331"/>
        <v>9702000</v>
      </c>
      <c r="AL1436" s="33">
        <f t="shared" si="332"/>
        <v>7220800</v>
      </c>
      <c r="AM1436" s="34"/>
      <c r="AN1436" s="33"/>
      <c r="AO1436" s="15" cm="1">
        <f t="array" ref="AO1436">SUMPRODUCT(I1436:K1436, TRANSPOSE($AY$5:$AY$7))</f>
        <v>5.1653055604814254E-3</v>
      </c>
      <c r="AP1436" s="22">
        <f t="shared" si="340"/>
        <v>15952838.771070436</v>
      </c>
      <c r="AQ1436" s="22">
        <f t="shared" si="341"/>
        <v>81977.846184939146</v>
      </c>
      <c r="AR1436">
        <f t="shared" si="342"/>
        <v>0</v>
      </c>
      <c r="AS1436">
        <f t="shared" si="343"/>
        <v>0</v>
      </c>
      <c r="BJ1436">
        <f t="shared" si="317"/>
        <v>2.2192146173285187E-5</v>
      </c>
      <c r="BK1436">
        <f t="shared" si="319"/>
        <v>5.8721723167681746E-5</v>
      </c>
      <c r="BO1436">
        <f t="shared" si="320"/>
        <v>7.3173950075406299E-5</v>
      </c>
      <c r="BP1436">
        <f t="shared" si="318"/>
        <v>3.6907573411961696</v>
      </c>
    </row>
    <row r="1437" spans="1:68" x14ac:dyDescent="0.15">
      <c r="A1437" s="5">
        <v>45681</v>
      </c>
      <c r="B1437" s="1"/>
      <c r="C1437">
        <v>74.680000000000007</v>
      </c>
      <c r="D1437">
        <v>138.05000000000001</v>
      </c>
      <c r="E1437">
        <v>90.26</v>
      </c>
      <c r="G1437" s="3">
        <v>1.7839553834071401E-3</v>
      </c>
      <c r="I1437" s="15">
        <f t="shared" si="321"/>
        <v>-2.6773761713515422E-4</v>
      </c>
      <c r="J1437" s="15">
        <f t="shared" si="322"/>
        <v>-3.9682539682538457E-3</v>
      </c>
      <c r="K1437" s="15">
        <f t="shared" si="323"/>
        <v>0</v>
      </c>
      <c r="L1437" s="32">
        <f t="shared" si="324"/>
        <v>428080.93580011651</v>
      </c>
      <c r="M1437" s="15"/>
      <c r="N1437" s="32">
        <f t="shared" si="325"/>
        <v>-2240400</v>
      </c>
      <c r="O1437" s="34">
        <f t="shared" si="326"/>
        <v>-0.1407913331674813</v>
      </c>
      <c r="P1437" s="34">
        <f t="shared" si="327"/>
        <v>0.6072741689269574</v>
      </c>
      <c r="Q1437" s="34">
        <f t="shared" si="328"/>
        <v>0.45376988865191437</v>
      </c>
      <c r="R1437" s="35" cm="1">
        <f t="array" ref="R1437">SQRT(MMULT(O1437:Q1437, MMULT($AU$32:$AW$34,TRANSPOSE(O1437:Q1437))))</f>
        <v>1.1545701460208549E-2</v>
      </c>
      <c r="S1437" s="36" cm="1">
        <f t="array" ref="S1437:U1437">TRANSPOSE(MMULT($AU$32:$AW$34, TRANSPOSE(O1437:Q1437))/MMULT(O1437:Q1437, MMULT($AU$32:$AW$34,TRANSPOSE(O1437:Q1437))))</f>
        <v>0.27475461061797307</v>
      </c>
      <c r="T1437" s="36">
        <v>1.270954564720957</v>
      </c>
      <c r="U1437" s="36">
        <v>0.58810687434724451</v>
      </c>
      <c r="V1437" s="35">
        <f t="shared" si="333"/>
        <v>7.3913068719955437E-3</v>
      </c>
      <c r="W1437" s="35">
        <f t="shared" si="334"/>
        <v>3.4190564398854914E-2</v>
      </c>
      <c r="X1437" s="35">
        <f t="shared" si="335"/>
        <v>1.5820947907129523E-2</v>
      </c>
      <c r="Y1437" s="32">
        <f t="shared" si="336"/>
        <v>-16559.483916018817</v>
      </c>
      <c r="Z1437" s="32">
        <f t="shared" si="329"/>
        <v>330400.51906833448</v>
      </c>
      <c r="AA1437" s="32">
        <f t="shared" si="330"/>
        <v>114239.90064780085</v>
      </c>
      <c r="AB1437" s="40">
        <f t="shared" si="337"/>
        <v>-3.8683067922816644E-2</v>
      </c>
      <c r="AC1437" s="40">
        <f t="shared" si="338"/>
        <v>0.77181787703484217</v>
      </c>
      <c r="AD1437" s="40">
        <f t="shared" si="339"/>
        <v>0.2668651908879745</v>
      </c>
      <c r="AE1437" s="40"/>
      <c r="AF1437" s="40"/>
      <c r="AG1437" s="40"/>
      <c r="AH1437" s="40"/>
      <c r="AI1437" s="40"/>
      <c r="AJ1437" s="40"/>
      <c r="AK1437" s="33">
        <f t="shared" si="331"/>
        <v>9663500</v>
      </c>
      <c r="AL1437" s="33">
        <f t="shared" si="332"/>
        <v>7220800</v>
      </c>
      <c r="AM1437" s="34"/>
      <c r="AN1437" s="33"/>
      <c r="AO1437" s="15" cm="1">
        <f t="array" ref="AO1437">SUMPRODUCT(I1437:K1437, TRANSPOSE($AY$5:$AY$7))</f>
        <v>-2.5028427105900251E-3</v>
      </c>
      <c r="AP1437" s="22">
        <f t="shared" si="340"/>
        <v>15912911.324839044</v>
      </c>
      <c r="AQ1437" s="22">
        <f t="shared" si="341"/>
        <v>-39927.446231391281</v>
      </c>
      <c r="AR1437">
        <f t="shared" si="342"/>
        <v>0</v>
      </c>
      <c r="AS1437">
        <f t="shared" si="343"/>
        <v>0</v>
      </c>
      <c r="BJ1437">
        <f t="shared" si="317"/>
        <v>3.1824968099873162E-6</v>
      </c>
      <c r="BK1437">
        <f t="shared" si="319"/>
        <v>5.652994854801795E-5</v>
      </c>
      <c r="BO1437">
        <f t="shared" si="320"/>
        <v>6.6496531379644057E-5</v>
      </c>
      <c r="BP1437">
        <f t="shared" si="318"/>
        <v>3.8663120568644591</v>
      </c>
    </row>
    <row r="1438" spans="1:68" x14ac:dyDescent="0.15">
      <c r="A1438" s="5">
        <v>45684</v>
      </c>
      <c r="B1438" s="1"/>
      <c r="C1438">
        <v>77.56</v>
      </c>
      <c r="D1438">
        <v>139.85</v>
      </c>
      <c r="E1438">
        <v>92.22</v>
      </c>
      <c r="G1438" s="3">
        <v>1.05250671764784E-2</v>
      </c>
      <c r="I1438" s="15">
        <f t="shared" si="321"/>
        <v>3.856454204606314E-2</v>
      </c>
      <c r="J1438" s="15">
        <f t="shared" si="322"/>
        <v>1.3038754074610524E-2</v>
      </c>
      <c r="K1438" s="15">
        <f t="shared" si="323"/>
        <v>2.1715045424329643E-2</v>
      </c>
      <c r="L1438" s="32">
        <f t="shared" si="324"/>
        <v>434233.55927436549</v>
      </c>
      <c r="M1438" s="15"/>
      <c r="N1438" s="32">
        <f t="shared" si="325"/>
        <v>-2326800</v>
      </c>
      <c r="O1438" s="34">
        <f t="shared" si="326"/>
        <v>-0.14486375765740009</v>
      </c>
      <c r="P1438" s="34">
        <f t="shared" si="327"/>
        <v>0.60948244610070401</v>
      </c>
      <c r="Q1438" s="34">
        <f t="shared" si="328"/>
        <v>0.45932046522831133</v>
      </c>
      <c r="R1438" s="35" cm="1">
        <f t="array" ref="R1438">SQRT(MMULT(O1438:Q1438, MMULT($AU$32:$AW$34,TRANSPOSE(O1438:Q1438))))</f>
        <v>1.1602942887066979E-2</v>
      </c>
      <c r="S1438" s="36" cm="1">
        <f t="array" ref="S1438:U1438">TRANSPOSE(MMULT($AU$32:$AW$34, TRANSPOSE(O1438:Q1438))/MMULT(O1438:Q1438, MMULT($AU$32:$AW$34,TRANSPOSE(O1438:Q1438))))</f>
        <v>0.27146309554075099</v>
      </c>
      <c r="T1438" s="36">
        <v>1.2633453172665747</v>
      </c>
      <c r="U1438" s="36">
        <v>0.58638443143168628</v>
      </c>
      <c r="V1438" s="35">
        <f t="shared" si="333"/>
        <v>7.3389659488683756E-3</v>
      </c>
      <c r="W1438" s="35">
        <f t="shared" si="334"/>
        <v>3.4154359901528063E-2</v>
      </c>
      <c r="X1438" s="35">
        <f t="shared" si="335"/>
        <v>1.5852819207897342E-2</v>
      </c>
      <c r="Y1438" s="32">
        <f t="shared" si="336"/>
        <v>-17076.305969826935</v>
      </c>
      <c r="Z1438" s="32">
        <f t="shared" si="329"/>
        <v>334354.10625600896</v>
      </c>
      <c r="AA1438" s="32">
        <f t="shared" si="330"/>
        <v>116955.75898818343</v>
      </c>
      <c r="AB1438" s="40">
        <f t="shared" si="337"/>
        <v>-3.9325164085342992E-2</v>
      </c>
      <c r="AC1438" s="40">
        <f t="shared" si="338"/>
        <v>0.76998679423750194</v>
      </c>
      <c r="AD1438" s="40">
        <f t="shared" si="339"/>
        <v>0.26933836984784099</v>
      </c>
      <c r="AE1438" s="40"/>
      <c r="AF1438" s="40"/>
      <c r="AG1438" s="40"/>
      <c r="AH1438" s="40"/>
      <c r="AI1438" s="40"/>
      <c r="AJ1438" s="40"/>
      <c r="AK1438" s="33">
        <f t="shared" si="331"/>
        <v>9789500</v>
      </c>
      <c r="AL1438" s="33">
        <f t="shared" si="332"/>
        <v>7377600</v>
      </c>
      <c r="AM1438" s="34"/>
      <c r="AN1438" s="33"/>
      <c r="AO1438" s="15" cm="1">
        <f t="array" ref="AO1438">SUMPRODUCT(I1438:K1438, TRANSPOSE($AY$5:$AY$7))</f>
        <v>9.3683114374915298E-3</v>
      </c>
      <c r="AP1438" s="22">
        <f t="shared" si="340"/>
        <v>16061988.434007324</v>
      </c>
      <c r="AQ1438" s="22">
        <f t="shared" si="341"/>
        <v>149077.10916827992</v>
      </c>
      <c r="AR1438">
        <f t="shared" si="342"/>
        <v>0</v>
      </c>
      <c r="AS1438">
        <f t="shared" si="343"/>
        <v>0</v>
      </c>
      <c r="BJ1438">
        <f t="shared" si="317"/>
        <v>1.1077703906938301E-4</v>
      </c>
      <c r="BK1438">
        <f t="shared" si="319"/>
        <v>5.3329101443736112E-5</v>
      </c>
      <c r="BO1438">
        <f t="shared" si="320"/>
        <v>5.8551547737219725E-5</v>
      </c>
      <c r="BP1438">
        <f t="shared" si="318"/>
        <v>3.0078842406093438</v>
      </c>
    </row>
    <row r="1439" spans="1:68" x14ac:dyDescent="0.15">
      <c r="A1439" s="5">
        <v>45685</v>
      </c>
      <c r="B1439" s="1"/>
      <c r="C1439">
        <v>78.180000000000007</v>
      </c>
      <c r="D1439">
        <v>139.85</v>
      </c>
      <c r="E1439">
        <v>92.44</v>
      </c>
      <c r="G1439" s="3">
        <v>3.1271935843575297E-3</v>
      </c>
      <c r="I1439" s="15">
        <f t="shared" si="321"/>
        <v>7.9938112429087747E-3</v>
      </c>
      <c r="J1439" s="15">
        <f t="shared" si="322"/>
        <v>0</v>
      </c>
      <c r="K1439" s="15">
        <f t="shared" si="323"/>
        <v>2.3855996530036745E-3</v>
      </c>
      <c r="L1439" s="32">
        <f t="shared" si="324"/>
        <v>434376.30256718985</v>
      </c>
      <c r="M1439" s="15"/>
      <c r="N1439" s="32">
        <f t="shared" si="325"/>
        <v>-2345400</v>
      </c>
      <c r="O1439" s="34">
        <f t="shared" si="326"/>
        <v>-0.14622557750373175</v>
      </c>
      <c r="P1439" s="34">
        <f t="shared" si="327"/>
        <v>0.61033311630117759</v>
      </c>
      <c r="Q1439" s="34">
        <f t="shared" si="328"/>
        <v>0.46105883463613756</v>
      </c>
      <c r="R1439" s="35" cm="1">
        <f t="array" ref="R1439">SQRT(MMULT(O1439:Q1439, MMULT($AU$32:$AW$34,TRANSPOSE(O1439:Q1439))))</f>
        <v>1.1622956907855253E-2</v>
      </c>
      <c r="S1439" s="36" cm="1">
        <f t="array" ref="S1439:U1439">TRANSPOSE(MMULT($AU$32:$AW$34, TRANSPOSE(O1439:Q1439))/MMULT(O1439:Q1439, MMULT($AU$32:$AW$34,TRANSPOSE(O1439:Q1439))))</f>
        <v>0.27031442651101578</v>
      </c>
      <c r="T1439" s="36">
        <v>1.2607957638370473</v>
      </c>
      <c r="U1439" s="36">
        <v>0.58565513829763727</v>
      </c>
      <c r="V1439" s="35">
        <f t="shared" si="333"/>
        <v>7.3205173290183017E-3</v>
      </c>
      <c r="W1439" s="35">
        <f t="shared" si="334"/>
        <v>3.4144227360154766E-2</v>
      </c>
      <c r="X1439" s="35">
        <f t="shared" si="335"/>
        <v>1.5860413534243053E-2</v>
      </c>
      <c r="Y1439" s="32">
        <f t="shared" si="336"/>
        <v>-17169.541343479526</v>
      </c>
      <c r="Z1439" s="32">
        <f t="shared" si="329"/>
        <v>334254.91374223511</v>
      </c>
      <c r="AA1439" s="32">
        <f t="shared" si="330"/>
        <v>117290.93016843422</v>
      </c>
      <c r="AB1439" s="40">
        <f t="shared" si="337"/>
        <v>-3.9526883124163345E-2</v>
      </c>
      <c r="AC1439" s="40">
        <f t="shared" si="338"/>
        <v>0.7695054075619886</v>
      </c>
      <c r="AD1439" s="40">
        <f t="shared" si="339"/>
        <v>0.2700214755621746</v>
      </c>
      <c r="AE1439" s="40"/>
      <c r="AF1439" s="40"/>
      <c r="AG1439" s="40"/>
      <c r="AH1439" s="40"/>
      <c r="AI1439" s="40"/>
      <c r="AJ1439" s="40"/>
      <c r="AK1439" s="33">
        <f t="shared" si="331"/>
        <v>9789500</v>
      </c>
      <c r="AL1439" s="33">
        <f t="shared" si="332"/>
        <v>7395200</v>
      </c>
      <c r="AM1439" s="34"/>
      <c r="AN1439" s="33"/>
      <c r="AO1439" s="15" cm="1">
        <f t="array" ref="AO1439">SUMPRODUCT(I1439:K1439, TRANSPOSE($AY$5:$AY$7))</f>
        <v>-1.3937801796319608E-3</v>
      </c>
      <c r="AP1439" s="22">
        <f t="shared" si="340"/>
        <v>16039601.552882526</v>
      </c>
      <c r="AQ1439" s="22">
        <f t="shared" si="341"/>
        <v>-22386.881124798208</v>
      </c>
      <c r="AR1439">
        <f t="shared" si="342"/>
        <v>0</v>
      </c>
      <c r="AS1439">
        <f t="shared" si="343"/>
        <v>0</v>
      </c>
      <c r="BJ1439">
        <f t="shared" si="317"/>
        <v>9.7793397140468938E-6</v>
      </c>
      <c r="BK1439">
        <f t="shared" si="319"/>
        <v>5.6775977701274932E-5</v>
      </c>
      <c r="BO1439">
        <f t="shared" si="320"/>
        <v>6.7643305873653652E-5</v>
      </c>
      <c r="BP1439">
        <f t="shared" si="318"/>
        <v>3.809406460628189</v>
      </c>
    </row>
    <row r="1440" spans="1:68" x14ac:dyDescent="0.15">
      <c r="A1440" s="5">
        <v>45686</v>
      </c>
      <c r="B1440" s="1"/>
      <c r="C1440">
        <v>78.28</v>
      </c>
      <c r="D1440">
        <v>140.25</v>
      </c>
      <c r="E1440">
        <v>93.44</v>
      </c>
      <c r="G1440" s="3">
        <v>6.01179850876731E-3</v>
      </c>
      <c r="I1440" s="15">
        <f t="shared" si="321"/>
        <v>1.2790995139421119E-3</v>
      </c>
      <c r="J1440" s="15">
        <f t="shared" si="322"/>
        <v>2.8602073650340057E-3</v>
      </c>
      <c r="K1440" s="15">
        <f t="shared" si="323"/>
        <v>1.0817827780181739E-2</v>
      </c>
      <c r="L1440" s="32">
        <f t="shared" si="324"/>
        <v>436581.01950563747</v>
      </c>
      <c r="M1440" s="15"/>
      <c r="N1440" s="32">
        <f t="shared" si="325"/>
        <v>-2348400</v>
      </c>
      <c r="O1440" s="34">
        <f t="shared" si="326"/>
        <v>-0.14505659859397105</v>
      </c>
      <c r="P1440" s="34">
        <f t="shared" si="327"/>
        <v>0.6064099628241828</v>
      </c>
      <c r="Q1440" s="34">
        <f t="shared" si="328"/>
        <v>0.46173015065987583</v>
      </c>
      <c r="R1440" s="35" cm="1">
        <f t="array" ref="R1440">SQRT(MMULT(O1440:Q1440, MMULT($AU$32:$AW$34,TRANSPOSE(O1440:Q1440))))</f>
        <v>1.1573756673373068E-2</v>
      </c>
      <c r="S1440" s="36" cm="1">
        <f t="array" ref="S1440:U1440">TRANSPOSE(MMULT($AU$32:$AW$34, TRANSPOSE(O1440:Q1440))/MMULT(O1440:Q1440, MMULT($AU$32:$AW$34,TRANSPOSE(O1440:Q1440))))</f>
        <v>0.27278875507327133</v>
      </c>
      <c r="T1440" s="36">
        <v>1.2648107185518942</v>
      </c>
      <c r="U1440" s="36">
        <v>0.59033612541737168</v>
      </c>
      <c r="V1440" s="35">
        <f t="shared" si="333"/>
        <v>7.3562542714694446E-3</v>
      </c>
      <c r="W1440" s="35">
        <f t="shared" si="334"/>
        <v>3.4107964781937485E-2</v>
      </c>
      <c r="X1440" s="35">
        <f t="shared" si="335"/>
        <v>1.591950754362224E-2</v>
      </c>
      <c r="Y1440" s="32">
        <f t="shared" si="336"/>
        <v>-17275.427531118843</v>
      </c>
      <c r="Z1440" s="32">
        <f t="shared" si="329"/>
        <v>334854.94424667128</v>
      </c>
      <c r="AA1440" s="32">
        <f t="shared" si="330"/>
        <v>119001.50279008497</v>
      </c>
      <c r="AB1440" s="40">
        <f t="shared" si="337"/>
        <v>-3.95698089456126E-2</v>
      </c>
      <c r="AC1440" s="40">
        <f t="shared" si="338"/>
        <v>0.7669938208166821</v>
      </c>
      <c r="AD1440" s="40">
        <f t="shared" si="339"/>
        <v>0.27257598812893041</v>
      </c>
      <c r="AE1440" s="40"/>
      <c r="AF1440" s="40"/>
      <c r="AG1440" s="40"/>
      <c r="AH1440" s="40"/>
      <c r="AI1440" s="40"/>
      <c r="AJ1440" s="40"/>
      <c r="AK1440" s="33">
        <f t="shared" si="331"/>
        <v>9817500</v>
      </c>
      <c r="AL1440" s="33">
        <f t="shared" si="332"/>
        <v>7475200</v>
      </c>
      <c r="AM1440" s="34"/>
      <c r="AN1440" s="33"/>
      <c r="AO1440" s="15" cm="1">
        <f t="array" ref="AO1440">SUMPRODUCT(I1440:K1440, TRANSPOSE($AY$5:$AY$7))</f>
        <v>9.3481853842945772E-3</v>
      </c>
      <c r="AP1440" s="22">
        <f t="shared" si="340"/>
        <v>16189542.72168909</v>
      </c>
      <c r="AQ1440" s="22">
        <f t="shared" si="341"/>
        <v>149941.16880656406</v>
      </c>
      <c r="AR1440">
        <f t="shared" si="342"/>
        <v>0</v>
      </c>
      <c r="AS1440">
        <f t="shared" si="343"/>
        <v>0</v>
      </c>
      <c r="BJ1440">
        <f t="shared" si="317"/>
        <v>3.6141721310016855E-5</v>
      </c>
      <c r="BK1440">
        <f t="shared" si="319"/>
        <v>5.3956179422041247E-5</v>
      </c>
      <c r="BO1440">
        <f t="shared" si="320"/>
        <v>6.0390576972488547E-5</v>
      </c>
      <c r="BP1440">
        <f t="shared" si="318"/>
        <v>3.6391670864263399</v>
      </c>
    </row>
    <row r="1441" spans="1:68" x14ac:dyDescent="0.15">
      <c r="A1441" s="5">
        <v>45687</v>
      </c>
      <c r="B1441" s="1"/>
      <c r="C1441">
        <v>78.680000000000007</v>
      </c>
      <c r="D1441">
        <v>140.1</v>
      </c>
      <c r="E1441">
        <v>93.8</v>
      </c>
      <c r="G1441" s="3">
        <v>5.9233200609984903E-3</v>
      </c>
      <c r="I1441" s="15">
        <f t="shared" si="321"/>
        <v>5.1098620337251622E-3</v>
      </c>
      <c r="J1441" s="15">
        <f t="shared" si="322"/>
        <v>-1.0695187165775807E-3</v>
      </c>
      <c r="K1441" s="15">
        <f t="shared" si="323"/>
        <v>3.8527397260273914E-3</v>
      </c>
      <c r="L1441" s="32">
        <f t="shared" si="324"/>
        <v>436593.62962579506</v>
      </c>
      <c r="M1441" s="15"/>
      <c r="N1441" s="32">
        <f t="shared" si="325"/>
        <v>-2360400</v>
      </c>
      <c r="O1441" s="34">
        <f t="shared" si="326"/>
        <v>-0.14578009535413736</v>
      </c>
      <c r="P1441" s="34">
        <f t="shared" si="327"/>
        <v>0.6056877627258197</v>
      </c>
      <c r="Q1441" s="34">
        <f t="shared" si="328"/>
        <v>0.46345273493367506</v>
      </c>
      <c r="R1441" s="35" cm="1">
        <f t="array" ref="R1441">SQRT(MMULT(O1441:Q1441, MMULT($AU$32:$AW$34,TRANSPOSE(O1441:Q1441))))</f>
        <v>1.1572684079489205E-2</v>
      </c>
      <c r="S1441" s="36" cm="1">
        <f t="array" ref="S1441:U1441">TRANSPOSE(MMULT($AU$32:$AW$34, TRANSPOSE(O1441:Q1441))/MMULT(O1441:Q1441, MMULT($AU$32:$AW$34,TRANSPOSE(O1441:Q1441))))</f>
        <v>0.2727205909924309</v>
      </c>
      <c r="T1441" s="36">
        <v>1.264107871396033</v>
      </c>
      <c r="U1441" s="36">
        <v>0.5914358566233916</v>
      </c>
      <c r="V1441" s="35">
        <f t="shared" si="333"/>
        <v>7.3537345327578914E-3</v>
      </c>
      <c r="W1441" s="35">
        <f t="shared" si="334"/>
        <v>3.408585201868413E-2</v>
      </c>
      <c r="X1441" s="35">
        <f t="shared" si="335"/>
        <v>1.594768575022408E-2</v>
      </c>
      <c r="Y1441" s="32">
        <f t="shared" si="336"/>
        <v>-17357.754991121728</v>
      </c>
      <c r="Z1441" s="32">
        <f t="shared" si="329"/>
        <v>334279.95074723527</v>
      </c>
      <c r="AA1441" s="32">
        <f t="shared" si="330"/>
        <v>119671.4338696815</v>
      </c>
      <c r="AB1441" s="40">
        <f t="shared" si="337"/>
        <v>-3.9757233759913267E-2</v>
      </c>
      <c r="AC1441" s="40">
        <f t="shared" si="338"/>
        <v>0.76565466846996144</v>
      </c>
      <c r="AD1441" s="40">
        <f t="shared" si="339"/>
        <v>0.27410256528995175</v>
      </c>
      <c r="AE1441" s="40"/>
      <c r="AF1441" s="40"/>
      <c r="AG1441" s="40"/>
      <c r="AH1441" s="40"/>
      <c r="AI1441" s="40"/>
      <c r="AJ1441" s="40"/>
      <c r="AK1441" s="33">
        <f t="shared" si="331"/>
        <v>9807000</v>
      </c>
      <c r="AL1441" s="33">
        <f t="shared" si="332"/>
        <v>7504000</v>
      </c>
      <c r="AM1441" s="34"/>
      <c r="AN1441" s="33"/>
      <c r="AO1441" s="15" cm="1">
        <f t="array" ref="AO1441">SUMPRODUCT(I1441:K1441, TRANSPOSE($AY$5:$AY$7))</f>
        <v>1.2156972244584683E-4</v>
      </c>
      <c r="AP1441" s="22">
        <f t="shared" si="340"/>
        <v>16191510.879904293</v>
      </c>
      <c r="AQ1441" s="22">
        <f t="shared" si="341"/>
        <v>1968.1582152023911</v>
      </c>
      <c r="AR1441">
        <f t="shared" si="342"/>
        <v>0</v>
      </c>
      <c r="AS1441">
        <f t="shared" si="343"/>
        <v>0</v>
      </c>
      <c r="BJ1441">
        <f t="shared" si="317"/>
        <v>3.5085720545027161E-5</v>
      </c>
      <c r="BK1441">
        <f t="shared" si="319"/>
        <v>5.2887311935319782E-5</v>
      </c>
      <c r="BO1441">
        <f t="shared" si="320"/>
        <v>5.8456225406384181E-5</v>
      </c>
      <c r="BP1441">
        <f t="shared" si="318"/>
        <v>3.6545751353541096</v>
      </c>
    </row>
    <row r="1442" spans="1:68" x14ac:dyDescent="0.15">
      <c r="A1442" s="5">
        <v>45688</v>
      </c>
      <c r="B1442" s="1"/>
      <c r="C1442">
        <v>77.48</v>
      </c>
      <c r="D1442">
        <v>139.4</v>
      </c>
      <c r="E1442">
        <v>95.58</v>
      </c>
      <c r="G1442" s="3">
        <v>-5.9095870245928707E-4</v>
      </c>
      <c r="I1442" s="15">
        <f t="shared" si="321"/>
        <v>-1.5251652262328453E-2</v>
      </c>
      <c r="J1442" s="15">
        <f t="shared" si="322"/>
        <v>-4.9964311206280422E-3</v>
      </c>
      <c r="K1442" s="15">
        <f t="shared" si="323"/>
        <v>1.8976545842217498E-2</v>
      </c>
      <c r="L1442" s="32">
        <f t="shared" si="324"/>
        <v>437477.37122743233</v>
      </c>
      <c r="M1442" s="15"/>
      <c r="N1442" s="32">
        <f t="shared" si="325"/>
        <v>-2324400</v>
      </c>
      <c r="O1442" s="34">
        <f t="shared" si="326"/>
        <v>-0.14119666384837093</v>
      </c>
      <c r="P1442" s="34">
        <f t="shared" si="327"/>
        <v>0.59275384866305436</v>
      </c>
      <c r="Q1442" s="34">
        <f t="shared" si="328"/>
        <v>0.46448381106960224</v>
      </c>
      <c r="R1442" s="35" cm="1">
        <f t="array" ref="R1442">SQRT(MMULT(O1442:Q1442, MMULT($AU$32:$AW$34,TRANSPOSE(O1442:Q1442))))</f>
        <v>1.1405471443176206E-2</v>
      </c>
      <c r="S1442" s="36" cm="1">
        <f t="array" ref="S1442:U1442">TRANSPOSE(MMULT($AU$32:$AW$34, TRANSPOSE(O1442:Q1442))/MMULT(O1442:Q1442, MMULT($AU$32:$AW$34,TRANSPOSE(O1442:Q1442))))</f>
        <v>0.28150650944017652</v>
      </c>
      <c r="T1442" s="36">
        <v>1.2783900620784157</v>
      </c>
      <c r="U1442" s="36">
        <v>0.60707638000480724</v>
      </c>
      <c r="V1442" s="35">
        <f t="shared" si="333"/>
        <v>7.4809646789573813E-3</v>
      </c>
      <c r="W1442" s="35">
        <f t="shared" si="334"/>
        <v>3.3972894336822212E-2</v>
      </c>
      <c r="X1442" s="35">
        <f t="shared" si="335"/>
        <v>1.6132902096213864E-2</v>
      </c>
      <c r="Y1442" s="32">
        <f t="shared" si="336"/>
        <v>-17388.754299768538</v>
      </c>
      <c r="Z1442" s="32">
        <f t="shared" si="329"/>
        <v>331507.50293871114</v>
      </c>
      <c r="AA1442" s="32">
        <f t="shared" si="330"/>
        <v>123358.62258848968</v>
      </c>
      <c r="AB1442" s="40">
        <f t="shared" si="337"/>
        <v>-3.9747779984552867E-2</v>
      </c>
      <c r="AC1442" s="40">
        <f t="shared" si="338"/>
        <v>0.75777062938958184</v>
      </c>
      <c r="AD1442" s="40">
        <f t="shared" si="339"/>
        <v>0.28197715059497092</v>
      </c>
      <c r="AE1442" s="40"/>
      <c r="AF1442" s="40"/>
      <c r="AG1442" s="40"/>
      <c r="AH1442" s="40"/>
      <c r="AI1442" s="40"/>
      <c r="AJ1442" s="40"/>
      <c r="AK1442" s="33">
        <f t="shared" si="331"/>
        <v>9758000</v>
      </c>
      <c r="AL1442" s="33">
        <f t="shared" si="332"/>
        <v>7646400</v>
      </c>
      <c r="AM1442" s="34"/>
      <c r="AN1442" s="33"/>
      <c r="AO1442" s="15" cm="1">
        <f t="array" ref="AO1442">SUMPRODUCT(I1442:K1442, TRANSPOSE($AY$5:$AY$7))</f>
        <v>1.6714588860190401E-2</v>
      </c>
      <c r="AP1442" s="22">
        <f t="shared" si="340"/>
        <v>16462145.327287193</v>
      </c>
      <c r="AQ1442" s="22">
        <f t="shared" si="341"/>
        <v>270634.44738290086</v>
      </c>
      <c r="AR1442">
        <f t="shared" si="342"/>
        <v>0</v>
      </c>
      <c r="AS1442">
        <f t="shared" si="343"/>
        <v>0</v>
      </c>
      <c r="BJ1442">
        <f t="shared" si="317"/>
        <v>3.492321880123642E-7</v>
      </c>
      <c r="BK1442">
        <f t="shared" si="319"/>
        <v>5.1819216451902225E-5</v>
      </c>
      <c r="BO1442">
        <f t="shared" si="320"/>
        <v>5.6788565180991762E-5</v>
      </c>
      <c r="BP1442">
        <f t="shared" si="318"/>
        <v>3.9660744056388051</v>
      </c>
    </row>
    <row r="1443" spans="1:68" x14ac:dyDescent="0.15">
      <c r="A1443" s="5">
        <v>45691</v>
      </c>
      <c r="B1443" s="1"/>
      <c r="C1443">
        <v>77.86</v>
      </c>
      <c r="D1443">
        <v>138.85</v>
      </c>
      <c r="E1443">
        <v>96.09</v>
      </c>
      <c r="G1443" s="3">
        <v>-3.9941531468291602E-3</v>
      </c>
      <c r="I1443" s="15">
        <f t="shared" si="321"/>
        <v>4.904491481672631E-3</v>
      </c>
      <c r="J1443" s="15">
        <f t="shared" si="322"/>
        <v>-3.9454806312769824E-3</v>
      </c>
      <c r="K1443" s="15">
        <f t="shared" si="323"/>
        <v>5.3358443188952203E-3</v>
      </c>
      <c r="L1443" s="32">
        <f t="shared" si="324"/>
        <v>436744.32741373737</v>
      </c>
      <c r="M1443" s="15"/>
      <c r="N1443" s="32">
        <f t="shared" si="325"/>
        <v>-2335800</v>
      </c>
      <c r="O1443" s="34">
        <f t="shared" si="326"/>
        <v>-0.14197361752741075</v>
      </c>
      <c r="P1443" s="34">
        <f t="shared" si="327"/>
        <v>0.5907665791410518</v>
      </c>
      <c r="Q1443" s="34">
        <f t="shared" si="328"/>
        <v>0.46724017152868907</v>
      </c>
      <c r="R1443" s="35" cm="1">
        <f t="array" ref="R1443">SQRT(MMULT(O1443:Q1443, MMULT($AU$32:$AW$34,TRANSPOSE(O1443:Q1443))))</f>
        <v>1.1393137695424164E-2</v>
      </c>
      <c r="S1443" s="36" cm="1">
        <f t="array" ref="S1443:U1443">TRANSPOSE(MMULT($AU$32:$AW$34, TRANSPOSE(O1443:Q1443))/MMULT(O1443:Q1443, MMULT($AU$32:$AW$34,TRANSPOSE(O1443:Q1443))))</f>
        <v>0.28202041956668422</v>
      </c>
      <c r="T1443" s="36">
        <v>1.2781290753600607</v>
      </c>
      <c r="U1443" s="36">
        <v>0.60988659579285454</v>
      </c>
      <c r="V1443" s="35">
        <f t="shared" si="333"/>
        <v>7.4865171121937515E-3</v>
      </c>
      <c r="W1443" s="35">
        <f t="shared" si="334"/>
        <v>3.3929228277078456E-2</v>
      </c>
      <c r="X1443" s="35">
        <f t="shared" si="335"/>
        <v>1.6190056177195277E-2</v>
      </c>
      <c r="Y1443" s="32">
        <f t="shared" si="336"/>
        <v>-17487.006670662166</v>
      </c>
      <c r="Z1443" s="32">
        <f t="shared" si="329"/>
        <v>329775.13423906406</v>
      </c>
      <c r="AA1443" s="32">
        <f t="shared" si="330"/>
        <v>124456.19984533553</v>
      </c>
      <c r="AB1443" s="40">
        <f t="shared" si="337"/>
        <v>-4.0039459182480336E-2</v>
      </c>
      <c r="AC1443" s="40">
        <f t="shared" si="338"/>
        <v>0.75507594155117885</v>
      </c>
      <c r="AD1443" s="40">
        <f t="shared" si="339"/>
        <v>0.28496351763130168</v>
      </c>
      <c r="AE1443" s="40"/>
      <c r="AF1443" s="40"/>
      <c r="AG1443" s="40"/>
      <c r="AH1443" s="40"/>
      <c r="AI1443" s="40"/>
      <c r="AJ1443" s="40"/>
      <c r="AK1443" s="33">
        <f t="shared" si="331"/>
        <v>9719500</v>
      </c>
      <c r="AL1443" s="33">
        <f t="shared" si="332"/>
        <v>7687200</v>
      </c>
      <c r="AM1443" s="34"/>
      <c r="AN1443" s="33"/>
      <c r="AO1443" s="15" cm="1">
        <f t="array" ref="AO1443">SUMPRODUCT(I1443:K1443, TRANSPOSE($AY$5:$AY$7))</f>
        <v>-5.9486998659166648E-4</v>
      </c>
      <c r="AP1443" s="22">
        <f t="shared" si="340"/>
        <v>16452352.491117081</v>
      </c>
      <c r="AQ1443" s="22">
        <f t="shared" si="341"/>
        <v>-9792.8361701127142</v>
      </c>
      <c r="AR1443">
        <f t="shared" si="342"/>
        <v>0</v>
      </c>
      <c r="AS1443">
        <f t="shared" si="343"/>
        <v>0</v>
      </c>
      <c r="BJ1443">
        <f t="shared" si="317"/>
        <v>1.5953259360325285E-5</v>
      </c>
      <c r="BK1443">
        <f t="shared" si="319"/>
        <v>4.8731017396068836E-5</v>
      </c>
      <c r="BO1443">
        <f t="shared" si="320"/>
        <v>5.0533310592475132E-5</v>
      </c>
      <c r="BP1443">
        <f t="shared" si="318"/>
        <v>3.8696514351824876</v>
      </c>
    </row>
    <row r="1444" spans="1:68" x14ac:dyDescent="0.15">
      <c r="A1444" s="5">
        <v>45692</v>
      </c>
      <c r="B1444" s="1"/>
      <c r="C1444">
        <v>77.459999999999994</v>
      </c>
      <c r="D1444">
        <v>139.30000000000001</v>
      </c>
      <c r="E1444">
        <v>95.59</v>
      </c>
      <c r="G1444" s="3">
        <v>-5.6812238390576697E-3</v>
      </c>
      <c r="I1444" s="15">
        <f t="shared" si="321"/>
        <v>-5.1374261494991739E-3</v>
      </c>
      <c r="J1444" s="15">
        <f t="shared" si="322"/>
        <v>3.2409074540872673E-3</v>
      </c>
      <c r="K1444" s="15">
        <f t="shared" si="323"/>
        <v>-5.2034550941825368E-3</v>
      </c>
      <c r="L1444" s="32">
        <f t="shared" si="324"/>
        <v>437256.97211617563</v>
      </c>
      <c r="M1444" s="15"/>
      <c r="N1444" s="32">
        <f t="shared" si="325"/>
        <v>-2323800</v>
      </c>
      <c r="O1444" s="34">
        <f t="shared" si="326"/>
        <v>-0.141198892190565</v>
      </c>
      <c r="P1444" s="34">
        <f t="shared" si="327"/>
        <v>0.59249091907659834</v>
      </c>
      <c r="Q1444" s="34">
        <f t="shared" si="328"/>
        <v>0.46465968171085664</v>
      </c>
      <c r="R1444" s="35" cm="1">
        <f t="array" ref="R1444">SQRT(MMULT(O1444:Q1444, MMULT($AU$32:$AW$34,TRANSPOSE(O1444:Q1444))))</f>
        <v>1.1402848757308634E-2</v>
      </c>
      <c r="S1444" s="36" cm="1">
        <f t="array" ref="S1444:U1444">TRANSPOSE(MMULT($AU$32:$AW$34, TRANSPOSE(O1444:Q1444))/MMULT(O1444:Q1444, MMULT($AU$32:$AW$34,TRANSPOSE(O1444:Q1444))))</f>
        <v>0.2816314784151473</v>
      </c>
      <c r="T1444" s="36">
        <v>1.2785378855783778</v>
      </c>
      <c r="U1444" s="36">
        <v>0.60742082209159221</v>
      </c>
      <c r="V1444" s="35">
        <f t="shared" si="333"/>
        <v>7.4825646880398141E-3</v>
      </c>
      <c r="W1444" s="35">
        <f t="shared" si="334"/>
        <v>3.3969009745592839E-2</v>
      </c>
      <c r="X1444" s="35">
        <f t="shared" si="335"/>
        <v>1.613834369559667E-2</v>
      </c>
      <c r="Y1444" s="32">
        <f t="shared" si="336"/>
        <v>-17387.983822066919</v>
      </c>
      <c r="Z1444" s="32">
        <f t="shared" si="329"/>
        <v>331231.81402927579</v>
      </c>
      <c r="AA1444" s="32">
        <f t="shared" si="330"/>
        <v>123413.14190896685</v>
      </c>
      <c r="AB1444" s="40">
        <f t="shared" si="337"/>
        <v>-3.9766052758209817E-2</v>
      </c>
      <c r="AC1444" s="40">
        <f t="shared" si="338"/>
        <v>0.75752208690058387</v>
      </c>
      <c r="AD1444" s="40">
        <f t="shared" si="339"/>
        <v>0.28224396585762612</v>
      </c>
      <c r="AE1444" s="40"/>
      <c r="AF1444" s="40"/>
      <c r="AG1444" s="40"/>
      <c r="AH1444" s="40"/>
      <c r="AI1444" s="40"/>
      <c r="AJ1444" s="40"/>
      <c r="AK1444" s="33">
        <f t="shared" si="331"/>
        <v>9751000</v>
      </c>
      <c r="AL1444" s="33">
        <f t="shared" si="332"/>
        <v>7647200</v>
      </c>
      <c r="AM1444" s="34"/>
      <c r="AN1444" s="33"/>
      <c r="AO1444" s="15" cm="1">
        <f t="array" ref="AO1444">SUMPRODUCT(I1444:K1444, TRANSPOSE($AY$5:$AY$7))</f>
        <v>3.2115238949800449E-4</v>
      </c>
      <c r="AP1444" s="22">
        <f t="shared" si="340"/>
        <v>16457636.203432465</v>
      </c>
      <c r="AQ1444" s="22">
        <f t="shared" si="341"/>
        <v>5283.7123153842986</v>
      </c>
      <c r="AR1444">
        <f t="shared" si="342"/>
        <v>0</v>
      </c>
      <c r="AS1444">
        <f t="shared" si="343"/>
        <v>0</v>
      </c>
      <c r="BJ1444">
        <f t="shared" si="317"/>
        <v>3.2276304309477167E-5</v>
      </c>
      <c r="BK1444">
        <f t="shared" si="319"/>
        <v>4.6764351913924218E-5</v>
      </c>
      <c r="BO1444">
        <f t="shared" si="320"/>
        <v>4.7849149881483718E-5</v>
      </c>
      <c r="BP1444">
        <f t="shared" si="318"/>
        <v>3.7175186202154631</v>
      </c>
    </row>
    <row r="1445" spans="1:68" x14ac:dyDescent="0.15">
      <c r="A1445" s="5">
        <v>45693</v>
      </c>
      <c r="B1445" s="1"/>
      <c r="C1445">
        <v>77.260000000000005</v>
      </c>
      <c r="D1445">
        <v>140.25</v>
      </c>
      <c r="E1445">
        <v>98.58</v>
      </c>
      <c r="G1445" s="3">
        <v>8.3318408025592205E-3</v>
      </c>
      <c r="I1445" s="15">
        <f t="shared" si="321"/>
        <v>-2.5819777949908167E-3</v>
      </c>
      <c r="J1445" s="15">
        <f t="shared" si="322"/>
        <v>6.8198133524765871E-3</v>
      </c>
      <c r="K1445" s="15">
        <f t="shared" si="323"/>
        <v>3.1279422533737784E-2</v>
      </c>
      <c r="L1445" s="32">
        <f t="shared" si="324"/>
        <v>443439.87702654547</v>
      </c>
      <c r="M1445" s="15"/>
      <c r="N1445" s="32">
        <f t="shared" si="325"/>
        <v>-2317800</v>
      </c>
      <c r="O1445" s="34">
        <f t="shared" si="326"/>
        <v>-0.13692471297793121</v>
      </c>
      <c r="P1445" s="34">
        <f t="shared" si="327"/>
        <v>0.57997168420952616</v>
      </c>
      <c r="Q1445" s="34">
        <f t="shared" si="328"/>
        <v>0.46589138684492054</v>
      </c>
      <c r="R1445" s="35" cm="1">
        <f t="array" ref="R1445">SQRT(MMULT(O1445:Q1445, MMULT($AU$32:$AW$34,TRANSPOSE(O1445:Q1445))))</f>
        <v>1.1243064568930219E-2</v>
      </c>
      <c r="S1445" s="36" cm="1">
        <f t="array" ref="S1445:U1445">TRANSPOSE(MMULT($AU$32:$AW$34, TRANSPOSE(O1445:Q1445))/MMULT(O1445:Q1445, MMULT($AU$32:$AW$34,TRANSPOSE(O1445:Q1445))))</f>
        <v>0.2903724460835635</v>
      </c>
      <c r="T1445" s="36">
        <v>1.2922096342551612</v>
      </c>
      <c r="U1445" s="36">
        <v>0.62313701026326529</v>
      </c>
      <c r="V1445" s="35">
        <f t="shared" si="333"/>
        <v>7.6066954536288117E-3</v>
      </c>
      <c r="W1445" s="35">
        <f t="shared" si="334"/>
        <v>3.3851163506042038E-2</v>
      </c>
      <c r="X1445" s="35">
        <f t="shared" si="335"/>
        <v>1.6323909265114456E-2</v>
      </c>
      <c r="Y1445" s="32">
        <f t="shared" si="336"/>
        <v>-17630.798722420859</v>
      </c>
      <c r="Z1445" s="32">
        <f t="shared" si="329"/>
        <v>332333.79772056773</v>
      </c>
      <c r="AA1445" s="32">
        <f t="shared" si="330"/>
        <v>128736.87802839864</v>
      </c>
      <c r="AB1445" s="40">
        <f t="shared" si="337"/>
        <v>-3.9759163836691744E-2</v>
      </c>
      <c r="AC1445" s="40">
        <f t="shared" si="338"/>
        <v>0.74944499793074171</v>
      </c>
      <c r="AD1445" s="40">
        <f t="shared" si="339"/>
        <v>0.29031416590595011</v>
      </c>
      <c r="AE1445" s="40"/>
      <c r="AF1445" s="40"/>
      <c r="AG1445" s="40"/>
      <c r="AH1445" s="40"/>
      <c r="AI1445" s="40"/>
      <c r="AJ1445" s="40"/>
      <c r="AK1445" s="33">
        <f t="shared" si="331"/>
        <v>9817500</v>
      </c>
      <c r="AL1445" s="33">
        <f t="shared" si="332"/>
        <v>7886400</v>
      </c>
      <c r="AM1445" s="34"/>
      <c r="AN1445" s="33"/>
      <c r="AO1445" s="15" cm="1">
        <f t="array" ref="AO1445">SUMPRODUCT(I1445:K1445, TRANSPOSE($AY$5:$AY$7))</f>
        <v>2.8552966979383313E-2</v>
      </c>
      <c r="AP1445" s="22">
        <f t="shared" si="340"/>
        <v>16927550.546507776</v>
      </c>
      <c r="AQ1445" s="22">
        <f t="shared" si="341"/>
        <v>469914.34307531081</v>
      </c>
      <c r="AR1445">
        <f t="shared" si="342"/>
        <v>0</v>
      </c>
      <c r="AS1445">
        <f t="shared" si="343"/>
        <v>0</v>
      </c>
      <c r="BJ1445">
        <f t="shared" si="317"/>
        <v>6.941957115919067E-5</v>
      </c>
      <c r="BK1445">
        <f t="shared" si="319"/>
        <v>4.5895069057657393E-5</v>
      </c>
      <c r="BO1445">
        <f t="shared" si="320"/>
        <v>4.8068482216419323E-5</v>
      </c>
      <c r="BP1445">
        <f t="shared" si="318"/>
        <v>3.3304130749170739</v>
      </c>
    </row>
    <row r="1446" spans="1:68" x14ac:dyDescent="0.15">
      <c r="A1446" s="5">
        <v>45694</v>
      </c>
      <c r="B1446" s="1"/>
      <c r="C1446">
        <v>77.5</v>
      </c>
      <c r="D1446">
        <v>141.15</v>
      </c>
      <c r="E1446">
        <v>97.71</v>
      </c>
      <c r="G1446" s="3">
        <v>3.5587691781475599E-3</v>
      </c>
      <c r="I1446" s="15">
        <f t="shared" si="321"/>
        <v>3.1063939943048778E-3</v>
      </c>
      <c r="J1446" s="15">
        <f t="shared" si="322"/>
        <v>6.4171122994652816E-3</v>
      </c>
      <c r="K1446" s="15">
        <f t="shared" si="323"/>
        <v>-8.8253195374315748E-3</v>
      </c>
      <c r="L1446" s="32">
        <f t="shared" si="324"/>
        <v>444387.84332629194</v>
      </c>
      <c r="M1446" s="15"/>
      <c r="N1446" s="32">
        <f t="shared" si="325"/>
        <v>-2325000</v>
      </c>
      <c r="O1446" s="34">
        <f t="shared" si="326"/>
        <v>-0.13783395810744373</v>
      </c>
      <c r="P1446" s="34">
        <f t="shared" si="327"/>
        <v>0.58574985938950441</v>
      </c>
      <c r="Q1446" s="34">
        <f t="shared" si="328"/>
        <v>0.46340665967065203</v>
      </c>
      <c r="R1446" s="35" cm="1">
        <f t="array" ref="R1446">SQRT(MMULT(O1446:Q1446, MMULT($AU$32:$AW$34,TRANSPOSE(O1446:Q1446))))</f>
        <v>1.130679503078008E-2</v>
      </c>
      <c r="S1446" s="36" cm="1">
        <f t="array" ref="S1446:U1446">TRANSPOSE(MMULT($AU$32:$AW$34, TRANSPOSE(O1446:Q1446))/MMULT(O1446:Q1446, MMULT($AU$32:$AW$34,TRANSPOSE(O1446:Q1446))))</f>
        <v>0.28692532407615917</v>
      </c>
      <c r="T1446" s="36">
        <v>1.287747597812319</v>
      </c>
      <c r="U1446" s="36">
        <v>0.61555023605761361</v>
      </c>
      <c r="V1446" s="35">
        <f t="shared" si="333"/>
        <v>7.558999580333424E-3</v>
      </c>
      <c r="W1446" s="35">
        <f t="shared" si="334"/>
        <v>3.3925494665834922E-2</v>
      </c>
      <c r="X1446" s="35">
        <f t="shared" si="335"/>
        <v>1.6216567816086533E-2</v>
      </c>
      <c r="Y1446" s="32">
        <f t="shared" si="336"/>
        <v>-17574.674024275209</v>
      </c>
      <c r="Z1446" s="32">
        <f t="shared" si="329"/>
        <v>335200.85004578193</v>
      </c>
      <c r="AA1446" s="32">
        <f t="shared" si="330"/>
        <v>126761.66730478519</v>
      </c>
      <c r="AB1446" s="40">
        <f t="shared" si="337"/>
        <v>-3.9548053098678038E-2</v>
      </c>
      <c r="AC1446" s="40">
        <f t="shared" si="338"/>
        <v>0.75429797434773793</v>
      </c>
      <c r="AD1446" s="40">
        <f t="shared" si="339"/>
        <v>0.28525007875094005</v>
      </c>
      <c r="AE1446" s="40"/>
      <c r="AF1446" s="40"/>
      <c r="AG1446" s="40"/>
      <c r="AH1446" s="40"/>
      <c r="AI1446" s="40"/>
      <c r="AJ1446" s="40"/>
      <c r="AK1446" s="33">
        <f t="shared" si="331"/>
        <v>9880500</v>
      </c>
      <c r="AL1446" s="33">
        <f t="shared" si="332"/>
        <v>7816799.9999999991</v>
      </c>
      <c r="AM1446" s="34"/>
      <c r="AN1446" s="33"/>
      <c r="AO1446" s="15" cm="1">
        <f t="array" ref="AO1446">SUMPRODUCT(I1446:K1446, TRANSPOSE($AY$5:$AY$7))</f>
        <v>-3.5107678114323368E-3</v>
      </c>
      <c r="AP1446" s="22">
        <f t="shared" si="340"/>
        <v>16868121.846922703</v>
      </c>
      <c r="AQ1446" s="22">
        <f t="shared" si="341"/>
        <v>-59428.699585072696</v>
      </c>
      <c r="AR1446">
        <f t="shared" si="342"/>
        <v>0</v>
      </c>
      <c r="AS1446">
        <f t="shared" si="343"/>
        <v>0</v>
      </c>
      <c r="BJ1446">
        <f t="shared" si="317"/>
        <v>1.2664838063333058E-5</v>
      </c>
      <c r="BK1446">
        <f t="shared" si="319"/>
        <v>4.730653918374939E-5</v>
      </c>
      <c r="BO1446">
        <f t="shared" si="320"/>
        <v>5.3530472931962171E-5</v>
      </c>
      <c r="BP1446">
        <f t="shared" si="318"/>
        <v>3.8803956132845863</v>
      </c>
    </row>
    <row r="1447" spans="1:68" x14ac:dyDescent="0.15">
      <c r="A1447" s="5">
        <v>45695</v>
      </c>
      <c r="B1447" s="1"/>
      <c r="C1447">
        <v>77.5</v>
      </c>
      <c r="D1447">
        <v>141.65</v>
      </c>
      <c r="E1447">
        <v>96.83</v>
      </c>
      <c r="G1447" s="3">
        <v>-2.44492132704454E-3</v>
      </c>
      <c r="I1447" s="15">
        <f t="shared" si="321"/>
        <v>0</v>
      </c>
      <c r="J1447" s="15">
        <f t="shared" si="322"/>
        <v>3.5423308537017354E-3</v>
      </c>
      <c r="K1447" s="15">
        <f t="shared" si="323"/>
        <v>-9.0062429638726391E-3</v>
      </c>
      <c r="L1447" s="32">
        <f t="shared" si="324"/>
        <v>444437.71503369452</v>
      </c>
      <c r="M1447" s="15"/>
      <c r="N1447" s="32">
        <f t="shared" si="325"/>
        <v>-2325000</v>
      </c>
      <c r="O1447" s="34">
        <f t="shared" si="326"/>
        <v>-0.13843044425095449</v>
      </c>
      <c r="P1447" s="34">
        <f t="shared" si="327"/>
        <v>0.59036863224530722</v>
      </c>
      <c r="Q1447" s="34">
        <f t="shared" si="328"/>
        <v>0.46122047025616941</v>
      </c>
      <c r="R1447" s="35" cm="1">
        <f t="array" ref="R1447">SQRT(MMULT(O1447:Q1447, MMULT($AU$32:$AW$34,TRANSPOSE(O1447:Q1447))))</f>
        <v>1.1357000384695823E-2</v>
      </c>
      <c r="S1447" s="36" cm="1">
        <f t="array" ref="S1447:U1447">TRANSPOSE(MMULT($AU$32:$AW$34, TRANSPOSE(O1447:Q1447))/MMULT(O1447:Q1447, MMULT($AU$32:$AW$34,TRANSPOSE(O1447:Q1447))))</f>
        <v>0.28428150299680038</v>
      </c>
      <c r="T1447" s="36">
        <v>1.2843261811377742</v>
      </c>
      <c r="U1447" s="36">
        <v>0.60952915572217981</v>
      </c>
      <c r="V1447" s="35">
        <f t="shared" si="333"/>
        <v>7.5226033736290054E-3</v>
      </c>
      <c r="W1447" s="35">
        <f t="shared" si="334"/>
        <v>3.3985596534487919E-2</v>
      </c>
      <c r="X1447" s="35">
        <f t="shared" si="335"/>
        <v>1.6129245254526872E-2</v>
      </c>
      <c r="Y1447" s="32">
        <f t="shared" si="336"/>
        <v>-17490.052843687437</v>
      </c>
      <c r="Z1447" s="32">
        <f t="shared" si="329"/>
        <v>336984.18243771495</v>
      </c>
      <c r="AA1447" s="32">
        <f t="shared" si="330"/>
        <v>124943.58543966696</v>
      </c>
      <c r="AB1447" s="40">
        <f t="shared" si="337"/>
        <v>-3.9353214752176131E-2</v>
      </c>
      <c r="AC1447" s="40">
        <f t="shared" si="338"/>
        <v>0.75822589091514636</v>
      </c>
      <c r="AD1447" s="40">
        <f t="shared" si="339"/>
        <v>0.28112732383702971</v>
      </c>
      <c r="AE1447" s="40"/>
      <c r="AF1447" s="40"/>
      <c r="AG1447" s="40"/>
      <c r="AH1447" s="40"/>
      <c r="AI1447" s="40"/>
      <c r="AJ1447" s="40"/>
      <c r="AK1447" s="33">
        <f t="shared" si="331"/>
        <v>9915500</v>
      </c>
      <c r="AL1447" s="33">
        <f t="shared" si="332"/>
        <v>7746400</v>
      </c>
      <c r="AM1447" s="34"/>
      <c r="AN1447" s="33"/>
      <c r="AO1447" s="15" cm="1">
        <f t="array" ref="AO1447">SUMPRODUCT(I1447:K1447, TRANSPOSE($AY$5:$AY$7))</f>
        <v>-4.3089231327569765E-3</v>
      </c>
      <c r="AP1447" s="22">
        <f t="shared" si="340"/>
        <v>16795438.406490333</v>
      </c>
      <c r="AQ1447" s="22">
        <f t="shared" si="341"/>
        <v>-72683.440432369709</v>
      </c>
      <c r="AR1447">
        <f t="shared" si="342"/>
        <v>0</v>
      </c>
      <c r="AS1447">
        <f t="shared" si="343"/>
        <v>0</v>
      </c>
      <c r="BJ1447">
        <f t="shared" si="317"/>
        <v>5.9776402954372345E-6</v>
      </c>
      <c r="BK1447">
        <f t="shared" si="319"/>
        <v>4.5228037116524414E-5</v>
      </c>
      <c r="BO1447">
        <f t="shared" si="320"/>
        <v>4.973172295585313E-5</v>
      </c>
      <c r="BP1447">
        <f t="shared" si="318"/>
        <v>3.9753963707346851</v>
      </c>
    </row>
    <row r="1448" spans="1:68" x14ac:dyDescent="0.15">
      <c r="A1448" s="5">
        <v>45698</v>
      </c>
      <c r="B1448" s="1"/>
      <c r="C1448">
        <v>77.36</v>
      </c>
      <c r="D1448">
        <v>142</v>
      </c>
      <c r="E1448">
        <v>96.94</v>
      </c>
      <c r="G1448" s="3">
        <v>2.73972193358251E-3</v>
      </c>
      <c r="I1448" s="15">
        <f t="shared" si="321"/>
        <v>-1.8064516129032331E-3</v>
      </c>
      <c r="J1448" s="15">
        <f t="shared" si="322"/>
        <v>2.47087892693254E-3</v>
      </c>
      <c r="K1448" s="15">
        <f t="shared" si="323"/>
        <v>1.1360115666632184E-3</v>
      </c>
      <c r="L1448" s="32">
        <f t="shared" si="324"/>
        <v>445443.96479903406</v>
      </c>
      <c r="M1448" s="15"/>
      <c r="N1448" s="32">
        <f t="shared" si="325"/>
        <v>-2320800</v>
      </c>
      <c r="O1448" s="34">
        <f t="shared" si="326"/>
        <v>-0.13774322912630191</v>
      </c>
      <c r="P1448" s="34">
        <f t="shared" si="327"/>
        <v>0.58995505752992106</v>
      </c>
      <c r="Q1448" s="34">
        <f t="shared" si="328"/>
        <v>0.46028364810422978</v>
      </c>
      <c r="R1448" s="35" cm="1">
        <f t="array" ref="R1448">SQRT(MMULT(O1448:Q1448, MMULT($AU$32:$AW$34,TRANSPOSE(O1448:Q1448))))</f>
        <v>1.1346703391135235E-2</v>
      </c>
      <c r="S1448" s="36" cm="1">
        <f t="array" ref="S1448:U1448">TRANSPOSE(MMULT($AU$32:$AW$34, TRANSPOSE(O1448:Q1448))/MMULT(O1448:Q1448, MMULT($AU$32:$AW$34,TRANSPOSE(O1448:Q1448))))</f>
        <v>0.28488752506074316</v>
      </c>
      <c r="T1448" s="36">
        <v>1.2857137013726996</v>
      </c>
      <c r="U1448" s="36">
        <v>0.60990223775179264</v>
      </c>
      <c r="V1448" s="35">
        <f t="shared" si="333"/>
        <v>7.5318047948083411E-3</v>
      </c>
      <c r="W1448" s="35">
        <f t="shared" si="334"/>
        <v>3.3991465995869524E-2</v>
      </c>
      <c r="X1448" s="35">
        <f t="shared" si="335"/>
        <v>1.6124484909207017E-2</v>
      </c>
      <c r="Y1448" s="32">
        <f t="shared" si="336"/>
        <v>-17479.812567791199</v>
      </c>
      <c r="Z1448" s="32">
        <f t="shared" si="329"/>
        <v>337875.17199894309</v>
      </c>
      <c r="AA1448" s="32">
        <f t="shared" si="330"/>
        <v>125048.60536788225</v>
      </c>
      <c r="AB1448" s="40">
        <f t="shared" si="337"/>
        <v>-3.924132763966702E-2</v>
      </c>
      <c r="AC1448" s="40">
        <f t="shared" si="338"/>
        <v>0.75851330066033873</v>
      </c>
      <c r="AD1448" s="40">
        <f t="shared" si="339"/>
        <v>0.28072802697932842</v>
      </c>
      <c r="AE1448" s="40"/>
      <c r="AF1448" s="40"/>
      <c r="AG1448" s="40"/>
      <c r="AH1448" s="40"/>
      <c r="AI1448" s="40"/>
      <c r="AJ1448" s="40"/>
      <c r="AK1448" s="33">
        <f t="shared" si="331"/>
        <v>9940000</v>
      </c>
      <c r="AL1448" s="33">
        <f t="shared" si="332"/>
        <v>7755200</v>
      </c>
      <c r="AM1448" s="34"/>
      <c r="AN1448" s="33"/>
      <c r="AO1448" s="15" cm="1">
        <f t="array" ref="AO1448">SUMPRODUCT(I1448:K1448, TRANSPOSE($AY$5:$AY$7))</f>
        <v>3.1736385747114675E-3</v>
      </c>
      <c r="AP1448" s="22">
        <f t="shared" si="340"/>
        <v>16848741.057696361</v>
      </c>
      <c r="AQ1448" s="22">
        <f t="shared" si="341"/>
        <v>53302.651206027716</v>
      </c>
      <c r="AR1448">
        <f t="shared" si="342"/>
        <v>0</v>
      </c>
      <c r="AS1448">
        <f t="shared" si="343"/>
        <v>0</v>
      </c>
      <c r="BJ1448">
        <f t="shared" si="317"/>
        <v>7.5060762733530872E-6</v>
      </c>
      <c r="BK1448">
        <f t="shared" si="319"/>
        <v>4.2873013307259186E-5</v>
      </c>
      <c r="BO1448">
        <f t="shared" si="320"/>
        <v>4.5799671967000977E-5</v>
      </c>
      <c r="BP1448">
        <f t="shared" si="318"/>
        <v>3.9947336303453573</v>
      </c>
    </row>
    <row r="1449" spans="1:68" x14ac:dyDescent="0.15">
      <c r="A1449" s="5">
        <v>45699</v>
      </c>
      <c r="B1449" s="1"/>
      <c r="C1449">
        <v>78.2</v>
      </c>
      <c r="D1449">
        <v>141.69999999999999</v>
      </c>
      <c r="E1449">
        <v>98.04</v>
      </c>
      <c r="G1449" s="3">
        <v>5.2515978512532799E-3</v>
      </c>
      <c r="I1449" s="15">
        <f t="shared" si="321"/>
        <v>1.0858324715615349E-2</v>
      </c>
      <c r="J1449" s="15">
        <f t="shared" si="322"/>
        <v>-2.1126760563381082E-3</v>
      </c>
      <c r="K1449" s="15">
        <f t="shared" si="323"/>
        <v>1.1347225087683191E-2</v>
      </c>
      <c r="L1449" s="32">
        <f t="shared" si="324"/>
        <v>445963.48692591867</v>
      </c>
      <c r="M1449" s="15"/>
      <c r="N1449" s="32">
        <f t="shared" si="325"/>
        <v>-2346000</v>
      </c>
      <c r="O1449" s="34">
        <f t="shared" si="326"/>
        <v>-0.13886498991820379</v>
      </c>
      <c r="P1449" s="34">
        <f t="shared" si="327"/>
        <v>0.58712780690480104</v>
      </c>
      <c r="Q1449" s="34">
        <f t="shared" si="328"/>
        <v>0.46425655964469564</v>
      </c>
      <c r="R1449" s="35" cm="1">
        <f t="array" ref="R1449">SQRT(MMULT(O1449:Q1449, MMULT($AU$32:$AW$34,TRANSPOSE(O1449:Q1449))))</f>
        <v>1.1329432092586541E-2</v>
      </c>
      <c r="S1449" s="36" cm="1">
        <f t="array" ref="S1449:U1449">TRANSPOSE(MMULT($AU$32:$AW$34, TRANSPOSE(O1449:Q1449))/MMULT(O1449:Q1449, MMULT($AU$32:$AW$34,TRANSPOSE(O1449:Q1449))))</f>
        <v>0.28562757313672443</v>
      </c>
      <c r="T1449" s="36">
        <v>1.2852916627735875</v>
      </c>
      <c r="U1449" s="36">
        <v>0.61395620362338443</v>
      </c>
      <c r="V1449" s="35">
        <f t="shared" si="333"/>
        <v>7.5398757911411601E-3</v>
      </c>
      <c r="W1449" s="35">
        <f t="shared" si="334"/>
        <v>3.3928585347267136E-2</v>
      </c>
      <c r="X1449" s="35">
        <f t="shared" si="335"/>
        <v>1.6206956022081949E-2</v>
      </c>
      <c r="Y1449" s="32">
        <f t="shared" si="336"/>
        <v>-17688.548606017161</v>
      </c>
      <c r="Z1449" s="32">
        <f t="shared" si="329"/>
        <v>336537.63805954275</v>
      </c>
      <c r="AA1449" s="32">
        <f t="shared" si="330"/>
        <v>127114.39747239316</v>
      </c>
      <c r="AB1449" s="40">
        <f t="shared" si="337"/>
        <v>-3.9663670063992254E-2</v>
      </c>
      <c r="AC1449" s="40">
        <f t="shared" si="338"/>
        <v>0.75463047519728177</v>
      </c>
      <c r="AD1449" s="40">
        <f t="shared" si="339"/>
        <v>0.28503319486671069</v>
      </c>
      <c r="AE1449" s="40"/>
      <c r="AF1449" s="40"/>
      <c r="AG1449" s="40"/>
      <c r="AH1449" s="40"/>
      <c r="AI1449" s="40"/>
      <c r="AJ1449" s="40"/>
      <c r="AK1449" s="33">
        <f t="shared" si="331"/>
        <v>9919000</v>
      </c>
      <c r="AL1449" s="33">
        <f t="shared" si="332"/>
        <v>7843200.0000000009</v>
      </c>
      <c r="AM1449" s="34"/>
      <c r="AN1449" s="33"/>
      <c r="AO1449" s="15" cm="1">
        <f t="array" ref="AO1449">SUMPRODUCT(I1449:K1449, TRANSPOSE($AY$5:$AY$7))</f>
        <v>2.6925427175642919E-3</v>
      </c>
      <c r="AP1449" s="22">
        <f t="shared" si="340"/>
        <v>16894107.012731388</v>
      </c>
      <c r="AQ1449" s="22">
        <f t="shared" si="341"/>
        <v>45365.955035027117</v>
      </c>
      <c r="AR1449">
        <f t="shared" si="342"/>
        <v>0</v>
      </c>
      <c r="AS1449">
        <f t="shared" si="343"/>
        <v>0</v>
      </c>
      <c r="BJ1449">
        <f t="shared" si="317"/>
        <v>2.7579279991288067E-5</v>
      </c>
      <c r="BK1449">
        <f t="shared" si="319"/>
        <v>4.0750997085224818E-5</v>
      </c>
      <c r="BO1449">
        <f t="shared" si="320"/>
        <v>4.2933134596450878E-5</v>
      </c>
      <c r="BP1449">
        <f t="shared" si="318"/>
        <v>3.7878060440134016</v>
      </c>
    </row>
    <row r="1450" spans="1:68" x14ac:dyDescent="0.15">
      <c r="A1450" s="5">
        <v>45700</v>
      </c>
      <c r="B1450" s="1"/>
      <c r="C1450">
        <v>78.78</v>
      </c>
      <c r="D1450">
        <v>141.69999999999999</v>
      </c>
      <c r="E1450">
        <v>97.8</v>
      </c>
      <c r="G1450" s="3">
        <v>1.5551592164293401E-3</v>
      </c>
      <c r="I1450" s="15">
        <f t="shared" si="321"/>
        <v>7.4168797953963975E-3</v>
      </c>
      <c r="J1450" s="15">
        <f t="shared" si="322"/>
        <v>0</v>
      </c>
      <c r="K1450" s="15">
        <f t="shared" si="323"/>
        <v>-2.4479804161567633E-3</v>
      </c>
      <c r="L1450" s="32">
        <f t="shared" si="324"/>
        <v>445521.67219403852</v>
      </c>
      <c r="M1450" s="15"/>
      <c r="N1450" s="32">
        <f t="shared" si="325"/>
        <v>-2363400</v>
      </c>
      <c r="O1450" s="34">
        <f t="shared" si="326"/>
        <v>-0.14055957391525328</v>
      </c>
      <c r="P1450" s="34">
        <f t="shared" si="327"/>
        <v>0.58991724365972631</v>
      </c>
      <c r="Q1450" s="34">
        <f t="shared" si="328"/>
        <v>0.46532034624394586</v>
      </c>
      <c r="R1450" s="35" cm="1">
        <f t="array" ref="R1450">SQRT(MMULT(O1450:Q1450, MMULT($AU$32:$AW$34,TRANSPOSE(O1450:Q1450))))</f>
        <v>1.1371980719855696E-2</v>
      </c>
      <c r="S1450" s="36" cm="1">
        <f t="array" ref="S1450:U1450">TRANSPOSE(MMULT($AU$32:$AW$34, TRANSPOSE(O1450:Q1450))/MMULT(O1450:Q1450, MMULT($AU$32:$AW$34,TRANSPOSE(O1450:Q1450))))</f>
        <v>0.28325911859891906</v>
      </c>
      <c r="T1450" s="36">
        <v>1.2809606221389833</v>
      </c>
      <c r="U1450" s="36">
        <v>0.61066322128976569</v>
      </c>
      <c r="V1450" s="35">
        <f t="shared" si="333"/>
        <v>7.5054361585524254E-3</v>
      </c>
      <c r="W1450" s="35">
        <f t="shared" si="334"/>
        <v>3.3941248630011182E-2</v>
      </c>
      <c r="X1450" s="35">
        <f t="shared" si="335"/>
        <v>1.6180569382678998E-2</v>
      </c>
      <c r="Y1450" s="32">
        <f t="shared" si="336"/>
        <v>-17738.347817122802</v>
      </c>
      <c r="Z1450" s="32">
        <f t="shared" si="329"/>
        <v>336663.24516108091</v>
      </c>
      <c r="AA1450" s="32">
        <f t="shared" si="330"/>
        <v>126596.77485008049</v>
      </c>
      <c r="AB1450" s="40">
        <f t="shared" si="337"/>
        <v>-3.9814781017874258E-2</v>
      </c>
      <c r="AC1450" s="40">
        <f t="shared" si="338"/>
        <v>0.75566075944887734</v>
      </c>
      <c r="AD1450" s="40">
        <f t="shared" si="339"/>
        <v>0.28415402156899711</v>
      </c>
      <c r="AE1450" s="40"/>
      <c r="AF1450" s="40"/>
      <c r="AG1450" s="40"/>
      <c r="AH1450" s="40"/>
      <c r="AI1450" s="40"/>
      <c r="AJ1450" s="40"/>
      <c r="AK1450" s="33">
        <f t="shared" si="331"/>
        <v>9919000</v>
      </c>
      <c r="AL1450" s="33">
        <f t="shared" si="332"/>
        <v>7824000</v>
      </c>
      <c r="AM1450" s="34"/>
      <c r="AN1450" s="33"/>
      <c r="AO1450" s="15" cm="1">
        <f t="array" ref="AO1450">SUMPRODUCT(I1450:K1450, TRANSPOSE($AY$5:$AY$7))</f>
        <v>-4.7285221527348289E-3</v>
      </c>
      <c r="AP1450" s="22">
        <f t="shared" si="340"/>
        <v>16814222.853471015</v>
      </c>
      <c r="AQ1450" s="22">
        <f t="shared" si="341"/>
        <v>-79884.159260373563</v>
      </c>
      <c r="AR1450">
        <f t="shared" si="342"/>
        <v>0</v>
      </c>
      <c r="AS1450">
        <f t="shared" si="343"/>
        <v>0</v>
      </c>
      <c r="BJ1450">
        <f t="shared" si="317"/>
        <v>2.418520188445119E-6</v>
      </c>
      <c r="BK1450">
        <f t="shared" si="319"/>
        <v>3.9960694059588614E-5</v>
      </c>
      <c r="BO1450">
        <f t="shared" si="320"/>
        <v>4.3543512862448744E-5</v>
      </c>
      <c r="BP1450">
        <f t="shared" si="318"/>
        <v>4.074165075756043</v>
      </c>
    </row>
    <row r="1451" spans="1:68" x14ac:dyDescent="0.15">
      <c r="A1451" s="5">
        <v>45701</v>
      </c>
      <c r="B1451" s="1"/>
      <c r="C1451">
        <v>83.68</v>
      </c>
      <c r="D1451">
        <v>141.05000000000001</v>
      </c>
      <c r="E1451">
        <v>97.78</v>
      </c>
      <c r="G1451" s="3">
        <v>1.84960733294765E-2</v>
      </c>
      <c r="I1451" s="15">
        <f t="shared" si="321"/>
        <v>6.219852754506227E-2</v>
      </c>
      <c r="J1451" s="15">
        <f t="shared" si="322"/>
        <v>-4.5871559633025921E-3</v>
      </c>
      <c r="K1451" s="15">
        <f t="shared" si="323"/>
        <v>-2.0449897750507179E-4</v>
      </c>
      <c r="L1451" s="32">
        <f t="shared" si="324"/>
        <v>442864.04922173376</v>
      </c>
      <c r="M1451" s="15"/>
      <c r="N1451" s="32">
        <f t="shared" si="325"/>
        <v>-2510400</v>
      </c>
      <c r="O1451" s="34">
        <f t="shared" si="326"/>
        <v>-0.15355414625085248</v>
      </c>
      <c r="P1451" s="34">
        <f t="shared" si="327"/>
        <v>0.60393437818984697</v>
      </c>
      <c r="Q1451" s="34">
        <f t="shared" si="328"/>
        <v>0.47847432824755748</v>
      </c>
      <c r="R1451" s="35" cm="1">
        <f t="array" ref="R1451">SQRT(MMULT(O1451:Q1451, MMULT($AU$32:$AW$34,TRANSPOSE(O1451:Q1451))))</f>
        <v>1.1626075181056048E-2</v>
      </c>
      <c r="S1451" s="36" cm="1">
        <f t="array" ref="S1451:U1451">TRANSPOSE(MMULT($AU$32:$AW$34, TRANSPOSE(O1451:Q1451))/MMULT(O1451:Q1451, MMULT($AU$32:$AW$34,TRANSPOSE(O1451:Q1451))))</f>
        <v>0.26925506177742253</v>
      </c>
      <c r="T1451" s="36">
        <v>1.2524034110768218</v>
      </c>
      <c r="U1451" s="36">
        <v>0.59559257205537164</v>
      </c>
      <c r="V1451" s="35">
        <f t="shared" si="333"/>
        <v>7.2937844472727989E-3</v>
      </c>
      <c r="W1451" s="35">
        <f t="shared" si="334"/>
        <v>3.3926049379063107E-2</v>
      </c>
      <c r="X1451" s="35">
        <f t="shared" si="335"/>
        <v>1.6133861366586701E-2</v>
      </c>
      <c r="Y1451" s="32">
        <f t="shared" si="336"/>
        <v>-18310.316476433632</v>
      </c>
      <c r="Z1451" s="32">
        <f t="shared" si="329"/>
        <v>334968.84854417958</v>
      </c>
      <c r="AA1451" s="32">
        <f t="shared" si="330"/>
        <v>126205.51715398781</v>
      </c>
      <c r="AB1451" s="40">
        <f t="shared" si="337"/>
        <v>-4.1345231134952656E-2</v>
      </c>
      <c r="AC1451" s="40">
        <f t="shared" si="338"/>
        <v>0.75636947531152376</v>
      </c>
      <c r="AD1451" s="40">
        <f t="shared" si="339"/>
        <v>0.28497575582342893</v>
      </c>
      <c r="AE1451" s="40"/>
      <c r="AF1451" s="40"/>
      <c r="AG1451" s="40"/>
      <c r="AH1451" s="40"/>
      <c r="AI1451" s="40"/>
      <c r="AJ1451" s="40"/>
      <c r="AK1451" s="33">
        <f t="shared" si="331"/>
        <v>9873500</v>
      </c>
      <c r="AL1451" s="33">
        <f t="shared" si="332"/>
        <v>7822400</v>
      </c>
      <c r="AM1451" s="34"/>
      <c r="AN1451" s="33"/>
      <c r="AO1451" s="15" cm="1">
        <f t="array" ref="AO1451">SUMPRODUCT(I1451:K1451, TRANSPOSE($AY$5:$AY$7))</f>
        <v>-2.7690387459566819E-2</v>
      </c>
      <c r="AP1451" s="22">
        <f t="shared" si="340"/>
        <v>16348630.507826898</v>
      </c>
      <c r="AQ1451" s="22">
        <f t="shared" si="341"/>
        <v>-465592.3456441164</v>
      </c>
      <c r="AR1451">
        <f t="shared" si="342"/>
        <v>1</v>
      </c>
      <c r="AS1451">
        <f t="shared" si="343"/>
        <v>1</v>
      </c>
      <c r="BJ1451">
        <f t="shared" si="317"/>
        <v>3.4210472860937192E-4</v>
      </c>
      <c r="BK1451">
        <f t="shared" si="319"/>
        <v>3.7708163627320005E-5</v>
      </c>
      <c r="BO1451">
        <f t="shared" si="320"/>
        <v>4.043888048423425E-5</v>
      </c>
      <c r="BP1451">
        <f t="shared" si="318"/>
        <v>-9.0977718292616139E-2</v>
      </c>
    </row>
    <row r="1452" spans="1:68" x14ac:dyDescent="0.15">
      <c r="A1452" s="5">
        <v>45702</v>
      </c>
      <c r="B1452" s="1"/>
      <c r="C1452">
        <v>82.48</v>
      </c>
      <c r="D1452">
        <v>139.94999999999999</v>
      </c>
      <c r="E1452">
        <v>95.37</v>
      </c>
      <c r="G1452" s="3">
        <v>-8.4315998038902995E-3</v>
      </c>
      <c r="I1452" s="15">
        <f t="shared" si="321"/>
        <v>-1.434034416826007E-2</v>
      </c>
      <c r="J1452" s="15">
        <f t="shared" si="322"/>
        <v>-7.798652959943443E-3</v>
      </c>
      <c r="K1452" s="15">
        <f t="shared" si="323"/>
        <v>-2.4647167109838379E-2</v>
      </c>
      <c r="L1452" s="32">
        <f t="shared" si="324"/>
        <v>437411.06466776994</v>
      </c>
      <c r="M1452" s="15"/>
      <c r="N1452" s="32">
        <f t="shared" si="325"/>
        <v>-2474400</v>
      </c>
      <c r="O1452" s="34">
        <f t="shared" si="326"/>
        <v>-0.15406932802689943</v>
      </c>
      <c r="P1452" s="34">
        <f t="shared" si="327"/>
        <v>0.60998228742948613</v>
      </c>
      <c r="Q1452" s="34">
        <f t="shared" si="328"/>
        <v>0.47505954781524085</v>
      </c>
      <c r="R1452" s="35" cm="1">
        <f t="array" ref="R1452">SQRT(MMULT(O1452:Q1452, MMULT($AU$32:$AW$34,TRANSPOSE(O1452:Q1452))))</f>
        <v>1.1689074458054595E-2</v>
      </c>
      <c r="S1452" s="36" cm="1">
        <f t="array" ref="S1452:U1452">TRANSPOSE(MMULT($AU$32:$AW$34, TRANSPOSE(O1452:Q1452))/MMULT(O1452:Q1452, MMULT($AU$32:$AW$34,TRANSPOSE(O1452:Q1452))))</f>
        <v>0.26621741311705754</v>
      </c>
      <c r="T1452" s="36">
        <v>1.248632491922296</v>
      </c>
      <c r="U1452" s="36">
        <v>0.58807834860129138</v>
      </c>
      <c r="V1452" s="35">
        <f t="shared" si="333"/>
        <v>7.2505759320174003E-3</v>
      </c>
      <c r="W1452" s="35">
        <f t="shared" si="334"/>
        <v>3.4007184533364508E-2</v>
      </c>
      <c r="X1452" s="35">
        <f t="shared" si="335"/>
        <v>1.6016633437250755E-2</v>
      </c>
      <c r="Y1452" s="32">
        <f t="shared" si="336"/>
        <v>-17940.825086183857</v>
      </c>
      <c r="Z1452" s="32">
        <f t="shared" si="329"/>
        <v>333151.38328110543</v>
      </c>
      <c r="AA1452" s="32">
        <f t="shared" si="330"/>
        <v>122200.50647284836</v>
      </c>
      <c r="AB1452" s="40">
        <f t="shared" si="337"/>
        <v>-4.1015937948004552E-2</v>
      </c>
      <c r="AC1452" s="40">
        <f t="shared" si="338"/>
        <v>0.76164370358154143</v>
      </c>
      <c r="AD1452" s="40">
        <f t="shared" si="339"/>
        <v>0.27937223436646308</v>
      </c>
      <c r="AE1452" s="40"/>
      <c r="AF1452" s="40"/>
      <c r="AG1452" s="40"/>
      <c r="AH1452" s="40"/>
      <c r="AI1452" s="40"/>
      <c r="AJ1452" s="40"/>
      <c r="AK1452" s="33">
        <f t="shared" si="331"/>
        <v>9796500</v>
      </c>
      <c r="AL1452" s="33">
        <f t="shared" si="332"/>
        <v>7629600</v>
      </c>
      <c r="AM1452" s="34"/>
      <c r="AN1452" s="33"/>
      <c r="AO1452" s="15" cm="1">
        <f t="array" ref="AO1452">SUMPRODUCT(I1452:K1452, TRANSPOSE($AY$5:$AY$7))</f>
        <v>-1.7636223358312636E-2</v>
      </c>
      <c r="AP1452" s="22">
        <f t="shared" si="340"/>
        <v>16060302.408588339</v>
      </c>
      <c r="AQ1452" s="22">
        <f t="shared" si="341"/>
        <v>-288328.0992385596</v>
      </c>
      <c r="AR1452">
        <f t="shared" si="342"/>
        <v>0</v>
      </c>
      <c r="AS1452">
        <f t="shared" si="343"/>
        <v>0</v>
      </c>
      <c r="BJ1452">
        <f t="shared" si="317"/>
        <v>7.1091875252962935E-5</v>
      </c>
      <c r="BK1452">
        <f t="shared" si="319"/>
        <v>5.597195752624314E-5</v>
      </c>
      <c r="BO1452">
        <f t="shared" si="320"/>
        <v>8.6381846544615317E-5</v>
      </c>
      <c r="BP1452">
        <f t="shared" si="318"/>
        <v>3.3479301989419481</v>
      </c>
    </row>
    <row r="1453" spans="1:68" x14ac:dyDescent="0.15">
      <c r="A1453" s="5">
        <v>45706</v>
      </c>
      <c r="B1453" s="1"/>
      <c r="C1453">
        <v>82.38</v>
      </c>
      <c r="D1453">
        <v>142.65</v>
      </c>
      <c r="E1453">
        <v>96.17</v>
      </c>
      <c r="G1453" s="3">
        <v>4.2141895107894404E-3</v>
      </c>
      <c r="I1453" s="15">
        <f t="shared" si="321"/>
        <v>-1.2124151309409375E-3</v>
      </c>
      <c r="J1453" s="15">
        <f t="shared" si="322"/>
        <v>1.929260450160784E-2</v>
      </c>
      <c r="K1453" s="15">
        <f t="shared" si="323"/>
        <v>8.388382090804206E-3</v>
      </c>
      <c r="L1453" s="32">
        <f t="shared" si="324"/>
        <v>444888.23601355182</v>
      </c>
      <c r="M1453" s="15"/>
      <c r="N1453" s="32">
        <f t="shared" si="325"/>
        <v>-2471400</v>
      </c>
      <c r="O1453" s="34">
        <f t="shared" si="326"/>
        <v>-0.15096269228500692</v>
      </c>
      <c r="P1453" s="34">
        <f t="shared" si="327"/>
        <v>0.60995304839845299</v>
      </c>
      <c r="Q1453" s="34">
        <f t="shared" si="328"/>
        <v>0.46995491193814409</v>
      </c>
      <c r="R1453" s="35" cm="1">
        <f t="array" ref="R1453">SQRT(MMULT(O1453:Q1453, MMULT($AU$32:$AW$34,TRANSPOSE(O1453:Q1453))))</f>
        <v>1.1663303883037112E-2</v>
      </c>
      <c r="S1453" s="36" cm="1">
        <f t="array" ref="S1453:U1453">TRANSPOSE(MMULT($AU$32:$AW$34, TRANSPOSE(O1453:Q1453))/MMULT(O1453:Q1453, MMULT($AU$32:$AW$34,TRANSPOSE(O1453:Q1453))))</f>
        <v>0.2679619380345018</v>
      </c>
      <c r="T1453" s="36">
        <v>1.2531903311473349</v>
      </c>
      <c r="U1453" s="36">
        <v>0.58742867853065206</v>
      </c>
      <c r="V1453" s="35">
        <f t="shared" si="333"/>
        <v>7.2819991238546157E-3</v>
      </c>
      <c r="W1453" s="35">
        <f t="shared" si="334"/>
        <v>3.4056071397210792E-2</v>
      </c>
      <c r="X1453" s="35">
        <f t="shared" si="335"/>
        <v>1.596366690644142E-2</v>
      </c>
      <c r="Y1453" s="32">
        <f t="shared" si="336"/>
        <v>-17996.732634694297</v>
      </c>
      <c r="Z1453" s="32">
        <f t="shared" si="329"/>
        <v>340066.90093684837</v>
      </c>
      <c r="AA1453" s="32">
        <f t="shared" si="330"/>
        <v>122818.06771139771</v>
      </c>
      <c r="AB1453" s="40">
        <f t="shared" si="337"/>
        <v>-4.0452255595596585E-2</v>
      </c>
      <c r="AC1453" s="40">
        <f t="shared" si="338"/>
        <v>0.76438726270678359</v>
      </c>
      <c r="AD1453" s="40">
        <f t="shared" si="339"/>
        <v>0.27606499288881292</v>
      </c>
      <c r="AE1453" s="40"/>
      <c r="AF1453" s="40"/>
      <c r="AG1453" s="40"/>
      <c r="AH1453" s="40"/>
      <c r="AI1453" s="40"/>
      <c r="AJ1453" s="40"/>
      <c r="AK1453" s="33">
        <f t="shared" si="331"/>
        <v>9985500</v>
      </c>
      <c r="AL1453" s="33">
        <f t="shared" si="332"/>
        <v>7693600</v>
      </c>
      <c r="AM1453" s="34"/>
      <c r="AN1453" s="33"/>
      <c r="AO1453" s="15" cm="1">
        <f t="array" ref="AO1453">SUMPRODUCT(I1453:K1453, TRANSPOSE($AY$5:$AY$7))</f>
        <v>1.9341465849498665E-2</v>
      </c>
      <c r="AP1453" s="22">
        <f t="shared" si="340"/>
        <v>16370932.19915667</v>
      </c>
      <c r="AQ1453" s="22">
        <f t="shared" si="341"/>
        <v>310629.79056833126</v>
      </c>
      <c r="AR1453">
        <f t="shared" si="342"/>
        <v>0</v>
      </c>
      <c r="AS1453">
        <f t="shared" si="343"/>
        <v>0</v>
      </c>
      <c r="BJ1453">
        <f t="shared" si="317"/>
        <v>1.7759393232847743E-5</v>
      </c>
      <c r="BK1453">
        <f t="shared" si="319"/>
        <v>5.6879152589846326E-5</v>
      </c>
      <c r="BO1453">
        <f t="shared" si="320"/>
        <v>8.382083426257495E-5</v>
      </c>
      <c r="BP1453">
        <f t="shared" si="318"/>
        <v>3.6685393191046316</v>
      </c>
    </row>
    <row r="1454" spans="1:68" x14ac:dyDescent="0.15">
      <c r="A1454" s="5">
        <v>45707</v>
      </c>
      <c r="B1454" s="1"/>
      <c r="C1454">
        <v>82.5</v>
      </c>
      <c r="D1454">
        <v>139.15</v>
      </c>
      <c r="E1454">
        <v>96.59</v>
      </c>
      <c r="G1454" s="3">
        <v>-7.4037222782581402E-3</v>
      </c>
      <c r="I1454" s="15">
        <f t="shared" si="321"/>
        <v>1.4566642388929906E-3</v>
      </c>
      <c r="J1454" s="15">
        <f t="shared" si="322"/>
        <v>-2.4535576586049771E-2</v>
      </c>
      <c r="K1454" s="15">
        <f t="shared" si="323"/>
        <v>4.367266299261742E-3</v>
      </c>
      <c r="L1454" s="32">
        <f t="shared" si="324"/>
        <v>437074.20032393938</v>
      </c>
      <c r="M1454" s="15"/>
      <c r="N1454" s="32">
        <f t="shared" si="325"/>
        <v>-2475000</v>
      </c>
      <c r="O1454" s="34">
        <f t="shared" si="326"/>
        <v>-0.15324892597967774</v>
      </c>
      <c r="P1454" s="34">
        <f t="shared" si="327"/>
        <v>0.60311966202224288</v>
      </c>
      <c r="Q1454" s="34">
        <f t="shared" si="328"/>
        <v>0.47845862659804683</v>
      </c>
      <c r="R1454" s="35" cm="1">
        <f t="array" ref="R1454">SQRT(MMULT(O1454:Q1454, MMULT($AU$32:$AW$34,TRANSPOSE(O1454:Q1454))))</f>
        <v>1.1615060783469066E-2</v>
      </c>
      <c r="S1454" s="36" cm="1">
        <f t="array" ref="S1454:U1454">TRANSPOSE(MMULT($AU$32:$AW$34, TRANSPOSE(O1454:Q1454))/MMULT(O1454:Q1454, MMULT($AU$32:$AW$34,TRANSPOSE(O1454:Q1454))))</f>
        <v>0.26978852036918444</v>
      </c>
      <c r="T1454" s="36">
        <v>1.2533545443606637</v>
      </c>
      <c r="U1454" s="36">
        <v>0.59654485452335926</v>
      </c>
      <c r="V1454" s="35">
        <f t="shared" si="333"/>
        <v>7.3013114462547038E-3</v>
      </c>
      <c r="W1454" s="35">
        <f t="shared" si="334"/>
        <v>3.391964887324804E-2</v>
      </c>
      <c r="X1454" s="35">
        <f t="shared" si="335"/>
        <v>1.6144348056676052E-2</v>
      </c>
      <c r="Y1454" s="32">
        <f t="shared" si="336"/>
        <v>-18070.745829480391</v>
      </c>
      <c r="Z1454" s="32">
        <f t="shared" si="329"/>
        <v>330394.33984987251</v>
      </c>
      <c r="AA1454" s="32">
        <f t="shared" si="330"/>
        <v>124750.60630354719</v>
      </c>
      <c r="AB1454" s="40">
        <f t="shared" si="337"/>
        <v>-4.1344800988223927E-2</v>
      </c>
      <c r="AC1454" s="40">
        <f t="shared" si="338"/>
        <v>0.7559227691888456</v>
      </c>
      <c r="AD1454" s="40">
        <f t="shared" si="339"/>
        <v>0.28542203179937814</v>
      </c>
      <c r="AE1454" s="40"/>
      <c r="AF1454" s="40"/>
      <c r="AG1454" s="40"/>
      <c r="AH1454" s="40"/>
      <c r="AI1454" s="40"/>
      <c r="AJ1454" s="40"/>
      <c r="AK1454" s="33">
        <f t="shared" si="331"/>
        <v>9740500</v>
      </c>
      <c r="AL1454" s="33">
        <f t="shared" si="332"/>
        <v>7727200</v>
      </c>
      <c r="AM1454" s="34"/>
      <c r="AN1454" s="33"/>
      <c r="AO1454" s="15" cm="1">
        <f t="array" ref="AO1454">SUMPRODUCT(I1454:K1454, TRANSPOSE($AY$5:$AY$7))</f>
        <v>-1.3483498994872403E-2</v>
      </c>
      <c r="AP1454" s="22">
        <f t="shared" si="340"/>
        <v>16150194.751304217</v>
      </c>
      <c r="AQ1454" s="22">
        <f t="shared" ref="AQ1454:AQ1470" si="344">AP1454 - AP1453</f>
        <v>-220737.44785245322</v>
      </c>
      <c r="AR1454">
        <f t="shared" si="342"/>
        <v>0</v>
      </c>
      <c r="AS1454">
        <f t="shared" si="343"/>
        <v>0</v>
      </c>
      <c r="BJ1454">
        <f t="shared" si="317"/>
        <v>5.4815103573575907E-5</v>
      </c>
      <c r="BK1454">
        <f t="shared" si="319"/>
        <v>5.4531967028426407E-5</v>
      </c>
      <c r="BO1454">
        <f t="shared" si="320"/>
        <v>7.4216408314290442E-5</v>
      </c>
      <c r="BP1454">
        <f t="shared" si="318"/>
        <v>3.4660317654075739</v>
      </c>
    </row>
    <row r="1455" spans="1:68" x14ac:dyDescent="0.15">
      <c r="A1455" s="5">
        <v>45708</v>
      </c>
      <c r="B1455" s="1"/>
      <c r="C1455">
        <v>82.34</v>
      </c>
      <c r="D1455">
        <v>138.35</v>
      </c>
      <c r="E1455">
        <v>96.66</v>
      </c>
      <c r="G1455" s="3">
        <v>7.4721974558511397E-4</v>
      </c>
      <c r="I1455" s="15">
        <f t="shared" si="321"/>
        <v>-1.9393939393938981E-3</v>
      </c>
      <c r="J1455" s="15">
        <f t="shared" si="322"/>
        <v>-5.7491915199425897E-3</v>
      </c>
      <c r="K1455" s="15">
        <f t="shared" si="323"/>
        <v>7.2471270317831221E-4</v>
      </c>
      <c r="L1455" s="32">
        <f t="shared" si="324"/>
        <v>435301.17343953438</v>
      </c>
      <c r="M1455" s="15"/>
      <c r="N1455" s="32">
        <f t="shared" si="325"/>
        <v>-2470200</v>
      </c>
      <c r="O1455" s="34">
        <f t="shared" si="326"/>
        <v>-0.15333202081490485</v>
      </c>
      <c r="P1455" s="34">
        <f t="shared" si="327"/>
        <v>0.60114320928748521</v>
      </c>
      <c r="Q1455" s="34">
        <f t="shared" si="328"/>
        <v>0.47999589124665865</v>
      </c>
      <c r="R1455" s="35" cm="1">
        <f t="array" ref="R1455">SQRT(MMULT(O1455:Q1455, MMULT($AU$32:$AW$34,TRANSPOSE(O1455:Q1455))))</f>
        <v>1.1596706316387163E-2</v>
      </c>
      <c r="S1455" s="36" cm="1">
        <f t="array" ref="S1455:U1455">TRANSPOSE(MMULT($AU$32:$AW$34, TRANSPOSE(O1455:Q1455))/MMULT(O1455:Q1455, MMULT($AU$32:$AW$34,TRANSPOSE(O1455:Q1455))))</f>
        <v>0.27064735809052948</v>
      </c>
      <c r="T1455" s="36">
        <v>1.2541846797963991</v>
      </c>
      <c r="U1455" s="36">
        <v>0.59907659239621314</v>
      </c>
      <c r="V1455" s="35">
        <f t="shared" si="333"/>
        <v>7.3129797701009238E-3</v>
      </c>
      <c r="W1455" s="35">
        <f t="shared" si="334"/>
        <v>3.3888478557598425E-2</v>
      </c>
      <c r="X1455" s="35">
        <f t="shared" si="335"/>
        <v>1.618724465608521E-2</v>
      </c>
      <c r="Y1455" s="32">
        <f t="shared" si="336"/>
        <v>-18064.522628103303</v>
      </c>
      <c r="Z1455" s="32">
        <f t="shared" si="329"/>
        <v>328192.97059106192</v>
      </c>
      <c r="AA1455" s="32">
        <f t="shared" si="330"/>
        <v>125172.72547657571</v>
      </c>
      <c r="AB1455" s="40">
        <f t="shared" si="337"/>
        <v>-4.1498906344236079E-2</v>
      </c>
      <c r="AC1455" s="40">
        <f t="shared" si="338"/>
        <v>0.75394460345200431</v>
      </c>
      <c r="AD1455" s="40">
        <f t="shared" si="339"/>
        <v>0.28755430289223161</v>
      </c>
      <c r="AE1455" s="40"/>
      <c r="AF1455" s="40"/>
      <c r="AG1455" s="40"/>
      <c r="AH1455" s="40"/>
      <c r="AI1455" s="40"/>
      <c r="AJ1455" s="40"/>
      <c r="AK1455" s="33">
        <f t="shared" si="331"/>
        <v>9684500</v>
      </c>
      <c r="AL1455" s="33">
        <f t="shared" si="332"/>
        <v>7732800</v>
      </c>
      <c r="AM1455" s="34"/>
      <c r="AN1455" s="33"/>
      <c r="AO1455" s="15" cm="1">
        <f t="array" ref="AO1455">SUMPRODUCT(I1455:K1455, TRANSPOSE($AY$5:$AY$7))</f>
        <v>-2.4802704058131363E-3</v>
      </c>
      <c r="AP1455" s="22">
        <f t="shared" si="340"/>
        <v>16110137.901214439</v>
      </c>
      <c r="AQ1455" s="22">
        <f t="shared" si="344"/>
        <v>-40056.850089777261</v>
      </c>
      <c r="AR1455">
        <f t="shared" si="342"/>
        <v>0</v>
      </c>
      <c r="AS1455">
        <f t="shared" si="343"/>
        <v>0</v>
      </c>
      <c r="BJ1455">
        <f t="shared" si="317"/>
        <v>5.5833734819228248E-7</v>
      </c>
      <c r="BK1455">
        <f t="shared" si="319"/>
        <v>5.4548955221135379E-5</v>
      </c>
      <c r="BO1455">
        <f t="shared" si="320"/>
        <v>7.1960381294403151E-5</v>
      </c>
      <c r="BP1455">
        <f t="shared" si="318"/>
        <v>3.8468794144774101</v>
      </c>
    </row>
    <row r="1456" spans="1:68" x14ac:dyDescent="0.15">
      <c r="A1456" s="5">
        <v>45709</v>
      </c>
      <c r="B1456" s="1"/>
      <c r="C1456">
        <v>85.1</v>
      </c>
      <c r="D1456">
        <v>138.30000000000001</v>
      </c>
      <c r="E1456">
        <v>98.15</v>
      </c>
      <c r="G1456" s="3">
        <v>1.0970922399052101E-2</v>
      </c>
      <c r="I1456" s="15">
        <f t="shared" si="321"/>
        <v>3.3519553072625587E-2</v>
      </c>
      <c r="J1456" s="15">
        <f t="shared" si="322"/>
        <v>-3.6140224069376904E-4</v>
      </c>
      <c r="K1456" s="15">
        <f t="shared" si="323"/>
        <v>1.5414856196979196E-2</v>
      </c>
      <c r="L1456" s="32">
        <f t="shared" si="324"/>
        <v>436513.58943708148</v>
      </c>
      <c r="M1456" s="15"/>
      <c r="N1456" s="32">
        <f t="shared" si="325"/>
        <v>-2553000</v>
      </c>
      <c r="O1456" s="34">
        <f t="shared" si="326"/>
        <v>-0.1588041361649577</v>
      </c>
      <c r="P1456" s="34">
        <f t="shared" si="327"/>
        <v>0.60218677720836489</v>
      </c>
      <c r="Q1456" s="34">
        <f t="shared" si="328"/>
        <v>0.48841757820887105</v>
      </c>
      <c r="R1456" s="35" cm="1">
        <f t="array" ref="R1456">SQRT(MMULT(O1456:Q1456, MMULT($AU$32:$AW$34,TRANSPOSE(O1456:Q1456))))</f>
        <v>1.1653405064952741E-2</v>
      </c>
      <c r="S1456" s="36" cm="1">
        <f t="array" ref="S1456:U1456">TRANSPOSE(MMULT($AU$32:$AW$34, TRANSPOSE(O1456:Q1456))/MMULT(O1456:Q1456, MMULT($AU$32:$AW$34,TRANSPOSE(O1456:Q1456))))</f>
        <v>0.26707191987565554</v>
      </c>
      <c r="T1456" s="36">
        <v>1.2453375877636088</v>
      </c>
      <c r="U1456" s="36">
        <v>0.59884473873887067</v>
      </c>
      <c r="V1456" s="35">
        <f t="shared" si="333"/>
        <v>7.2516526246204872E-3</v>
      </c>
      <c r="W1456" s="35">
        <f t="shared" si="334"/>
        <v>3.3813946412071687E-2</v>
      </c>
      <c r="X1456" s="35">
        <f t="shared" si="335"/>
        <v>1.6260092125887866E-2</v>
      </c>
      <c r="Y1456" s="32">
        <f t="shared" si="336"/>
        <v>-18513.469150656103</v>
      </c>
      <c r="Z1456" s="32">
        <f t="shared" si="329"/>
        <v>327352.81521526602</v>
      </c>
      <c r="AA1456" s="32">
        <f t="shared" si="330"/>
        <v>127674.24337247152</v>
      </c>
      <c r="AB1456" s="40">
        <f t="shared" si="337"/>
        <v>-4.2412125529770271E-2</v>
      </c>
      <c r="AC1456" s="40">
        <f t="shared" si="338"/>
        <v>0.74992582851180678</v>
      </c>
      <c r="AD1456" s="40">
        <f t="shared" si="339"/>
        <v>0.29248629701796336</v>
      </c>
      <c r="AE1456" s="40"/>
      <c r="AF1456" s="40"/>
      <c r="AG1456" s="40"/>
      <c r="AH1456" s="40"/>
      <c r="AI1456" s="40"/>
      <c r="AJ1456" s="40"/>
      <c r="AK1456" s="33">
        <f t="shared" si="331"/>
        <v>9681000</v>
      </c>
      <c r="AL1456" s="33">
        <f t="shared" si="332"/>
        <v>7852000</v>
      </c>
      <c r="AM1456" s="34"/>
      <c r="AN1456" s="33"/>
      <c r="AO1456" s="15" cm="1">
        <f t="array" ref="AO1456">SUMPRODUCT(I1456:K1456, TRANSPOSE($AY$5:$AY$7))</f>
        <v>-2.0937398020245152E-3</v>
      </c>
      <c r="AP1456" s="22">
        <f t="shared" si="340"/>
        <v>16076407.464274563</v>
      </c>
      <c r="AQ1456" s="22">
        <f t="shared" si="344"/>
        <v>-33730.436939876527</v>
      </c>
      <c r="AR1456">
        <f t="shared" si="342"/>
        <v>0</v>
      </c>
      <c r="AS1456">
        <f t="shared" si="343"/>
        <v>0</v>
      </c>
      <c r="BJ1456">
        <f t="shared" si="317"/>
        <v>1.2036113828602312E-4</v>
      </c>
      <c r="BK1456">
        <f t="shared" si="319"/>
        <v>5.1309518148758789E-5</v>
      </c>
      <c r="BO1456">
        <f t="shared" si="320"/>
        <v>6.2463542594849261E-5</v>
      </c>
      <c r="BP1456">
        <f t="shared" si="318"/>
        <v>2.9580741066209955</v>
      </c>
    </row>
    <row r="1457" spans="1:68" x14ac:dyDescent="0.15">
      <c r="A1457" s="5">
        <v>45712</v>
      </c>
      <c r="B1457" s="1"/>
      <c r="C1457">
        <v>87.78</v>
      </c>
      <c r="D1457">
        <v>138.55000000000001</v>
      </c>
      <c r="E1457">
        <v>98.41</v>
      </c>
      <c r="G1457" s="3">
        <v>3.5253598178330798E-4</v>
      </c>
      <c r="I1457" s="15">
        <f t="shared" si="321"/>
        <v>3.1492361927144621E-2</v>
      </c>
      <c r="J1457" s="15">
        <f t="shared" si="322"/>
        <v>1.8076644974692696E-3</v>
      </c>
      <c r="K1457" s="15">
        <f t="shared" si="323"/>
        <v>2.6490066225164635E-3</v>
      </c>
      <c r="L1457" s="32">
        <f t="shared" si="324"/>
        <v>436864.51220083615</v>
      </c>
      <c r="M1457" s="15"/>
      <c r="N1457" s="32">
        <f t="shared" si="325"/>
        <v>-2633400</v>
      </c>
      <c r="O1457" s="34">
        <f t="shared" si="326"/>
        <v>-0.16533906433500017</v>
      </c>
      <c r="P1457" s="34">
        <f t="shared" si="327"/>
        <v>0.60892417234487695</v>
      </c>
      <c r="Q1457" s="34">
        <f t="shared" si="328"/>
        <v>0.49429687312849901</v>
      </c>
      <c r="R1457" s="35" cm="1">
        <f t="array" ref="R1457">SQRT(MMULT(O1457:Q1457, MMULT($AU$32:$AW$34,TRANSPOSE(O1457:Q1457))))</f>
        <v>1.1771979318900143E-2</v>
      </c>
      <c r="S1457" s="36" cm="1">
        <f t="array" ref="S1457:U1457">TRANSPOSE(MMULT($AU$32:$AW$34, TRANSPOSE(O1457:Q1457))/MMULT(O1457:Q1457, MMULT($AU$32:$AW$34,TRANSPOSE(O1457:Q1457))))</f>
        <v>0.2604260878365991</v>
      </c>
      <c r="T1457" s="36">
        <v>1.232699693603964</v>
      </c>
      <c r="U1457" s="36">
        <v>0.5916241451475408</v>
      </c>
      <c r="V1457" s="35">
        <f t="shared" si="333"/>
        <v>7.1431521118668238E-3</v>
      </c>
      <c r="W1457" s="35">
        <f t="shared" si="334"/>
        <v>3.381136464788255E-2</v>
      </c>
      <c r="X1457" s="35">
        <f t="shared" si="335"/>
        <v>1.6227488178886466E-2</v>
      </c>
      <c r="Y1457" s="32">
        <f t="shared" si="336"/>
        <v>-18810.776771390094</v>
      </c>
      <c r="Z1457" s="32">
        <f t="shared" si="329"/>
        <v>327919.5200374889</v>
      </c>
      <c r="AA1457" s="32">
        <f t="shared" si="330"/>
        <v>127755.76893473737</v>
      </c>
      <c r="AB1457" s="40">
        <f t="shared" si="337"/>
        <v>-4.3058605691327863E-2</v>
      </c>
      <c r="AC1457" s="40">
        <f t="shared" si="338"/>
        <v>0.75062064067757728</v>
      </c>
      <c r="AD1457" s="40">
        <f t="shared" si="339"/>
        <v>0.29243796501375063</v>
      </c>
      <c r="AE1457" s="40"/>
      <c r="AF1457" s="40"/>
      <c r="AG1457" s="40"/>
      <c r="AH1457" s="40"/>
      <c r="AI1457" s="40"/>
      <c r="AJ1457" s="40"/>
      <c r="AK1457" s="33">
        <f t="shared" si="331"/>
        <v>9698500</v>
      </c>
      <c r="AL1457" s="33">
        <f t="shared" si="332"/>
        <v>7872800</v>
      </c>
      <c r="AM1457" s="34"/>
      <c r="AN1457" s="33"/>
      <c r="AO1457" s="15" cm="1">
        <f t="array" ref="AO1457">SUMPRODUCT(I1457:K1457, TRANSPOSE($AY$5:$AY$7))</f>
        <v>-9.2767601206473569E-3</v>
      </c>
      <c r="AP1457" s="22">
        <f t="shared" si="340"/>
        <v>15927270.488626704</v>
      </c>
      <c r="AQ1457" s="22">
        <f t="shared" si="344"/>
        <v>-149136.97564785928</v>
      </c>
      <c r="AR1457">
        <f t="shared" si="342"/>
        <v>0</v>
      </c>
      <c r="AS1457">
        <f t="shared" si="343"/>
        <v>0</v>
      </c>
      <c r="BJ1457">
        <f t="shared" si="317"/>
        <v>1.2428161845192087E-7</v>
      </c>
      <c r="BK1457">
        <f t="shared" si="319"/>
        <v>5.5452615356994652E-5</v>
      </c>
      <c r="BO1457">
        <f t="shared" si="320"/>
        <v>7.207676100022561E-5</v>
      </c>
      <c r="BP1457">
        <f t="shared" si="318"/>
        <v>3.849088760084046</v>
      </c>
    </row>
    <row r="1458" spans="1:68" x14ac:dyDescent="0.15">
      <c r="A1458" s="5">
        <v>45713</v>
      </c>
      <c r="B1458" s="1"/>
      <c r="C1458">
        <v>89.02</v>
      </c>
      <c r="D1458">
        <v>139.19999999999999</v>
      </c>
      <c r="E1458">
        <v>100.72</v>
      </c>
      <c r="G1458" s="3">
        <v>5.5465268229428696E-3</v>
      </c>
      <c r="I1458" s="15">
        <f t="shared" si="321"/>
        <v>1.4126224652540384E-2</v>
      </c>
      <c r="J1458" s="15">
        <f t="shared" si="322"/>
        <v>4.6914471309994748E-3</v>
      </c>
      <c r="K1458" s="15">
        <f t="shared" si="323"/>
        <v>2.3473224265826667E-2</v>
      </c>
      <c r="L1458" s="32">
        <f t="shared" si="324"/>
        <v>441144.85557745374</v>
      </c>
      <c r="M1458" s="15"/>
      <c r="N1458" s="32">
        <f t="shared" si="325"/>
        <v>-2670600</v>
      </c>
      <c r="O1458" s="34">
        <f t="shared" si="326"/>
        <v>-0.16522716161172379</v>
      </c>
      <c r="P1458" s="34">
        <f t="shared" si="327"/>
        <v>0.60285084353502449</v>
      </c>
      <c r="Q1458" s="34">
        <f t="shared" si="328"/>
        <v>0.49851508178035858</v>
      </c>
      <c r="R1458" s="35" cm="1">
        <f t="array" ref="R1458">SQRT(MMULT(O1458:Q1458, MMULT($AU$32:$AW$34,TRANSPOSE(O1458:Q1458))))</f>
        <v>1.1713802454685642E-2</v>
      </c>
      <c r="S1458" s="36" cm="1">
        <f t="array" ref="S1458:U1458">TRANSPOSE(MMULT($AU$32:$AW$34, TRANSPOSE(O1458:Q1458))/MMULT(O1458:Q1458, MMULT($AU$32:$AW$34,TRANSPOSE(O1458:Q1458))))</f>
        <v>0.26314415154816617</v>
      </c>
      <c r="T1458" s="36">
        <v>1.2354455976524314</v>
      </c>
      <c r="U1458" s="36">
        <v>0.59915768145251003</v>
      </c>
      <c r="V1458" s="35">
        <f t="shared" si="333"/>
        <v>7.1820353574347153E-3</v>
      </c>
      <c r="W1458" s="35">
        <f t="shared" si="334"/>
        <v>3.3719214021379076E-2</v>
      </c>
      <c r="X1458" s="35">
        <f t="shared" si="335"/>
        <v>1.6352906296999255E-2</v>
      </c>
      <c r="Y1458" s="32">
        <f t="shared" si="336"/>
        <v>-19180.34362556515</v>
      </c>
      <c r="Z1458" s="32">
        <f t="shared" si="329"/>
        <v>328560.02142431773</v>
      </c>
      <c r="AA1458" s="32">
        <f t="shared" si="330"/>
        <v>131765.17777870121</v>
      </c>
      <c r="AB1458" s="40">
        <f t="shared" si="337"/>
        <v>-4.3478561255028789E-2</v>
      </c>
      <c r="AC1458" s="40">
        <f t="shared" si="338"/>
        <v>0.74478942068640086</v>
      </c>
      <c r="AD1458" s="40">
        <f t="shared" si="339"/>
        <v>0.29868914056862805</v>
      </c>
      <c r="AE1458" s="40"/>
      <c r="AF1458" s="40"/>
      <c r="AG1458" s="40"/>
      <c r="AH1458" s="40"/>
      <c r="AI1458" s="40"/>
      <c r="AJ1458" s="40"/>
      <c r="AK1458" s="33">
        <f t="shared" si="331"/>
        <v>9744000</v>
      </c>
      <c r="AL1458" s="33">
        <f t="shared" si="332"/>
        <v>8057600</v>
      </c>
      <c r="AM1458" s="34"/>
      <c r="AN1458" s="33"/>
      <c r="AO1458" s="15" cm="1">
        <f t="array" ref="AO1458">SUMPRODUCT(I1458:K1458, TRANSPOSE($AY$5:$AY$7))</f>
        <v>1.4813057768703721E-2</v>
      </c>
      <c r="AP1458" s="22">
        <f t="shared" si="340"/>
        <v>16163202.066472502</v>
      </c>
      <c r="AQ1458" s="22">
        <f t="shared" si="344"/>
        <v>235931.57784579881</v>
      </c>
      <c r="AR1458">
        <f t="shared" si="342"/>
        <v>0</v>
      </c>
      <c r="AS1458">
        <f t="shared" si="343"/>
        <v>0</v>
      </c>
      <c r="BJ1458">
        <f t="shared" si="317"/>
        <v>3.0763959797624723E-5</v>
      </c>
      <c r="BK1458">
        <f t="shared" si="319"/>
        <v>5.2132915332682088E-5</v>
      </c>
      <c r="BO1458">
        <f t="shared" si="320"/>
        <v>6.2493010072081582E-5</v>
      </c>
      <c r="BP1458">
        <f t="shared" si="318"/>
        <v>3.6751501836508917</v>
      </c>
    </row>
    <row r="1459" spans="1:68" x14ac:dyDescent="0.15">
      <c r="A1459" s="5">
        <v>45714</v>
      </c>
      <c r="B1459" s="1"/>
      <c r="C1459">
        <v>87.6</v>
      </c>
      <c r="D1459">
        <v>144.44999999999999</v>
      </c>
      <c r="E1459">
        <v>97.03</v>
      </c>
      <c r="G1459" s="3">
        <v>1.3431934861147701E-3</v>
      </c>
      <c r="I1459" s="15">
        <f t="shared" si="321"/>
        <v>-1.5951471579420375E-2</v>
      </c>
      <c r="J1459" s="15">
        <f t="shared" si="322"/>
        <v>3.7715517241379316E-2</v>
      </c>
      <c r="K1459" s="15">
        <f t="shared" si="323"/>
        <v>-3.6636219221604427E-2</v>
      </c>
      <c r="L1459" s="32">
        <f t="shared" si="324"/>
        <v>449150.66708381078</v>
      </c>
      <c r="M1459" s="15"/>
      <c r="N1459" s="32">
        <f t="shared" si="325"/>
        <v>-2628000</v>
      </c>
      <c r="O1459" s="34">
        <f t="shared" si="326"/>
        <v>-0.16193074529506307</v>
      </c>
      <c r="P1459" s="34">
        <f t="shared" si="327"/>
        <v>0.62304517924316227</v>
      </c>
      <c r="Q1459" s="34">
        <f t="shared" si="328"/>
        <v>0.4782995499537282</v>
      </c>
      <c r="R1459" s="35" cm="1">
        <f t="array" ref="R1459">SQRT(MMULT(O1459:Q1459, MMULT($AU$32:$AW$34,TRANSPOSE(O1459:Q1459))))</f>
        <v>1.1877911411386168E-2</v>
      </c>
      <c r="S1459" s="36" cm="1">
        <f t="array" ref="S1459:U1459">TRANSPOSE(MMULT($AU$32:$AW$34, TRANSPOSE(O1459:Q1459))/MMULT(O1459:Q1459, MMULT($AU$32:$AW$34,TRANSPOSE(O1459:Q1459))))</f>
        <v>0.25610327637516417</v>
      </c>
      <c r="T1459" s="36">
        <v>1.2312615046146247</v>
      </c>
      <c r="U1459" s="36">
        <v>0.57357246019707409</v>
      </c>
      <c r="V1459" s="35">
        <f t="shared" si="333"/>
        <v>7.0877948274533789E-3</v>
      </c>
      <c r="W1459" s="35">
        <f t="shared" si="334"/>
        <v>3.4075819127225751E-2</v>
      </c>
      <c r="X1459" s="35">
        <f t="shared" si="335"/>
        <v>1.5873923887639779E-2</v>
      </c>
      <c r="Y1459" s="32">
        <f t="shared" si="336"/>
        <v>-18626.724806547481</v>
      </c>
      <c r="Z1459" s="32">
        <f t="shared" si="329"/>
        <v>344557.64510494319</v>
      </c>
      <c r="AA1459" s="32">
        <f t="shared" si="330"/>
        <v>123219.74678541502</v>
      </c>
      <c r="AB1459" s="40">
        <f t="shared" si="337"/>
        <v>-4.1470994415937858E-2</v>
      </c>
      <c r="AC1459" s="40">
        <f t="shared" si="338"/>
        <v>0.76713154483782453</v>
      </c>
      <c r="AD1459" s="40">
        <f t="shared" si="339"/>
        <v>0.27433944957811318</v>
      </c>
      <c r="AE1459" s="40"/>
      <c r="AF1459" s="40"/>
      <c r="AG1459" s="40"/>
      <c r="AH1459" s="40"/>
      <c r="AI1459" s="40"/>
      <c r="AJ1459" s="40"/>
      <c r="AK1459" s="33">
        <f t="shared" si="331"/>
        <v>10111500</v>
      </c>
      <c r="AL1459" s="33">
        <f t="shared" si="332"/>
        <v>7762400</v>
      </c>
      <c r="AM1459" s="34"/>
      <c r="AN1459" s="33"/>
      <c r="AO1459" s="15" cm="1">
        <f t="array" ref="AO1459">SUMPRODUCT(I1459:K1459, TRANSPOSE($AY$5:$AY$7))</f>
        <v>4.080756516366954E-3</v>
      </c>
      <c r="AP1459" s="22">
        <f t="shared" si="340"/>
        <v>16229160.158630617</v>
      </c>
      <c r="AQ1459" s="22">
        <f t="shared" si="344"/>
        <v>65958.092158114538</v>
      </c>
      <c r="AR1459">
        <f t="shared" si="342"/>
        <v>0</v>
      </c>
      <c r="AS1459">
        <f t="shared" si="343"/>
        <v>0</v>
      </c>
      <c r="BJ1459">
        <f t="shared" si="317"/>
        <v>1.804168741141149E-6</v>
      </c>
      <c r="BK1459">
        <f t="shared" si="319"/>
        <v>5.0850778000578643E-5</v>
      </c>
      <c r="BO1459">
        <f t="shared" si="320"/>
        <v>5.933942758822862E-5</v>
      </c>
      <c r="BP1459">
        <f t="shared" si="318"/>
        <v>3.9319776537965838</v>
      </c>
    </row>
    <row r="1460" spans="1:68" x14ac:dyDescent="0.15">
      <c r="A1460" s="5">
        <v>45715</v>
      </c>
      <c r="B1460" s="1"/>
      <c r="C1460">
        <v>87.04</v>
      </c>
      <c r="D1460">
        <v>145.19999999999999</v>
      </c>
      <c r="E1460">
        <v>97.61</v>
      </c>
      <c r="G1460" s="3">
        <v>-6.4529277894060898E-3</v>
      </c>
      <c r="I1460" s="15">
        <f t="shared" si="321"/>
        <v>-6.3926940639268048E-3</v>
      </c>
      <c r="J1460" s="15">
        <f t="shared" si="322"/>
        <v>5.1921079958463139E-3</v>
      </c>
      <c r="K1460" s="15">
        <f t="shared" si="323"/>
        <v>5.9775327218385887E-3</v>
      </c>
      <c r="L1460" s="32">
        <f t="shared" si="324"/>
        <v>451796.04743406398</v>
      </c>
      <c r="M1460" s="15"/>
      <c r="N1460" s="32">
        <f t="shared" si="325"/>
        <v>-2611200</v>
      </c>
      <c r="O1460" s="34">
        <f t="shared" si="326"/>
        <v>-0.15924913409572025</v>
      </c>
      <c r="P1460" s="34">
        <f t="shared" si="327"/>
        <v>0.61987139972001404</v>
      </c>
      <c r="Q1460" s="34">
        <f t="shared" si="328"/>
        <v>0.47623492582975657</v>
      </c>
      <c r="R1460" s="35" cm="1">
        <f t="array" ref="R1460">SQRT(MMULT(O1460:Q1460, MMULT($AU$32:$AW$34,TRANSPOSE(O1460:Q1460))))</f>
        <v>1.1825607180054957E-2</v>
      </c>
      <c r="S1460" s="36" cm="1">
        <f t="array" ref="S1460:U1460">TRANSPOSE(MMULT($AU$32:$AW$34, TRANSPOSE(O1460:Q1460))/MMULT(O1460:Q1460, MMULT($AU$32:$AW$34,TRANSPOSE(O1460:Q1460))))</f>
        <v>0.25892940975874607</v>
      </c>
      <c r="T1460" s="36">
        <v>1.2365571140975335</v>
      </c>
      <c r="U1460" s="36">
        <v>0.57687473187303806</v>
      </c>
      <c r="V1460" s="35">
        <f t="shared" si="333"/>
        <v>7.1344541451070775E-3</v>
      </c>
      <c r="W1460" s="35">
        <f t="shared" si="334"/>
        <v>3.4071680140756205E-2</v>
      </c>
      <c r="X1460" s="35">
        <f t="shared" si="335"/>
        <v>1.5895012952966081E-2</v>
      </c>
      <c r="Y1460" s="32">
        <f t="shared" si="336"/>
        <v>-18629.486663703599</v>
      </c>
      <c r="Z1460" s="32">
        <f t="shared" si="329"/>
        <v>346304.55695064605</v>
      </c>
      <c r="AA1460" s="32">
        <f t="shared" si="330"/>
        <v>124120.97714712154</v>
      </c>
      <c r="AB1460" s="40">
        <f t="shared" si="337"/>
        <v>-4.1234284295996244E-2</v>
      </c>
      <c r="AC1460" s="40">
        <f t="shared" si="338"/>
        <v>0.76650638914937919</v>
      </c>
      <c r="AD1460" s="40">
        <f t="shared" si="339"/>
        <v>0.274727895146617</v>
      </c>
      <c r="AE1460" s="40"/>
      <c r="AF1460" s="40"/>
      <c r="AG1460" s="40"/>
      <c r="AH1460" s="40"/>
      <c r="AI1460" s="40"/>
      <c r="AJ1460" s="40"/>
      <c r="AK1460" s="33">
        <f t="shared" si="331"/>
        <v>10164000</v>
      </c>
      <c r="AL1460" s="33">
        <f t="shared" si="332"/>
        <v>7808800</v>
      </c>
      <c r="AM1460" s="34"/>
      <c r="AN1460" s="33"/>
      <c r="AO1460" s="15" cm="1">
        <f t="array" ref="AO1460">SUMPRODUCT(I1460:K1460, TRANSPOSE($AY$5:$AY$7))</f>
        <v>1.0338753139707349E-2</v>
      </c>
      <c r="AP1460" s="22">
        <f t="shared" si="340"/>
        <v>16396949.439175474</v>
      </c>
      <c r="AQ1460" s="22">
        <f t="shared" si="344"/>
        <v>167789.28054485656</v>
      </c>
      <c r="AR1460">
        <f t="shared" si="342"/>
        <v>0</v>
      </c>
      <c r="AS1460">
        <f t="shared" si="343"/>
        <v>0</v>
      </c>
      <c r="BJ1460">
        <f t="shared" si="317"/>
        <v>4.1640277055289363E-5</v>
      </c>
      <c r="BK1460">
        <f t="shared" si="319"/>
        <v>4.7907981445012385E-5</v>
      </c>
      <c r="BO1460">
        <f t="shared" si="320"/>
        <v>5.2741365373639678E-5</v>
      </c>
      <c r="BP1460">
        <f t="shared" si="318"/>
        <v>3.6113575238806983</v>
      </c>
    </row>
    <row r="1461" spans="1:68" x14ac:dyDescent="0.15">
      <c r="A1461" s="5">
        <v>45716</v>
      </c>
      <c r="B1461" s="1"/>
      <c r="C1461">
        <v>87.12</v>
      </c>
      <c r="D1461">
        <v>144.30000000000001</v>
      </c>
      <c r="E1461">
        <v>97.66</v>
      </c>
      <c r="G1461" s="3">
        <v>3.5601150953179501E-3</v>
      </c>
      <c r="I1461" s="15">
        <f t="shared" si="321"/>
        <v>9.1911764705880389E-4</v>
      </c>
      <c r="J1461" s="15">
        <f t="shared" si="322"/>
        <v>-6.1983471074378606E-3</v>
      </c>
      <c r="K1461" s="15">
        <f t="shared" si="323"/>
        <v>5.1224259809442847E-4</v>
      </c>
      <c r="L1461" s="32">
        <f t="shared" si="324"/>
        <v>449697.0377957747</v>
      </c>
      <c r="M1461" s="15"/>
      <c r="N1461" s="32">
        <f t="shared" si="325"/>
        <v>-2613600</v>
      </c>
      <c r="O1461" s="34">
        <f t="shared" si="326"/>
        <v>-0.16004515573998387</v>
      </c>
      <c r="P1461" s="34">
        <f t="shared" si="327"/>
        <v>0.61853999010161353</v>
      </c>
      <c r="Q1461" s="34">
        <f t="shared" si="328"/>
        <v>0.47842087265279537</v>
      </c>
      <c r="R1461" s="35" cm="1">
        <f t="array" ref="R1461">SQRT(MMULT(O1461:Q1461, MMULT($AU$32:$AW$34,TRANSPOSE(O1461:Q1461))))</f>
        <v>1.181864037202467E-2</v>
      </c>
      <c r="S1461" s="36" cm="1">
        <f t="array" ref="S1461:U1461">TRANSPOSE(MMULT($AU$32:$AW$34, TRANSPOSE(O1461:Q1461))/MMULT(O1461:Q1461, MMULT($AU$32:$AW$34,TRANSPOSE(O1461:Q1461))))</f>
        <v>0.25907432276269865</v>
      </c>
      <c r="T1461" s="36">
        <v>1.2361664135475614</v>
      </c>
      <c r="U1461" s="36">
        <v>0.57866461302169447</v>
      </c>
      <c r="V1461" s="35">
        <f t="shared" si="333"/>
        <v>7.1342415633345599E-3</v>
      </c>
      <c r="W1461" s="35">
        <f t="shared" si="334"/>
        <v>3.4040848636347376E-2</v>
      </c>
      <c r="X1461" s="35">
        <f t="shared" si="335"/>
        <v>1.5934937470556139E-2</v>
      </c>
      <c r="Y1461" s="32">
        <f t="shared" si="336"/>
        <v>-18646.053749931205</v>
      </c>
      <c r="Z1461" s="32">
        <f t="shared" si="329"/>
        <v>343846.61207574484</v>
      </c>
      <c r="AA1461" s="32">
        <f t="shared" si="330"/>
        <v>124496.47946996101</v>
      </c>
      <c r="AB1461" s="40">
        <f t="shared" si="337"/>
        <v>-4.146359033478695E-2</v>
      </c>
      <c r="AC1461" s="40">
        <f t="shared" si="338"/>
        <v>0.76461836119965565</v>
      </c>
      <c r="AD1461" s="40">
        <f t="shared" si="339"/>
        <v>0.27684522913513121</v>
      </c>
      <c r="AE1461" s="40"/>
      <c r="AF1461" s="40"/>
      <c r="AG1461" s="40"/>
      <c r="AH1461" s="40"/>
      <c r="AI1461" s="40"/>
      <c r="AJ1461" s="40"/>
      <c r="AK1461" s="33">
        <f t="shared" si="331"/>
        <v>10101000</v>
      </c>
      <c r="AL1461" s="33">
        <f t="shared" si="332"/>
        <v>7812800</v>
      </c>
      <c r="AM1461" s="34"/>
      <c r="AN1461" s="33"/>
      <c r="AO1461" s="15" cm="1">
        <f t="array" ref="AO1461">SUMPRODUCT(I1461:K1461, TRANSPOSE($AY$5:$AY$7))</f>
        <v>-4.0591853707390045E-3</v>
      </c>
      <c r="AP1461" s="22">
        <f t="shared" si="340"/>
        <v>16330391.181887224</v>
      </c>
      <c r="AQ1461" s="22">
        <f t="shared" si="344"/>
        <v>-66558.25728824921</v>
      </c>
      <c r="AR1461">
        <f t="shared" si="342"/>
        <v>0</v>
      </c>
      <c r="AS1461">
        <f t="shared" si="343"/>
        <v>0</v>
      </c>
      <c r="BJ1461">
        <f t="shared" si="317"/>
        <v>1.2674419491910737E-5</v>
      </c>
      <c r="BK1461">
        <f t="shared" si="319"/>
        <v>4.7531919181629E-5</v>
      </c>
      <c r="BO1461">
        <f t="shared" si="320"/>
        <v>5.3239451193179006E-5</v>
      </c>
      <c r="BP1461">
        <f t="shared" si="318"/>
        <v>3.8823846891563543</v>
      </c>
    </row>
    <row r="1462" spans="1:68" x14ac:dyDescent="0.15">
      <c r="A1462" s="5">
        <v>45719</v>
      </c>
      <c r="B1462" s="1"/>
      <c r="C1462">
        <v>88.6</v>
      </c>
      <c r="D1462">
        <v>147.05000000000001</v>
      </c>
      <c r="E1462">
        <v>98.92</v>
      </c>
      <c r="G1462" s="3">
        <v>1.2472743651682201E-2</v>
      </c>
      <c r="I1462" s="15">
        <f t="shared" si="321"/>
        <v>1.6988062442607779E-2</v>
      </c>
      <c r="J1462" s="15">
        <f t="shared" si="322"/>
        <v>1.9057519057519057E-2</v>
      </c>
      <c r="K1462" s="15">
        <f t="shared" si="323"/>
        <v>1.2901904566864686E-2</v>
      </c>
      <c r="L1462" s="32">
        <f t="shared" si="324"/>
        <v>457540.34153009969</v>
      </c>
      <c r="M1462" s="15"/>
      <c r="N1462" s="32">
        <f t="shared" si="325"/>
        <v>-2658000</v>
      </c>
      <c r="O1462" s="34">
        <f t="shared" si="326"/>
        <v>-0.16030541435917584</v>
      </c>
      <c r="P1462" s="34">
        <f t="shared" si="327"/>
        <v>0.62080653976906564</v>
      </c>
      <c r="Q1462" s="34">
        <f t="shared" si="328"/>
        <v>0.4772734864833611</v>
      </c>
      <c r="R1462" s="35" cm="1">
        <f t="array" ref="R1462">SQRT(MMULT(O1462:Q1462, MMULT($AU$32:$AW$34,TRANSPOSE(O1462:Q1462))))</f>
        <v>1.184313515196192E-2</v>
      </c>
      <c r="S1462" s="36" cm="1">
        <f t="array" ref="S1462:U1462">TRANSPOSE(MMULT($AU$32:$AW$34, TRANSPOSE(O1462:Q1462))/MMULT(O1462:Q1462, MMULT($AU$32:$AW$34,TRANSPOSE(O1462:Q1462))))</f>
        <v>0.25794925838059035</v>
      </c>
      <c r="T1462" s="36">
        <v>1.2346238583815055</v>
      </c>
      <c r="U1462" s="36">
        <v>0.57595509722447236</v>
      </c>
      <c r="V1462" s="35">
        <f t="shared" si="333"/>
        <v>7.1179820753847489E-3</v>
      </c>
      <c r="W1462" s="35">
        <f t="shared" si="334"/>
        <v>3.4068834114791849E-2</v>
      </c>
      <c r="X1462" s="35">
        <f t="shared" si="335"/>
        <v>1.5893195754885549E-2</v>
      </c>
      <c r="Y1462" s="32">
        <f t="shared" si="336"/>
        <v>-18919.596356372662</v>
      </c>
      <c r="Z1462" s="32">
        <f t="shared" si="329"/>
        <v>350687.54396060988</v>
      </c>
      <c r="AA1462" s="32">
        <f t="shared" si="330"/>
        <v>125772.39392586228</v>
      </c>
      <c r="AB1462" s="40">
        <f t="shared" si="337"/>
        <v>-4.1350662748342641E-2</v>
      </c>
      <c r="AC1462" s="40">
        <f t="shared" si="338"/>
        <v>0.76646256543815516</v>
      </c>
      <c r="AD1462" s="40">
        <f t="shared" si="339"/>
        <v>0.2748880973101871</v>
      </c>
      <c r="AE1462" s="40"/>
      <c r="AF1462" s="40"/>
      <c r="AG1462" s="40"/>
      <c r="AH1462" s="40"/>
      <c r="AI1462" s="40"/>
      <c r="AJ1462" s="40"/>
      <c r="AK1462" s="33">
        <f t="shared" si="331"/>
        <v>10293500</v>
      </c>
      <c r="AL1462" s="33">
        <f t="shared" si="332"/>
        <v>7913600</v>
      </c>
      <c r="AM1462" s="34"/>
      <c r="AN1462" s="33"/>
      <c r="AO1462" s="15" cm="1">
        <f t="array" ref="AO1462">SUMPRODUCT(I1462:K1462, TRANSPOSE($AY$5:$AY$7))</f>
        <v>1.5336964693201989E-2</v>
      </c>
      <c r="AP1462" s="22">
        <f t="shared" si="340"/>
        <v>16580849.814870005</v>
      </c>
      <c r="AQ1462" s="22">
        <f t="shared" si="344"/>
        <v>250458.63298278116</v>
      </c>
      <c r="AR1462">
        <f t="shared" si="342"/>
        <v>0</v>
      </c>
      <c r="AS1462">
        <f t="shared" si="343"/>
        <v>0</v>
      </c>
      <c r="BJ1462">
        <f t="shared" si="317"/>
        <v>1.5556933420057866E-4</v>
      </c>
      <c r="BK1462">
        <f t="shared" si="319"/>
        <v>4.5440469200245902E-5</v>
      </c>
      <c r="BO1462">
        <f t="shared" si="320"/>
        <v>4.95048162569337E-5</v>
      </c>
      <c r="BP1462">
        <f t="shared" si="318"/>
        <v>2.4665272282415218</v>
      </c>
    </row>
    <row r="1463" spans="1:68" x14ac:dyDescent="0.15">
      <c r="A1463" s="5">
        <v>45720</v>
      </c>
      <c r="B1463" s="1"/>
      <c r="C1463">
        <v>89.76</v>
      </c>
      <c r="D1463">
        <v>145.94999999999999</v>
      </c>
      <c r="E1463">
        <v>99.38</v>
      </c>
      <c r="G1463" s="3">
        <v>-1.21474965570377E-2</v>
      </c>
      <c r="I1463" s="15">
        <f t="shared" si="321"/>
        <v>1.3092550790067842E-2</v>
      </c>
      <c r="J1463" s="15">
        <f t="shared" si="322"/>
        <v>-7.4804488269297701E-3</v>
      </c>
      <c r="K1463" s="15">
        <f t="shared" si="323"/>
        <v>4.6502224019408988E-3</v>
      </c>
      <c r="L1463" s="32">
        <f t="shared" si="324"/>
        <v>455257.98985727748</v>
      </c>
      <c r="M1463" s="15"/>
      <c r="N1463" s="32">
        <f t="shared" si="325"/>
        <v>-2692800</v>
      </c>
      <c r="O1463" s="34">
        <f t="shared" si="326"/>
        <v>-0.16349181010758623</v>
      </c>
      <c r="P1463" s="34">
        <f t="shared" si="327"/>
        <v>0.62028894755056252</v>
      </c>
      <c r="Q1463" s="34">
        <f t="shared" si="328"/>
        <v>0.4827039836153274</v>
      </c>
      <c r="R1463" s="35" cm="1">
        <f t="array" ref="R1463">SQRT(MMULT(O1463:Q1463, MMULT($AU$32:$AW$34,TRANSPOSE(O1463:Q1463))))</f>
        <v>1.1862973465357219E-2</v>
      </c>
      <c r="S1463" s="36" cm="1">
        <f t="array" ref="S1463:U1463">TRANSPOSE(MMULT($AU$32:$AW$34, TRANSPOSE(O1463:Q1463))/MMULT(O1463:Q1463, MMULT($AU$32:$AW$34,TRANSPOSE(O1463:Q1463))))</f>
        <v>0.25644430252998662</v>
      </c>
      <c r="T1463" s="36">
        <v>1.2305483786445095</v>
      </c>
      <c r="U1463" s="36">
        <v>0.57722951119250632</v>
      </c>
      <c r="V1463" s="35">
        <f t="shared" si="333"/>
        <v>7.0883072580747806E-3</v>
      </c>
      <c r="W1463" s="35">
        <f t="shared" si="334"/>
        <v>3.4013253239416723E-2</v>
      </c>
      <c r="X1463" s="35">
        <f t="shared" si="335"/>
        <v>1.595504401304592E-2</v>
      </c>
      <c r="Y1463" s="32">
        <f t="shared" si="336"/>
        <v>-19087.393784543769</v>
      </c>
      <c r="Z1463" s="32">
        <f t="shared" si="329"/>
        <v>347496.40172050096</v>
      </c>
      <c r="AA1463" s="32">
        <f t="shared" si="330"/>
        <v>126848.98192132029</v>
      </c>
      <c r="AB1463" s="40">
        <f t="shared" si="337"/>
        <v>-4.1926543212404972E-2</v>
      </c>
      <c r="AC1463" s="40">
        <f t="shared" si="338"/>
        <v>0.76329555869945398</v>
      </c>
      <c r="AD1463" s="40">
        <f t="shared" si="339"/>
        <v>0.27863098451295099</v>
      </c>
      <c r="AE1463" s="40"/>
      <c r="AF1463" s="40"/>
      <c r="AG1463" s="40"/>
      <c r="AH1463" s="40"/>
      <c r="AI1463" s="40"/>
      <c r="AJ1463" s="40"/>
      <c r="AK1463" s="33">
        <f t="shared" si="331"/>
        <v>10216500</v>
      </c>
      <c r="AL1463" s="33">
        <f t="shared" si="332"/>
        <v>7950400</v>
      </c>
      <c r="AM1463" s="34"/>
      <c r="AN1463" s="33"/>
      <c r="AO1463" s="15" cm="1">
        <f t="array" ref="AO1463">SUMPRODUCT(I1463:K1463, TRANSPOSE($AY$5:$AY$7))</f>
        <v>-6.652253518230478E-3</v>
      </c>
      <c r="AP1463" s="22">
        <f t="shared" si="340"/>
        <v>16470549.798353786</v>
      </c>
      <c r="AQ1463" s="22">
        <f t="shared" si="344"/>
        <v>-110300.01651621982</v>
      </c>
      <c r="AR1463">
        <f t="shared" si="342"/>
        <v>0</v>
      </c>
      <c r="AS1463">
        <f t="shared" si="343"/>
        <v>0</v>
      </c>
      <c r="BJ1463">
        <f t="shared" si="317"/>
        <v>1.4756167260324276E-4</v>
      </c>
      <c r="BK1463">
        <f t="shared" si="319"/>
        <v>5.2048201100265875E-5</v>
      </c>
      <c r="BO1463">
        <f t="shared" si="320"/>
        <v>6.6926568448557488E-5</v>
      </c>
      <c r="BP1463">
        <f t="shared" si="318"/>
        <v>2.7846039821032509</v>
      </c>
    </row>
    <row r="1464" spans="1:68" x14ac:dyDescent="0.15">
      <c r="A1464" s="5">
        <v>45721</v>
      </c>
      <c r="B1464" s="1"/>
      <c r="C1464">
        <v>88.12</v>
      </c>
      <c r="D1464">
        <v>147.85</v>
      </c>
      <c r="E1464">
        <v>100</v>
      </c>
      <c r="G1464" s="3">
        <v>8.1509241936545893E-3</v>
      </c>
      <c r="I1464" s="15">
        <f t="shared" si="321"/>
        <v>-1.8270944741532982E-2</v>
      </c>
      <c r="J1464" s="15">
        <f t="shared" si="322"/>
        <v>1.3018156903049029E-2</v>
      </c>
      <c r="K1464" s="15">
        <f t="shared" si="323"/>
        <v>6.2386798148521289E-3</v>
      </c>
      <c r="L1464" s="32">
        <f t="shared" si="324"/>
        <v>460925.93318423862</v>
      </c>
      <c r="M1464" s="15"/>
      <c r="N1464" s="32">
        <f t="shared" si="325"/>
        <v>-2643600</v>
      </c>
      <c r="O1464" s="34">
        <f t="shared" si="326"/>
        <v>-0.15730215561568303</v>
      </c>
      <c r="P1464" s="34">
        <f t="shared" si="327"/>
        <v>0.61582639565157804</v>
      </c>
      <c r="Q1464" s="34">
        <f t="shared" si="328"/>
        <v>0.47602407509663502</v>
      </c>
      <c r="R1464" s="35" cm="1">
        <f t="array" ref="R1464">SQRT(MMULT(O1464:Q1464, MMULT($AU$32:$AW$34,TRANSPOSE(O1464:Q1464))))</f>
        <v>1.1771021514596598E-2</v>
      </c>
      <c r="S1464" s="36" cm="1">
        <f t="array" ref="S1464:U1464">TRANSPOSE(MMULT($AU$32:$AW$34, TRANSPOSE(O1464:Q1464))/MMULT(O1464:Q1464, MMULT($AU$32:$AW$34,TRANSPOSE(O1464:Q1464))))</f>
        <v>0.26178520857764931</v>
      </c>
      <c r="T1464" s="36">
        <v>1.2412481266743058</v>
      </c>
      <c r="U1464" s="36">
        <v>0.58145382164182635</v>
      </c>
      <c r="V1464" s="35">
        <f t="shared" si="333"/>
        <v>7.1798468211236562E-3</v>
      </c>
      <c r="W1464" s="35">
        <f t="shared" si="334"/>
        <v>3.4043067081403824E-2</v>
      </c>
      <c r="X1464" s="35">
        <f t="shared" si="335"/>
        <v>1.5947231685196517E-2</v>
      </c>
      <c r="Y1464" s="32">
        <f t="shared" si="336"/>
        <v>-18980.643056322497</v>
      </c>
      <c r="Z1464" s="32">
        <f t="shared" si="329"/>
        <v>352328.72275898891</v>
      </c>
      <c r="AA1464" s="32">
        <f t="shared" si="330"/>
        <v>127577.85348157214</v>
      </c>
      <c r="AB1464" s="40">
        <f t="shared" si="337"/>
        <v>-4.1179377617565432E-2</v>
      </c>
      <c r="AC1464" s="40">
        <f t="shared" si="338"/>
        <v>0.76439335995911106</v>
      </c>
      <c r="AD1464" s="40">
        <f t="shared" si="339"/>
        <v>0.27678601765845418</v>
      </c>
      <c r="AE1464" s="40"/>
      <c r="AF1464" s="40"/>
      <c r="AG1464" s="40"/>
      <c r="AH1464" s="40"/>
      <c r="AI1464" s="40"/>
      <c r="AJ1464" s="40"/>
      <c r="AK1464" s="33">
        <f t="shared" si="331"/>
        <v>10349500</v>
      </c>
      <c r="AL1464" s="33">
        <f t="shared" si="332"/>
        <v>8000000</v>
      </c>
      <c r="AM1464" s="34"/>
      <c r="AN1464" s="33"/>
      <c r="AO1464" s="15" cm="1">
        <f t="array" ref="AO1464">SUMPRODUCT(I1464:K1464, TRANSPOSE($AY$5:$AY$7))</f>
        <v>2.0358936921109901E-2</v>
      </c>
      <c r="AP1464" s="22">
        <f t="shared" si="340"/>
        <v>16805872.682754468</v>
      </c>
      <c r="AQ1464" s="22">
        <f t="shared" si="344"/>
        <v>335322.88440068252</v>
      </c>
      <c r="AR1464">
        <f t="shared" si="342"/>
        <v>0</v>
      </c>
      <c r="AS1464">
        <f t="shared" si="343"/>
        <v>0</v>
      </c>
      <c r="BJ1464">
        <f t="shared" si="317"/>
        <v>6.6437565210703721E-5</v>
      </c>
      <c r="BK1464">
        <f t="shared" si="319"/>
        <v>5.7779009390444494E-5</v>
      </c>
      <c r="BO1464">
        <f t="shared" si="320"/>
        <v>7.9451369181915177E-5</v>
      </c>
      <c r="BP1464">
        <f t="shared" si="318"/>
        <v>3.3831421040991176</v>
      </c>
    </row>
    <row r="1465" spans="1:68" x14ac:dyDescent="0.15">
      <c r="A1465" s="5">
        <v>45722</v>
      </c>
      <c r="B1465" s="1"/>
      <c r="C1465">
        <v>87.86</v>
      </c>
      <c r="D1465">
        <v>144.80000000000001</v>
      </c>
      <c r="E1465">
        <v>99.47</v>
      </c>
      <c r="G1465" s="3">
        <v>-6.3577250024565704E-3</v>
      </c>
      <c r="I1465" s="15">
        <f t="shared" si="321"/>
        <v>-2.9505220154335578E-3</v>
      </c>
      <c r="J1465" s="15">
        <f t="shared" si="322"/>
        <v>-2.062901589448754E-2</v>
      </c>
      <c r="K1465" s="15">
        <f t="shared" si="323"/>
        <v>-5.3000000000000113E-3</v>
      </c>
      <c r="L1465" s="32">
        <f t="shared" si="324"/>
        <v>453043.27404491371</v>
      </c>
      <c r="M1465" s="15"/>
      <c r="N1465" s="32">
        <f t="shared" si="325"/>
        <v>-2635800</v>
      </c>
      <c r="O1465" s="34">
        <f t="shared" si="326"/>
        <v>-0.15943724840684692</v>
      </c>
      <c r="P1465" s="34">
        <f t="shared" si="327"/>
        <v>0.61311781996046755</v>
      </c>
      <c r="Q1465" s="34">
        <f t="shared" si="328"/>
        <v>0.48134829953802449</v>
      </c>
      <c r="R1465" s="35" cm="1">
        <f t="array" ref="R1465">SQRT(MMULT(O1465:Q1465, MMULT($AU$32:$AW$34,TRANSPOSE(O1465:Q1465))))</f>
        <v>1.1761456404494164E-2</v>
      </c>
      <c r="S1465" s="36" cm="1">
        <f t="array" ref="S1465:U1465">TRANSPOSE(MMULT($AU$32:$AW$34, TRANSPOSE(O1465:Q1465))/MMULT(O1465:Q1465, MMULT($AU$32:$AW$34,TRANSPOSE(O1465:Q1465))))</f>
        <v>0.26180111480153256</v>
      </c>
      <c r="T1465" s="36">
        <v>1.239629505411816</v>
      </c>
      <c r="U1465" s="36">
        <v>0.58523507765042593</v>
      </c>
      <c r="V1465" s="35">
        <f t="shared" si="333"/>
        <v>7.1744483882398387E-3</v>
      </c>
      <c r="W1465" s="35">
        <f t="shared" si="334"/>
        <v>3.3971046738507968E-2</v>
      </c>
      <c r="X1465" s="35">
        <f t="shared" si="335"/>
        <v>1.6037895265547341E-2</v>
      </c>
      <c r="Y1465" s="32">
        <f t="shared" si="336"/>
        <v>-18910.411061722567</v>
      </c>
      <c r="Z1465" s="32">
        <f t="shared" si="329"/>
        <v>344330.52974151674</v>
      </c>
      <c r="AA1465" s="32">
        <f t="shared" si="330"/>
        <v>127623.15536511951</v>
      </c>
      <c r="AB1465" s="40">
        <f t="shared" si="337"/>
        <v>-4.1740849373801389E-2</v>
      </c>
      <c r="AC1465" s="40">
        <f t="shared" si="338"/>
        <v>0.76003893991676519</v>
      </c>
      <c r="AD1465" s="40">
        <f t="shared" si="339"/>
        <v>0.28170190945703621</v>
      </c>
      <c r="AE1465" s="40"/>
      <c r="AF1465" s="40"/>
      <c r="AG1465" s="40"/>
      <c r="AH1465" s="40"/>
      <c r="AI1465" s="40"/>
      <c r="AJ1465" s="40"/>
      <c r="AK1465" s="33">
        <f t="shared" si="331"/>
        <v>10136000</v>
      </c>
      <c r="AL1465" s="33">
        <f t="shared" si="332"/>
        <v>7957600</v>
      </c>
      <c r="AM1465" s="34"/>
      <c r="AN1465" s="33"/>
      <c r="AO1465" s="15" cm="1">
        <f t="array" ref="AO1465">SUMPRODUCT(I1465:K1465, TRANSPOSE($AY$5:$AY$7))</f>
        <v>-1.6302440554860072E-2</v>
      </c>
      <c r="AP1465" s="22">
        <f t="shared" si="340"/>
        <v>16531895.942371316</v>
      </c>
      <c r="AQ1465" s="22">
        <f t="shared" si="344"/>
        <v>-273976.74038315192</v>
      </c>
      <c r="AR1465">
        <f t="shared" si="342"/>
        <v>0</v>
      </c>
      <c r="AS1465">
        <f t="shared" si="343"/>
        <v>0</v>
      </c>
      <c r="BJ1465">
        <f t="shared" si="317"/>
        <v>4.0420667206861398E-5</v>
      </c>
      <c r="BK1465">
        <f t="shared" si="319"/>
        <v>5.8298522739660047E-5</v>
      </c>
      <c r="BO1465">
        <f t="shared" si="320"/>
        <v>7.7721846898332248E-5</v>
      </c>
      <c r="BP1465">
        <f t="shared" si="318"/>
        <v>3.5522144120997146</v>
      </c>
    </row>
    <row r="1466" spans="1:68" x14ac:dyDescent="0.15">
      <c r="A1466" s="5">
        <v>45723</v>
      </c>
      <c r="B1466" s="1"/>
      <c r="C1466">
        <v>89.72</v>
      </c>
      <c r="D1466">
        <v>145.25</v>
      </c>
      <c r="E1466">
        <v>100.92</v>
      </c>
      <c r="G1466" s="3">
        <v>3.62975120663122E-3</v>
      </c>
      <c r="I1466" s="15">
        <f t="shared" si="321"/>
        <v>2.1170043250625988E-2</v>
      </c>
      <c r="J1466" s="15">
        <f t="shared" si="322"/>
        <v>3.1077348066297556E-3</v>
      </c>
      <c r="K1466" s="15">
        <f t="shared" si="323"/>
        <v>1.4577259475218688E-2</v>
      </c>
      <c r="L1466" s="32">
        <f t="shared" si="324"/>
        <v>455576.70694513549</v>
      </c>
      <c r="M1466" s="15"/>
      <c r="N1466" s="32">
        <f t="shared" si="325"/>
        <v>-2691600</v>
      </c>
      <c r="O1466" s="34">
        <f t="shared" si="326"/>
        <v>-0.16209307058281383</v>
      </c>
      <c r="P1466" s="34">
        <f t="shared" si="327"/>
        <v>0.61230542991185899</v>
      </c>
      <c r="Q1466" s="34">
        <f t="shared" si="328"/>
        <v>0.48620694555558247</v>
      </c>
      <c r="R1466" s="35" cm="1">
        <f t="array" ref="R1466">SQRT(MMULT(O1466:Q1466, MMULT($AU$32:$AW$34,TRANSPOSE(O1466:Q1466))))</f>
        <v>1.1774962148133367E-2</v>
      </c>
      <c r="S1466" s="36" cm="1">
        <f t="array" ref="S1466:U1466">TRANSPOSE(MMULT($AU$32:$AW$34, TRANSPOSE(O1466:Q1466))/MMULT(O1466:Q1466, MMULT($AU$32:$AW$34,TRANSPOSE(O1466:Q1466))))</f>
        <v>0.26068891107011166</v>
      </c>
      <c r="T1466" s="36">
        <v>1.2362610358076362</v>
      </c>
      <c r="U1466" s="36">
        <v>0.5867594522385452</v>
      </c>
      <c r="V1466" s="35">
        <f t="shared" si="333"/>
        <v>7.1521728004726014E-3</v>
      </c>
      <c r="W1466" s="35">
        <f t="shared" si="334"/>
        <v>3.3917639681303666E-2</v>
      </c>
      <c r="X1466" s="35">
        <f t="shared" si="335"/>
        <v>1.6098133892592226E-2</v>
      </c>
      <c r="Y1466" s="32">
        <f t="shared" si="336"/>
        <v>-19250.788309752053</v>
      </c>
      <c r="Z1466" s="32">
        <f t="shared" si="329"/>
        <v>344857.60145965504</v>
      </c>
      <c r="AA1466" s="32">
        <f t="shared" si="330"/>
        <v>129969.89379523259</v>
      </c>
      <c r="AB1466" s="40">
        <f t="shared" si="337"/>
        <v>-4.225586606224449E-2</v>
      </c>
      <c r="AC1466" s="40">
        <f t="shared" si="338"/>
        <v>0.7569693450134749</v>
      </c>
      <c r="AD1466" s="40">
        <f t="shared" si="339"/>
        <v>0.28528652104876973</v>
      </c>
      <c r="AE1466" s="40"/>
      <c r="AF1466" s="40"/>
      <c r="AG1466" s="40"/>
      <c r="AH1466" s="40"/>
      <c r="AI1466" s="40"/>
      <c r="AJ1466" s="40"/>
      <c r="AK1466" s="33">
        <f t="shared" si="331"/>
        <v>10167500</v>
      </c>
      <c r="AL1466" s="33">
        <f t="shared" si="332"/>
        <v>8073600</v>
      </c>
      <c r="AM1466" s="34"/>
      <c r="AN1466" s="33"/>
      <c r="AO1466" s="15" cm="1">
        <f t="array" ref="AO1466">SUMPRODUCT(I1466:K1466, TRANSPOSE($AY$5:$AY$7))</f>
        <v>4.4386306334991375E-3</v>
      </c>
      <c r="AP1466" s="22">
        <f t="shared" si="340"/>
        <v>16605274.922130946</v>
      </c>
      <c r="AQ1466" s="22">
        <f t="shared" si="344"/>
        <v>73378.979759629816</v>
      </c>
      <c r="AR1466">
        <f t="shared" si="342"/>
        <v>0</v>
      </c>
      <c r="AS1466">
        <f t="shared" si="343"/>
        <v>0</v>
      </c>
      <c r="BJ1466">
        <f t="shared" si="317"/>
        <v>1.3175093822040797E-5</v>
      </c>
      <c r="BK1466">
        <f t="shared" si="319"/>
        <v>5.7225851407692126E-5</v>
      </c>
      <c r="BO1466">
        <f t="shared" si="320"/>
        <v>7.2659914726095701E-5</v>
      </c>
      <c r="BP1466">
        <f t="shared" si="318"/>
        <v>3.7552590798181926</v>
      </c>
    </row>
    <row r="1467" spans="1:68" x14ac:dyDescent="0.15">
      <c r="A1467" s="5">
        <v>45726</v>
      </c>
      <c r="B1467" s="1"/>
      <c r="C1467">
        <v>90.5</v>
      </c>
      <c r="D1467">
        <v>146.44999999999999</v>
      </c>
      <c r="E1467">
        <v>101.38</v>
      </c>
      <c r="G1467" s="3">
        <v>-4.8353125925971706E-3</v>
      </c>
      <c r="I1467" s="15">
        <f t="shared" si="321"/>
        <v>8.6937137761926124E-3</v>
      </c>
      <c r="J1467" s="15">
        <f t="shared" si="322"/>
        <v>8.2616179001720382E-3</v>
      </c>
      <c r="K1467" s="15">
        <f t="shared" si="323"/>
        <v>4.5580657946888E-3</v>
      </c>
      <c r="L1467" s="32">
        <f t="shared" si="324"/>
        <v>458851.26361183298</v>
      </c>
      <c r="M1467" s="15"/>
      <c r="N1467" s="32">
        <f t="shared" si="325"/>
        <v>-2715000</v>
      </c>
      <c r="O1467" s="34">
        <f t="shared" si="326"/>
        <v>-0.16263026640460093</v>
      </c>
      <c r="P1467" s="34">
        <f t="shared" si="327"/>
        <v>0.61407151972256591</v>
      </c>
      <c r="Q1467" s="34">
        <f t="shared" si="328"/>
        <v>0.48581823670271651</v>
      </c>
      <c r="R1467" s="35" cm="1">
        <f t="array" ref="R1467">SQRT(MMULT(O1467:Q1467, MMULT($AU$32:$AW$34,TRANSPOSE(O1467:Q1467))))</f>
        <v>1.1796347306140605E-2</v>
      </c>
      <c r="S1467" s="36" cm="1">
        <f t="array" ref="S1467:U1467">TRANSPOSE(MMULT($AU$32:$AW$34, TRANSPOSE(O1467:Q1467))/MMULT(O1467:Q1467, MMULT($AU$32:$AW$34,TRANSPOSE(O1467:Q1467))))</f>
        <v>0.25962124004821729</v>
      </c>
      <c r="T1467" s="36">
        <v>1.2346630824308455</v>
      </c>
      <c r="U1467" s="36">
        <v>0.58468541236234994</v>
      </c>
      <c r="V1467" s="35">
        <f t="shared" si="333"/>
        <v>7.1358167954870344E-3</v>
      </c>
      <c r="W1467" s="35">
        <f t="shared" si="334"/>
        <v>3.3935318846568759E-2</v>
      </c>
      <c r="X1467" s="35">
        <f t="shared" si="335"/>
        <v>1.6070364600510537E-2</v>
      </c>
      <c r="Y1467" s="32">
        <f t="shared" si="336"/>
        <v>-19373.7425997473</v>
      </c>
      <c r="Z1467" s="32">
        <f t="shared" si="329"/>
        <v>347887.92115559964</v>
      </c>
      <c r="AA1467" s="32">
        <f t="shared" si="330"/>
        <v>130337.08505598066</v>
      </c>
      <c r="AB1467" s="40">
        <f t="shared" si="337"/>
        <v>-4.222227143333443E-2</v>
      </c>
      <c r="AC1467" s="40">
        <f t="shared" si="338"/>
        <v>0.75817143537365694</v>
      </c>
      <c r="AD1467" s="40">
        <f t="shared" si="339"/>
        <v>0.28405083605967757</v>
      </c>
      <c r="AE1467" s="40"/>
      <c r="AF1467" s="40"/>
      <c r="AG1467" s="40"/>
      <c r="AH1467" s="40"/>
      <c r="AI1467" s="40"/>
      <c r="AJ1467" s="40"/>
      <c r="AK1467" s="33">
        <f t="shared" si="331"/>
        <v>10251500</v>
      </c>
      <c r="AL1467" s="33">
        <f t="shared" si="332"/>
        <v>8110400</v>
      </c>
      <c r="AM1467" s="34"/>
      <c r="AN1467" s="33"/>
      <c r="AO1467" s="15" cm="1">
        <f t="array" ref="AO1467">SUMPRODUCT(I1467:K1467, TRANSPOSE($AY$5:$AY$7))</f>
        <v>5.3618244515120077E-3</v>
      </c>
      <c r="AP1467" s="22">
        <f t="shared" si="340"/>
        <v>16694309.491232505</v>
      </c>
      <c r="AQ1467" s="22">
        <f t="shared" si="344"/>
        <v>89034.569101558998</v>
      </c>
      <c r="AR1467">
        <f t="shared" si="342"/>
        <v>0</v>
      </c>
      <c r="AS1467">
        <f t="shared" si="343"/>
        <v>0</v>
      </c>
      <c r="BJ1467">
        <f t="shared" si="317"/>
        <v>2.3380247868128773E-5</v>
      </c>
      <c r="BK1467">
        <f t="shared" si="319"/>
        <v>5.4582805952553041E-5</v>
      </c>
      <c r="BO1467">
        <f t="shared" si="320"/>
        <v>6.4809122641041917E-5</v>
      </c>
      <c r="BP1467">
        <f t="shared" si="318"/>
        <v>3.7227158050235722</v>
      </c>
    </row>
    <row r="1468" spans="1:68" x14ac:dyDescent="0.15">
      <c r="A1468" s="5">
        <v>45727</v>
      </c>
      <c r="B1468" s="1"/>
      <c r="C1468">
        <v>88.6</v>
      </c>
      <c r="D1468">
        <v>144.15</v>
      </c>
      <c r="E1468">
        <v>95.7</v>
      </c>
      <c r="G1468" s="3">
        <v>-2.4682415990178602E-2</v>
      </c>
      <c r="I1468" s="15">
        <f t="shared" si="321"/>
        <v>-2.099447513812161E-2</v>
      </c>
      <c r="J1468" s="15">
        <f t="shared" si="322"/>
        <v>-1.5705018777739728E-2</v>
      </c>
      <c r="K1468" s="15">
        <f t="shared" si="323"/>
        <v>-5.6026829749457413E-2</v>
      </c>
      <c r="L1468" s="32">
        <f t="shared" si="324"/>
        <v>446539.87563553889</v>
      </c>
      <c r="M1468" s="15"/>
      <c r="N1468" s="32">
        <f t="shared" si="325"/>
        <v>-2658000</v>
      </c>
      <c r="O1468" s="34">
        <f t="shared" si="326"/>
        <v>-0.16642818499957851</v>
      </c>
      <c r="P1468" s="34">
        <f t="shared" si="327"/>
        <v>0.6318072237540433</v>
      </c>
      <c r="Q1468" s="34">
        <f t="shared" si="328"/>
        <v>0.47937328230126902</v>
      </c>
      <c r="R1468" s="35" cm="1">
        <f t="array" ref="R1468">SQRT(MMULT(O1468:Q1468, MMULT($AU$32:$AW$34,TRANSPOSE(O1468:Q1468))))</f>
        <v>1.1999861303306601E-2</v>
      </c>
      <c r="S1468" s="36" cm="1">
        <f t="array" ref="S1468:U1468">TRANSPOSE(MMULT($AU$32:$AW$34, TRANSPOSE(O1468:Q1468))/MMULT(O1468:Q1468, MMULT($AU$32:$AW$34,TRANSPOSE(O1468:Q1468))))</f>
        <v>0.25000837083193117</v>
      </c>
      <c r="T1468" s="36">
        <v>1.2206776986980286</v>
      </c>
      <c r="U1468" s="36">
        <v>0.56401860817404226</v>
      </c>
      <c r="V1468" s="35">
        <f t="shared" si="333"/>
        <v>6.9901532549317457E-3</v>
      </c>
      <c r="W1468" s="35">
        <f t="shared" si="334"/>
        <v>3.4129753977368879E-2</v>
      </c>
      <c r="X1468" s="35">
        <f t="shared" si="335"/>
        <v>1.5769778014434015E-2</v>
      </c>
      <c r="Y1468" s="32">
        <f t="shared" si="336"/>
        <v>-18579.827351608579</v>
      </c>
      <c r="Z1468" s="32">
        <f t="shared" si="329"/>
        <v>344386.28250864067</v>
      </c>
      <c r="AA1468" s="32">
        <f t="shared" si="330"/>
        <v>120733.42047850681</v>
      </c>
      <c r="AB1468" s="40">
        <f t="shared" si="337"/>
        <v>-4.1608439392259867E-2</v>
      </c>
      <c r="AC1468" s="40">
        <f t="shared" si="338"/>
        <v>0.77123298791287587</v>
      </c>
      <c r="AD1468" s="40">
        <f t="shared" si="339"/>
        <v>0.27037545147938402</v>
      </c>
      <c r="AE1468" s="40"/>
      <c r="AF1468" s="40"/>
      <c r="AG1468" s="40"/>
      <c r="AH1468" s="40"/>
      <c r="AI1468" s="40"/>
      <c r="AJ1468" s="40"/>
      <c r="AK1468" s="33">
        <f t="shared" si="331"/>
        <v>10090500</v>
      </c>
      <c r="AL1468" s="33">
        <f t="shared" si="332"/>
        <v>7656000</v>
      </c>
      <c r="AM1468" s="34"/>
      <c r="AN1468" s="33"/>
      <c r="AO1468" s="15" cm="1">
        <f t="array" ref="AO1468">SUMPRODUCT(I1468:K1468, TRANSPOSE($AY$5:$AY$7))</f>
        <v>-4.3335542472768815E-2</v>
      </c>
      <c r="AP1468" s="22">
        <f t="shared" si="340"/>
        <v>15970852.533221651</v>
      </c>
      <c r="AQ1468" s="22">
        <f t="shared" si="344"/>
        <v>-723456.9580108542</v>
      </c>
      <c r="AR1468">
        <f t="shared" si="342"/>
        <v>1</v>
      </c>
      <c r="AS1468">
        <f t="shared" si="343"/>
        <v>1</v>
      </c>
      <c r="BJ1468">
        <f t="shared" si="317"/>
        <v>6.0922165911222429E-4</v>
      </c>
      <c r="BK1468">
        <f t="shared" si="319"/>
        <v>5.2710652467487579E-5</v>
      </c>
      <c r="BO1468">
        <f t="shared" si="320"/>
        <v>6.0104547582768428E-5</v>
      </c>
      <c r="BP1468">
        <f t="shared" si="318"/>
        <v>-1.1272423519926975</v>
      </c>
    </row>
    <row r="1469" spans="1:68" x14ac:dyDescent="0.15">
      <c r="A1469" s="5">
        <v>45728</v>
      </c>
      <c r="B1469" s="1"/>
      <c r="C1469">
        <v>89.04</v>
      </c>
      <c r="D1469">
        <v>147.15</v>
      </c>
      <c r="E1469">
        <v>96.31</v>
      </c>
      <c r="G1469" s="3">
        <v>1.3880982541734701E-2</v>
      </c>
      <c r="I1469" s="15">
        <f t="shared" si="321"/>
        <v>4.9661399548534078E-3</v>
      </c>
      <c r="J1469" s="15">
        <f t="shared" si="322"/>
        <v>2.081165452653486E-2</v>
      </c>
      <c r="K1469" s="15">
        <f t="shared" si="323"/>
        <v>6.374085684430506E-3</v>
      </c>
      <c r="L1469" s="32">
        <f t="shared" si="324"/>
        <v>454389.0697538919</v>
      </c>
      <c r="M1469" s="15"/>
      <c r="N1469" s="32">
        <f t="shared" si="325"/>
        <v>-2671200</v>
      </c>
      <c r="O1469" s="34">
        <f t="shared" si="326"/>
        <v>-0.16455284464351042</v>
      </c>
      <c r="P1469" s="34">
        <f t="shared" si="327"/>
        <v>0.63453750233995165</v>
      </c>
      <c r="Q1469" s="34">
        <f t="shared" si="328"/>
        <v>0.47463565341768454</v>
      </c>
      <c r="R1469" s="35" cm="1">
        <f t="array" ref="R1469">SQRT(MMULT(O1469:Q1469, MMULT($AU$32:$AW$34,TRANSPOSE(O1469:Q1469))))</f>
        <v>1.2013538465765075E-2</v>
      </c>
      <c r="S1469" s="36" cm="1">
        <f t="array" ref="S1469:U1469">TRANSPOSE(MMULT($AU$32:$AW$34, TRANSPOSE(O1469:Q1469))/MMULT(O1469:Q1469, MMULT($AU$32:$AW$34,TRANSPOSE(O1469:Q1469))))</f>
        <v>0.24986308610907981</v>
      </c>
      <c r="T1469" s="36">
        <v>1.2215527609645431</v>
      </c>
      <c r="U1469" s="36">
        <v>0.56041859004145245</v>
      </c>
      <c r="V1469" s="35">
        <f t="shared" si="333"/>
        <v>6.9940537250206495E-3</v>
      </c>
      <c r="W1469" s="35">
        <f t="shared" si="334"/>
        <v>3.4193148620615135E-2</v>
      </c>
      <c r="X1469" s="35">
        <f t="shared" si="335"/>
        <v>1.5686981971955265E-2</v>
      </c>
      <c r="Y1469" s="32">
        <f t="shared" si="336"/>
        <v>-18682.516310275158</v>
      </c>
      <c r="Z1469" s="32">
        <f t="shared" si="329"/>
        <v>352206.52736664622</v>
      </c>
      <c r="AA1469" s="32">
        <f t="shared" si="330"/>
        <v>120865.05869752093</v>
      </c>
      <c r="AB1469" s="40">
        <f t="shared" si="337"/>
        <v>-4.111568159065547E-2</v>
      </c>
      <c r="AC1469" s="40">
        <f t="shared" si="338"/>
        <v>0.7751210379189134</v>
      </c>
      <c r="AD1469" s="40">
        <f t="shared" si="339"/>
        <v>0.2659946436717423</v>
      </c>
      <c r="AE1469" s="40"/>
      <c r="AF1469" s="40"/>
      <c r="AG1469" s="40"/>
      <c r="AH1469" s="40"/>
      <c r="AI1469" s="40"/>
      <c r="AJ1469" s="40"/>
      <c r="AK1469" s="33">
        <f t="shared" si="331"/>
        <v>10300500</v>
      </c>
      <c r="AL1469" s="33">
        <f t="shared" si="332"/>
        <v>7704800</v>
      </c>
      <c r="AM1469" s="34"/>
      <c r="AN1469" s="33"/>
      <c r="AO1469" s="15" cm="1">
        <f t="array" ref="AO1469">SUMPRODUCT(I1469:K1469, TRANSPOSE($AY$5:$AY$7))</f>
        <v>1.6419321228153389E-2</v>
      </c>
      <c r="AP1469" s="22">
        <f t="shared" si="340"/>
        <v>16233083.091252085</v>
      </c>
      <c r="AQ1469" s="22">
        <f t="shared" si="344"/>
        <v>262230.55803043395</v>
      </c>
      <c r="AR1469">
        <f t="shared" si="342"/>
        <v>0</v>
      </c>
      <c r="AS1469">
        <f t="shared" si="343"/>
        <v>0</v>
      </c>
      <c r="BJ1469">
        <f t="shared" si="317"/>
        <v>1.9268167632394354E-4</v>
      </c>
      <c r="BK1469">
        <f t="shared" si="319"/>
        <v>8.6101312866171807E-5</v>
      </c>
      <c r="BO1469">
        <f t="shared" si="320"/>
        <v>1.3985002295537391E-4</v>
      </c>
      <c r="BP1469">
        <f t="shared" si="318"/>
        <v>2.8296446297968609</v>
      </c>
    </row>
    <row r="1470" spans="1:68" x14ac:dyDescent="0.15">
      <c r="A1470" s="5">
        <v>45729</v>
      </c>
      <c r="B1470" s="1"/>
      <c r="C1470">
        <v>89.24</v>
      </c>
      <c r="D1470">
        <v>146.65</v>
      </c>
      <c r="E1470">
        <v>96.93</v>
      </c>
      <c r="G1470" s="3">
        <v>-2.5054536708699598E-3</v>
      </c>
      <c r="I1470" s="15">
        <f>(C1470-C1469)/C1469</f>
        <v>2.2461814914643825E-3</v>
      </c>
      <c r="J1470" s="15">
        <f t="shared" si="322"/>
        <v>-3.3978933061501867E-3</v>
      </c>
      <c r="K1470" s="15">
        <f t="shared" si="323"/>
        <v>6.4375454262278527E-3</v>
      </c>
      <c r="L1470" s="32">
        <f>2.33*R1470*AP1470</f>
        <v>453930.72113324603</v>
      </c>
      <c r="M1470" s="15"/>
      <c r="N1470" s="32">
        <f t="shared" si="325"/>
        <v>-2677200</v>
      </c>
      <c r="O1470" s="34">
        <f t="shared" si="326"/>
        <v>-0.16465487167313569</v>
      </c>
      <c r="P1470" s="34">
        <f t="shared" si="327"/>
        <v>0.6313553657405403</v>
      </c>
      <c r="Q1470" s="34">
        <f t="shared" si="328"/>
        <v>0.47691608281120706</v>
      </c>
      <c r="R1470" s="35" cm="1">
        <f t="array" ref="R1470">SQRT(MMULT(O1470:Q1470, MMULT($AU$32:$AW$34,TRANSPOSE(O1470:Q1470))))</f>
        <v>1.1981947803497307E-2</v>
      </c>
      <c r="S1470" s="36" cm="1">
        <f t="array" ref="S1470:U1470">TRANSPOSE(MMULT($AU$32:$AW$34, TRANSPOSE(O1470:Q1470))/MMULT(O1470:Q1470, MMULT($AU$32:$AW$34,TRANSPOSE(O1470:Q1470))))</f>
        <v>0.25113191689529479</v>
      </c>
      <c r="T1470" s="36">
        <v>1.2232072533280451</v>
      </c>
      <c r="U1470" s="36">
        <v>0.56419072546674631</v>
      </c>
      <c r="V1470" s="35">
        <f t="shared" si="333"/>
        <v>7.0110853816737345E-3</v>
      </c>
      <c r="W1470" s="35">
        <f>(L1470/AP1470)*T1470</f>
        <v>3.4149424727009749E-2</v>
      </c>
      <c r="X1470" s="35">
        <f t="shared" si="335"/>
        <v>1.575104190936041E-2</v>
      </c>
      <c r="Y1470" s="32">
        <f t="shared" si="336"/>
        <v>-18770.077783816923</v>
      </c>
      <c r="Z1470" s="32">
        <f>W1470*AK1470</f>
        <v>350560.91953511856</v>
      </c>
      <c r="AA1470" s="32">
        <f t="shared" si="330"/>
        <v>122139.87938194438</v>
      </c>
      <c r="AB1470" s="40">
        <f t="shared" si="337"/>
        <v>-4.1350093549423345E-2</v>
      </c>
      <c r="AC1470" s="40">
        <f>Z1470/L1470</f>
        <v>0.77227846280140955</v>
      </c>
      <c r="AD1470" s="40">
        <f t="shared" si="339"/>
        <v>0.26907163074801377</v>
      </c>
      <c r="AE1470" s="40"/>
      <c r="AF1470" s="40"/>
      <c r="AG1470" s="40"/>
      <c r="AH1470" s="40"/>
      <c r="AI1470" s="40"/>
      <c r="AJ1470" s="40"/>
      <c r="AK1470" s="33">
        <f t="shared" si="331"/>
        <v>10265500</v>
      </c>
      <c r="AL1470" s="33">
        <f t="shared" si="332"/>
        <v>7754400.0000000009</v>
      </c>
      <c r="AM1470" s="34"/>
      <c r="AN1470" s="33"/>
      <c r="AO1470" s="15" cm="1">
        <f t="array" ref="AO1470">SUMPRODUCT(I1470:K1470, TRANSPOSE($AY$5:$AY$7))</f>
        <v>1.6251479331386202E-3</v>
      </c>
      <c r="AP1470" s="22">
        <f t="shared" si="340"/>
        <v>16259464.252686301</v>
      </c>
      <c r="AQ1470" s="22">
        <f t="shared" si="344"/>
        <v>26381.161434216425</v>
      </c>
      <c r="AR1470">
        <f t="shared" si="342"/>
        <v>0</v>
      </c>
      <c r="AS1470">
        <f t="shared" si="343"/>
        <v>0</v>
      </c>
      <c r="BJ1470">
        <f t="shared" si="317"/>
        <v>6.2772980968757566E-6</v>
      </c>
      <c r="BK1470">
        <f t="shared" si="319"/>
        <v>9.2496134673638117E-5</v>
      </c>
      <c r="BO1470">
        <f t="shared" si="320"/>
        <v>1.4307698175841844E-4</v>
      </c>
      <c r="BP1470">
        <f t="shared" si="318"/>
        <v>3.4851885506574849</v>
      </c>
    </row>
    <row r="1471" spans="1:68" x14ac:dyDescent="0.15">
      <c r="AE1471" s="42"/>
      <c r="AF1471" s="42"/>
      <c r="AG1471" s="42"/>
      <c r="AH1471" s="42"/>
      <c r="AI1471" s="42"/>
      <c r="AJ1471" s="42"/>
    </row>
    <row r="1473" spans="31:38" x14ac:dyDescent="0.15">
      <c r="AE1473" s="22"/>
      <c r="AF1473" s="22"/>
      <c r="AG1473" s="22"/>
      <c r="AH1473" s="22"/>
      <c r="AI1473" s="22"/>
      <c r="AJ1473" s="22"/>
      <c r="AK1473" s="22"/>
      <c r="AL1473" s="22"/>
    </row>
  </sheetData>
  <phoneticPr fontId="0" type="noConversion"/>
  <pageMargins left="0.75" right="0.75" top="1" bottom="1" header="0.5" footer="0.5"/>
  <headerFooter alignWithMargins="0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5A04B09B-C27E-364C-A2C8-75C387E5610A}">
          <xm:f>Data!1:1048576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Copa Alan</cp:lastModifiedBy>
  <cp:revision/>
  <dcterms:created xsi:type="dcterms:W3CDTF">2025-03-24T11:03:52Z</dcterms:created>
  <dcterms:modified xsi:type="dcterms:W3CDTF">2025-04-09T17:54:21Z</dcterms:modified>
  <cp:category/>
  <cp:contentStatus/>
</cp:coreProperties>
</file>