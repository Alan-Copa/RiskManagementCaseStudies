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1"/>
  <workbookPr/>
  <mc:AlternateContent xmlns:mc="http://schemas.openxmlformats.org/markup-compatibility/2006">
    <mc:Choice Requires="x15">
      <x15ac:absPath xmlns:x15ac="http://schemas.microsoft.com/office/spreadsheetml/2010/11/ac" url="https://usi365-my.sharepoint.com/personal/copaa_usi_ch/Documents/"/>
    </mc:Choice>
  </mc:AlternateContent>
  <xr:revisionPtr revIDLastSave="3045" documentId="8_{D2F54491-8E50-9245-A7A9-00D29CAA6717}" xr6:coauthVersionLast="47" xr6:coauthVersionMax="47" xr10:uidLastSave="{DE66E168-3D7E-164D-9AE5-C35A3C52873D}"/>
  <bookViews>
    <workbookView xWindow="0" yWindow="760" windowWidth="34560" windowHeight="19880" activeTab="2" xr2:uid="{00000000-000D-0000-FFFF-FFFF00000000}"/>
  </bookViews>
  <sheets>
    <sheet name="Option_Portfolio" sheetId="3" r:id="rId1"/>
    <sheet name="Underlying_Assets" sheetId="4" r:id="rId2"/>
    <sheet name="Part 1" sheetId="7" r:id="rId3"/>
    <sheet name="FI_Portfolio" sheetId="5" r:id="rId4"/>
    <sheet name="TSIR" sheetId="1" r:id="rId5"/>
    <sheet name="Part2" sheetId="6" r:id="rId6"/>
    <sheet name="Part3" sheetId="8" r:id="rId7"/>
    <sheet name="Sheet" sheetId="9" r:id="rId8"/>
  </sheets>
  <definedNames>
    <definedName name="solver_eng" localSheetId="5" hidden="1">0</definedName>
    <definedName name="solver_eng" localSheetId="4" hidden="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8" l="1"/>
  <c r="L5" i="8" s="1"/>
  <c r="Q2" i="8"/>
  <c r="O2" i="8"/>
  <c r="N2" i="8"/>
  <c r="D388" i="7"/>
  <c r="P2" i="8" l="1"/>
  <c r="M2" i="8"/>
  <c r="I2" i="8"/>
  <c r="M391" i="7" a="1"/>
  <c r="M391" i="7" s="1"/>
  <c r="M390" i="7" a="1"/>
  <c r="M390" i="7" s="1"/>
  <c r="Q396" i="7"/>
  <c r="O396" i="7" a="1"/>
  <c r="O396" i="7" s="1"/>
  <c r="P396" i="7" s="1"/>
  <c r="Q398" i="7"/>
  <c r="P398" i="7"/>
  <c r="P397" i="7"/>
  <c r="Q397" i="7"/>
  <c r="E379"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C395" i="7"/>
  <c r="L396" i="7"/>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H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G2" i="8"/>
  <c r="F2" i="8"/>
  <c r="E2"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 i="8"/>
  <c r="C252" i="8"/>
  <c r="C251" i="8"/>
  <c r="C250" i="8"/>
  <c r="B248" i="8"/>
  <c r="C249" i="8" s="1"/>
  <c r="C247" i="8"/>
  <c r="C246" i="8"/>
  <c r="C245" i="8"/>
  <c r="C244" i="8"/>
  <c r="C243" i="8"/>
  <c r="C242" i="8"/>
  <c r="C241" i="8"/>
  <c r="C240" i="8"/>
  <c r="C239" i="8"/>
  <c r="C238" i="8"/>
  <c r="C237" i="8"/>
  <c r="C236" i="8"/>
  <c r="C235" i="8"/>
  <c r="C234" i="8"/>
  <c r="C233" i="8"/>
  <c r="C232" i="8"/>
  <c r="C231" i="8"/>
  <c r="C230" i="8"/>
  <c r="C229" i="8"/>
  <c r="C228" i="8"/>
  <c r="C227" i="8"/>
  <c r="C226" i="8"/>
  <c r="C225" i="8"/>
  <c r="C224" i="8"/>
  <c r="C223" i="8"/>
  <c r="C222" i="8"/>
  <c r="C221" i="8"/>
  <c r="C220" i="8"/>
  <c r="C219" i="8"/>
  <c r="C218" i="8"/>
  <c r="C217" i="8"/>
  <c r="C216" i="8"/>
  <c r="C215" i="8"/>
  <c r="C214" i="8"/>
  <c r="C213" i="8"/>
  <c r="C212" i="8"/>
  <c r="C211" i="8"/>
  <c r="C210" i="8"/>
  <c r="C209" i="8"/>
  <c r="C208" i="8"/>
  <c r="C207" i="8"/>
  <c r="C206" i="8"/>
  <c r="C205" i="8"/>
  <c r="C204" i="8"/>
  <c r="C203" i="8"/>
  <c r="C202" i="8"/>
  <c r="C201" i="8"/>
  <c r="C200" i="8"/>
  <c r="C199" i="8"/>
  <c r="C198" i="8"/>
  <c r="C197" i="8"/>
  <c r="C196" i="8"/>
  <c r="C195" i="8"/>
  <c r="C194" i="8"/>
  <c r="C193" i="8"/>
  <c r="C192" i="8"/>
  <c r="C191" i="8"/>
  <c r="C190" i="8"/>
  <c r="C189" i="8"/>
  <c r="C188" i="8"/>
  <c r="C187" i="8"/>
  <c r="C186" i="8"/>
  <c r="C185" i="8"/>
  <c r="C184" i="8"/>
  <c r="C183" i="8"/>
  <c r="C182" i="8"/>
  <c r="C181" i="8"/>
  <c r="C180" i="8"/>
  <c r="C179" i="8"/>
  <c r="C178" i="8"/>
  <c r="C177" i="8"/>
  <c r="C176" i="8"/>
  <c r="C175" i="8"/>
  <c r="C174" i="8"/>
  <c r="C173" i="8"/>
  <c r="C172" i="8"/>
  <c r="C171" i="8"/>
  <c r="C170" i="8"/>
  <c r="C169" i="8"/>
  <c r="C168" i="8"/>
  <c r="C167" i="8"/>
  <c r="C166" i="8"/>
  <c r="C165" i="8"/>
  <c r="C164" i="8"/>
  <c r="C163" i="8"/>
  <c r="C162" i="8"/>
  <c r="C161" i="8"/>
  <c r="C160" i="8"/>
  <c r="C159" i="8"/>
  <c r="C158" i="8"/>
  <c r="C157" i="8"/>
  <c r="C156" i="8"/>
  <c r="C155" i="8"/>
  <c r="C154" i="8"/>
  <c r="C153" i="8"/>
  <c r="C152" i="8"/>
  <c r="C151" i="8"/>
  <c r="C150" i="8"/>
  <c r="C149" i="8"/>
  <c r="C148" i="8"/>
  <c r="C147" i="8"/>
  <c r="C146" i="8"/>
  <c r="C145" i="8"/>
  <c r="C144" i="8"/>
  <c r="C143" i="8"/>
  <c r="C142" i="8"/>
  <c r="C141" i="8"/>
  <c r="C140" i="8"/>
  <c r="C139" i="8"/>
  <c r="C138" i="8"/>
  <c r="C137" i="8"/>
  <c r="C136" i="8"/>
  <c r="C135" i="8"/>
  <c r="C134" i="8"/>
  <c r="C133" i="8"/>
  <c r="C132" i="8"/>
  <c r="C131" i="8"/>
  <c r="C130" i="8"/>
  <c r="C129" i="8"/>
  <c r="C128" i="8"/>
  <c r="C127" i="8"/>
  <c r="C126" i="8"/>
  <c r="C125" i="8"/>
  <c r="C124" i="8"/>
  <c r="C123" i="8"/>
  <c r="C122" i="8"/>
  <c r="C121" i="8"/>
  <c r="C120" i="8"/>
  <c r="C119" i="8"/>
  <c r="C118" i="8"/>
  <c r="C117" i="8"/>
  <c r="C116" i="8"/>
  <c r="C115" i="8"/>
  <c r="C114" i="8"/>
  <c r="C113" i="8"/>
  <c r="C112" i="8"/>
  <c r="C111" i="8"/>
  <c r="C110" i="8"/>
  <c r="C109" i="8"/>
  <c r="C108" i="8"/>
  <c r="C107" i="8"/>
  <c r="C106" i="8"/>
  <c r="C105" i="8"/>
  <c r="C104" i="8"/>
  <c r="C103" i="8"/>
  <c r="C102" i="8"/>
  <c r="C101" i="8"/>
  <c r="C100" i="8"/>
  <c r="C99" i="8"/>
  <c r="C98" i="8"/>
  <c r="C97" i="8"/>
  <c r="C96" i="8"/>
  <c r="C95" i="8"/>
  <c r="C94" i="8"/>
  <c r="C93" i="8"/>
  <c r="C92" i="8"/>
  <c r="C91" i="8"/>
  <c r="C90" i="8"/>
  <c r="C89" i="8"/>
  <c r="C88" i="8"/>
  <c r="C87" i="8"/>
  <c r="C86" i="8"/>
  <c r="C85" i="8"/>
  <c r="C84" i="8"/>
  <c r="C83" i="8"/>
  <c r="C82" i="8"/>
  <c r="C81" i="8"/>
  <c r="C80" i="8"/>
  <c r="C79" i="8"/>
  <c r="C78" i="8"/>
  <c r="C77" i="8"/>
  <c r="C76" i="8"/>
  <c r="C75" i="8"/>
  <c r="C74" i="8"/>
  <c r="C73" i="8"/>
  <c r="C72" i="8"/>
  <c r="C71" i="8"/>
  <c r="C70" i="8"/>
  <c r="C69" i="8"/>
  <c r="C68" i="8"/>
  <c r="C67" i="8"/>
  <c r="C66" i="8"/>
  <c r="C65" i="8"/>
  <c r="C64" i="8"/>
  <c r="C63" i="8"/>
  <c r="C62" i="8"/>
  <c r="C61" i="8"/>
  <c r="C60" i="8"/>
  <c r="C59" i="8"/>
  <c r="C58" i="8"/>
  <c r="C57" i="8"/>
  <c r="C56" i="8"/>
  <c r="C55" i="8"/>
  <c r="C54" i="8"/>
  <c r="C53" i="8"/>
  <c r="C52" i="8"/>
  <c r="C51" i="8"/>
  <c r="C50" i="8"/>
  <c r="C49" i="8"/>
  <c r="C48" i="8"/>
  <c r="C47" i="8"/>
  <c r="C46" i="8"/>
  <c r="C45" i="8"/>
  <c r="C44" i="8"/>
  <c r="C43" i="8"/>
  <c r="C42" i="8"/>
  <c r="C41" i="8"/>
  <c r="C40" i="8"/>
  <c r="C39" i="8"/>
  <c r="C38" i="8"/>
  <c r="C37" i="8"/>
  <c r="C36" i="8"/>
  <c r="C35" i="8"/>
  <c r="C34" i="8"/>
  <c r="C33" i="8"/>
  <c r="C32" i="8"/>
  <c r="C31" i="8"/>
  <c r="C30" i="8"/>
  <c r="C29" i="8"/>
  <c r="C28" i="8"/>
  <c r="C27" i="8"/>
  <c r="C26" i="8"/>
  <c r="C25" i="8"/>
  <c r="C24" i="8"/>
  <c r="C23" i="8"/>
  <c r="C22" i="8"/>
  <c r="C21" i="8"/>
  <c r="C20" i="8"/>
  <c r="C19" i="8"/>
  <c r="C18" i="8"/>
  <c r="C17" i="8"/>
  <c r="C16" i="8"/>
  <c r="C15" i="8"/>
  <c r="C14" i="8"/>
  <c r="C13" i="8"/>
  <c r="C12" i="8"/>
  <c r="C11" i="8"/>
  <c r="C10" i="8"/>
  <c r="C9" i="8"/>
  <c r="C8" i="8"/>
  <c r="C7" i="8"/>
  <c r="C6" i="8"/>
  <c r="C5" i="8"/>
  <c r="C4" i="8"/>
  <c r="C3" i="8"/>
  <c r="C2" i="8"/>
  <c r="R38" i="6"/>
  <c r="R37" i="6"/>
  <c r="R3" i="1"/>
  <c r="AL4" i="1"/>
  <c r="AL3" i="1"/>
  <c r="AL2" i="1"/>
  <c r="AM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3" i="1"/>
  <c r="AA3" i="1" s="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34" i="6" a="1"/>
  <c r="R34" i="6" s="1"/>
  <c r="AD25" i="6" a="1"/>
  <c r="AD25" i="6" s="1"/>
  <c r="J2" i="8" l="1" a="1"/>
  <c r="J2" i="8" s="1"/>
  <c r="K2" i="8" s="1"/>
  <c r="C248" i="8"/>
  <c r="L2" i="8" l="1"/>
  <c r="R33" i="6" l="1" a="1"/>
  <c r="R33" i="6" s="1"/>
  <c r="L1080" i="1"/>
  <c r="M834" i="1"/>
  <c r="O11" i="1"/>
  <c r="L3" i="1"/>
  <c r="X19" i="6"/>
  <c r="Y19" i="6" s="1"/>
  <c r="W19" i="6"/>
  <c r="W16" i="6"/>
  <c r="Y16" i="6"/>
  <c r="X16" i="6"/>
  <c r="X20" i="6"/>
  <c r="Y20" i="6" s="1"/>
  <c r="X18" i="6"/>
  <c r="Y18" i="6" s="1"/>
  <c r="X17" i="6"/>
  <c r="Y17" i="6" s="1"/>
  <c r="S16" i="6"/>
  <c r="Q16" i="6"/>
  <c r="W17" i="6"/>
  <c r="W18" i="6"/>
  <c r="W20" i="6"/>
  <c r="S12" i="6"/>
  <c r="S18" i="6"/>
  <c r="S17" i="6"/>
  <c r="S19" i="6"/>
  <c r="S20" i="6"/>
  <c r="O16" i="6"/>
  <c r="P17" i="6"/>
  <c r="R17" i="6"/>
  <c r="R18" i="6"/>
  <c r="R19" i="6"/>
  <c r="R20" i="6"/>
  <c r="R16" i="6"/>
  <c r="O20" i="6"/>
  <c r="P20" i="6" s="1"/>
  <c r="Q20" i="6"/>
  <c r="Q19" i="6"/>
  <c r="Q18" i="6"/>
  <c r="Q17" i="6"/>
  <c r="D389" i="7"/>
  <c r="D381" i="7" a="1"/>
  <c r="D381" i="7" s="1"/>
  <c r="D380" i="7" s="1"/>
  <c r="P18" i="6"/>
  <c r="P19" i="6"/>
  <c r="P16" i="6"/>
  <c r="O19" i="6"/>
  <c r="O18" i="6"/>
  <c r="O17" i="6"/>
  <c r="N18" i="6"/>
  <c r="D390" i="7"/>
  <c r="N17" i="6"/>
  <c r="N16" i="6"/>
  <c r="D377" i="7"/>
  <c r="D379" i="7" a="1"/>
  <c r="D379" i="7" s="1"/>
  <c r="D376" i="7"/>
  <c r="M16" i="6"/>
  <c r="E376" i="7"/>
  <c r="H375" i="7"/>
  <c r="I372" i="7"/>
  <c r="D12" i="6"/>
  <c r="AM2" i="1"/>
  <c r="X25" i="6" l="1" a="1"/>
  <c r="X25" i="6" s="1"/>
  <c r="AA252" i="1"/>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2" i="1"/>
  <c r="R396" i="7"/>
  <c r="E392" i="7"/>
  <c r="D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396" i="7"/>
  <c r="Q81" i="4"/>
  <c r="D386" i="7"/>
  <c r="D385" i="7"/>
  <c r="N380" i="7"/>
  <c r="M381" i="7"/>
  <c r="N381" i="7"/>
  <c r="M380" i="7"/>
  <c r="P18" i="4"/>
  <c r="E12" i="6" l="1"/>
  <c r="AM4" i="1"/>
  <c r="AM5" i="1" s="1"/>
  <c r="B395" i="7"/>
  <c r="D395" i="7" s="1"/>
  <c r="D371" i="7"/>
  <c r="R25" i="4"/>
  <c r="G16" i="3"/>
  <c r="D372" i="7"/>
  <c r="D373" i="7" s="1"/>
  <c r="E371" i="7"/>
  <c r="E372" i="7" s="1"/>
  <c r="E373" i="7" s="1"/>
  <c r="P363" i="4"/>
  <c r="E484" i="7"/>
  <c r="E500" i="7"/>
  <c r="G500" i="7" s="1"/>
  <c r="D404" i="7"/>
  <c r="H519" i="7"/>
  <c r="E422" i="7"/>
  <c r="E425" i="7"/>
  <c r="I425" i="7" s="1"/>
  <c r="E455" i="7"/>
  <c r="D398" i="7"/>
  <c r="D399" i="7"/>
  <c r="D422" i="7"/>
  <c r="D423" i="7"/>
  <c r="D446" i="7"/>
  <c r="D447" i="7"/>
  <c r="D470" i="7"/>
  <c r="F470" i="7" s="1"/>
  <c r="D471" i="7"/>
  <c r="F471" i="7" s="1"/>
  <c r="D494" i="7"/>
  <c r="F494" i="7" s="1"/>
  <c r="D495" i="7"/>
  <c r="F495" i="7" s="1"/>
  <c r="D518" i="7"/>
  <c r="F518" i="7" s="1"/>
  <c r="D519" i="7"/>
  <c r="F519" i="7" s="1"/>
  <c r="D542" i="7"/>
  <c r="D543" i="7"/>
  <c r="D566" i="7"/>
  <c r="D567" i="7"/>
  <c r="D590" i="7"/>
  <c r="D603" i="7"/>
  <c r="D606" i="7"/>
  <c r="H606" i="7" s="1"/>
  <c r="D626" i="7"/>
  <c r="D627" i="7"/>
  <c r="D630" i="7"/>
  <c r="A396" i="7" a="1"/>
  <c r="A396" i="7"/>
  <c r="H365"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10" i="4"/>
  <c r="L9" i="4"/>
  <c r="K9" i="4"/>
  <c r="H9" i="4"/>
  <c r="I14" i="4"/>
  <c r="I10" i="4"/>
  <c r="I11" i="4"/>
  <c r="I12" i="4"/>
  <c r="I13"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E401" i="7" s="1"/>
  <c r="I120" i="4"/>
  <c r="I121" i="4"/>
  <c r="I122" i="4"/>
  <c r="I123" i="4"/>
  <c r="I124" i="4"/>
  <c r="I125" i="4"/>
  <c r="E407" i="7" s="1"/>
  <c r="I126" i="4"/>
  <c r="E408" i="7" s="1"/>
  <c r="I127" i="4"/>
  <c r="I128" i="4"/>
  <c r="I129" i="4"/>
  <c r="I130" i="4"/>
  <c r="I131" i="4"/>
  <c r="I132" i="4"/>
  <c r="I133" i="4"/>
  <c r="I134" i="4"/>
  <c r="I135" i="4"/>
  <c r="I136" i="4"/>
  <c r="I137" i="4"/>
  <c r="I138" i="4"/>
  <c r="E420" i="7" s="1"/>
  <c r="I139" i="4"/>
  <c r="E421" i="7" s="1"/>
  <c r="I140" i="4"/>
  <c r="I141" i="4"/>
  <c r="I142" i="4"/>
  <c r="I143" i="4"/>
  <c r="I144" i="4"/>
  <c r="I145" i="4"/>
  <c r="I146" i="4"/>
  <c r="I147" i="4"/>
  <c r="I148" i="4"/>
  <c r="I149" i="4"/>
  <c r="I150" i="4"/>
  <c r="I151" i="4"/>
  <c r="I152" i="4"/>
  <c r="I153" i="4"/>
  <c r="E435" i="7" s="1"/>
  <c r="I154" i="4"/>
  <c r="E436" i="7" s="1"/>
  <c r="I155" i="4"/>
  <c r="I156" i="4"/>
  <c r="I157" i="4"/>
  <c r="I158" i="4"/>
  <c r="I159" i="4"/>
  <c r="E441" i="7" s="1"/>
  <c r="G441" i="7" s="1"/>
  <c r="I160" i="4"/>
  <c r="E442" i="7" s="1"/>
  <c r="G442" i="7" s="1"/>
  <c r="I161" i="4"/>
  <c r="I162" i="4"/>
  <c r="I163" i="4"/>
  <c r="I164" i="4"/>
  <c r="I165" i="4"/>
  <c r="I166" i="4"/>
  <c r="I167" i="4"/>
  <c r="I168" i="4"/>
  <c r="I169" i="4"/>
  <c r="I170" i="4"/>
  <c r="I171" i="4"/>
  <c r="I172" i="4"/>
  <c r="I173" i="4"/>
  <c r="I174" i="4"/>
  <c r="I175" i="4"/>
  <c r="I176" i="4"/>
  <c r="E458" i="7" s="1"/>
  <c r="I177" i="4"/>
  <c r="E459" i="7" s="1"/>
  <c r="I178" i="4"/>
  <c r="E460" i="7" s="1"/>
  <c r="I179" i="4"/>
  <c r="I180" i="4"/>
  <c r="I181" i="4"/>
  <c r="I182" i="4"/>
  <c r="I183" i="4"/>
  <c r="I184" i="4"/>
  <c r="I185" i="4"/>
  <c r="I186" i="4"/>
  <c r="I187" i="4"/>
  <c r="I188" i="4"/>
  <c r="I189" i="4"/>
  <c r="I190" i="4"/>
  <c r="I191" i="4"/>
  <c r="I192" i="4"/>
  <c r="I193" i="4"/>
  <c r="I194" i="4"/>
  <c r="I195" i="4"/>
  <c r="I196" i="4"/>
  <c r="I197" i="4"/>
  <c r="I198" i="4"/>
  <c r="I199" i="4"/>
  <c r="I200" i="4"/>
  <c r="I201" i="4"/>
  <c r="I202" i="4"/>
  <c r="I203" i="4"/>
  <c r="E485" i="7" s="1"/>
  <c r="I204" i="4"/>
  <c r="E486" i="7" s="1"/>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E531" i="7" s="1"/>
  <c r="I250" i="4"/>
  <c r="I251" i="4"/>
  <c r="I252" i="4"/>
  <c r="I253" i="4"/>
  <c r="I254" i="4"/>
  <c r="E536" i="7" s="1"/>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E582" i="7" s="1"/>
  <c r="I301" i="4"/>
  <c r="E583" i="7" s="1"/>
  <c r="I583" i="7" s="1"/>
  <c r="I302" i="4"/>
  <c r="E584" i="7" s="1"/>
  <c r="I584" i="7" s="1"/>
  <c r="I303" i="4"/>
  <c r="I304" i="4"/>
  <c r="I305" i="4"/>
  <c r="I306" i="4"/>
  <c r="I307" i="4"/>
  <c r="I308" i="4"/>
  <c r="I309" i="4"/>
  <c r="I310" i="4"/>
  <c r="I311" i="4"/>
  <c r="I312" i="4"/>
  <c r="I313" i="4"/>
  <c r="E595" i="7" s="1"/>
  <c r="I314" i="4"/>
  <c r="E596" i="7" s="1"/>
  <c r="I315" i="4"/>
  <c r="I316" i="4"/>
  <c r="I317" i="4"/>
  <c r="I318" i="4"/>
  <c r="I319" i="4"/>
  <c r="I320" i="4"/>
  <c r="I321" i="4"/>
  <c r="I322" i="4"/>
  <c r="I323" i="4"/>
  <c r="E605" i="7" s="1"/>
  <c r="I324" i="4"/>
  <c r="I325" i="4"/>
  <c r="I326" i="4"/>
  <c r="I327" i="4"/>
  <c r="I328" i="4"/>
  <c r="I329" i="4"/>
  <c r="I330" i="4"/>
  <c r="I331" i="4"/>
  <c r="I332" i="4"/>
  <c r="I333" i="4"/>
  <c r="I334" i="4"/>
  <c r="I335" i="4"/>
  <c r="I336" i="4"/>
  <c r="I337" i="4"/>
  <c r="I338" i="4"/>
  <c r="I339" i="4"/>
  <c r="I340" i="4"/>
  <c r="I341" i="4"/>
  <c r="I342" i="4"/>
  <c r="I343" i="4"/>
  <c r="I344" i="4"/>
  <c r="I345" i="4"/>
  <c r="I346" i="4"/>
  <c r="E628" i="7" s="1"/>
  <c r="I347" i="4"/>
  <c r="I348" i="4"/>
  <c r="I349" i="4"/>
  <c r="I350" i="4"/>
  <c r="I351" i="4"/>
  <c r="I352" i="4"/>
  <c r="I353" i="4"/>
  <c r="I354" i="4"/>
  <c r="I355" i="4"/>
  <c r="I356" i="4"/>
  <c r="I357" i="4"/>
  <c r="I358" i="4"/>
  <c r="I359" i="4"/>
  <c r="I360" i="4"/>
  <c r="E642" i="7" s="1"/>
  <c r="I361" i="4"/>
  <c r="I362" i="4"/>
  <c r="I363" i="4"/>
  <c r="I364" i="4"/>
  <c r="I365"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I375" i="7" s="1"/>
  <c r="H115" i="4"/>
  <c r="D397" i="7" s="1"/>
  <c r="H116" i="4"/>
  <c r="H117" i="4"/>
  <c r="H118" i="4"/>
  <c r="D400" i="7" s="1"/>
  <c r="H119" i="4"/>
  <c r="D401" i="7" s="1"/>
  <c r="H120" i="4"/>
  <c r="D402" i="7" s="1"/>
  <c r="H121" i="4"/>
  <c r="D403" i="7" s="1"/>
  <c r="H122" i="4"/>
  <c r="H123" i="4"/>
  <c r="D405" i="7" s="1"/>
  <c r="H124" i="4"/>
  <c r="D406" i="7" s="1"/>
  <c r="H125" i="4"/>
  <c r="D407" i="7" s="1"/>
  <c r="H126" i="4"/>
  <c r="D408" i="7" s="1"/>
  <c r="F408" i="7" s="1"/>
  <c r="J408" i="7" s="1"/>
  <c r="H127" i="4"/>
  <c r="D409" i="7" s="1"/>
  <c r="H128" i="4"/>
  <c r="D410" i="7" s="1"/>
  <c r="H129" i="4"/>
  <c r="D411" i="7" s="1"/>
  <c r="H130" i="4"/>
  <c r="D412" i="7" s="1"/>
  <c r="H131" i="4"/>
  <c r="D413" i="7" s="1"/>
  <c r="H132" i="4"/>
  <c r="D414" i="7" s="1"/>
  <c r="H133" i="4"/>
  <c r="D415" i="7" s="1"/>
  <c r="H134" i="4"/>
  <c r="D416" i="7" s="1"/>
  <c r="H135" i="4"/>
  <c r="D417" i="7" s="1"/>
  <c r="F417" i="7" s="1"/>
  <c r="H136" i="4"/>
  <c r="D418" i="7" s="1"/>
  <c r="F418" i="7" s="1"/>
  <c r="H137" i="4"/>
  <c r="D419" i="7" s="1"/>
  <c r="F419" i="7" s="1"/>
  <c r="H138" i="4"/>
  <c r="D420" i="7" s="1"/>
  <c r="H420" i="7" s="1"/>
  <c r="H139" i="4"/>
  <c r="D421" i="7" s="1"/>
  <c r="H140" i="4"/>
  <c r="H141" i="4"/>
  <c r="H142" i="4"/>
  <c r="D424" i="7" s="1"/>
  <c r="H143" i="4"/>
  <c r="D425" i="7" s="1"/>
  <c r="H144" i="4"/>
  <c r="D426" i="7" s="1"/>
  <c r="H145" i="4"/>
  <c r="D427" i="7" s="1"/>
  <c r="H146" i="4"/>
  <c r="D428" i="7" s="1"/>
  <c r="H428" i="7" s="1"/>
  <c r="H147" i="4"/>
  <c r="D429" i="7" s="1"/>
  <c r="H148" i="4"/>
  <c r="D430" i="7" s="1"/>
  <c r="H149" i="4"/>
  <c r="D431" i="7" s="1"/>
  <c r="F431" i="7" s="1"/>
  <c r="J431" i="7" s="1"/>
  <c r="H150" i="4"/>
  <c r="D432" i="7" s="1"/>
  <c r="H151" i="4"/>
  <c r="D433" i="7" s="1"/>
  <c r="H152" i="4"/>
  <c r="D434" i="7" s="1"/>
  <c r="H153" i="4"/>
  <c r="D435" i="7" s="1"/>
  <c r="H154" i="4"/>
  <c r="D436" i="7" s="1"/>
  <c r="H155" i="4"/>
  <c r="D437" i="7" s="1"/>
  <c r="H156" i="4"/>
  <c r="D438" i="7" s="1"/>
  <c r="H157" i="4"/>
  <c r="D439" i="7" s="1"/>
  <c r="H158" i="4"/>
  <c r="D440" i="7" s="1"/>
  <c r="H159" i="4"/>
  <c r="D441" i="7" s="1"/>
  <c r="F441" i="7" s="1"/>
  <c r="H160" i="4"/>
  <c r="D442" i="7" s="1"/>
  <c r="H161" i="4"/>
  <c r="D443" i="7" s="1"/>
  <c r="H162" i="4"/>
  <c r="D444" i="7" s="1"/>
  <c r="H444" i="7" s="1"/>
  <c r="H163" i="4"/>
  <c r="D445" i="7" s="1"/>
  <c r="H164" i="4"/>
  <c r="H165" i="4"/>
  <c r="H166" i="4"/>
  <c r="D448" i="7" s="1"/>
  <c r="H167" i="4"/>
  <c r="D449" i="7" s="1"/>
  <c r="H168" i="4"/>
  <c r="D450" i="7" s="1"/>
  <c r="H169" i="4"/>
  <c r="D451" i="7" s="1"/>
  <c r="H170" i="4"/>
  <c r="D452" i="7" s="1"/>
  <c r="H171" i="4"/>
  <c r="D453" i="7" s="1"/>
  <c r="F453" i="7" s="1"/>
  <c r="H172" i="4"/>
  <c r="D454" i="7" s="1"/>
  <c r="F454" i="7" s="1"/>
  <c r="H173" i="4"/>
  <c r="D455" i="7" s="1"/>
  <c r="F455" i="7" s="1"/>
  <c r="H174" i="4"/>
  <c r="D456" i="7" s="1"/>
  <c r="F456" i="7" s="1"/>
  <c r="H175" i="4"/>
  <c r="D457" i="7" s="1"/>
  <c r="H176" i="4"/>
  <c r="D458" i="7" s="1"/>
  <c r="H177" i="4"/>
  <c r="D459" i="7" s="1"/>
  <c r="H178" i="4"/>
  <c r="D460" i="7" s="1"/>
  <c r="H179" i="4"/>
  <c r="D461" i="7" s="1"/>
  <c r="H180" i="4"/>
  <c r="D462" i="7" s="1"/>
  <c r="H181" i="4"/>
  <c r="D463" i="7" s="1"/>
  <c r="H182" i="4"/>
  <c r="D464" i="7" s="1"/>
  <c r="H183" i="4"/>
  <c r="D465" i="7" s="1"/>
  <c r="H184" i="4"/>
  <c r="D466" i="7" s="1"/>
  <c r="H185" i="4"/>
  <c r="D467" i="7" s="1"/>
  <c r="H186" i="4"/>
  <c r="D468" i="7" s="1"/>
  <c r="H187" i="4"/>
  <c r="D469" i="7" s="1"/>
  <c r="H188" i="4"/>
  <c r="H189" i="4"/>
  <c r="H190" i="4"/>
  <c r="D472" i="7" s="1"/>
  <c r="H191" i="4"/>
  <c r="D473" i="7" s="1"/>
  <c r="H192" i="4"/>
  <c r="D474" i="7" s="1"/>
  <c r="H193" i="4"/>
  <c r="D475" i="7" s="1"/>
  <c r="H194" i="4"/>
  <c r="D476" i="7" s="1"/>
  <c r="H195" i="4"/>
  <c r="D477" i="7" s="1"/>
  <c r="F477" i="7" s="1"/>
  <c r="J477" i="7" s="1"/>
  <c r="H196" i="4"/>
  <c r="D478" i="7" s="1"/>
  <c r="H197" i="4"/>
  <c r="D479" i="7" s="1"/>
  <c r="H198" i="4"/>
  <c r="D480" i="7" s="1"/>
  <c r="F480" i="7" s="1"/>
  <c r="H199" i="4"/>
  <c r="D481" i="7" s="1"/>
  <c r="H200" i="4"/>
  <c r="D482" i="7" s="1"/>
  <c r="H201" i="4"/>
  <c r="D483" i="7" s="1"/>
  <c r="H202" i="4"/>
  <c r="D484" i="7" s="1"/>
  <c r="H203" i="4"/>
  <c r="D485" i="7" s="1"/>
  <c r="H204" i="4"/>
  <c r="D486" i="7" s="1"/>
  <c r="H205" i="4"/>
  <c r="D487" i="7" s="1"/>
  <c r="H206" i="4"/>
  <c r="D488" i="7" s="1"/>
  <c r="H488" i="7" s="1"/>
  <c r="H207" i="4"/>
  <c r="D489" i="7" s="1"/>
  <c r="H489" i="7" s="1"/>
  <c r="H208" i="4"/>
  <c r="D490" i="7" s="1"/>
  <c r="H209" i="4"/>
  <c r="D491" i="7" s="1"/>
  <c r="H491" i="7" s="1"/>
  <c r="H210" i="4"/>
  <c r="D492" i="7" s="1"/>
  <c r="H492" i="7" s="1"/>
  <c r="H211" i="4"/>
  <c r="D493" i="7" s="1"/>
  <c r="H212" i="4"/>
  <c r="H213" i="4"/>
  <c r="H214" i="4"/>
  <c r="D496" i="7" s="1"/>
  <c r="H215" i="4"/>
  <c r="D497" i="7" s="1"/>
  <c r="H216" i="4"/>
  <c r="D498" i="7" s="1"/>
  <c r="H217" i="4"/>
  <c r="D499" i="7" s="1"/>
  <c r="H218" i="4"/>
  <c r="D500" i="7" s="1"/>
  <c r="H219" i="4"/>
  <c r="D501" i="7" s="1"/>
  <c r="F501" i="7" s="1"/>
  <c r="H220" i="4"/>
  <c r="D502" i="7" s="1"/>
  <c r="F502" i="7" s="1"/>
  <c r="H221" i="4"/>
  <c r="D503" i="7" s="1"/>
  <c r="H222" i="4"/>
  <c r="D504" i="7" s="1"/>
  <c r="H223" i="4"/>
  <c r="D505" i="7" s="1"/>
  <c r="H224" i="4"/>
  <c r="D506" i="7" s="1"/>
  <c r="H225" i="4"/>
  <c r="D507" i="7" s="1"/>
  <c r="H226" i="4"/>
  <c r="D508" i="7" s="1"/>
  <c r="H227" i="4"/>
  <c r="D509" i="7" s="1"/>
  <c r="H228" i="4"/>
  <c r="D510" i="7" s="1"/>
  <c r="H229" i="4"/>
  <c r="D511" i="7" s="1"/>
  <c r="H230" i="4"/>
  <c r="D512" i="7" s="1"/>
  <c r="H231" i="4"/>
  <c r="D513" i="7" s="1"/>
  <c r="H232" i="4"/>
  <c r="D514" i="7" s="1"/>
  <c r="H233" i="4"/>
  <c r="D515" i="7" s="1"/>
  <c r="H234" i="4"/>
  <c r="D516" i="7" s="1"/>
  <c r="F516" i="7" s="1"/>
  <c r="H235" i="4"/>
  <c r="D517" i="7" s="1"/>
  <c r="H236" i="4"/>
  <c r="H237" i="4"/>
  <c r="H238" i="4"/>
  <c r="D520" i="7" s="1"/>
  <c r="H239" i="4"/>
  <c r="D521" i="7" s="1"/>
  <c r="H240" i="4"/>
  <c r="D522" i="7" s="1"/>
  <c r="H241" i="4"/>
  <c r="D523" i="7" s="1"/>
  <c r="H242" i="4"/>
  <c r="D524" i="7" s="1"/>
  <c r="H243" i="4"/>
  <c r="D525" i="7" s="1"/>
  <c r="H244" i="4"/>
  <c r="D526" i="7" s="1"/>
  <c r="H245" i="4"/>
  <c r="D527" i="7" s="1"/>
  <c r="H246" i="4"/>
  <c r="D528" i="7" s="1"/>
  <c r="H247" i="4"/>
  <c r="D529" i="7" s="1"/>
  <c r="H248" i="4"/>
  <c r="D530" i="7" s="1"/>
  <c r="H249" i="4"/>
  <c r="D531" i="7" s="1"/>
  <c r="H250" i="4"/>
  <c r="D532" i="7" s="1"/>
  <c r="H251" i="4"/>
  <c r="D533" i="7" s="1"/>
  <c r="H252" i="4"/>
  <c r="D534" i="7" s="1"/>
  <c r="H253" i="4"/>
  <c r="D535" i="7" s="1"/>
  <c r="H254" i="4"/>
  <c r="D536" i="7" s="1"/>
  <c r="H255" i="4"/>
  <c r="D537" i="7" s="1"/>
  <c r="F537" i="7" s="1"/>
  <c r="H256" i="4"/>
  <c r="D538" i="7" s="1"/>
  <c r="F538" i="7" s="1"/>
  <c r="J538" i="7" s="1"/>
  <c r="H257" i="4"/>
  <c r="D539" i="7" s="1"/>
  <c r="F539" i="7" s="1"/>
  <c r="H258" i="4"/>
  <c r="D540" i="7" s="1"/>
  <c r="F540" i="7" s="1"/>
  <c r="H259" i="4"/>
  <c r="D541" i="7" s="1"/>
  <c r="H260" i="4"/>
  <c r="H261" i="4"/>
  <c r="H262" i="4"/>
  <c r="D544" i="7" s="1"/>
  <c r="H263" i="4"/>
  <c r="D545" i="7" s="1"/>
  <c r="H264" i="4"/>
  <c r="D546" i="7" s="1"/>
  <c r="H265" i="4"/>
  <c r="D547" i="7" s="1"/>
  <c r="H266" i="4"/>
  <c r="D548" i="7" s="1"/>
  <c r="H267" i="4"/>
  <c r="D549" i="7" s="1"/>
  <c r="H268" i="4"/>
  <c r="D550" i="7" s="1"/>
  <c r="H269" i="4"/>
  <c r="D551" i="7" s="1"/>
  <c r="H270" i="4"/>
  <c r="D552" i="7" s="1"/>
  <c r="H271" i="4"/>
  <c r="D553" i="7" s="1"/>
  <c r="H272" i="4"/>
  <c r="D554" i="7" s="1"/>
  <c r="H273" i="4"/>
  <c r="D555" i="7" s="1"/>
  <c r="H274" i="4"/>
  <c r="D556" i="7" s="1"/>
  <c r="H275" i="4"/>
  <c r="D557" i="7" s="1"/>
  <c r="H276" i="4"/>
  <c r="D558" i="7" s="1"/>
  <c r="H277" i="4"/>
  <c r="D559" i="7" s="1"/>
  <c r="H278" i="4"/>
  <c r="D560" i="7" s="1"/>
  <c r="H279" i="4"/>
  <c r="D561" i="7" s="1"/>
  <c r="F561" i="7" s="1"/>
  <c r="H280" i="4"/>
  <c r="D562" i="7" s="1"/>
  <c r="F562" i="7" s="1"/>
  <c r="J562" i="7" s="1"/>
  <c r="H281" i="4"/>
  <c r="D563" i="7" s="1"/>
  <c r="F563" i="7" s="1"/>
  <c r="J563" i="7" s="1"/>
  <c r="H282" i="4"/>
  <c r="D564" i="7" s="1"/>
  <c r="H283" i="4"/>
  <c r="D565" i="7" s="1"/>
  <c r="H284" i="4"/>
  <c r="H285" i="4"/>
  <c r="H286" i="4"/>
  <c r="D568" i="7" s="1"/>
  <c r="H287" i="4"/>
  <c r="D569" i="7" s="1"/>
  <c r="H288" i="4"/>
  <c r="D570" i="7" s="1"/>
  <c r="H289" i="4"/>
  <c r="D571" i="7" s="1"/>
  <c r="H290" i="4"/>
  <c r="D572" i="7" s="1"/>
  <c r="H291" i="4"/>
  <c r="D573" i="7" s="1"/>
  <c r="H292" i="4"/>
  <c r="D574" i="7" s="1"/>
  <c r="H293" i="4"/>
  <c r="D575" i="7" s="1"/>
  <c r="F575" i="7" s="1"/>
  <c r="H294" i="4"/>
  <c r="D576" i="7" s="1"/>
  <c r="H295" i="4"/>
  <c r="D577" i="7" s="1"/>
  <c r="H296" i="4"/>
  <c r="D578" i="7" s="1"/>
  <c r="H297" i="4"/>
  <c r="D579" i="7" s="1"/>
  <c r="H298" i="4"/>
  <c r="D580" i="7" s="1"/>
  <c r="H299" i="4"/>
  <c r="D581" i="7" s="1"/>
  <c r="H300" i="4"/>
  <c r="D582" i="7" s="1"/>
  <c r="H301" i="4"/>
  <c r="D583" i="7" s="1"/>
  <c r="H302" i="4"/>
  <c r="D584" i="7" s="1"/>
  <c r="H303" i="4"/>
  <c r="D585" i="7" s="1"/>
  <c r="F585" i="7" s="1"/>
  <c r="J585" i="7" s="1"/>
  <c r="H304" i="4"/>
  <c r="D586" i="7" s="1"/>
  <c r="H305" i="4"/>
  <c r="D587" i="7" s="1"/>
  <c r="H306" i="4"/>
  <c r="D588" i="7" s="1"/>
  <c r="H307" i="4"/>
  <c r="D589" i="7" s="1"/>
  <c r="H308" i="4"/>
  <c r="H309" i="4"/>
  <c r="D591" i="7" s="1"/>
  <c r="H310" i="4"/>
  <c r="D592" i="7" s="1"/>
  <c r="H311" i="4"/>
  <c r="D593" i="7" s="1"/>
  <c r="H312" i="4"/>
  <c r="D594" i="7" s="1"/>
  <c r="H313" i="4"/>
  <c r="D595" i="7" s="1"/>
  <c r="H314" i="4"/>
  <c r="D596" i="7" s="1"/>
  <c r="H315" i="4"/>
  <c r="D597" i="7" s="1"/>
  <c r="F597" i="7" s="1"/>
  <c r="H316" i="4"/>
  <c r="D598" i="7" s="1"/>
  <c r="F598" i="7" s="1"/>
  <c r="H317" i="4"/>
  <c r="D599" i="7" s="1"/>
  <c r="F599" i="7" s="1"/>
  <c r="H318" i="4"/>
  <c r="D600" i="7" s="1"/>
  <c r="H319" i="4"/>
  <c r="D601" i="7" s="1"/>
  <c r="H320" i="4"/>
  <c r="D602" i="7" s="1"/>
  <c r="H321" i="4"/>
  <c r="H322" i="4"/>
  <c r="D604" i="7" s="1"/>
  <c r="H323" i="4"/>
  <c r="D605" i="7" s="1"/>
  <c r="H324" i="4"/>
  <c r="H325" i="4"/>
  <c r="D607" i="7" s="1"/>
  <c r="H326" i="4"/>
  <c r="D608" i="7" s="1"/>
  <c r="H327" i="4"/>
  <c r="D609" i="7" s="1"/>
  <c r="H609" i="7" s="1"/>
  <c r="H328" i="4"/>
  <c r="D610" i="7" s="1"/>
  <c r="H329" i="4"/>
  <c r="D611" i="7" s="1"/>
  <c r="H330" i="4"/>
  <c r="D612" i="7" s="1"/>
  <c r="H331" i="4"/>
  <c r="D613" i="7" s="1"/>
  <c r="H332" i="4"/>
  <c r="D614" i="7" s="1"/>
  <c r="H333" i="4"/>
  <c r="D615" i="7" s="1"/>
  <c r="H334" i="4"/>
  <c r="D616" i="7" s="1"/>
  <c r="H335" i="4"/>
  <c r="D617" i="7" s="1"/>
  <c r="H336" i="4"/>
  <c r="D618" i="7" s="1"/>
  <c r="H337" i="4"/>
  <c r="D619" i="7" s="1"/>
  <c r="H619" i="7" s="1"/>
  <c r="H338" i="4"/>
  <c r="D620" i="7" s="1"/>
  <c r="F620" i="7" s="1"/>
  <c r="H339" i="4"/>
  <c r="D621" i="7" s="1"/>
  <c r="F621" i="7" s="1"/>
  <c r="H340" i="4"/>
  <c r="D622" i="7" s="1"/>
  <c r="H341" i="4"/>
  <c r="D623" i="7" s="1"/>
  <c r="F623" i="7" s="1"/>
  <c r="J623" i="7" s="1"/>
  <c r="H342" i="4"/>
  <c r="D624" i="7" s="1"/>
  <c r="H343" i="4"/>
  <c r="D625" i="7" s="1"/>
  <c r="H344" i="4"/>
  <c r="H345" i="4"/>
  <c r="H346" i="4"/>
  <c r="D628" i="7" s="1"/>
  <c r="H347" i="4"/>
  <c r="D629" i="7" s="1"/>
  <c r="H348" i="4"/>
  <c r="H349" i="4"/>
  <c r="D631" i="7" s="1"/>
  <c r="H350" i="4"/>
  <c r="D632" i="7" s="1"/>
  <c r="H632" i="7" s="1"/>
  <c r="H351" i="4"/>
  <c r="D633" i="7" s="1"/>
  <c r="H352" i="4"/>
  <c r="D634" i="7" s="1"/>
  <c r="F634" i="7" s="1"/>
  <c r="H353" i="4"/>
  <c r="D635" i="7" s="1"/>
  <c r="F635" i="7" s="1"/>
  <c r="H354" i="4"/>
  <c r="D636" i="7" s="1"/>
  <c r="F636" i="7" s="1"/>
  <c r="H355" i="4"/>
  <c r="D637" i="7" s="1"/>
  <c r="H356" i="4"/>
  <c r="D638" i="7" s="1"/>
  <c r="H357" i="4"/>
  <c r="D639" i="7" s="1"/>
  <c r="H358" i="4"/>
  <c r="D640" i="7" s="1"/>
  <c r="H359" i="4"/>
  <c r="D641" i="7" s="1"/>
  <c r="H360" i="4"/>
  <c r="D642" i="7" s="1"/>
  <c r="H361" i="4"/>
  <c r="D643" i="7" s="1"/>
  <c r="H362" i="4"/>
  <c r="D644" i="7" s="1"/>
  <c r="H363" i="4"/>
  <c r="D645" i="7" s="1"/>
  <c r="H364" i="4"/>
  <c r="I9" i="4"/>
  <c r="P3" i="1"/>
  <c r="L6" i="1"/>
  <c r="L5" i="1"/>
  <c r="L4"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F12" i="6" s="1"/>
  <c r="G3" i="1"/>
  <c r="G4" i="1"/>
  <c r="G5" i="1"/>
  <c r="G6" i="1"/>
  <c r="G7" i="1"/>
  <c r="G8" i="1"/>
  <c r="G9" i="1"/>
  <c r="J9" i="1" s="1"/>
  <c r="G10" i="1"/>
  <c r="J10" i="1" s="1"/>
  <c r="G11" i="1"/>
  <c r="J11" i="1" s="1"/>
  <c r="G12" i="1"/>
  <c r="G13" i="1"/>
  <c r="G14" i="1"/>
  <c r="G15" i="1"/>
  <c r="G16" i="1"/>
  <c r="G17" i="1"/>
  <c r="G18" i="1"/>
  <c r="G19" i="1"/>
  <c r="G20" i="1"/>
  <c r="G21" i="1"/>
  <c r="G22" i="1"/>
  <c r="J22" i="1" s="1"/>
  <c r="G23" i="1"/>
  <c r="J23" i="1" s="1"/>
  <c r="G24" i="1"/>
  <c r="G25" i="1"/>
  <c r="G26" i="1"/>
  <c r="G27" i="1"/>
  <c r="G28" i="1"/>
  <c r="G29" i="1"/>
  <c r="G30" i="1"/>
  <c r="G31" i="1"/>
  <c r="G32" i="1"/>
  <c r="G33" i="1"/>
  <c r="J33" i="1" s="1"/>
  <c r="G34" i="1"/>
  <c r="J34" i="1" s="1"/>
  <c r="G35" i="1"/>
  <c r="J35" i="1" s="1"/>
  <c r="G36" i="1"/>
  <c r="G37" i="1"/>
  <c r="G38" i="1"/>
  <c r="G39" i="1"/>
  <c r="G40" i="1"/>
  <c r="G41" i="1"/>
  <c r="G42" i="1"/>
  <c r="G43" i="1"/>
  <c r="G44" i="1"/>
  <c r="G45" i="1"/>
  <c r="J45" i="1" s="1"/>
  <c r="G46" i="1"/>
  <c r="J46" i="1" s="1"/>
  <c r="G47" i="1"/>
  <c r="J47" i="1" s="1"/>
  <c r="G48" i="1"/>
  <c r="G49" i="1"/>
  <c r="G50" i="1"/>
  <c r="G51" i="1"/>
  <c r="G52" i="1"/>
  <c r="G53" i="1"/>
  <c r="G54" i="1"/>
  <c r="G55" i="1"/>
  <c r="G56" i="1"/>
  <c r="G57" i="1"/>
  <c r="G58" i="1"/>
  <c r="J58" i="1" s="1"/>
  <c r="G59" i="1"/>
  <c r="J59" i="1" s="1"/>
  <c r="G60" i="1"/>
  <c r="G61" i="1"/>
  <c r="G62" i="1"/>
  <c r="G63" i="1"/>
  <c r="G64" i="1"/>
  <c r="G65" i="1"/>
  <c r="G66" i="1"/>
  <c r="G67" i="1"/>
  <c r="G68" i="1"/>
  <c r="G69" i="1"/>
  <c r="J69" i="1" s="1"/>
  <c r="G70" i="1"/>
  <c r="J70" i="1" s="1"/>
  <c r="G71" i="1"/>
  <c r="J71" i="1" s="1"/>
  <c r="G72" i="1"/>
  <c r="G73" i="1"/>
  <c r="G74" i="1"/>
  <c r="G75" i="1"/>
  <c r="G76" i="1"/>
  <c r="G77" i="1"/>
  <c r="G78" i="1"/>
  <c r="G79" i="1"/>
  <c r="G80" i="1"/>
  <c r="G81" i="1"/>
  <c r="J81" i="1" s="1"/>
  <c r="G82" i="1"/>
  <c r="J82" i="1" s="1"/>
  <c r="G83" i="1"/>
  <c r="J83" i="1" s="1"/>
  <c r="G84" i="1"/>
  <c r="G85" i="1"/>
  <c r="G86" i="1"/>
  <c r="G87" i="1"/>
  <c r="G88" i="1"/>
  <c r="G89" i="1"/>
  <c r="G90" i="1"/>
  <c r="G91" i="1"/>
  <c r="G92" i="1"/>
  <c r="G93" i="1"/>
  <c r="J93" i="1" s="1"/>
  <c r="G94" i="1"/>
  <c r="J94" i="1" s="1"/>
  <c r="G95" i="1"/>
  <c r="J95" i="1" s="1"/>
  <c r="G96" i="1"/>
  <c r="G97" i="1"/>
  <c r="G98" i="1"/>
  <c r="G99" i="1"/>
  <c r="G100" i="1"/>
  <c r="G101" i="1"/>
  <c r="G102" i="1"/>
  <c r="G103" i="1"/>
  <c r="G104" i="1"/>
  <c r="G105" i="1"/>
  <c r="J105" i="1" s="1"/>
  <c r="G106" i="1"/>
  <c r="J106" i="1" s="1"/>
  <c r="G107" i="1"/>
  <c r="J107" i="1" s="1"/>
  <c r="G108" i="1"/>
  <c r="G109" i="1"/>
  <c r="G110" i="1"/>
  <c r="G111" i="1"/>
  <c r="G112" i="1"/>
  <c r="G113" i="1"/>
  <c r="G114" i="1"/>
  <c r="G115" i="1"/>
  <c r="G116" i="1"/>
  <c r="G117" i="1"/>
  <c r="J117" i="1" s="1"/>
  <c r="G118" i="1"/>
  <c r="J118" i="1" s="1"/>
  <c r="G119" i="1"/>
  <c r="J119" i="1" s="1"/>
  <c r="G120" i="1"/>
  <c r="J120" i="1" s="1"/>
  <c r="G121" i="1"/>
  <c r="G122" i="1"/>
  <c r="G123" i="1"/>
  <c r="G124" i="1"/>
  <c r="G125" i="1"/>
  <c r="G126" i="1"/>
  <c r="G127" i="1"/>
  <c r="G128" i="1"/>
  <c r="G129" i="1"/>
  <c r="J129" i="1" s="1"/>
  <c r="G130" i="1"/>
  <c r="J130" i="1" s="1"/>
  <c r="G131" i="1"/>
  <c r="J131" i="1" s="1"/>
  <c r="G132" i="1"/>
  <c r="G133" i="1"/>
  <c r="G134" i="1"/>
  <c r="G135" i="1"/>
  <c r="G136" i="1"/>
  <c r="G137" i="1"/>
  <c r="G138" i="1"/>
  <c r="G139" i="1"/>
  <c r="G140" i="1"/>
  <c r="G141" i="1"/>
  <c r="G142" i="1"/>
  <c r="J142" i="1" s="1"/>
  <c r="G143" i="1"/>
  <c r="J143" i="1" s="1"/>
  <c r="G144" i="1"/>
  <c r="G145" i="1"/>
  <c r="G146" i="1"/>
  <c r="G147" i="1"/>
  <c r="G148" i="1"/>
  <c r="G149" i="1"/>
  <c r="G150" i="1"/>
  <c r="G151" i="1"/>
  <c r="G152" i="1"/>
  <c r="G153" i="1"/>
  <c r="J153" i="1" s="1"/>
  <c r="G154" i="1"/>
  <c r="J154" i="1" s="1"/>
  <c r="G155" i="1"/>
  <c r="J155" i="1" s="1"/>
  <c r="G156" i="1"/>
  <c r="G157" i="1"/>
  <c r="G158" i="1"/>
  <c r="G159" i="1"/>
  <c r="G160" i="1"/>
  <c r="G161" i="1"/>
  <c r="G162" i="1"/>
  <c r="G163" i="1"/>
  <c r="G164" i="1"/>
  <c r="G165" i="1"/>
  <c r="J165" i="1" s="1"/>
  <c r="G166" i="1"/>
  <c r="J166" i="1" s="1"/>
  <c r="G167" i="1"/>
  <c r="J167" i="1" s="1"/>
  <c r="G168" i="1"/>
  <c r="G169" i="1"/>
  <c r="G170" i="1"/>
  <c r="G171" i="1"/>
  <c r="G172" i="1"/>
  <c r="G173" i="1"/>
  <c r="G174" i="1"/>
  <c r="G175" i="1"/>
  <c r="G176" i="1"/>
  <c r="G177" i="1"/>
  <c r="J177" i="1" s="1"/>
  <c r="G178" i="1"/>
  <c r="J178" i="1" s="1"/>
  <c r="G179" i="1"/>
  <c r="J179" i="1" s="1"/>
  <c r="G180" i="1"/>
  <c r="G181" i="1"/>
  <c r="G182" i="1"/>
  <c r="G183" i="1"/>
  <c r="G184" i="1"/>
  <c r="G185" i="1"/>
  <c r="G186" i="1"/>
  <c r="G187" i="1"/>
  <c r="G188" i="1"/>
  <c r="G189" i="1"/>
  <c r="J189" i="1" s="1"/>
  <c r="G190" i="1"/>
  <c r="J190" i="1" s="1"/>
  <c r="G191" i="1"/>
  <c r="J191" i="1" s="1"/>
  <c r="G192" i="1"/>
  <c r="G193" i="1"/>
  <c r="G194" i="1"/>
  <c r="G195" i="1"/>
  <c r="G196" i="1"/>
  <c r="G197" i="1"/>
  <c r="G198" i="1"/>
  <c r="G199" i="1"/>
  <c r="G200" i="1"/>
  <c r="G201" i="1"/>
  <c r="J201" i="1" s="1"/>
  <c r="G202" i="1"/>
  <c r="J202" i="1" s="1"/>
  <c r="G203" i="1"/>
  <c r="J203" i="1" s="1"/>
  <c r="G204" i="1"/>
  <c r="J204" i="1" s="1"/>
  <c r="G205" i="1"/>
  <c r="G206" i="1"/>
  <c r="G207" i="1"/>
  <c r="G208" i="1"/>
  <c r="G209" i="1"/>
  <c r="G210" i="1"/>
  <c r="G211" i="1"/>
  <c r="G212" i="1"/>
  <c r="G213" i="1"/>
  <c r="J213" i="1" s="1"/>
  <c r="G214" i="1"/>
  <c r="J214" i="1" s="1"/>
  <c r="G215" i="1"/>
  <c r="J215" i="1" s="1"/>
  <c r="G216" i="1"/>
  <c r="G217" i="1"/>
  <c r="G218" i="1"/>
  <c r="G219" i="1"/>
  <c r="G220" i="1"/>
  <c r="G221" i="1"/>
  <c r="G222" i="1"/>
  <c r="G223" i="1"/>
  <c r="G224" i="1"/>
  <c r="G225" i="1"/>
  <c r="G226" i="1"/>
  <c r="J226" i="1" s="1"/>
  <c r="G227" i="1"/>
  <c r="J227" i="1" s="1"/>
  <c r="G228" i="1"/>
  <c r="G229" i="1"/>
  <c r="G230" i="1"/>
  <c r="G231" i="1"/>
  <c r="G232" i="1"/>
  <c r="G233" i="1"/>
  <c r="G234" i="1"/>
  <c r="G235" i="1"/>
  <c r="G236" i="1"/>
  <c r="G237" i="1"/>
  <c r="J237" i="1" s="1"/>
  <c r="G238" i="1"/>
  <c r="J238" i="1" s="1"/>
  <c r="G239" i="1"/>
  <c r="J239" i="1" s="1"/>
  <c r="G240" i="1"/>
  <c r="J240" i="1" s="1"/>
  <c r="G241" i="1"/>
  <c r="G242" i="1"/>
  <c r="G243" i="1"/>
  <c r="G244" i="1"/>
  <c r="G245" i="1"/>
  <c r="G246" i="1"/>
  <c r="G247" i="1"/>
  <c r="G248" i="1"/>
  <c r="G249" i="1"/>
  <c r="G250" i="1"/>
  <c r="J250" i="1" s="1"/>
  <c r="G251" i="1"/>
  <c r="J251" i="1" s="1"/>
  <c r="G252" i="1"/>
  <c r="G253" i="1"/>
  <c r="G254" i="1"/>
  <c r="G255" i="1"/>
  <c r="G256" i="1"/>
  <c r="G257" i="1"/>
  <c r="G258" i="1"/>
  <c r="G259" i="1"/>
  <c r="G260" i="1"/>
  <c r="G261" i="1"/>
  <c r="G262" i="1"/>
  <c r="J262" i="1" s="1"/>
  <c r="G263" i="1"/>
  <c r="J263" i="1" s="1"/>
  <c r="G264" i="1"/>
  <c r="G265" i="1"/>
  <c r="G266" i="1"/>
  <c r="G267" i="1"/>
  <c r="G268" i="1"/>
  <c r="G269" i="1"/>
  <c r="G270" i="1"/>
  <c r="G271" i="1"/>
  <c r="G272" i="1"/>
  <c r="G273" i="1"/>
  <c r="J273" i="1" s="1"/>
  <c r="G274" i="1"/>
  <c r="J274" i="1" s="1"/>
  <c r="G275" i="1"/>
  <c r="J275" i="1" s="1"/>
  <c r="G276" i="1"/>
  <c r="G277" i="1"/>
  <c r="G278" i="1"/>
  <c r="G279" i="1"/>
  <c r="G280" i="1"/>
  <c r="G281" i="1"/>
  <c r="G282" i="1"/>
  <c r="G283" i="1"/>
  <c r="G284" i="1"/>
  <c r="G285" i="1"/>
  <c r="J285" i="1" s="1"/>
  <c r="G286" i="1"/>
  <c r="J286" i="1" s="1"/>
  <c r="G287" i="1"/>
  <c r="J287" i="1" s="1"/>
  <c r="G288" i="1"/>
  <c r="G289" i="1"/>
  <c r="G290" i="1"/>
  <c r="G291" i="1"/>
  <c r="G292" i="1"/>
  <c r="G293" i="1"/>
  <c r="G294" i="1"/>
  <c r="G295" i="1"/>
  <c r="G296" i="1"/>
  <c r="G297" i="1"/>
  <c r="J297" i="1" s="1"/>
  <c r="G298" i="1"/>
  <c r="J298" i="1" s="1"/>
  <c r="G299" i="1"/>
  <c r="J299" i="1" s="1"/>
  <c r="G300" i="1"/>
  <c r="G301" i="1"/>
  <c r="G302" i="1"/>
  <c r="G303" i="1"/>
  <c r="G304" i="1"/>
  <c r="G305" i="1"/>
  <c r="G306" i="1"/>
  <c r="G307" i="1"/>
  <c r="G308" i="1"/>
  <c r="G309" i="1"/>
  <c r="J309" i="1" s="1"/>
  <c r="G310" i="1"/>
  <c r="J310" i="1" s="1"/>
  <c r="G311" i="1"/>
  <c r="J311" i="1" s="1"/>
  <c r="G312" i="1"/>
  <c r="G313" i="1"/>
  <c r="G314" i="1"/>
  <c r="G315" i="1"/>
  <c r="G316" i="1"/>
  <c r="G317" i="1"/>
  <c r="G318" i="1"/>
  <c r="G319" i="1"/>
  <c r="G320" i="1"/>
  <c r="G321" i="1"/>
  <c r="J321" i="1" s="1"/>
  <c r="G322" i="1"/>
  <c r="J322" i="1" s="1"/>
  <c r="G323" i="1"/>
  <c r="J323" i="1" s="1"/>
  <c r="G324" i="1"/>
  <c r="J324" i="1" s="1"/>
  <c r="G325" i="1"/>
  <c r="G326" i="1"/>
  <c r="G327" i="1"/>
  <c r="G328" i="1"/>
  <c r="G329" i="1"/>
  <c r="G330" i="1"/>
  <c r="G331" i="1"/>
  <c r="G332" i="1"/>
  <c r="G333" i="1"/>
  <c r="J333" i="1" s="1"/>
  <c r="G334" i="1"/>
  <c r="J334" i="1" s="1"/>
  <c r="G335" i="1"/>
  <c r="J335" i="1" s="1"/>
  <c r="G336" i="1"/>
  <c r="G337" i="1"/>
  <c r="G338" i="1"/>
  <c r="G339" i="1"/>
  <c r="G340" i="1"/>
  <c r="G341" i="1"/>
  <c r="G342" i="1"/>
  <c r="G343" i="1"/>
  <c r="G344" i="1"/>
  <c r="G345" i="1"/>
  <c r="J345" i="1" s="1"/>
  <c r="G346" i="1"/>
  <c r="J346" i="1" s="1"/>
  <c r="G347" i="1"/>
  <c r="J347" i="1" s="1"/>
  <c r="G348" i="1"/>
  <c r="G349" i="1"/>
  <c r="G350" i="1"/>
  <c r="G351" i="1"/>
  <c r="G352" i="1"/>
  <c r="G353" i="1"/>
  <c r="G354" i="1"/>
  <c r="G355" i="1"/>
  <c r="G356" i="1"/>
  <c r="G357" i="1"/>
  <c r="J357" i="1" s="1"/>
  <c r="G358" i="1"/>
  <c r="J358" i="1" s="1"/>
  <c r="G359" i="1"/>
  <c r="J359" i="1" s="1"/>
  <c r="G360" i="1"/>
  <c r="G361" i="1"/>
  <c r="G362" i="1"/>
  <c r="G363" i="1"/>
  <c r="G364" i="1"/>
  <c r="G365" i="1"/>
  <c r="G366" i="1"/>
  <c r="G367" i="1"/>
  <c r="G368" i="1"/>
  <c r="G369" i="1"/>
  <c r="J369" i="1" s="1"/>
  <c r="G370" i="1"/>
  <c r="J370" i="1" s="1"/>
  <c r="G371" i="1"/>
  <c r="J371" i="1" s="1"/>
  <c r="G372" i="1"/>
  <c r="G373" i="1"/>
  <c r="G374" i="1"/>
  <c r="G375" i="1"/>
  <c r="G376" i="1"/>
  <c r="G377" i="1"/>
  <c r="G378" i="1"/>
  <c r="G379" i="1"/>
  <c r="G380" i="1"/>
  <c r="G381" i="1"/>
  <c r="J381" i="1" s="1"/>
  <c r="G382" i="1"/>
  <c r="J382" i="1" s="1"/>
  <c r="G383" i="1"/>
  <c r="J383" i="1" s="1"/>
  <c r="G384" i="1"/>
  <c r="G385" i="1"/>
  <c r="G386" i="1"/>
  <c r="G387" i="1"/>
  <c r="G388" i="1"/>
  <c r="G389" i="1"/>
  <c r="G390" i="1"/>
  <c r="G391" i="1"/>
  <c r="G392" i="1"/>
  <c r="G393" i="1"/>
  <c r="J393" i="1" s="1"/>
  <c r="G394" i="1"/>
  <c r="J394" i="1" s="1"/>
  <c r="G395" i="1"/>
  <c r="J395" i="1" s="1"/>
  <c r="G396" i="1"/>
  <c r="G397" i="1"/>
  <c r="G398" i="1"/>
  <c r="G399" i="1"/>
  <c r="G400" i="1"/>
  <c r="G401" i="1"/>
  <c r="G402" i="1"/>
  <c r="G403" i="1"/>
  <c r="G404" i="1"/>
  <c r="G405" i="1"/>
  <c r="J405" i="1" s="1"/>
  <c r="G406" i="1"/>
  <c r="J406" i="1" s="1"/>
  <c r="G407" i="1"/>
  <c r="J407" i="1" s="1"/>
  <c r="G408" i="1"/>
  <c r="G409" i="1"/>
  <c r="G410" i="1"/>
  <c r="G411" i="1"/>
  <c r="G412" i="1"/>
  <c r="G413" i="1"/>
  <c r="G414" i="1"/>
  <c r="G415" i="1"/>
  <c r="G416" i="1"/>
  <c r="G417" i="1"/>
  <c r="J417" i="1" s="1"/>
  <c r="G418" i="1"/>
  <c r="J418" i="1" s="1"/>
  <c r="G419" i="1"/>
  <c r="J419" i="1" s="1"/>
  <c r="G420" i="1"/>
  <c r="G421" i="1"/>
  <c r="G422" i="1"/>
  <c r="G423" i="1"/>
  <c r="G424" i="1"/>
  <c r="G425" i="1"/>
  <c r="G426" i="1"/>
  <c r="G427" i="1"/>
  <c r="G428" i="1"/>
  <c r="G429" i="1"/>
  <c r="J429" i="1" s="1"/>
  <c r="G430" i="1"/>
  <c r="J430" i="1" s="1"/>
  <c r="G431" i="1"/>
  <c r="J431" i="1" s="1"/>
  <c r="G432" i="1"/>
  <c r="J432" i="1" s="1"/>
  <c r="G433" i="1"/>
  <c r="G434" i="1"/>
  <c r="G435" i="1"/>
  <c r="G436" i="1"/>
  <c r="G437" i="1"/>
  <c r="G438" i="1"/>
  <c r="G439" i="1"/>
  <c r="G440" i="1"/>
  <c r="G441" i="1"/>
  <c r="J441" i="1" s="1"/>
  <c r="G442" i="1"/>
  <c r="J442" i="1" s="1"/>
  <c r="G443" i="1"/>
  <c r="J443" i="1" s="1"/>
  <c r="G444" i="1"/>
  <c r="J444" i="1" s="1"/>
  <c r="G445" i="1"/>
  <c r="G446" i="1"/>
  <c r="G447" i="1"/>
  <c r="G448" i="1"/>
  <c r="G449" i="1"/>
  <c r="G450" i="1"/>
  <c r="G451" i="1"/>
  <c r="G452" i="1"/>
  <c r="G453" i="1"/>
  <c r="J453" i="1" s="1"/>
  <c r="G454" i="1"/>
  <c r="J454" i="1" s="1"/>
  <c r="G455" i="1"/>
  <c r="J455" i="1" s="1"/>
  <c r="G456" i="1"/>
  <c r="G457" i="1"/>
  <c r="G458" i="1"/>
  <c r="G459" i="1"/>
  <c r="G460" i="1"/>
  <c r="G461" i="1"/>
  <c r="G462" i="1"/>
  <c r="G463" i="1"/>
  <c r="G464" i="1"/>
  <c r="G465" i="1"/>
  <c r="J465" i="1" s="1"/>
  <c r="G466" i="1"/>
  <c r="J466" i="1" s="1"/>
  <c r="G467" i="1"/>
  <c r="J467" i="1" s="1"/>
  <c r="G468" i="1"/>
  <c r="G469" i="1"/>
  <c r="G470" i="1"/>
  <c r="G471" i="1"/>
  <c r="G472" i="1"/>
  <c r="G473" i="1"/>
  <c r="G474" i="1"/>
  <c r="G475" i="1"/>
  <c r="G476" i="1"/>
  <c r="G477" i="1"/>
  <c r="J477" i="1" s="1"/>
  <c r="G478" i="1"/>
  <c r="J478" i="1" s="1"/>
  <c r="G479" i="1"/>
  <c r="J479" i="1" s="1"/>
  <c r="G480" i="1"/>
  <c r="G481" i="1"/>
  <c r="G482" i="1"/>
  <c r="G483" i="1"/>
  <c r="G484" i="1"/>
  <c r="G485" i="1"/>
  <c r="G486" i="1"/>
  <c r="G487" i="1"/>
  <c r="G488" i="1"/>
  <c r="G489" i="1"/>
  <c r="J489" i="1" s="1"/>
  <c r="G490" i="1"/>
  <c r="J490" i="1" s="1"/>
  <c r="G491" i="1"/>
  <c r="J491" i="1" s="1"/>
  <c r="G492" i="1"/>
  <c r="J492" i="1" s="1"/>
  <c r="G493" i="1"/>
  <c r="G494" i="1"/>
  <c r="G495" i="1"/>
  <c r="G496" i="1"/>
  <c r="G497" i="1"/>
  <c r="G498" i="1"/>
  <c r="G499" i="1"/>
  <c r="G500" i="1"/>
  <c r="G501" i="1"/>
  <c r="J501" i="1" s="1"/>
  <c r="G502" i="1"/>
  <c r="J502" i="1" s="1"/>
  <c r="G503" i="1"/>
  <c r="J503" i="1" s="1"/>
  <c r="G504" i="1"/>
  <c r="G505" i="1"/>
  <c r="G506" i="1"/>
  <c r="G507" i="1"/>
  <c r="G508" i="1"/>
  <c r="G509" i="1"/>
  <c r="G510" i="1"/>
  <c r="G511" i="1"/>
  <c r="G512" i="1"/>
  <c r="G513" i="1"/>
  <c r="J513" i="1" s="1"/>
  <c r="G514" i="1"/>
  <c r="J514" i="1" s="1"/>
  <c r="G515" i="1"/>
  <c r="J515" i="1" s="1"/>
  <c r="G516" i="1"/>
  <c r="G517" i="1"/>
  <c r="G518" i="1"/>
  <c r="G519" i="1"/>
  <c r="G520" i="1"/>
  <c r="G521" i="1"/>
  <c r="G522" i="1"/>
  <c r="G523" i="1"/>
  <c r="G524" i="1"/>
  <c r="G525" i="1"/>
  <c r="J525" i="1" s="1"/>
  <c r="G526" i="1"/>
  <c r="J526" i="1" s="1"/>
  <c r="G527" i="1"/>
  <c r="J527" i="1" s="1"/>
  <c r="G528" i="1"/>
  <c r="J528" i="1" s="1"/>
  <c r="G529" i="1"/>
  <c r="G530" i="1"/>
  <c r="G531" i="1"/>
  <c r="G532" i="1"/>
  <c r="G533" i="1"/>
  <c r="G534" i="1"/>
  <c r="G535" i="1"/>
  <c r="G536" i="1"/>
  <c r="G537" i="1"/>
  <c r="J537" i="1" s="1"/>
  <c r="G538" i="1"/>
  <c r="J538" i="1" s="1"/>
  <c r="G539" i="1"/>
  <c r="J539" i="1" s="1"/>
  <c r="G540" i="1"/>
  <c r="G541" i="1"/>
  <c r="G542" i="1"/>
  <c r="G543" i="1"/>
  <c r="G544" i="1"/>
  <c r="G545" i="1"/>
  <c r="G546" i="1"/>
  <c r="G547" i="1"/>
  <c r="G548" i="1"/>
  <c r="G549" i="1"/>
  <c r="J549" i="1" s="1"/>
  <c r="G550" i="1"/>
  <c r="J550" i="1" s="1"/>
  <c r="G551" i="1"/>
  <c r="J551" i="1" s="1"/>
  <c r="G552" i="1"/>
  <c r="G553" i="1"/>
  <c r="G554" i="1"/>
  <c r="G555" i="1"/>
  <c r="G556" i="1"/>
  <c r="G557" i="1"/>
  <c r="G558" i="1"/>
  <c r="G559" i="1"/>
  <c r="G560" i="1"/>
  <c r="G561" i="1"/>
  <c r="J561" i="1" s="1"/>
  <c r="G562" i="1"/>
  <c r="J562" i="1" s="1"/>
  <c r="G563" i="1"/>
  <c r="J563" i="1" s="1"/>
  <c r="G564" i="1"/>
  <c r="G565" i="1"/>
  <c r="G566" i="1"/>
  <c r="G567" i="1"/>
  <c r="G568" i="1"/>
  <c r="G569" i="1"/>
  <c r="G570" i="1"/>
  <c r="G571" i="1"/>
  <c r="G572" i="1"/>
  <c r="G573" i="1"/>
  <c r="J573" i="1" s="1"/>
  <c r="G574" i="1"/>
  <c r="J574" i="1" s="1"/>
  <c r="G575" i="1"/>
  <c r="J575" i="1" s="1"/>
  <c r="G576" i="1"/>
  <c r="G577" i="1"/>
  <c r="G578" i="1"/>
  <c r="G579" i="1"/>
  <c r="G580" i="1"/>
  <c r="G581" i="1"/>
  <c r="G582" i="1"/>
  <c r="G583" i="1"/>
  <c r="G584" i="1"/>
  <c r="G585" i="1"/>
  <c r="J585" i="1" s="1"/>
  <c r="G586" i="1"/>
  <c r="J586" i="1" s="1"/>
  <c r="G587" i="1"/>
  <c r="J587" i="1" s="1"/>
  <c r="G588" i="1"/>
  <c r="G589" i="1"/>
  <c r="G590" i="1"/>
  <c r="G591" i="1"/>
  <c r="G592" i="1"/>
  <c r="G593" i="1"/>
  <c r="G594" i="1"/>
  <c r="G595" i="1"/>
  <c r="G596" i="1"/>
  <c r="G597" i="1"/>
  <c r="J597" i="1" s="1"/>
  <c r="G598" i="1"/>
  <c r="J598" i="1" s="1"/>
  <c r="G599" i="1"/>
  <c r="J599" i="1" s="1"/>
  <c r="G600" i="1"/>
  <c r="G601" i="1"/>
  <c r="G602" i="1"/>
  <c r="G603" i="1"/>
  <c r="G604" i="1"/>
  <c r="G605" i="1"/>
  <c r="G606" i="1"/>
  <c r="G607" i="1"/>
  <c r="G608" i="1"/>
  <c r="G609" i="1"/>
  <c r="J609" i="1" s="1"/>
  <c r="G610" i="1"/>
  <c r="J610" i="1" s="1"/>
  <c r="G611" i="1"/>
  <c r="J611" i="1" s="1"/>
  <c r="G612" i="1"/>
  <c r="G613" i="1"/>
  <c r="G614" i="1"/>
  <c r="G615" i="1"/>
  <c r="G616" i="1"/>
  <c r="G617" i="1"/>
  <c r="G618" i="1"/>
  <c r="G619" i="1"/>
  <c r="G620" i="1"/>
  <c r="G621" i="1"/>
  <c r="J621" i="1" s="1"/>
  <c r="G622" i="1"/>
  <c r="J622" i="1" s="1"/>
  <c r="G623" i="1"/>
  <c r="J623" i="1" s="1"/>
  <c r="G624" i="1"/>
  <c r="G625" i="1"/>
  <c r="G626" i="1"/>
  <c r="G627" i="1"/>
  <c r="G628" i="1"/>
  <c r="G629" i="1"/>
  <c r="G630" i="1"/>
  <c r="G631" i="1"/>
  <c r="G632" i="1"/>
  <c r="G633" i="1"/>
  <c r="J633" i="1" s="1"/>
  <c r="G634" i="1"/>
  <c r="J634" i="1" s="1"/>
  <c r="G635" i="1"/>
  <c r="J635" i="1" s="1"/>
  <c r="G636" i="1"/>
  <c r="G637" i="1"/>
  <c r="G638" i="1"/>
  <c r="G639" i="1"/>
  <c r="G640" i="1"/>
  <c r="G641" i="1"/>
  <c r="G642" i="1"/>
  <c r="G643" i="1"/>
  <c r="G644" i="1"/>
  <c r="G645" i="1"/>
  <c r="J645" i="1" s="1"/>
  <c r="G646" i="1"/>
  <c r="J646" i="1" s="1"/>
  <c r="G647" i="1"/>
  <c r="J647" i="1" s="1"/>
  <c r="G648" i="1"/>
  <c r="G649" i="1"/>
  <c r="G650" i="1"/>
  <c r="G651" i="1"/>
  <c r="G652" i="1"/>
  <c r="G653" i="1"/>
  <c r="G654" i="1"/>
  <c r="G655" i="1"/>
  <c r="G656" i="1"/>
  <c r="G657" i="1"/>
  <c r="J657" i="1" s="1"/>
  <c r="G658" i="1"/>
  <c r="J658" i="1" s="1"/>
  <c r="G659" i="1"/>
  <c r="J659" i="1" s="1"/>
  <c r="G660" i="1"/>
  <c r="G661" i="1"/>
  <c r="G662" i="1"/>
  <c r="G663" i="1"/>
  <c r="G664" i="1"/>
  <c r="G665" i="1"/>
  <c r="G666" i="1"/>
  <c r="G667" i="1"/>
  <c r="G668" i="1"/>
  <c r="G669" i="1"/>
  <c r="J669" i="1" s="1"/>
  <c r="G670" i="1"/>
  <c r="J670" i="1" s="1"/>
  <c r="G671" i="1"/>
  <c r="J671" i="1" s="1"/>
  <c r="G672" i="1"/>
  <c r="G673" i="1"/>
  <c r="G674" i="1"/>
  <c r="G675" i="1"/>
  <c r="G676" i="1"/>
  <c r="G677" i="1"/>
  <c r="G678" i="1"/>
  <c r="G679" i="1"/>
  <c r="G680" i="1"/>
  <c r="G681" i="1"/>
  <c r="J681" i="1" s="1"/>
  <c r="G682" i="1"/>
  <c r="J682" i="1" s="1"/>
  <c r="G683" i="1"/>
  <c r="J683" i="1" s="1"/>
  <c r="G684" i="1"/>
  <c r="G685" i="1"/>
  <c r="G686" i="1"/>
  <c r="G687" i="1"/>
  <c r="G688" i="1"/>
  <c r="G689" i="1"/>
  <c r="G690" i="1"/>
  <c r="G691" i="1"/>
  <c r="G692" i="1"/>
  <c r="G693" i="1"/>
  <c r="J693" i="1" s="1"/>
  <c r="G694" i="1"/>
  <c r="J694" i="1" s="1"/>
  <c r="G695" i="1"/>
  <c r="J695" i="1" s="1"/>
  <c r="G696" i="1"/>
  <c r="G697" i="1"/>
  <c r="G698" i="1"/>
  <c r="G699" i="1"/>
  <c r="G700" i="1"/>
  <c r="G701" i="1"/>
  <c r="G702" i="1"/>
  <c r="G703" i="1"/>
  <c r="G704" i="1"/>
  <c r="G705" i="1"/>
  <c r="J705" i="1" s="1"/>
  <c r="G706" i="1"/>
  <c r="J706" i="1" s="1"/>
  <c r="G707" i="1"/>
  <c r="J707" i="1" s="1"/>
  <c r="G708" i="1"/>
  <c r="G709" i="1"/>
  <c r="G710" i="1"/>
  <c r="G711" i="1"/>
  <c r="G712" i="1"/>
  <c r="G713" i="1"/>
  <c r="G714" i="1"/>
  <c r="G715" i="1"/>
  <c r="G716" i="1"/>
  <c r="G717" i="1"/>
  <c r="J717" i="1" s="1"/>
  <c r="G718" i="1"/>
  <c r="J718" i="1" s="1"/>
  <c r="G719" i="1"/>
  <c r="J719" i="1" s="1"/>
  <c r="G720" i="1"/>
  <c r="G721" i="1"/>
  <c r="G722" i="1"/>
  <c r="G723" i="1"/>
  <c r="G724" i="1"/>
  <c r="G725" i="1"/>
  <c r="G726" i="1"/>
  <c r="G727" i="1"/>
  <c r="G728" i="1"/>
  <c r="G729" i="1"/>
  <c r="J729" i="1" s="1"/>
  <c r="G730" i="1"/>
  <c r="J730" i="1" s="1"/>
  <c r="G731" i="1"/>
  <c r="J731" i="1" s="1"/>
  <c r="G732" i="1"/>
  <c r="G733" i="1"/>
  <c r="G734" i="1"/>
  <c r="G735" i="1"/>
  <c r="G736" i="1"/>
  <c r="G737" i="1"/>
  <c r="G738" i="1"/>
  <c r="G739" i="1"/>
  <c r="G740" i="1"/>
  <c r="G741" i="1"/>
  <c r="J741" i="1" s="1"/>
  <c r="G742" i="1"/>
  <c r="J742" i="1" s="1"/>
  <c r="G743" i="1"/>
  <c r="J743" i="1" s="1"/>
  <c r="G744" i="1"/>
  <c r="G745" i="1"/>
  <c r="G746" i="1"/>
  <c r="G747" i="1"/>
  <c r="G748" i="1"/>
  <c r="G749" i="1"/>
  <c r="G750" i="1"/>
  <c r="G751" i="1"/>
  <c r="G752" i="1"/>
  <c r="G753" i="1"/>
  <c r="J753" i="1" s="1"/>
  <c r="G754" i="1"/>
  <c r="J754" i="1" s="1"/>
  <c r="G755" i="1"/>
  <c r="J755" i="1" s="1"/>
  <c r="G756" i="1"/>
  <c r="G757" i="1"/>
  <c r="G758" i="1"/>
  <c r="G759" i="1"/>
  <c r="G760" i="1"/>
  <c r="G761" i="1"/>
  <c r="G762" i="1"/>
  <c r="G763" i="1"/>
  <c r="G764" i="1"/>
  <c r="G765" i="1"/>
  <c r="J765" i="1" s="1"/>
  <c r="G766" i="1"/>
  <c r="J766" i="1" s="1"/>
  <c r="G767" i="1"/>
  <c r="J767" i="1" s="1"/>
  <c r="G768" i="1"/>
  <c r="G769" i="1"/>
  <c r="G770" i="1"/>
  <c r="G771" i="1"/>
  <c r="G772" i="1"/>
  <c r="G773" i="1"/>
  <c r="G774" i="1"/>
  <c r="G775" i="1"/>
  <c r="G776" i="1"/>
  <c r="G777" i="1"/>
  <c r="J777" i="1" s="1"/>
  <c r="G778" i="1"/>
  <c r="J778" i="1" s="1"/>
  <c r="G779" i="1"/>
  <c r="J779" i="1" s="1"/>
  <c r="G780" i="1"/>
  <c r="G781" i="1"/>
  <c r="G782" i="1"/>
  <c r="G783" i="1"/>
  <c r="G784" i="1"/>
  <c r="G785" i="1"/>
  <c r="G786" i="1"/>
  <c r="G787" i="1"/>
  <c r="G788" i="1"/>
  <c r="G789" i="1"/>
  <c r="J789" i="1" s="1"/>
  <c r="G790" i="1"/>
  <c r="J790" i="1" s="1"/>
  <c r="G791" i="1"/>
  <c r="J791" i="1" s="1"/>
  <c r="G792" i="1"/>
  <c r="G793" i="1"/>
  <c r="G794" i="1"/>
  <c r="G795" i="1"/>
  <c r="G796" i="1"/>
  <c r="G797" i="1"/>
  <c r="G798" i="1"/>
  <c r="G799" i="1"/>
  <c r="G800" i="1"/>
  <c r="G801" i="1"/>
  <c r="J801" i="1" s="1"/>
  <c r="G802" i="1"/>
  <c r="J802" i="1" s="1"/>
  <c r="G803" i="1"/>
  <c r="J803" i="1" s="1"/>
  <c r="G804" i="1"/>
  <c r="G805" i="1"/>
  <c r="G806" i="1"/>
  <c r="G807" i="1"/>
  <c r="G808" i="1"/>
  <c r="G809" i="1"/>
  <c r="G810" i="1"/>
  <c r="J810" i="1" s="1"/>
  <c r="G811" i="1"/>
  <c r="G812" i="1"/>
  <c r="G813" i="1"/>
  <c r="J813" i="1" s="1"/>
  <c r="G814" i="1"/>
  <c r="J814" i="1" s="1"/>
  <c r="G815" i="1"/>
  <c r="J815" i="1" s="1"/>
  <c r="G816" i="1"/>
  <c r="G817" i="1"/>
  <c r="G818" i="1"/>
  <c r="G819" i="1"/>
  <c r="G820" i="1"/>
  <c r="G821" i="1"/>
  <c r="G822" i="1"/>
  <c r="G823" i="1"/>
  <c r="G824" i="1"/>
  <c r="G825" i="1"/>
  <c r="J825" i="1" s="1"/>
  <c r="G826" i="1"/>
  <c r="J826" i="1" s="1"/>
  <c r="G827" i="1"/>
  <c r="J827" i="1" s="1"/>
  <c r="G828" i="1"/>
  <c r="G829" i="1"/>
  <c r="G830" i="1"/>
  <c r="G831" i="1"/>
  <c r="G832" i="1"/>
  <c r="G833" i="1"/>
  <c r="G834" i="1"/>
  <c r="G835" i="1"/>
  <c r="G836" i="1"/>
  <c r="G837" i="1"/>
  <c r="J837" i="1" s="1"/>
  <c r="G838" i="1"/>
  <c r="J838" i="1" s="1"/>
  <c r="G839" i="1"/>
  <c r="J839" i="1" s="1"/>
  <c r="G840" i="1"/>
  <c r="G841" i="1"/>
  <c r="G842" i="1"/>
  <c r="G843" i="1"/>
  <c r="G844" i="1"/>
  <c r="G845" i="1"/>
  <c r="G846" i="1"/>
  <c r="G847" i="1"/>
  <c r="G848" i="1"/>
  <c r="G849" i="1"/>
  <c r="J849" i="1" s="1"/>
  <c r="G850" i="1"/>
  <c r="J850" i="1" s="1"/>
  <c r="G851" i="1"/>
  <c r="J851" i="1" s="1"/>
  <c r="G852" i="1"/>
  <c r="G853" i="1"/>
  <c r="G854" i="1"/>
  <c r="G855" i="1"/>
  <c r="G856" i="1"/>
  <c r="G857" i="1"/>
  <c r="G858" i="1"/>
  <c r="J858" i="1" s="1"/>
  <c r="G859" i="1"/>
  <c r="G860" i="1"/>
  <c r="G861" i="1"/>
  <c r="J861" i="1" s="1"/>
  <c r="G862" i="1"/>
  <c r="J862" i="1" s="1"/>
  <c r="G863" i="1"/>
  <c r="J863" i="1" s="1"/>
  <c r="G864" i="1"/>
  <c r="G865" i="1"/>
  <c r="G866" i="1"/>
  <c r="G867" i="1"/>
  <c r="G868" i="1"/>
  <c r="G869" i="1"/>
  <c r="G870" i="1"/>
  <c r="J870" i="1" s="1"/>
  <c r="G871" i="1"/>
  <c r="G872" i="1"/>
  <c r="G873" i="1"/>
  <c r="J873" i="1" s="1"/>
  <c r="G874" i="1"/>
  <c r="J874" i="1" s="1"/>
  <c r="G875" i="1"/>
  <c r="J875" i="1" s="1"/>
  <c r="G876" i="1"/>
  <c r="G877" i="1"/>
  <c r="G878" i="1"/>
  <c r="G879" i="1"/>
  <c r="G880" i="1"/>
  <c r="G881" i="1"/>
  <c r="G882" i="1"/>
  <c r="G883" i="1"/>
  <c r="G884" i="1"/>
  <c r="G885" i="1"/>
  <c r="J885" i="1" s="1"/>
  <c r="G886" i="1"/>
  <c r="J886" i="1" s="1"/>
  <c r="G887" i="1"/>
  <c r="J887" i="1" s="1"/>
  <c r="G888" i="1"/>
  <c r="G889" i="1"/>
  <c r="G890" i="1"/>
  <c r="G891" i="1"/>
  <c r="G892" i="1"/>
  <c r="G893" i="1"/>
  <c r="G894" i="1"/>
  <c r="G895" i="1"/>
  <c r="G896" i="1"/>
  <c r="G897" i="1"/>
  <c r="J897" i="1" s="1"/>
  <c r="G898" i="1"/>
  <c r="J898" i="1" s="1"/>
  <c r="G899" i="1"/>
  <c r="J899" i="1" s="1"/>
  <c r="G900" i="1"/>
  <c r="G901" i="1"/>
  <c r="G902" i="1"/>
  <c r="G903" i="1"/>
  <c r="G904" i="1"/>
  <c r="G905" i="1"/>
  <c r="G906" i="1"/>
  <c r="G907" i="1"/>
  <c r="G908" i="1"/>
  <c r="G909" i="1"/>
  <c r="J909" i="1" s="1"/>
  <c r="G910" i="1"/>
  <c r="J910" i="1" s="1"/>
  <c r="G911" i="1"/>
  <c r="J911" i="1" s="1"/>
  <c r="G912" i="1"/>
  <c r="G913" i="1"/>
  <c r="G914" i="1"/>
  <c r="G915" i="1"/>
  <c r="G916" i="1"/>
  <c r="G917" i="1"/>
  <c r="G918" i="1"/>
  <c r="G919" i="1"/>
  <c r="G920" i="1"/>
  <c r="G921" i="1"/>
  <c r="J921" i="1" s="1"/>
  <c r="G922" i="1"/>
  <c r="J922" i="1" s="1"/>
  <c r="G923" i="1"/>
  <c r="J923" i="1" s="1"/>
  <c r="G924" i="1"/>
  <c r="G925" i="1"/>
  <c r="G926" i="1"/>
  <c r="G927" i="1"/>
  <c r="G928" i="1"/>
  <c r="G929" i="1"/>
  <c r="G930" i="1"/>
  <c r="G931" i="1"/>
  <c r="G932" i="1"/>
  <c r="G933" i="1"/>
  <c r="J933" i="1" s="1"/>
  <c r="G934" i="1"/>
  <c r="J934" i="1" s="1"/>
  <c r="G935" i="1"/>
  <c r="J935" i="1" s="1"/>
  <c r="G936" i="1"/>
  <c r="G937" i="1"/>
  <c r="G938" i="1"/>
  <c r="G939" i="1"/>
  <c r="G940" i="1"/>
  <c r="G941" i="1"/>
  <c r="G942" i="1"/>
  <c r="G943" i="1"/>
  <c r="G944" i="1"/>
  <c r="G945" i="1"/>
  <c r="J945" i="1" s="1"/>
  <c r="G946" i="1"/>
  <c r="J946" i="1" s="1"/>
  <c r="G947" i="1"/>
  <c r="J947" i="1" s="1"/>
  <c r="G948" i="1"/>
  <c r="G949" i="1"/>
  <c r="G950" i="1"/>
  <c r="G951" i="1"/>
  <c r="G952" i="1"/>
  <c r="G953" i="1"/>
  <c r="G954" i="1"/>
  <c r="G955" i="1"/>
  <c r="G956" i="1"/>
  <c r="G957" i="1"/>
  <c r="J957" i="1" s="1"/>
  <c r="G958" i="1"/>
  <c r="J958" i="1" s="1"/>
  <c r="G959" i="1"/>
  <c r="J959" i="1" s="1"/>
  <c r="G960" i="1"/>
  <c r="G961" i="1"/>
  <c r="G962" i="1"/>
  <c r="G963" i="1"/>
  <c r="G964" i="1"/>
  <c r="G965" i="1"/>
  <c r="G966" i="1"/>
  <c r="J966" i="1" s="1"/>
  <c r="G967" i="1"/>
  <c r="G968" i="1"/>
  <c r="G969" i="1"/>
  <c r="J969" i="1" s="1"/>
  <c r="G970" i="1"/>
  <c r="J970" i="1" s="1"/>
  <c r="G971" i="1"/>
  <c r="J971" i="1" s="1"/>
  <c r="G972" i="1"/>
  <c r="G973" i="1"/>
  <c r="G974" i="1"/>
  <c r="G975" i="1"/>
  <c r="G976" i="1"/>
  <c r="G977" i="1"/>
  <c r="G978" i="1"/>
  <c r="J978" i="1" s="1"/>
  <c r="G979" i="1"/>
  <c r="G980" i="1"/>
  <c r="G981" i="1"/>
  <c r="J981" i="1" s="1"/>
  <c r="G982" i="1"/>
  <c r="J982" i="1" s="1"/>
  <c r="G983" i="1"/>
  <c r="J983" i="1" s="1"/>
  <c r="G984" i="1"/>
  <c r="G985" i="1"/>
  <c r="G986" i="1"/>
  <c r="G987" i="1"/>
  <c r="G988" i="1"/>
  <c r="G989" i="1"/>
  <c r="G990" i="1"/>
  <c r="G991" i="1"/>
  <c r="G992" i="1"/>
  <c r="G993" i="1"/>
  <c r="J993" i="1" s="1"/>
  <c r="G994" i="1"/>
  <c r="J994" i="1" s="1"/>
  <c r="G995" i="1"/>
  <c r="J995" i="1" s="1"/>
  <c r="G996" i="1"/>
  <c r="G997" i="1"/>
  <c r="G998" i="1"/>
  <c r="G999" i="1"/>
  <c r="G1000" i="1"/>
  <c r="G1001" i="1"/>
  <c r="G1002" i="1"/>
  <c r="J1002" i="1" s="1"/>
  <c r="G1003" i="1"/>
  <c r="G1004" i="1"/>
  <c r="G1005" i="1"/>
  <c r="J1005" i="1" s="1"/>
  <c r="G1006" i="1"/>
  <c r="J1006" i="1" s="1"/>
  <c r="G1007" i="1"/>
  <c r="J1007" i="1" s="1"/>
  <c r="G1008" i="1"/>
  <c r="G1009" i="1"/>
  <c r="G1010" i="1"/>
  <c r="G1011" i="1"/>
  <c r="G1012" i="1"/>
  <c r="G1013" i="1"/>
  <c r="G1014" i="1"/>
  <c r="G1015" i="1"/>
  <c r="G1016" i="1"/>
  <c r="G1017" i="1"/>
  <c r="J1017" i="1" s="1"/>
  <c r="G1018" i="1"/>
  <c r="J1018" i="1" s="1"/>
  <c r="G1019" i="1"/>
  <c r="J1019" i="1" s="1"/>
  <c r="G1020" i="1"/>
  <c r="G1021" i="1"/>
  <c r="G1022" i="1"/>
  <c r="G1023" i="1"/>
  <c r="G1024" i="1"/>
  <c r="G1025" i="1"/>
  <c r="G1026" i="1"/>
  <c r="J1026" i="1" s="1"/>
  <c r="G1027" i="1"/>
  <c r="G1028" i="1"/>
  <c r="G1029" i="1"/>
  <c r="J1029" i="1" s="1"/>
  <c r="G1030" i="1"/>
  <c r="J1030" i="1" s="1"/>
  <c r="G1031" i="1"/>
  <c r="J1031" i="1" s="1"/>
  <c r="G1032" i="1"/>
  <c r="G1033" i="1"/>
  <c r="G1034" i="1"/>
  <c r="G1035" i="1"/>
  <c r="G1036" i="1"/>
  <c r="G1037" i="1"/>
  <c r="G1038" i="1"/>
  <c r="G1039" i="1"/>
  <c r="G1040" i="1"/>
  <c r="G1041" i="1"/>
  <c r="J1041" i="1" s="1"/>
  <c r="G1042" i="1"/>
  <c r="J1042" i="1" s="1"/>
  <c r="G1043" i="1"/>
  <c r="J1043" i="1" s="1"/>
  <c r="G1044" i="1"/>
  <c r="G1045" i="1"/>
  <c r="G1046" i="1"/>
  <c r="G1047" i="1"/>
  <c r="G1048" i="1"/>
  <c r="G1049" i="1"/>
  <c r="G1050" i="1"/>
  <c r="J1050" i="1" s="1"/>
  <c r="G1051" i="1"/>
  <c r="G1052" i="1"/>
  <c r="G1053" i="1"/>
  <c r="J1053" i="1" s="1"/>
  <c r="G1054" i="1"/>
  <c r="J1054" i="1" s="1"/>
  <c r="G1055" i="1"/>
  <c r="J1055" i="1" s="1"/>
  <c r="G1056" i="1"/>
  <c r="G1057" i="1"/>
  <c r="G1058" i="1"/>
  <c r="G1059" i="1"/>
  <c r="G1060" i="1"/>
  <c r="G1061" i="1"/>
  <c r="G1062" i="1"/>
  <c r="G1063" i="1"/>
  <c r="G1064" i="1"/>
  <c r="G1065" i="1"/>
  <c r="J1065" i="1" s="1"/>
  <c r="G1066" i="1"/>
  <c r="J1066" i="1" s="1"/>
  <c r="G1067" i="1"/>
  <c r="J1067" i="1" s="1"/>
  <c r="G1068" i="1"/>
  <c r="G1069" i="1"/>
  <c r="G1070" i="1"/>
  <c r="G1071" i="1"/>
  <c r="G1072" i="1"/>
  <c r="G1073" i="1"/>
  <c r="G1074" i="1"/>
  <c r="G1075" i="1"/>
  <c r="G1076" i="1"/>
  <c r="G1077" i="1"/>
  <c r="J1077" i="1" s="1"/>
  <c r="G1078" i="1"/>
  <c r="J1078" i="1" s="1"/>
  <c r="G1079" i="1"/>
  <c r="J1079" i="1" s="1"/>
  <c r="G1080" i="1"/>
  <c r="I2" i="1"/>
  <c r="G2"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O4" i="1"/>
  <c r="O5" i="1"/>
  <c r="O6" i="1"/>
  <c r="O7" i="1"/>
  <c r="O8" i="1"/>
  <c r="O9" i="1"/>
  <c r="O10"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3" i="1"/>
  <c r="O3"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4" i="1"/>
  <c r="M3"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7" i="1"/>
  <c r="L8" i="1"/>
  <c r="L9" i="1"/>
  <c r="L10" i="1"/>
  <c r="L11" i="1"/>
  <c r="L12" i="1"/>
  <c r="L13" i="1"/>
  <c r="L14" i="1"/>
  <c r="L15" i="1"/>
  <c r="L16" i="1"/>
  <c r="L17" i="1"/>
  <c r="L18" i="1"/>
  <c r="L19" i="1"/>
  <c r="L20" i="1"/>
  <c r="L21" i="1"/>
  <c r="L22" i="1"/>
  <c r="L23" i="1"/>
  <c r="L24" i="1"/>
  <c r="L25" i="1"/>
  <c r="L26" i="1"/>
  <c r="L27" i="1"/>
  <c r="L28" i="1"/>
  <c r="L29" i="1"/>
  <c r="L30" i="1"/>
  <c r="L31" i="1"/>
  <c r="L32" i="1"/>
  <c r="L33" i="1"/>
  <c r="I442" i="7" l="1"/>
  <c r="H518" i="7"/>
  <c r="J460" i="1"/>
  <c r="J448" i="1"/>
  <c r="J436" i="1"/>
  <c r="J424" i="1"/>
  <c r="J412" i="1"/>
  <c r="J400" i="1"/>
  <c r="J388" i="1"/>
  <c r="J376" i="1"/>
  <c r="J364" i="1"/>
  <c r="J352" i="1"/>
  <c r="J340" i="1"/>
  <c r="J328" i="1"/>
  <c r="J316" i="1"/>
  <c r="J304" i="1"/>
  <c r="J292" i="1"/>
  <c r="J280" i="1"/>
  <c r="J268" i="1"/>
  <c r="J256" i="1"/>
  <c r="J244" i="1"/>
  <c r="J232" i="1"/>
  <c r="J220" i="1"/>
  <c r="J208" i="1"/>
  <c r="J196" i="1"/>
  <c r="J172" i="1"/>
  <c r="J148" i="1"/>
  <c r="J124" i="1"/>
  <c r="J112" i="1"/>
  <c r="J100" i="1"/>
  <c r="J88" i="1"/>
  <c r="J76" i="1"/>
  <c r="J64" i="1"/>
  <c r="J52" i="1"/>
  <c r="J40" i="1"/>
  <c r="J28" i="1"/>
  <c r="J16" i="1"/>
  <c r="J4" i="1"/>
  <c r="J160" i="1"/>
  <c r="J1071" i="1"/>
  <c r="J1059" i="1"/>
  <c r="J1047" i="1"/>
  <c r="J1035" i="1"/>
  <c r="J136" i="1"/>
  <c r="J184" i="1"/>
  <c r="J331" i="1"/>
  <c r="J1023" i="1"/>
  <c r="J1011" i="1"/>
  <c r="J999" i="1"/>
  <c r="J987" i="1"/>
  <c r="J975" i="1"/>
  <c r="J963" i="1"/>
  <c r="J951" i="1"/>
  <c r="J939" i="1"/>
  <c r="J927" i="1"/>
  <c r="J915" i="1"/>
  <c r="J903" i="1"/>
  <c r="J891" i="1"/>
  <c r="J879" i="1"/>
  <c r="J867" i="1"/>
  <c r="J855" i="1"/>
  <c r="J843" i="1"/>
  <c r="J831" i="1"/>
  <c r="J819" i="1"/>
  <c r="J807" i="1"/>
  <c r="J795" i="1"/>
  <c r="J783" i="1"/>
  <c r="J771" i="1"/>
  <c r="J759" i="1"/>
  <c r="J747" i="1"/>
  <c r="J735" i="1"/>
  <c r="J723" i="1"/>
  <c r="J711" i="1"/>
  <c r="J687" i="1"/>
  <c r="J675" i="1"/>
  <c r="J663" i="1"/>
  <c r="J651" i="1"/>
  <c r="J639" i="1"/>
  <c r="J627" i="1"/>
  <c r="J615" i="1"/>
  <c r="J603" i="1"/>
  <c r="J591" i="1"/>
  <c r="J579" i="1"/>
  <c r="J567" i="1"/>
  <c r="J555" i="1"/>
  <c r="J543" i="1"/>
  <c r="J531" i="1"/>
  <c r="J519" i="1"/>
  <c r="J507" i="1"/>
  <c r="J495" i="1"/>
  <c r="J483" i="1"/>
  <c r="J471" i="1"/>
  <c r="J459" i="1"/>
  <c r="J447" i="1"/>
  <c r="J435" i="1"/>
  <c r="J423" i="1"/>
  <c r="J411" i="1"/>
  <c r="J399" i="1"/>
  <c r="J387" i="1"/>
  <c r="J375" i="1"/>
  <c r="J363" i="1"/>
  <c r="J351" i="1"/>
  <c r="J339" i="1"/>
  <c r="J327" i="1"/>
  <c r="J315" i="1"/>
  <c r="J303" i="1"/>
  <c r="J291" i="1"/>
  <c r="J279" i="1"/>
  <c r="J267" i="1"/>
  <c r="J255" i="1"/>
  <c r="J243" i="1"/>
  <c r="J231" i="1"/>
  <c r="J219" i="1"/>
  <c r="J207" i="1"/>
  <c r="J195" i="1"/>
  <c r="J183" i="1"/>
  <c r="J171" i="1"/>
  <c r="J159" i="1"/>
  <c r="J147" i="1"/>
  <c r="J135" i="1"/>
  <c r="J123" i="1"/>
  <c r="J111" i="1"/>
  <c r="J99" i="1"/>
  <c r="J87" i="1"/>
  <c r="J75" i="1"/>
  <c r="J63" i="1"/>
  <c r="J51" i="1"/>
  <c r="J39" i="1"/>
  <c r="J27" i="1"/>
  <c r="J15" i="1"/>
  <c r="J3" i="1"/>
  <c r="J1076" i="1"/>
  <c r="J1064" i="1"/>
  <c r="J1052" i="1"/>
  <c r="J1040" i="1"/>
  <c r="J1028" i="1"/>
  <c r="J1016" i="1"/>
  <c r="J1004" i="1"/>
  <c r="J992" i="1"/>
  <c r="J908" i="1"/>
  <c r="J896" i="1"/>
  <c r="J884" i="1"/>
  <c r="J872" i="1"/>
  <c r="J824" i="1"/>
  <c r="J812" i="1"/>
  <c r="J800" i="1"/>
  <c r="J764" i="1"/>
  <c r="J752" i="1"/>
  <c r="J716" i="1"/>
  <c r="J680" i="1"/>
  <c r="J656" i="1"/>
  <c r="J632" i="1"/>
  <c r="J620" i="1"/>
  <c r="J596" i="1"/>
  <c r="J572" i="1"/>
  <c r="J536" i="1"/>
  <c r="J1074" i="1"/>
  <c r="J1072" i="1"/>
  <c r="J1060" i="1"/>
  <c r="J1048" i="1"/>
  <c r="J1036" i="1"/>
  <c r="J1024" i="1"/>
  <c r="J1012" i="1"/>
  <c r="J1000" i="1"/>
  <c r="J988" i="1"/>
  <c r="J976" i="1"/>
  <c r="J964" i="1"/>
  <c r="J952" i="1"/>
  <c r="J940" i="1"/>
  <c r="J928" i="1"/>
  <c r="J916" i="1"/>
  <c r="J904" i="1"/>
  <c r="J892" i="1"/>
  <c r="J880" i="1"/>
  <c r="J868" i="1"/>
  <c r="J856" i="1"/>
  <c r="J844" i="1"/>
  <c r="J832" i="1"/>
  <c r="J820" i="1"/>
  <c r="J808" i="1"/>
  <c r="J796" i="1"/>
  <c r="J784" i="1"/>
  <c r="J772" i="1"/>
  <c r="J760" i="1"/>
  <c r="J748" i="1"/>
  <c r="J736" i="1"/>
  <c r="J724" i="1"/>
  <c r="J712" i="1"/>
  <c r="J700" i="1"/>
  <c r="J688" i="1"/>
  <c r="J676" i="1"/>
  <c r="J664" i="1"/>
  <c r="J652" i="1"/>
  <c r="J640" i="1"/>
  <c r="J628" i="1"/>
  <c r="J616" i="1"/>
  <c r="J592" i="1"/>
  <c r="J580" i="1"/>
  <c r="J568" i="1"/>
  <c r="J556" i="1"/>
  <c r="J544" i="1"/>
  <c r="J532" i="1"/>
  <c r="J520" i="1"/>
  <c r="J508" i="1"/>
  <c r="J496" i="1"/>
  <c r="J484" i="1"/>
  <c r="J472" i="1"/>
  <c r="J1070" i="1"/>
  <c r="J1058" i="1"/>
  <c r="J1046" i="1"/>
  <c r="J1034" i="1"/>
  <c r="J1022" i="1"/>
  <c r="J1010" i="1"/>
  <c r="J998" i="1"/>
  <c r="J986" i="1"/>
  <c r="J974" i="1"/>
  <c r="J962" i="1"/>
  <c r="J950" i="1"/>
  <c r="J938" i="1"/>
  <c r="J926" i="1"/>
  <c r="J914" i="1"/>
  <c r="J902" i="1"/>
  <c r="J890" i="1"/>
  <c r="J878" i="1"/>
  <c r="J866" i="1"/>
  <c r="J854" i="1"/>
  <c r="J842" i="1"/>
  <c r="J830" i="1"/>
  <c r="J818" i="1"/>
  <c r="J806" i="1"/>
  <c r="J794" i="1"/>
  <c r="J782" i="1"/>
  <c r="J770" i="1"/>
  <c r="J512" i="1"/>
  <c r="J488" i="1"/>
  <c r="J476" i="1"/>
  <c r="J452" i="1"/>
  <c r="J428" i="1"/>
  <c r="J392" i="1"/>
  <c r="J368" i="1"/>
  <c r="J344" i="1"/>
  <c r="J332" i="1"/>
  <c r="J308" i="1"/>
  <c r="J758" i="1"/>
  <c r="J746" i="1"/>
  <c r="J734" i="1"/>
  <c r="J722" i="1"/>
  <c r="J710" i="1"/>
  <c r="J698" i="1"/>
  <c r="J686" i="1"/>
  <c r="J674" i="1"/>
  <c r="J662" i="1"/>
  <c r="J650" i="1"/>
  <c r="J638" i="1"/>
  <c r="J626" i="1"/>
  <c r="J614" i="1"/>
  <c r="J602" i="1"/>
  <c r="J590" i="1"/>
  <c r="J578" i="1"/>
  <c r="J566" i="1"/>
  <c r="J554" i="1"/>
  <c r="J542" i="1"/>
  <c r="J530" i="1"/>
  <c r="J518" i="1"/>
  <c r="J506" i="1"/>
  <c r="J494" i="1"/>
  <c r="J482" i="1"/>
  <c r="J470" i="1"/>
  <c r="J458" i="1"/>
  <c r="J446" i="1"/>
  <c r="J434" i="1"/>
  <c r="J422" i="1"/>
  <c r="J410" i="1"/>
  <c r="J398" i="1"/>
  <c r="J386" i="1"/>
  <c r="J374" i="1"/>
  <c r="J362" i="1"/>
  <c r="J350" i="1"/>
  <c r="J338" i="1"/>
  <c r="J326" i="1"/>
  <c r="J314" i="1"/>
  <c r="J302" i="1"/>
  <c r="J290" i="1"/>
  <c r="J278" i="1"/>
  <c r="J266" i="1"/>
  <c r="J254" i="1"/>
  <c r="J242" i="1"/>
  <c r="J230" i="1"/>
  <c r="J218" i="1"/>
  <c r="J206" i="1"/>
  <c r="J194" i="1"/>
  <c r="J182" i="1"/>
  <c r="J170" i="1"/>
  <c r="J158" i="1"/>
  <c r="J146" i="1"/>
  <c r="J134" i="1"/>
  <c r="J122" i="1"/>
  <c r="J110" i="1"/>
  <c r="J98" i="1"/>
  <c r="J86" i="1"/>
  <c r="J74" i="1"/>
  <c r="J62" i="1"/>
  <c r="J50" i="1"/>
  <c r="J38" i="1"/>
  <c r="J26" i="1"/>
  <c r="J14" i="1"/>
  <c r="J960" i="1"/>
  <c r="J936" i="1"/>
  <c r="J912" i="1"/>
  <c r="J852" i="1"/>
  <c r="J732" i="1"/>
  <c r="J696" i="1"/>
  <c r="J612" i="1"/>
  <c r="J883" i="1"/>
  <c r="J1075" i="1"/>
  <c r="J1063" i="1"/>
  <c r="J1051" i="1"/>
  <c r="J1039" i="1"/>
  <c r="J1027" i="1"/>
  <c r="J1015" i="1"/>
  <c r="J1003" i="1"/>
  <c r="J991" i="1"/>
  <c r="J979" i="1"/>
  <c r="J967" i="1"/>
  <c r="J955" i="1"/>
  <c r="J943" i="1"/>
  <c r="J931" i="1"/>
  <c r="J919" i="1"/>
  <c r="J907" i="1"/>
  <c r="J895" i="1"/>
  <c r="J871" i="1"/>
  <c r="J859" i="1"/>
  <c r="J847" i="1"/>
  <c r="J835" i="1"/>
  <c r="J823" i="1"/>
  <c r="J811" i="1"/>
  <c r="J799" i="1"/>
  <c r="J787" i="1"/>
  <c r="J775" i="1"/>
  <c r="J763" i="1"/>
  <c r="J751" i="1"/>
  <c r="J739" i="1"/>
  <c r="J727" i="1"/>
  <c r="J715" i="1"/>
  <c r="J703" i="1"/>
  <c r="J691" i="1"/>
  <c r="J679" i="1"/>
  <c r="J667" i="1"/>
  <c r="J655" i="1"/>
  <c r="J643" i="1"/>
  <c r="J631" i="1"/>
  <c r="J607" i="1"/>
  <c r="J595" i="1"/>
  <c r="J583" i="1"/>
  <c r="J571" i="1"/>
  <c r="J559" i="1"/>
  <c r="J547" i="1"/>
  <c r="J535" i="1"/>
  <c r="J523" i="1"/>
  <c r="J511" i="1"/>
  <c r="J499" i="1"/>
  <c r="J487" i="1"/>
  <c r="J475" i="1"/>
  <c r="J463" i="1"/>
  <c r="J451" i="1"/>
  <c r="J439" i="1"/>
  <c r="J427" i="1"/>
  <c r="J415" i="1"/>
  <c r="J403" i="1"/>
  <c r="J391" i="1"/>
  <c r="J379" i="1"/>
  <c r="J367" i="1"/>
  <c r="J355" i="1"/>
  <c r="J343" i="1"/>
  <c r="J319" i="1"/>
  <c r="J307" i="1"/>
  <c r="J295" i="1"/>
  <c r="J283" i="1"/>
  <c r="J271" i="1"/>
  <c r="J259" i="1"/>
  <c r="J247" i="1"/>
  <c r="J235" i="1"/>
  <c r="J211" i="1"/>
  <c r="J199" i="1"/>
  <c r="J175" i="1"/>
  <c r="J163" i="1"/>
  <c r="J151" i="1"/>
  <c r="J115" i="1"/>
  <c r="J91" i="1"/>
  <c r="J79" i="1"/>
  <c r="J67" i="1"/>
  <c r="J55" i="1"/>
  <c r="J43" i="1"/>
  <c r="J31" i="1"/>
  <c r="J7" i="1"/>
  <c r="J1073" i="1"/>
  <c r="J1061" i="1"/>
  <c r="J1049" i="1"/>
  <c r="J1037" i="1"/>
  <c r="J1025" i="1"/>
  <c r="J1013" i="1"/>
  <c r="J1001" i="1"/>
  <c r="J989" i="1"/>
  <c r="J977" i="1"/>
  <c r="J965" i="1"/>
  <c r="J953" i="1"/>
  <c r="J941" i="1"/>
  <c r="J929" i="1"/>
  <c r="J917" i="1"/>
  <c r="J905" i="1"/>
  <c r="J893" i="1"/>
  <c r="J881" i="1"/>
  <c r="J869" i="1"/>
  <c r="J857" i="1"/>
  <c r="J845" i="1"/>
  <c r="J833" i="1"/>
  <c r="J821" i="1"/>
  <c r="J809" i="1"/>
  <c r="J797" i="1"/>
  <c r="J785" i="1"/>
  <c r="J773" i="1"/>
  <c r="J761" i="1"/>
  <c r="J749" i="1"/>
  <c r="J737" i="1"/>
  <c r="J725" i="1"/>
  <c r="J713" i="1"/>
  <c r="J701" i="1"/>
  <c r="J689" i="1"/>
  <c r="J677" i="1"/>
  <c r="J665" i="1"/>
  <c r="J653" i="1"/>
  <c r="J641" i="1"/>
  <c r="J629" i="1"/>
  <c r="J617" i="1"/>
  <c r="J605" i="1"/>
  <c r="J593" i="1"/>
  <c r="J581" i="1"/>
  <c r="J569" i="1"/>
  <c r="J557" i="1"/>
  <c r="J545" i="1"/>
  <c r="J533" i="1"/>
  <c r="J521" i="1"/>
  <c r="J509" i="1"/>
  <c r="J497" i="1"/>
  <c r="J485" i="1"/>
  <c r="J473" i="1"/>
  <c r="J461" i="1"/>
  <c r="J449" i="1"/>
  <c r="J437" i="1"/>
  <c r="J425" i="1"/>
  <c r="J413" i="1"/>
  <c r="J401" i="1"/>
  <c r="J389" i="1"/>
  <c r="J377" i="1"/>
  <c r="J365" i="1"/>
  <c r="J353" i="1"/>
  <c r="J341" i="1"/>
  <c r="J329" i="1"/>
  <c r="J317" i="1"/>
  <c r="J305" i="1"/>
  <c r="J293" i="1"/>
  <c r="AA189" i="1"/>
  <c r="AA141" i="1"/>
  <c r="AA249" i="1"/>
  <c r="AA200" i="1"/>
  <c r="AA80" i="1"/>
  <c r="J699" i="1"/>
  <c r="J281" i="1"/>
  <c r="J269" i="1"/>
  <c r="J257" i="1"/>
  <c r="J245" i="1"/>
  <c r="J233" i="1"/>
  <c r="J221" i="1"/>
  <c r="J209" i="1"/>
  <c r="J197" i="1"/>
  <c r="J185" i="1"/>
  <c r="J173" i="1"/>
  <c r="J161" i="1"/>
  <c r="J149" i="1"/>
  <c r="J137" i="1"/>
  <c r="J125" i="1"/>
  <c r="J113" i="1"/>
  <c r="J101" i="1"/>
  <c r="J89" i="1"/>
  <c r="J77" i="1"/>
  <c r="J65" i="1"/>
  <c r="J53" i="1"/>
  <c r="J41" i="1"/>
  <c r="J29" i="1"/>
  <c r="J17" i="1"/>
  <c r="J5" i="1"/>
  <c r="J1069" i="1"/>
  <c r="J1057" i="1"/>
  <c r="J1045" i="1"/>
  <c r="J1033" i="1"/>
  <c r="J1021" i="1"/>
  <c r="J1009" i="1"/>
  <c r="J997" i="1"/>
  <c r="J985" i="1"/>
  <c r="J973" i="1"/>
  <c r="J961" i="1"/>
  <c r="J949" i="1"/>
  <c r="J937" i="1"/>
  <c r="J925" i="1"/>
  <c r="J913" i="1"/>
  <c r="J901" i="1"/>
  <c r="J889" i="1"/>
  <c r="J877" i="1"/>
  <c r="J865" i="1"/>
  <c r="J853" i="1"/>
  <c r="J841" i="1"/>
  <c r="J829" i="1"/>
  <c r="J817" i="1"/>
  <c r="J805" i="1"/>
  <c r="J793" i="1"/>
  <c r="J781" i="1"/>
  <c r="J769" i="1"/>
  <c r="J757" i="1"/>
  <c r="J745" i="1"/>
  <c r="J733" i="1"/>
  <c r="J721" i="1"/>
  <c r="J709" i="1"/>
  <c r="J697" i="1"/>
  <c r="J685" i="1"/>
  <c r="J673" i="1"/>
  <c r="J661" i="1"/>
  <c r="J649" i="1"/>
  <c r="J637" i="1"/>
  <c r="J625" i="1"/>
  <c r="J613" i="1"/>
  <c r="J601" i="1"/>
  <c r="J589" i="1"/>
  <c r="J577" i="1"/>
  <c r="J565" i="1"/>
  <c r="J553" i="1"/>
  <c r="J541" i="1"/>
  <c r="J529" i="1"/>
  <c r="J517" i="1"/>
  <c r="J505" i="1"/>
  <c r="J493" i="1"/>
  <c r="J481" i="1"/>
  <c r="J469" i="1"/>
  <c r="J457" i="1"/>
  <c r="J445" i="1"/>
  <c r="J433" i="1"/>
  <c r="J421" i="1"/>
  <c r="J409" i="1"/>
  <c r="J397" i="1"/>
  <c r="J385" i="1"/>
  <c r="J373" i="1"/>
  <c r="J361" i="1"/>
  <c r="J349" i="1"/>
  <c r="J337" i="1"/>
  <c r="J325" i="1"/>
  <c r="J313" i="1"/>
  <c r="J301" i="1"/>
  <c r="J289" i="1"/>
  <c r="J277" i="1"/>
  <c r="J265" i="1"/>
  <c r="J253" i="1"/>
  <c r="J241" i="1"/>
  <c r="J229" i="1"/>
  <c r="J217" i="1"/>
  <c r="J205" i="1"/>
  <c r="J193" i="1"/>
  <c r="J181" i="1"/>
  <c r="J169" i="1"/>
  <c r="J157" i="1"/>
  <c r="J145" i="1"/>
  <c r="J133" i="1"/>
  <c r="J121" i="1"/>
  <c r="J109" i="1"/>
  <c r="J97" i="1"/>
  <c r="J85" i="1"/>
  <c r="J73" i="1"/>
  <c r="J61" i="1"/>
  <c r="J49" i="1"/>
  <c r="J37" i="1"/>
  <c r="J25" i="1"/>
  <c r="J13" i="1"/>
  <c r="J1080" i="1"/>
  <c r="J1068" i="1"/>
  <c r="J1056" i="1"/>
  <c r="J1044" i="1"/>
  <c r="J1032" i="1"/>
  <c r="J1020" i="1"/>
  <c r="J1008" i="1"/>
  <c r="J996" i="1"/>
  <c r="J984" i="1"/>
  <c r="J972" i="1"/>
  <c r="J948" i="1"/>
  <c r="J924" i="1"/>
  <c r="J900" i="1"/>
  <c r="J888" i="1"/>
  <c r="J876" i="1"/>
  <c r="J864" i="1"/>
  <c r="J840" i="1"/>
  <c r="J828" i="1"/>
  <c r="J816" i="1"/>
  <c r="J804" i="1"/>
  <c r="J792" i="1"/>
  <c r="J780" i="1"/>
  <c r="J768" i="1"/>
  <c r="J756" i="1"/>
  <c r="J744" i="1"/>
  <c r="J720" i="1"/>
  <c r="J708" i="1"/>
  <c r="J684" i="1"/>
  <c r="J672" i="1"/>
  <c r="J660" i="1"/>
  <c r="J648" i="1"/>
  <c r="J636" i="1"/>
  <c r="J624" i="1"/>
  <c r="J600" i="1"/>
  <c r="J588" i="1"/>
  <c r="J576" i="1"/>
  <c r="J564" i="1"/>
  <c r="J552" i="1"/>
  <c r="J540" i="1"/>
  <c r="J516" i="1"/>
  <c r="J504" i="1"/>
  <c r="J480" i="1"/>
  <c r="J468" i="1"/>
  <c r="J456" i="1"/>
  <c r="J420" i="1"/>
  <c r="J408" i="1"/>
  <c r="J396" i="1"/>
  <c r="J384" i="1"/>
  <c r="J372" i="1"/>
  <c r="J360" i="1"/>
  <c r="J348" i="1"/>
  <c r="J336" i="1"/>
  <c r="J312" i="1"/>
  <c r="J300" i="1"/>
  <c r="J288" i="1"/>
  <c r="J276" i="1"/>
  <c r="J264" i="1"/>
  <c r="J252" i="1"/>
  <c r="J228" i="1"/>
  <c r="J216" i="1"/>
  <c r="J192" i="1"/>
  <c r="J180" i="1"/>
  <c r="J168" i="1"/>
  <c r="J156" i="1"/>
  <c r="J144" i="1"/>
  <c r="J132" i="1"/>
  <c r="J108" i="1"/>
  <c r="J96" i="1"/>
  <c r="J84" i="1"/>
  <c r="J72" i="1"/>
  <c r="J60" i="1"/>
  <c r="J48" i="1"/>
  <c r="J36" i="1"/>
  <c r="J24" i="1"/>
  <c r="J12" i="1"/>
  <c r="J261" i="1"/>
  <c r="J249" i="1"/>
  <c r="J225" i="1"/>
  <c r="J141" i="1"/>
  <c r="J57" i="1"/>
  <c r="J21" i="1"/>
  <c r="J619" i="1"/>
  <c r="J223" i="1"/>
  <c r="J187" i="1"/>
  <c r="J139" i="1"/>
  <c r="J127" i="1"/>
  <c r="J103" i="1"/>
  <c r="J19" i="1"/>
  <c r="J284" i="1"/>
  <c r="J248" i="1"/>
  <c r="J224" i="1"/>
  <c r="J200" i="1"/>
  <c r="J188" i="1"/>
  <c r="J164" i="1"/>
  <c r="J140" i="1"/>
  <c r="J104" i="1"/>
  <c r="J80" i="1"/>
  <c r="J56" i="1"/>
  <c r="J44" i="1"/>
  <c r="J20" i="1"/>
  <c r="J1062" i="1"/>
  <c r="J1038" i="1"/>
  <c r="J1014" i="1"/>
  <c r="J990" i="1"/>
  <c r="J882" i="1"/>
  <c r="J798" i="1"/>
  <c r="J604" i="1"/>
  <c r="F622" i="7"/>
  <c r="H622" i="7"/>
  <c r="F610" i="7"/>
  <c r="J610" i="7" s="1"/>
  <c r="H610" i="7"/>
  <c r="F526" i="7"/>
  <c r="H526" i="7"/>
  <c r="F514" i="7"/>
  <c r="H514" i="7"/>
  <c r="F490" i="7"/>
  <c r="H490" i="7"/>
  <c r="F478" i="7"/>
  <c r="J478" i="7" s="1"/>
  <c r="H478" i="7"/>
  <c r="F442" i="7"/>
  <c r="H442" i="7"/>
  <c r="G642" i="7"/>
  <c r="I642" i="7"/>
  <c r="E438" i="7"/>
  <c r="E426" i="7"/>
  <c r="E402" i="7"/>
  <c r="H543" i="7"/>
  <c r="F543" i="7"/>
  <c r="J543" i="7" s="1"/>
  <c r="E437" i="7"/>
  <c r="H608" i="7"/>
  <c r="F608" i="7"/>
  <c r="H643" i="7"/>
  <c r="F643" i="7"/>
  <c r="J643" i="7" s="1"/>
  <c r="F511" i="7"/>
  <c r="J511" i="7" s="1"/>
  <c r="H511" i="7"/>
  <c r="F594" i="7"/>
  <c r="J594" i="7" s="1"/>
  <c r="H594" i="7"/>
  <c r="F558" i="7"/>
  <c r="J558" i="7" s="1"/>
  <c r="H558" i="7"/>
  <c r="H498" i="7"/>
  <c r="F498" i="7"/>
  <c r="F474" i="7"/>
  <c r="H474" i="7"/>
  <c r="F438" i="7"/>
  <c r="J438" i="7" s="1"/>
  <c r="H438" i="7"/>
  <c r="F414" i="7"/>
  <c r="J414" i="7" s="1"/>
  <c r="H414" i="7"/>
  <c r="E626" i="7"/>
  <c r="E602" i="7"/>
  <c r="E578" i="7"/>
  <c r="E530" i="7"/>
  <c r="F617" i="7"/>
  <c r="H617" i="7"/>
  <c r="F569" i="7"/>
  <c r="H569" i="7"/>
  <c r="F509" i="7"/>
  <c r="J509" i="7" s="1"/>
  <c r="H509" i="7"/>
  <c r="F461" i="7"/>
  <c r="J461" i="7" s="1"/>
  <c r="H461" i="7"/>
  <c r="F401" i="7"/>
  <c r="J401" i="7" s="1"/>
  <c r="H401" i="7"/>
  <c r="E517" i="7"/>
  <c r="F640" i="7"/>
  <c r="H640" i="7"/>
  <c r="F628" i="7"/>
  <c r="J628" i="7" s="1"/>
  <c r="H628" i="7"/>
  <c r="F616" i="7"/>
  <c r="H616" i="7"/>
  <c r="H604" i="7"/>
  <c r="F604" i="7"/>
  <c r="F592" i="7"/>
  <c r="H592" i="7"/>
  <c r="H580" i="7"/>
  <c r="F580" i="7"/>
  <c r="F568" i="7"/>
  <c r="H568" i="7"/>
  <c r="H556" i="7"/>
  <c r="F556" i="7"/>
  <c r="J556" i="7" s="1"/>
  <c r="F544" i="7"/>
  <c r="J544" i="7" s="1"/>
  <c r="H544" i="7"/>
  <c r="F532" i="7"/>
  <c r="J532" i="7" s="1"/>
  <c r="H532" i="7"/>
  <c r="F520" i="7"/>
  <c r="J520" i="7" s="1"/>
  <c r="H520" i="7"/>
  <c r="F508" i="7"/>
  <c r="H508" i="7"/>
  <c r="F496" i="7"/>
  <c r="H496" i="7"/>
  <c r="F484" i="7"/>
  <c r="J484" i="7" s="1"/>
  <c r="H484" i="7"/>
  <c r="H472" i="7"/>
  <c r="F472" i="7"/>
  <c r="J472" i="7" s="1"/>
  <c r="H460" i="7"/>
  <c r="F460" i="7"/>
  <c r="F448" i="7"/>
  <c r="H448" i="7"/>
  <c r="F436" i="7"/>
  <c r="H436" i="7"/>
  <c r="F424" i="7"/>
  <c r="J424" i="7" s="1"/>
  <c r="H424" i="7"/>
  <c r="F412" i="7"/>
  <c r="J412" i="7" s="1"/>
  <c r="H412" i="7"/>
  <c r="F400" i="7"/>
  <c r="J400" i="7" s="1"/>
  <c r="H400" i="7"/>
  <c r="E636" i="7"/>
  <c r="E624" i="7"/>
  <c r="E612" i="7"/>
  <c r="E600" i="7"/>
  <c r="E588" i="7"/>
  <c r="E576" i="7"/>
  <c r="E564" i="7"/>
  <c r="E552" i="7"/>
  <c r="E540" i="7"/>
  <c r="E528" i="7"/>
  <c r="E516" i="7"/>
  <c r="E504" i="7"/>
  <c r="E492" i="7"/>
  <c r="E480" i="7"/>
  <c r="E468" i="7"/>
  <c r="E456" i="7"/>
  <c r="E444" i="7"/>
  <c r="I420" i="7"/>
  <c r="G420" i="7"/>
  <c r="K420" i="7" s="1"/>
  <c r="F642" i="7"/>
  <c r="J642" i="7" s="1"/>
  <c r="H642" i="7"/>
  <c r="H582" i="7"/>
  <c r="F582" i="7"/>
  <c r="F450" i="7"/>
  <c r="H450" i="7"/>
  <c r="F557" i="7"/>
  <c r="H557" i="7"/>
  <c r="F639" i="7"/>
  <c r="H639" i="7"/>
  <c r="F615" i="7"/>
  <c r="H615" i="7"/>
  <c r="F591" i="7"/>
  <c r="J591" i="7" s="1"/>
  <c r="H591" i="7"/>
  <c r="F579" i="7"/>
  <c r="H579" i="7"/>
  <c r="F555" i="7"/>
  <c r="H555" i="7"/>
  <c r="F531" i="7"/>
  <c r="H531" i="7"/>
  <c r="F507" i="7"/>
  <c r="J507" i="7" s="1"/>
  <c r="H507" i="7"/>
  <c r="F483" i="7"/>
  <c r="J483" i="7" s="1"/>
  <c r="H483" i="7"/>
  <c r="H459" i="7"/>
  <c r="F459" i="7"/>
  <c r="F435" i="7"/>
  <c r="H435" i="7"/>
  <c r="F411" i="7"/>
  <c r="J411" i="7" s="1"/>
  <c r="H411" i="7"/>
  <c r="E635" i="7"/>
  <c r="E611" i="7"/>
  <c r="E587" i="7"/>
  <c r="E563" i="7"/>
  <c r="E539" i="7"/>
  <c r="E515" i="7"/>
  <c r="E491" i="7"/>
  <c r="E467" i="7"/>
  <c r="E443" i="7"/>
  <c r="F618" i="7"/>
  <c r="J618" i="7" s="1"/>
  <c r="H618" i="7"/>
  <c r="F570" i="7"/>
  <c r="H570" i="7"/>
  <c r="F510" i="7"/>
  <c r="H510" i="7"/>
  <c r="F486" i="7"/>
  <c r="H486" i="7"/>
  <c r="F462" i="7"/>
  <c r="J462" i="7" s="1"/>
  <c r="H462" i="7"/>
  <c r="F426" i="7"/>
  <c r="J426" i="7" s="1"/>
  <c r="H426" i="7"/>
  <c r="E638" i="7"/>
  <c r="E614" i="7"/>
  <c r="E590" i="7"/>
  <c r="E566" i="7"/>
  <c r="E554" i="7"/>
  <c r="E542" i="7"/>
  <c r="E518" i="7"/>
  <c r="E506" i="7"/>
  <c r="E494" i="7"/>
  <c r="E482" i="7"/>
  <c r="E470" i="7"/>
  <c r="E410" i="7"/>
  <c r="H605" i="7"/>
  <c r="F605" i="7"/>
  <c r="F545" i="7"/>
  <c r="H545" i="7"/>
  <c r="F497" i="7"/>
  <c r="H497" i="7"/>
  <c r="F449" i="7"/>
  <c r="H449" i="7"/>
  <c r="F413" i="7"/>
  <c r="J413" i="7" s="1"/>
  <c r="H413" i="7"/>
  <c r="E613" i="7"/>
  <c r="E565" i="7"/>
  <c r="G421" i="7"/>
  <c r="I421" i="7"/>
  <c r="F638" i="7"/>
  <c r="H638" i="7"/>
  <c r="F614" i="7"/>
  <c r="H614" i="7"/>
  <c r="F602" i="7"/>
  <c r="J602" i="7" s="1"/>
  <c r="H602" i="7"/>
  <c r="H578" i="7"/>
  <c r="F578" i="7"/>
  <c r="J578" i="7" s="1"/>
  <c r="F554" i="7"/>
  <c r="J554" i="7" s="1"/>
  <c r="H554" i="7"/>
  <c r="F530" i="7"/>
  <c r="H530" i="7"/>
  <c r="F506" i="7"/>
  <c r="H506" i="7"/>
  <c r="F482" i="7"/>
  <c r="H482" i="7"/>
  <c r="F458" i="7"/>
  <c r="J458" i="7" s="1"/>
  <c r="H458" i="7"/>
  <c r="F434" i="7"/>
  <c r="J434" i="7" s="1"/>
  <c r="H434" i="7"/>
  <c r="F410" i="7"/>
  <c r="J410" i="7" s="1"/>
  <c r="H410" i="7"/>
  <c r="E634" i="7"/>
  <c r="E610" i="7"/>
  <c r="E586" i="7"/>
  <c r="E562" i="7"/>
  <c r="E538" i="7"/>
  <c r="E514" i="7"/>
  <c r="E490" i="7"/>
  <c r="F546" i="7"/>
  <c r="H546" i="7"/>
  <c r="F637" i="7"/>
  <c r="H637" i="7"/>
  <c r="F625" i="7"/>
  <c r="H625" i="7"/>
  <c r="F613" i="7"/>
  <c r="H613" i="7"/>
  <c r="F601" i="7"/>
  <c r="J601" i="7" s="1"/>
  <c r="H601" i="7"/>
  <c r="F589" i="7"/>
  <c r="H589" i="7"/>
  <c r="F577" i="7"/>
  <c r="H577" i="7"/>
  <c r="F565" i="7"/>
  <c r="H565" i="7"/>
  <c r="F553" i="7"/>
  <c r="J553" i="7" s="1"/>
  <c r="H553" i="7"/>
  <c r="F541" i="7"/>
  <c r="J541" i="7" s="1"/>
  <c r="H541" i="7"/>
  <c r="F529" i="7"/>
  <c r="J529" i="7" s="1"/>
  <c r="H529" i="7"/>
  <c r="F517" i="7"/>
  <c r="H517" i="7"/>
  <c r="F505" i="7"/>
  <c r="H505" i="7"/>
  <c r="F493" i="7"/>
  <c r="H493" i="7"/>
  <c r="F481" i="7"/>
  <c r="H481" i="7"/>
  <c r="F469" i="7"/>
  <c r="H469" i="7"/>
  <c r="F457" i="7"/>
  <c r="J457" i="7" s="1"/>
  <c r="H457" i="7"/>
  <c r="F445" i="7"/>
  <c r="H445" i="7"/>
  <c r="F433" i="7"/>
  <c r="H433" i="7"/>
  <c r="H421" i="7"/>
  <c r="F421" i="7"/>
  <c r="J421" i="7" s="1"/>
  <c r="F409" i="7"/>
  <c r="J409" i="7" s="1"/>
  <c r="H409" i="7"/>
  <c r="F397" i="7"/>
  <c r="J397" i="7" s="1"/>
  <c r="H397" i="7"/>
  <c r="E645" i="7"/>
  <c r="E633" i="7"/>
  <c r="E621" i="7"/>
  <c r="E609" i="7"/>
  <c r="E597" i="7"/>
  <c r="E585" i="7"/>
  <c r="E573" i="7"/>
  <c r="E561" i="7"/>
  <c r="E549" i="7"/>
  <c r="E537" i="7"/>
  <c r="E525" i="7"/>
  <c r="E513" i="7"/>
  <c r="E501" i="7"/>
  <c r="E489" i="7"/>
  <c r="E477" i="7"/>
  <c r="E465" i="7"/>
  <c r="E453" i="7"/>
  <c r="H631" i="7"/>
  <c r="F631" i="7"/>
  <c r="H607" i="7"/>
  <c r="F607" i="7"/>
  <c r="H475" i="7"/>
  <c r="F475" i="7"/>
  <c r="J475" i="7" s="1"/>
  <c r="E423" i="7"/>
  <c r="E411" i="7"/>
  <c r="F522" i="7"/>
  <c r="J522" i="7" s="1"/>
  <c r="H522" i="7"/>
  <c r="F641" i="7"/>
  <c r="J641" i="7" s="1"/>
  <c r="H641" i="7"/>
  <c r="F593" i="7"/>
  <c r="H593" i="7"/>
  <c r="F533" i="7"/>
  <c r="H533" i="7"/>
  <c r="H473" i="7"/>
  <c r="F473" i="7"/>
  <c r="F425" i="7"/>
  <c r="J425" i="7" s="1"/>
  <c r="H425" i="7"/>
  <c r="E625" i="7"/>
  <c r="E589" i="7"/>
  <c r="E553" i="7"/>
  <c r="E505" i="7"/>
  <c r="F612" i="7"/>
  <c r="H612" i="7"/>
  <c r="F600" i="7"/>
  <c r="J600" i="7" s="1"/>
  <c r="H600" i="7"/>
  <c r="F588" i="7"/>
  <c r="J588" i="7" s="1"/>
  <c r="H588" i="7"/>
  <c r="F576" i="7"/>
  <c r="J576" i="7" s="1"/>
  <c r="H576" i="7"/>
  <c r="F564" i="7"/>
  <c r="H564" i="7"/>
  <c r="F432" i="7"/>
  <c r="H432" i="7"/>
  <c r="G596" i="7"/>
  <c r="K596" i="7" s="1"/>
  <c r="I596" i="7"/>
  <c r="G536" i="7"/>
  <c r="K536" i="7" s="1"/>
  <c r="I536" i="7"/>
  <c r="E464" i="7"/>
  <c r="E440" i="7"/>
  <c r="E404" i="7"/>
  <c r="H644" i="7"/>
  <c r="F644" i="7"/>
  <c r="F512" i="7"/>
  <c r="H512" i="7"/>
  <c r="K484" i="7"/>
  <c r="E424" i="7"/>
  <c r="F534" i="7"/>
  <c r="J534" i="7" s="1"/>
  <c r="H534" i="7"/>
  <c r="H629" i="7"/>
  <c r="F629" i="7"/>
  <c r="J629" i="7" s="1"/>
  <c r="H581" i="7"/>
  <c r="F581" i="7"/>
  <c r="F521" i="7"/>
  <c r="J521" i="7" s="1"/>
  <c r="H521" i="7"/>
  <c r="H485" i="7"/>
  <c r="F485" i="7"/>
  <c r="F437" i="7"/>
  <c r="J437" i="7" s="1"/>
  <c r="H437" i="7"/>
  <c r="E637" i="7"/>
  <c r="E601" i="7"/>
  <c r="E577" i="7"/>
  <c r="E541" i="7"/>
  <c r="E529" i="7"/>
  <c r="E493" i="7"/>
  <c r="E481" i="7"/>
  <c r="E469" i="7"/>
  <c r="E457" i="7"/>
  <c r="E409" i="7"/>
  <c r="F611" i="7"/>
  <c r="J611" i="7" s="1"/>
  <c r="H611" i="7"/>
  <c r="F551" i="7"/>
  <c r="J551" i="7" s="1"/>
  <c r="H551" i="7"/>
  <c r="H515" i="7"/>
  <c r="F515" i="7"/>
  <c r="J515" i="7" s="1"/>
  <c r="F479" i="7"/>
  <c r="J479" i="7" s="1"/>
  <c r="H479" i="7"/>
  <c r="G595" i="7"/>
  <c r="K595" i="7" s="1"/>
  <c r="I595" i="7"/>
  <c r="E451" i="7"/>
  <c r="E439" i="7"/>
  <c r="E427" i="7"/>
  <c r="E403" i="7"/>
  <c r="F587" i="7"/>
  <c r="H587" i="7"/>
  <c r="F503" i="7"/>
  <c r="H503" i="7"/>
  <c r="E523" i="7"/>
  <c r="E511" i="7"/>
  <c r="E499" i="7"/>
  <c r="E487" i="7"/>
  <c r="E475" i="7"/>
  <c r="E463" i="7"/>
  <c r="E415" i="7"/>
  <c r="H630" i="7"/>
  <c r="F630" i="7"/>
  <c r="J630" i="7" s="1"/>
  <c r="F590" i="7"/>
  <c r="J590" i="7" s="1"/>
  <c r="H590" i="7"/>
  <c r="H563" i="7"/>
  <c r="H480" i="7"/>
  <c r="H441" i="7"/>
  <c r="F404" i="7"/>
  <c r="J404" i="7" s="1"/>
  <c r="H404" i="7"/>
  <c r="F632" i="7"/>
  <c r="F407" i="7"/>
  <c r="J407" i="7" s="1"/>
  <c r="H407" i="7"/>
  <c r="E631" i="7"/>
  <c r="E571" i="7"/>
  <c r="E618" i="7"/>
  <c r="E606" i="7"/>
  <c r="G582" i="7"/>
  <c r="I582" i="7"/>
  <c r="E570" i="7"/>
  <c r="E558" i="7"/>
  <c r="E546" i="7"/>
  <c r="E522" i="7"/>
  <c r="E510" i="7"/>
  <c r="E498" i="7"/>
  <c r="G486" i="7"/>
  <c r="K486" i="7" s="1"/>
  <c r="I486" i="7"/>
  <c r="E474" i="7"/>
  <c r="E462" i="7"/>
  <c r="E450" i="7"/>
  <c r="E414" i="7"/>
  <c r="F567" i="7"/>
  <c r="H567" i="7"/>
  <c r="F399" i="7"/>
  <c r="J399" i="7" s="1"/>
  <c r="H399" i="7"/>
  <c r="G455" i="7"/>
  <c r="K455" i="7" s="1"/>
  <c r="I455" i="7"/>
  <c r="H562" i="7"/>
  <c r="G484" i="7"/>
  <c r="I484" i="7"/>
  <c r="F619" i="7"/>
  <c r="F527" i="7"/>
  <c r="H527" i="7"/>
  <c r="E619" i="7"/>
  <c r="E557" i="7"/>
  <c r="E545" i="7"/>
  <c r="E533" i="7"/>
  <c r="E521" i="7"/>
  <c r="E509" i="7"/>
  <c r="E497" i="7"/>
  <c r="G485" i="7"/>
  <c r="K485" i="7" s="1"/>
  <c r="I485" i="7"/>
  <c r="E473" i="7"/>
  <c r="E461" i="7"/>
  <c r="E449" i="7"/>
  <c r="E413" i="7"/>
  <c r="G401" i="7"/>
  <c r="K401" i="7" s="1"/>
  <c r="L401" i="7" s="1"/>
  <c r="I401" i="7"/>
  <c r="F566" i="7"/>
  <c r="H566" i="7"/>
  <c r="F447" i="7"/>
  <c r="H447" i="7"/>
  <c r="F423" i="7"/>
  <c r="J423" i="7" s="1"/>
  <c r="H423" i="7"/>
  <c r="H398" i="7"/>
  <c r="F398" i="7"/>
  <c r="J398" i="7" s="1"/>
  <c r="E623" i="7"/>
  <c r="E599" i="7"/>
  <c r="E575" i="7"/>
  <c r="E551" i="7"/>
  <c r="E527" i="7"/>
  <c r="E503" i="7"/>
  <c r="E479" i="7"/>
  <c r="H561" i="7"/>
  <c r="I500" i="7"/>
  <c r="E483" i="7"/>
  <c r="F609" i="7"/>
  <c r="F492" i="7"/>
  <c r="G425" i="7"/>
  <c r="K425" i="7" s="1"/>
  <c r="L425" i="7" s="1"/>
  <c r="F550" i="7"/>
  <c r="J550" i="7" s="1"/>
  <c r="H550" i="7"/>
  <c r="F466" i="7"/>
  <c r="H466" i="7"/>
  <c r="F430" i="7"/>
  <c r="J430" i="7" s="1"/>
  <c r="H430" i="7"/>
  <c r="F406" i="7"/>
  <c r="H406" i="7"/>
  <c r="E630" i="7"/>
  <c r="H645" i="7"/>
  <c r="F645" i="7"/>
  <c r="F633" i="7"/>
  <c r="H633" i="7"/>
  <c r="F573" i="7"/>
  <c r="J573" i="7" s="1"/>
  <c r="H573" i="7"/>
  <c r="F549" i="7"/>
  <c r="J549" i="7" s="1"/>
  <c r="H549" i="7"/>
  <c r="F525" i="7"/>
  <c r="H525" i="7"/>
  <c r="F513" i="7"/>
  <c r="H513" i="7"/>
  <c r="F465" i="7"/>
  <c r="H465" i="7"/>
  <c r="F429" i="7"/>
  <c r="J429" i="7" s="1"/>
  <c r="H429" i="7"/>
  <c r="F405" i="7"/>
  <c r="J405" i="7" s="1"/>
  <c r="H405" i="7"/>
  <c r="E629" i="7"/>
  <c r="E617" i="7"/>
  <c r="G605" i="7"/>
  <c r="I605" i="7"/>
  <c r="E593" i="7"/>
  <c r="E581" i="7"/>
  <c r="E569" i="7"/>
  <c r="F596" i="7"/>
  <c r="J596" i="7" s="1"/>
  <c r="H596" i="7"/>
  <c r="F584" i="7"/>
  <c r="J584" i="7" s="1"/>
  <c r="H584" i="7"/>
  <c r="F572" i="7"/>
  <c r="H572" i="7"/>
  <c r="F560" i="7"/>
  <c r="H560" i="7"/>
  <c r="F548" i="7"/>
  <c r="H548" i="7"/>
  <c r="F536" i="7"/>
  <c r="J536" i="7" s="1"/>
  <c r="H536" i="7"/>
  <c r="H524" i="7"/>
  <c r="F524" i="7"/>
  <c r="F500" i="7"/>
  <c r="H500" i="7"/>
  <c r="F476" i="7"/>
  <c r="J476" i="7" s="1"/>
  <c r="H476" i="7"/>
  <c r="F464" i="7"/>
  <c r="H464" i="7"/>
  <c r="F452" i="7"/>
  <c r="J452" i="7" s="1"/>
  <c r="H452" i="7"/>
  <c r="F440" i="7"/>
  <c r="H440" i="7"/>
  <c r="F416" i="7"/>
  <c r="J416" i="7" s="1"/>
  <c r="H416" i="7"/>
  <c r="G628" i="7"/>
  <c r="K628" i="7" s="1"/>
  <c r="L628" i="7" s="1"/>
  <c r="I628" i="7"/>
  <c r="E616" i="7"/>
  <c r="E604" i="7"/>
  <c r="E580" i="7"/>
  <c r="E568" i="7"/>
  <c r="E556" i="7"/>
  <c r="E544" i="7"/>
  <c r="E532" i="7"/>
  <c r="E520" i="7"/>
  <c r="E508" i="7"/>
  <c r="E496" i="7"/>
  <c r="E472" i="7"/>
  <c r="G460" i="7"/>
  <c r="K460" i="7" s="1"/>
  <c r="I460" i="7"/>
  <c r="E448" i="7"/>
  <c r="G436" i="7"/>
  <c r="K436" i="7" s="1"/>
  <c r="I436" i="7"/>
  <c r="E412" i="7"/>
  <c r="E400" i="7"/>
  <c r="F627" i="7"/>
  <c r="J627" i="7" s="1"/>
  <c r="H627" i="7"/>
  <c r="H542" i="7"/>
  <c r="F542" i="7"/>
  <c r="F446" i="7"/>
  <c r="H446" i="7"/>
  <c r="F422" i="7"/>
  <c r="J422" i="7" s="1"/>
  <c r="H422" i="7"/>
  <c r="E622" i="7"/>
  <c r="E598" i="7"/>
  <c r="E574" i="7"/>
  <c r="E550" i="7"/>
  <c r="E526" i="7"/>
  <c r="E502" i="7"/>
  <c r="E478" i="7"/>
  <c r="E452" i="7"/>
  <c r="H636" i="7"/>
  <c r="H599" i="7"/>
  <c r="H516" i="7"/>
  <c r="H477" i="7"/>
  <c r="E594" i="7"/>
  <c r="F491" i="7"/>
  <c r="G584" i="7"/>
  <c r="K584" i="7" s="1"/>
  <c r="L584" i="7" s="1"/>
  <c r="F443" i="7"/>
  <c r="H443" i="7"/>
  <c r="H463" i="7"/>
  <c r="F463" i="7"/>
  <c r="J463" i="7" s="1"/>
  <c r="F451" i="7"/>
  <c r="H451" i="7"/>
  <c r="F439" i="7"/>
  <c r="H439" i="7"/>
  <c r="E579" i="7"/>
  <c r="E567" i="7"/>
  <c r="E555" i="7"/>
  <c r="E543" i="7"/>
  <c r="I531" i="7"/>
  <c r="G531" i="7"/>
  <c r="K531" i="7" s="1"/>
  <c r="E519" i="7"/>
  <c r="E507" i="7"/>
  <c r="E495" i="7"/>
  <c r="I459" i="7"/>
  <c r="G459" i="7"/>
  <c r="K459" i="7" s="1"/>
  <c r="E447" i="7"/>
  <c r="I435" i="7"/>
  <c r="G435" i="7"/>
  <c r="K435" i="7" s="1"/>
  <c r="E399" i="7"/>
  <c r="F626" i="7"/>
  <c r="H626" i="7"/>
  <c r="F603" i="7"/>
  <c r="H603" i="7"/>
  <c r="G422" i="7"/>
  <c r="K422" i="7" s="1"/>
  <c r="I422" i="7"/>
  <c r="H635" i="7"/>
  <c r="H598" i="7"/>
  <c r="H471" i="7"/>
  <c r="I441" i="7"/>
  <c r="E592" i="7"/>
  <c r="F489" i="7"/>
  <c r="J489" i="7" s="1"/>
  <c r="G583" i="7"/>
  <c r="E377" i="7"/>
  <c r="E607" i="7"/>
  <c r="F427" i="7"/>
  <c r="J427" i="7" s="1"/>
  <c r="H427" i="7"/>
  <c r="F415" i="7"/>
  <c r="J415" i="7" s="1"/>
  <c r="H415" i="7"/>
  <c r="F403" i="7"/>
  <c r="J403" i="7" s="1"/>
  <c r="H403" i="7"/>
  <c r="E639" i="7"/>
  <c r="E627" i="7"/>
  <c r="E615" i="7"/>
  <c r="E603" i="7"/>
  <c r="E591" i="7"/>
  <c r="F402" i="7"/>
  <c r="J402" i="7" s="1"/>
  <c r="H402" i="7"/>
  <c r="G458" i="7"/>
  <c r="K458" i="7" s="1"/>
  <c r="I458" i="7"/>
  <c r="E446" i="7"/>
  <c r="E434" i="7"/>
  <c r="E398" i="7"/>
  <c r="K421" i="7"/>
  <c r="H634" i="7"/>
  <c r="H597" i="7"/>
  <c r="H470" i="7"/>
  <c r="H431" i="7"/>
  <c r="E471" i="7"/>
  <c r="F606" i="7"/>
  <c r="J606" i="7" s="1"/>
  <c r="F488" i="7"/>
  <c r="J488" i="7" s="1"/>
  <c r="F595" i="7"/>
  <c r="J595" i="7" s="1"/>
  <c r="H595" i="7"/>
  <c r="F571" i="7"/>
  <c r="J571" i="7" s="1"/>
  <c r="H571" i="7"/>
  <c r="F559" i="7"/>
  <c r="H559" i="7"/>
  <c r="F547" i="7"/>
  <c r="H547" i="7"/>
  <c r="F535" i="7"/>
  <c r="H535" i="7"/>
  <c r="E445" i="7"/>
  <c r="E433" i="7"/>
  <c r="E397" i="7"/>
  <c r="H623" i="7"/>
  <c r="H585" i="7"/>
  <c r="H502" i="7"/>
  <c r="H419" i="7"/>
  <c r="E559" i="7"/>
  <c r="F444" i="7"/>
  <c r="J444" i="7" s="1"/>
  <c r="F467" i="7"/>
  <c r="J467" i="7" s="1"/>
  <c r="H467" i="7"/>
  <c r="E396" i="7"/>
  <c r="H540" i="7"/>
  <c r="H501" i="7"/>
  <c r="H418" i="7"/>
  <c r="E643" i="7"/>
  <c r="E547" i="7"/>
  <c r="F428" i="7"/>
  <c r="J428" i="7" s="1"/>
  <c r="K605" i="7"/>
  <c r="L605" i="7" s="1"/>
  <c r="F586" i="7"/>
  <c r="J586" i="7" s="1"/>
  <c r="H586" i="7"/>
  <c r="H583" i="7"/>
  <c r="F583" i="7"/>
  <c r="J583" i="7" s="1"/>
  <c r="H487" i="7"/>
  <c r="F487" i="7"/>
  <c r="G408" i="7"/>
  <c r="K408" i="7" s="1"/>
  <c r="L408" i="7" s="1"/>
  <c r="I408" i="7"/>
  <c r="E431" i="7"/>
  <c r="G407" i="7"/>
  <c r="K407" i="7" s="1"/>
  <c r="I407" i="7"/>
  <c r="E385" i="7"/>
  <c r="K442" i="7"/>
  <c r="H621" i="7"/>
  <c r="H539" i="7"/>
  <c r="H495" i="7"/>
  <c r="H456" i="7"/>
  <c r="H417" i="7"/>
  <c r="F499" i="7"/>
  <c r="H499" i="7"/>
  <c r="E432" i="7"/>
  <c r="E466" i="7"/>
  <c r="E454" i="7"/>
  <c r="E430" i="7"/>
  <c r="E406" i="7"/>
  <c r="K441" i="7"/>
  <c r="H620" i="7"/>
  <c r="H538" i="7"/>
  <c r="H494" i="7"/>
  <c r="H455" i="7"/>
  <c r="E641" i="7"/>
  <c r="E419" i="7"/>
  <c r="F420" i="7"/>
  <c r="J420" i="7" s="1"/>
  <c r="F574" i="7"/>
  <c r="J574" i="7" s="1"/>
  <c r="H574" i="7"/>
  <c r="E429" i="7"/>
  <c r="E417" i="7"/>
  <c r="E405" i="7"/>
  <c r="H537" i="7"/>
  <c r="H454" i="7"/>
  <c r="E640" i="7"/>
  <c r="E535" i="7"/>
  <c r="E418" i="7"/>
  <c r="K583" i="7"/>
  <c r="K642" i="7"/>
  <c r="F523" i="7"/>
  <c r="J523" i="7" s="1"/>
  <c r="H523" i="7"/>
  <c r="F624" i="7"/>
  <c r="J624" i="7" s="1"/>
  <c r="H624" i="7"/>
  <c r="F552" i="7"/>
  <c r="H552" i="7"/>
  <c r="F528" i="7"/>
  <c r="H528" i="7"/>
  <c r="F504" i="7"/>
  <c r="J504" i="7" s="1"/>
  <c r="H504" i="7"/>
  <c r="F468" i="7"/>
  <c r="J468" i="7" s="1"/>
  <c r="H468" i="7"/>
  <c r="E644" i="7"/>
  <c r="E632" i="7"/>
  <c r="E620" i="7"/>
  <c r="E608" i="7"/>
  <c r="E572" i="7"/>
  <c r="E560" i="7"/>
  <c r="E548" i="7"/>
  <c r="E524" i="7"/>
  <c r="E512" i="7"/>
  <c r="K500" i="7"/>
  <c r="E488" i="7"/>
  <c r="E476" i="7"/>
  <c r="E428" i="7"/>
  <c r="H575" i="7"/>
  <c r="H453" i="7"/>
  <c r="H408" i="7"/>
  <c r="E534" i="7"/>
  <c r="E416" i="7"/>
  <c r="K582" i="7"/>
  <c r="J451" i="7"/>
  <c r="J609" i="7"/>
  <c r="J559" i="7"/>
  <c r="J503" i="7"/>
  <c r="J605" i="7"/>
  <c r="J502" i="7"/>
  <c r="J454" i="7"/>
  <c r="J419" i="7"/>
  <c r="J593" i="7"/>
  <c r="J548" i="7"/>
  <c r="J501" i="7"/>
  <c r="J432" i="7"/>
  <c r="J456" i="7"/>
  <c r="J480" i="7"/>
  <c r="J492" i="7"/>
  <c r="J516" i="7"/>
  <c r="J528" i="7"/>
  <c r="J540" i="7"/>
  <c r="J552" i="7"/>
  <c r="J564" i="7"/>
  <c r="J612" i="7"/>
  <c r="J636" i="7"/>
  <c r="J433" i="7"/>
  <c r="J445" i="7"/>
  <c r="J469" i="7"/>
  <c r="J481" i="7"/>
  <c r="J493" i="7"/>
  <c r="J505" i="7"/>
  <c r="J517" i="7"/>
  <c r="J565" i="7"/>
  <c r="J577" i="7"/>
  <c r="J589" i="7"/>
  <c r="J613" i="7"/>
  <c r="J625" i="7"/>
  <c r="J637" i="7"/>
  <c r="J446" i="7"/>
  <c r="J470" i="7"/>
  <c r="J482" i="7"/>
  <c r="J494" i="7"/>
  <c r="J506" i="7"/>
  <c r="J518" i="7"/>
  <c r="J530" i="7"/>
  <c r="J542" i="7"/>
  <c r="J566" i="7"/>
  <c r="J614" i="7"/>
  <c r="J626" i="7"/>
  <c r="J638" i="7"/>
  <c r="J435" i="7"/>
  <c r="J447" i="7"/>
  <c r="J459" i="7"/>
  <c r="J471" i="7"/>
  <c r="J495" i="7"/>
  <c r="J519" i="7"/>
  <c r="J531" i="7"/>
  <c r="J555" i="7"/>
  <c r="J567" i="7"/>
  <c r="J579" i="7"/>
  <c r="J603" i="7"/>
  <c r="J615" i="7"/>
  <c r="J436" i="7"/>
  <c r="J508" i="7"/>
  <c r="J524" i="7"/>
  <c r="J560" i="7"/>
  <c r="J580" i="7"/>
  <c r="J616" i="7"/>
  <c r="J631" i="7"/>
  <c r="J453" i="7"/>
  <c r="J473" i="7"/>
  <c r="J525" i="7"/>
  <c r="J545" i="7"/>
  <c r="J561" i="7"/>
  <c r="J581" i="7"/>
  <c r="J597" i="7"/>
  <c r="J617" i="7"/>
  <c r="J632" i="7"/>
  <c r="J442" i="7"/>
  <c r="J464" i="7"/>
  <c r="J486" i="7"/>
  <c r="J510" i="7"/>
  <c r="J572" i="7"/>
  <c r="J635" i="7"/>
  <c r="J443" i="7"/>
  <c r="J465" i="7"/>
  <c r="J487" i="7"/>
  <c r="J533" i="7"/>
  <c r="J619" i="7"/>
  <c r="J639" i="7"/>
  <c r="J448" i="7"/>
  <c r="J466" i="7"/>
  <c r="J490" i="7"/>
  <c r="J512" i="7"/>
  <c r="J598" i="7"/>
  <c r="J620" i="7"/>
  <c r="J640" i="7"/>
  <c r="J449" i="7"/>
  <c r="J491" i="7"/>
  <c r="J513" i="7"/>
  <c r="J535" i="7"/>
  <c r="J557" i="7"/>
  <c r="J575" i="7"/>
  <c r="J599" i="7"/>
  <c r="J621" i="7"/>
  <c r="J450" i="7"/>
  <c r="J474" i="7"/>
  <c r="J496" i="7"/>
  <c r="J514" i="7"/>
  <c r="J582" i="7"/>
  <c r="J604" i="7"/>
  <c r="J622" i="7"/>
  <c r="J455" i="7"/>
  <c r="J497" i="7"/>
  <c r="J526" i="7"/>
  <c r="J568" i="7"/>
  <c r="J634" i="7"/>
  <c r="J460" i="7"/>
  <c r="J498" i="7"/>
  <c r="J527" i="7"/>
  <c r="J569" i="7"/>
  <c r="J607" i="7"/>
  <c r="J644" i="7"/>
  <c r="J499" i="7"/>
  <c r="J537" i="7"/>
  <c r="J570" i="7"/>
  <c r="J608" i="7"/>
  <c r="J645" i="7"/>
  <c r="J418" i="7"/>
  <c r="J592" i="7"/>
  <c r="J547" i="7"/>
  <c r="J500" i="7"/>
  <c r="J441" i="7"/>
  <c r="J417" i="7"/>
  <c r="J633" i="7"/>
  <c r="J587" i="7"/>
  <c r="J546" i="7"/>
  <c r="J485" i="7"/>
  <c r="J440" i="7"/>
  <c r="J406" i="7"/>
  <c r="J539" i="7"/>
  <c r="J439" i="7"/>
  <c r="H395" i="7"/>
  <c r="F395" i="7"/>
  <c r="J395" i="7" s="1"/>
  <c r="E395" i="7"/>
  <c r="J980" i="1"/>
  <c r="J968" i="1"/>
  <c r="J956" i="1"/>
  <c r="J944" i="1"/>
  <c r="J932" i="1"/>
  <c r="J920" i="1"/>
  <c r="J860" i="1"/>
  <c r="J848" i="1"/>
  <c r="J836" i="1"/>
  <c r="J788" i="1"/>
  <c r="J776" i="1"/>
  <c r="J740" i="1"/>
  <c r="J728" i="1"/>
  <c r="J704" i="1"/>
  <c r="J692" i="1"/>
  <c r="J668" i="1"/>
  <c r="J644" i="1"/>
  <c r="J608" i="1"/>
  <c r="J584" i="1"/>
  <c r="J560" i="1"/>
  <c r="J548" i="1"/>
  <c r="J524" i="1"/>
  <c r="J500" i="1"/>
  <c r="J464" i="1"/>
  <c r="J440" i="1"/>
  <c r="J416" i="1"/>
  <c r="J404" i="1"/>
  <c r="J380" i="1"/>
  <c r="J356" i="1"/>
  <c r="J320" i="1"/>
  <c r="J296" i="1"/>
  <c r="J272" i="1"/>
  <c r="J260" i="1"/>
  <c r="J236" i="1"/>
  <c r="J212" i="1"/>
  <c r="J176" i="1"/>
  <c r="J152" i="1"/>
  <c r="J128" i="1"/>
  <c r="J116" i="1"/>
  <c r="J92" i="1"/>
  <c r="J68" i="1"/>
  <c r="J32" i="1"/>
  <c r="J8" i="1"/>
  <c r="J930" i="1"/>
  <c r="J834" i="1"/>
  <c r="J786" i="1"/>
  <c r="J714" i="1"/>
  <c r="J678" i="1"/>
  <c r="J606" i="1"/>
  <c r="J582" i="1"/>
  <c r="J510" i="1"/>
  <c r="J438" i="1"/>
  <c r="J366" i="1"/>
  <c r="J318" i="1"/>
  <c r="J906" i="1"/>
  <c r="J726" i="1"/>
  <c r="J642" i="1"/>
  <c r="J546" i="1"/>
  <c r="J474" i="1"/>
  <c r="J390" i="1"/>
  <c r="J294" i="1"/>
  <c r="J942" i="1"/>
  <c r="J846" i="1"/>
  <c r="J738" i="1"/>
  <c r="J654" i="1"/>
  <c r="J558" i="1"/>
  <c r="J486" i="1"/>
  <c r="J426" i="1"/>
  <c r="J354" i="1"/>
  <c r="J2" i="1"/>
  <c r="J954" i="1"/>
  <c r="J774" i="1"/>
  <c r="J702" i="1"/>
  <c r="J630" i="1"/>
  <c r="J522" i="1"/>
  <c r="J450" i="1"/>
  <c r="J378" i="1"/>
  <c r="J330" i="1"/>
  <c r="J918" i="1"/>
  <c r="J762" i="1"/>
  <c r="J666" i="1"/>
  <c r="J594" i="1"/>
  <c r="J534" i="1"/>
  <c r="J462" i="1"/>
  <c r="J402" i="1"/>
  <c r="J342" i="1"/>
  <c r="J894" i="1"/>
  <c r="J822" i="1"/>
  <c r="J750" i="1"/>
  <c r="J690" i="1"/>
  <c r="J618" i="1"/>
  <c r="J570" i="1"/>
  <c r="J498" i="1"/>
  <c r="J414" i="1"/>
  <c r="J306" i="1"/>
  <c r="J282" i="1"/>
  <c r="J270" i="1"/>
  <c r="J258" i="1"/>
  <c r="J246" i="1"/>
  <c r="J234" i="1"/>
  <c r="J222" i="1"/>
  <c r="J210" i="1"/>
  <c r="J198" i="1"/>
  <c r="J186" i="1"/>
  <c r="J174" i="1"/>
  <c r="J162" i="1"/>
  <c r="J150" i="1"/>
  <c r="J138" i="1"/>
  <c r="J126" i="1"/>
  <c r="J114" i="1"/>
  <c r="J102" i="1"/>
  <c r="J90" i="1"/>
  <c r="J78" i="1"/>
  <c r="J66" i="1"/>
  <c r="J54" i="1"/>
  <c r="J42" i="1"/>
  <c r="J30" i="1"/>
  <c r="J18" i="1"/>
  <c r="J6" i="1"/>
  <c r="D13" i="6" l="1"/>
  <c r="AB252" i="1"/>
  <c r="AA64" i="1"/>
  <c r="AA5" i="1"/>
  <c r="AB5" i="1" s="1"/>
  <c r="AA153" i="1"/>
  <c r="AA84" i="1"/>
  <c r="AA28" i="1"/>
  <c r="AA54" i="1"/>
  <c r="AB54" i="1" s="1"/>
  <c r="AA241" i="1"/>
  <c r="AB241" i="1" s="1"/>
  <c r="AB80" i="1"/>
  <c r="AB200" i="1"/>
  <c r="AB249" i="1"/>
  <c r="AB141" i="1"/>
  <c r="AB189" i="1"/>
  <c r="L442" i="7"/>
  <c r="L485" i="7"/>
  <c r="L486" i="7"/>
  <c r="L500" i="7"/>
  <c r="L420" i="7"/>
  <c r="L436" i="7"/>
  <c r="L455" i="7"/>
  <c r="L459" i="7"/>
  <c r="L422" i="7"/>
  <c r="L441" i="7"/>
  <c r="AA112" i="1"/>
  <c r="AA206" i="1"/>
  <c r="AB206" i="1" s="1"/>
  <c r="AA85" i="1"/>
  <c r="AB85" i="1" s="1"/>
  <c r="AA160" i="1"/>
  <c r="AB160" i="1" s="1"/>
  <c r="AA211" i="1"/>
  <c r="AB211" i="1" s="1"/>
  <c r="AA16" i="1"/>
  <c r="AA17" i="1"/>
  <c r="AA44" i="1"/>
  <c r="AB44" i="1" s="1"/>
  <c r="AA113" i="1"/>
  <c r="AB113" i="1" s="1"/>
  <c r="AA81" i="1"/>
  <c r="AB81" i="1" s="1"/>
  <c r="AA130" i="1"/>
  <c r="AB130" i="1" s="1"/>
  <c r="AA226" i="1"/>
  <c r="AB226" i="1" s="1"/>
  <c r="AA37" i="1"/>
  <c r="AB37" i="1" s="1"/>
  <c r="AB112" i="1"/>
  <c r="AA146" i="1"/>
  <c r="AB146" i="1" s="1"/>
  <c r="AA194" i="1"/>
  <c r="AB194" i="1" s="1"/>
  <c r="AA224" i="1"/>
  <c r="AB224" i="1" s="1"/>
  <c r="AA125" i="1"/>
  <c r="AB125" i="1" s="1"/>
  <c r="AA173" i="1"/>
  <c r="AB173" i="1" s="1"/>
  <c r="AB16" i="1"/>
  <c r="AB64" i="1"/>
  <c r="AB84" i="1"/>
  <c r="AB28" i="1"/>
  <c r="AA20" i="1"/>
  <c r="AB20" i="1" s="1"/>
  <c r="AA34" i="1"/>
  <c r="AB34" i="1" s="1"/>
  <c r="AA142" i="1"/>
  <c r="AB142" i="1" s="1"/>
  <c r="AA233" i="1"/>
  <c r="AB233" i="1" s="1"/>
  <c r="AA110" i="1"/>
  <c r="AB110" i="1" s="1"/>
  <c r="AA148" i="1"/>
  <c r="AB148" i="1" s="1"/>
  <c r="AA67" i="1"/>
  <c r="AB67" i="1" s="1"/>
  <c r="AB153" i="1"/>
  <c r="AA92" i="1"/>
  <c r="AB92" i="1" s="1"/>
  <c r="AA90" i="1"/>
  <c r="AB90" i="1" s="1"/>
  <c r="AA47" i="1"/>
  <c r="AB47" i="1" s="1"/>
  <c r="AA95" i="1"/>
  <c r="AB95" i="1" s="1"/>
  <c r="AA143" i="1"/>
  <c r="AB143" i="1" s="1"/>
  <c r="AA191" i="1"/>
  <c r="AB191" i="1" s="1"/>
  <c r="AA239" i="1"/>
  <c r="AB239" i="1" s="1"/>
  <c r="AA120" i="1"/>
  <c r="AB120" i="1" s="1"/>
  <c r="AA157" i="1"/>
  <c r="AB157" i="1" s="1"/>
  <c r="AA76" i="1"/>
  <c r="AB76" i="1" s="1"/>
  <c r="AA108" i="1"/>
  <c r="AB108" i="1" s="1"/>
  <c r="AA91" i="1"/>
  <c r="AB91" i="1" s="1"/>
  <c r="AA124" i="1"/>
  <c r="AB124" i="1" s="1"/>
  <c r="AA230" i="1"/>
  <c r="AB230" i="1" s="1"/>
  <c r="J1084" i="1"/>
  <c r="AB17" i="1"/>
  <c r="AA117" i="1"/>
  <c r="AB117" i="1" s="1"/>
  <c r="AA165" i="1"/>
  <c r="AB165" i="1" s="1"/>
  <c r="AA213" i="1"/>
  <c r="AB213" i="1" s="1"/>
  <c r="AA118" i="1"/>
  <c r="AB118" i="1" s="1"/>
  <c r="AA214" i="1"/>
  <c r="AB214" i="1" s="1"/>
  <c r="AA99" i="1"/>
  <c r="AB99" i="1" s="1"/>
  <c r="AA53" i="1"/>
  <c r="AB53" i="1" s="1"/>
  <c r="AA101" i="1"/>
  <c r="AB101" i="1" s="1"/>
  <c r="AA161" i="1"/>
  <c r="AB161" i="1" s="1"/>
  <c r="AA43" i="1"/>
  <c r="AB43" i="1" s="1"/>
  <c r="AA185" i="1"/>
  <c r="AB185" i="1" s="1"/>
  <c r="AA225" i="1"/>
  <c r="AB225" i="1" s="1"/>
  <c r="AA66" i="1"/>
  <c r="AB66" i="1" s="1"/>
  <c r="AA162" i="1"/>
  <c r="AB162" i="1" s="1"/>
  <c r="AA216" i="1"/>
  <c r="AB216" i="1" s="1"/>
  <c r="AA177" i="1"/>
  <c r="AB177" i="1" s="1"/>
  <c r="AA63" i="1"/>
  <c r="AB63" i="1" s="1"/>
  <c r="AA6" i="1"/>
  <c r="AB6" i="1" s="1"/>
  <c r="AA69" i="1"/>
  <c r="AB69" i="1" s="1"/>
  <c r="AA166" i="1"/>
  <c r="AB166" i="1" s="1"/>
  <c r="AA188" i="1"/>
  <c r="AB188" i="1" s="1"/>
  <c r="AA25" i="1"/>
  <c r="AB25" i="1" s="1"/>
  <c r="AA41" i="1"/>
  <c r="AB41" i="1" s="1"/>
  <c r="AA89" i="1"/>
  <c r="AB89" i="1" s="1"/>
  <c r="AA149" i="1"/>
  <c r="AB149" i="1" s="1"/>
  <c r="AA42" i="1"/>
  <c r="AB42" i="1" s="1"/>
  <c r="AA102" i="1"/>
  <c r="AB102" i="1" s="1"/>
  <c r="AA74" i="1"/>
  <c r="AB74" i="1" s="1"/>
  <c r="AA122" i="1"/>
  <c r="AB122" i="1" s="1"/>
  <c r="AA170" i="1"/>
  <c r="AB170" i="1" s="1"/>
  <c r="AA183" i="1"/>
  <c r="AB183" i="1" s="1"/>
  <c r="AA231" i="1"/>
  <c r="AB231" i="1" s="1"/>
  <c r="AA100" i="1"/>
  <c r="AB100" i="1" s="1"/>
  <c r="AA139" i="1"/>
  <c r="AB139" i="1" s="1"/>
  <c r="AA187" i="1"/>
  <c r="AB187" i="1" s="1"/>
  <c r="AA235" i="1"/>
  <c r="AB235" i="1" s="1"/>
  <c r="AA68" i="1"/>
  <c r="AB68" i="1" s="1"/>
  <c r="AA116" i="1"/>
  <c r="AB116" i="1" s="1"/>
  <c r="AA248" i="1"/>
  <c r="AB248" i="1" s="1"/>
  <c r="AA10" i="1"/>
  <c r="AB10" i="1" s="1"/>
  <c r="AA58" i="1"/>
  <c r="AB58" i="1" s="1"/>
  <c r="AA209" i="1"/>
  <c r="AB209" i="1" s="1"/>
  <c r="AA198" i="1"/>
  <c r="AB198" i="1" s="1"/>
  <c r="AA79" i="1"/>
  <c r="AB79" i="1" s="1"/>
  <c r="AA176" i="1"/>
  <c r="AB176" i="1" s="1"/>
  <c r="AA21" i="1"/>
  <c r="AB21" i="1" s="1"/>
  <c r="AA73" i="1"/>
  <c r="AB73" i="1" s="1"/>
  <c r="AA159" i="1"/>
  <c r="AB159" i="1" s="1"/>
  <c r="AA150" i="1"/>
  <c r="AB150" i="1" s="1"/>
  <c r="AA246" i="1"/>
  <c r="AB246" i="1" s="1"/>
  <c r="AA204" i="1"/>
  <c r="AB204" i="1" s="1"/>
  <c r="AA208" i="1"/>
  <c r="AB208" i="1" s="1"/>
  <c r="AA168" i="1"/>
  <c r="AB168" i="1" s="1"/>
  <c r="AA192" i="1"/>
  <c r="AB192" i="1" s="1"/>
  <c r="AA169" i="1"/>
  <c r="AB169" i="1" s="1"/>
  <c r="AA217" i="1"/>
  <c r="AB217" i="1" s="1"/>
  <c r="AA31" i="1"/>
  <c r="AB31" i="1" s="1"/>
  <c r="AA50" i="1"/>
  <c r="AB50" i="1" s="1"/>
  <c r="AA51" i="1"/>
  <c r="AB51" i="1" s="1"/>
  <c r="AA70" i="1"/>
  <c r="AB70" i="1" s="1"/>
  <c r="AA11" i="1"/>
  <c r="AB11" i="1" s="1"/>
  <c r="AA59" i="1"/>
  <c r="AB59" i="1" s="1"/>
  <c r="AA107" i="1"/>
  <c r="AB107" i="1" s="1"/>
  <c r="AA155" i="1"/>
  <c r="AB155" i="1" s="1"/>
  <c r="AA203" i="1"/>
  <c r="AB203" i="1" s="1"/>
  <c r="AA251" i="1"/>
  <c r="AB251" i="1" s="1"/>
  <c r="AA228" i="1"/>
  <c r="AB228" i="1" s="1"/>
  <c r="AA121" i="1"/>
  <c r="AB121" i="1" s="1"/>
  <c r="AA182" i="1"/>
  <c r="AB182" i="1" s="1"/>
  <c r="AA88" i="1"/>
  <c r="AB88" i="1" s="1"/>
  <c r="AA195" i="1"/>
  <c r="AB195" i="1" s="1"/>
  <c r="AA178" i="1"/>
  <c r="AB178" i="1" s="1"/>
  <c r="AA114" i="1"/>
  <c r="AB114" i="1" s="1"/>
  <c r="AA210" i="1"/>
  <c r="AB210" i="1" s="1"/>
  <c r="AA48" i="1"/>
  <c r="AB48" i="1" s="1"/>
  <c r="AA133" i="1"/>
  <c r="AB133" i="1" s="1"/>
  <c r="AA181" i="1"/>
  <c r="AB181" i="1" s="1"/>
  <c r="AA86" i="1"/>
  <c r="AB86" i="1" s="1"/>
  <c r="AA134" i="1"/>
  <c r="AB134" i="1" s="1"/>
  <c r="AA243" i="1"/>
  <c r="AB243" i="1" s="1"/>
  <c r="AA220" i="1"/>
  <c r="AB220" i="1" s="1"/>
  <c r="AA221" i="1"/>
  <c r="AB221" i="1" s="1"/>
  <c r="AA180" i="1"/>
  <c r="AB180" i="1" s="1"/>
  <c r="AA12" i="1"/>
  <c r="AB12" i="1" s="1"/>
  <c r="AA24" i="1"/>
  <c r="AB24" i="1" s="1"/>
  <c r="AA232" i="1"/>
  <c r="AB232" i="1" s="1"/>
  <c r="AA103" i="1"/>
  <c r="AB103" i="1" s="1"/>
  <c r="AA151" i="1"/>
  <c r="AB151" i="1" s="1"/>
  <c r="AA199" i="1"/>
  <c r="AB199" i="1" s="1"/>
  <c r="AA247" i="1"/>
  <c r="AB247" i="1" s="1"/>
  <c r="AA129" i="1"/>
  <c r="AB129" i="1" s="1"/>
  <c r="AA14" i="1"/>
  <c r="AB14" i="1" s="1"/>
  <c r="AA171" i="1"/>
  <c r="AB171" i="1" s="1"/>
  <c r="AA18" i="1"/>
  <c r="AB18" i="1" s="1"/>
  <c r="AA23" i="1"/>
  <c r="AB23" i="1" s="1"/>
  <c r="AA71" i="1"/>
  <c r="AB71" i="1" s="1"/>
  <c r="AA119" i="1"/>
  <c r="AB119" i="1" s="1"/>
  <c r="AA167" i="1"/>
  <c r="AB167" i="1" s="1"/>
  <c r="AA215" i="1"/>
  <c r="AB215" i="1" s="1"/>
  <c r="AA229" i="1"/>
  <c r="AB229" i="1" s="1"/>
  <c r="AA98" i="1"/>
  <c r="AB98" i="1" s="1"/>
  <c r="AA207" i="1"/>
  <c r="AB207" i="1" s="1"/>
  <c r="AA52" i="1"/>
  <c r="AB52" i="1" s="1"/>
  <c r="AA82" i="1"/>
  <c r="AB82" i="1" s="1"/>
  <c r="AA7" i="1"/>
  <c r="AB7" i="1" s="1"/>
  <c r="AA140" i="1"/>
  <c r="AB140" i="1" s="1"/>
  <c r="AA212" i="1"/>
  <c r="AB212" i="1" s="1"/>
  <c r="AA135" i="1"/>
  <c r="AB135" i="1" s="1"/>
  <c r="AA45" i="1"/>
  <c r="AB45" i="1" s="1"/>
  <c r="AA237" i="1"/>
  <c r="AB237" i="1" s="1"/>
  <c r="AA94" i="1"/>
  <c r="AB94" i="1" s="1"/>
  <c r="AA190" i="1"/>
  <c r="AB190" i="1" s="1"/>
  <c r="AA238" i="1"/>
  <c r="AB238" i="1" s="1"/>
  <c r="AA49" i="1"/>
  <c r="AB49" i="1" s="1"/>
  <c r="AA78" i="1"/>
  <c r="AB78" i="1" s="1"/>
  <c r="AA126" i="1"/>
  <c r="AB126" i="1" s="1"/>
  <c r="AA96" i="1"/>
  <c r="AB96" i="1" s="1"/>
  <c r="AA242" i="1"/>
  <c r="AB242" i="1" s="1"/>
  <c r="AA40" i="1"/>
  <c r="AB40" i="1" s="1"/>
  <c r="AA115" i="1"/>
  <c r="AB115" i="1" s="1"/>
  <c r="AA163" i="1"/>
  <c r="AB163" i="1" s="1"/>
  <c r="AA19" i="1"/>
  <c r="AB19" i="1" s="1"/>
  <c r="AA93" i="1"/>
  <c r="AB93" i="1" s="1"/>
  <c r="AA27" i="1"/>
  <c r="AB27" i="1" s="1"/>
  <c r="AA75" i="1"/>
  <c r="AB75" i="1" s="1"/>
  <c r="AA123" i="1"/>
  <c r="AB123" i="1" s="1"/>
  <c r="AA29" i="1"/>
  <c r="AB29" i="1" s="1"/>
  <c r="AA174" i="1"/>
  <c r="AB174" i="1" s="1"/>
  <c r="AA222" i="1"/>
  <c r="AB222" i="1" s="1"/>
  <c r="AA240" i="1"/>
  <c r="AB240" i="1" s="1"/>
  <c r="AA97" i="1"/>
  <c r="AB97" i="1" s="1"/>
  <c r="AA145" i="1"/>
  <c r="AB145" i="1" s="1"/>
  <c r="AA193" i="1"/>
  <c r="AB193" i="1" s="1"/>
  <c r="AA55" i="1"/>
  <c r="AB55" i="1" s="1"/>
  <c r="AA111" i="1"/>
  <c r="AB111" i="1" s="1"/>
  <c r="AA8" i="1"/>
  <c r="AB8" i="1" s="1"/>
  <c r="AA32" i="1"/>
  <c r="AB32" i="1" s="1"/>
  <c r="AA201" i="1"/>
  <c r="AB201" i="1" s="1"/>
  <c r="AA46" i="1"/>
  <c r="AB46" i="1" s="1"/>
  <c r="AA106" i="1"/>
  <c r="AB106" i="1" s="1"/>
  <c r="AA154" i="1"/>
  <c r="AB154" i="1" s="1"/>
  <c r="AA250" i="1"/>
  <c r="AB250" i="1" s="1"/>
  <c r="AA13" i="1"/>
  <c r="AB13" i="1" s="1"/>
  <c r="AA26" i="1"/>
  <c r="AB26" i="1" s="1"/>
  <c r="AA77" i="1"/>
  <c r="AB77" i="1" s="1"/>
  <c r="AA137" i="1"/>
  <c r="AB137" i="1" s="1"/>
  <c r="AA30" i="1"/>
  <c r="AB30" i="1" s="1"/>
  <c r="AA72" i="1"/>
  <c r="AB72" i="1" s="1"/>
  <c r="AA35" i="1"/>
  <c r="AB35" i="1" s="1"/>
  <c r="AA83" i="1"/>
  <c r="AB83" i="1" s="1"/>
  <c r="AA131" i="1"/>
  <c r="AB131" i="1" s="1"/>
  <c r="AA179" i="1"/>
  <c r="AB179" i="1" s="1"/>
  <c r="AA227" i="1"/>
  <c r="AB227" i="1" s="1"/>
  <c r="AA36" i="1"/>
  <c r="AB36" i="1" s="1"/>
  <c r="AA62" i="1"/>
  <c r="AB62" i="1" s="1"/>
  <c r="AA158" i="1"/>
  <c r="AB158" i="1" s="1"/>
  <c r="AA218" i="1"/>
  <c r="AB218" i="1" s="1"/>
  <c r="AA244" i="1"/>
  <c r="AB244" i="1" s="1"/>
  <c r="AA219" i="1"/>
  <c r="AB219" i="1" s="1"/>
  <c r="AA33" i="1"/>
  <c r="AB33" i="1" s="1"/>
  <c r="AA22" i="1"/>
  <c r="AB22" i="1" s="1"/>
  <c r="AA128" i="1"/>
  <c r="AB128" i="1" s="1"/>
  <c r="AA164" i="1"/>
  <c r="AB164" i="1" s="1"/>
  <c r="AA236" i="1"/>
  <c r="AB236" i="1" s="1"/>
  <c r="AA9" i="1"/>
  <c r="AB9" i="1" s="1"/>
  <c r="AA152" i="1"/>
  <c r="AB152" i="1" s="1"/>
  <c r="AA202" i="1"/>
  <c r="AB202" i="1" s="1"/>
  <c r="AA61" i="1"/>
  <c r="AB61" i="1" s="1"/>
  <c r="AA38" i="1"/>
  <c r="AB38" i="1" s="1"/>
  <c r="AA39" i="1"/>
  <c r="AB39" i="1" s="1"/>
  <c r="AA147" i="1"/>
  <c r="AB147" i="1" s="1"/>
  <c r="AA245" i="1"/>
  <c r="AB245" i="1" s="1"/>
  <c r="AA138" i="1"/>
  <c r="AB138" i="1" s="1"/>
  <c r="AA186" i="1"/>
  <c r="AB186" i="1" s="1"/>
  <c r="AA234" i="1"/>
  <c r="AB234" i="1" s="1"/>
  <c r="AA4" i="1"/>
  <c r="AB4" i="1" s="1"/>
  <c r="AA132" i="1"/>
  <c r="AB132" i="1" s="1"/>
  <c r="AA196" i="1"/>
  <c r="AB196" i="1" s="1"/>
  <c r="AA109" i="1"/>
  <c r="AB109" i="1" s="1"/>
  <c r="AA136" i="1"/>
  <c r="AB136" i="1" s="1"/>
  <c r="AA127" i="1"/>
  <c r="AB127" i="1" s="1"/>
  <c r="AA223" i="1"/>
  <c r="AB223" i="1" s="1"/>
  <c r="AA184" i="1"/>
  <c r="AB184" i="1" s="1"/>
  <c r="AA15" i="1"/>
  <c r="AB15" i="1" s="1"/>
  <c r="AA65" i="1"/>
  <c r="AB65" i="1" s="1"/>
  <c r="AB3" i="1"/>
  <c r="AA56" i="1"/>
  <c r="AB56" i="1" s="1"/>
  <c r="AA104" i="1"/>
  <c r="AB104" i="1" s="1"/>
  <c r="AA57" i="1"/>
  <c r="AB57" i="1" s="1"/>
  <c r="AA105" i="1"/>
  <c r="AB105" i="1" s="1"/>
  <c r="AA87" i="1"/>
  <c r="AB87" i="1" s="1"/>
  <c r="AA197" i="1"/>
  <c r="AB197" i="1" s="1"/>
  <c r="AA156" i="1"/>
  <c r="AB156" i="1" s="1"/>
  <c r="AA60" i="1"/>
  <c r="AB60" i="1" s="1"/>
  <c r="AA144" i="1"/>
  <c r="AB144" i="1" s="1"/>
  <c r="AA172" i="1"/>
  <c r="AB172" i="1" s="1"/>
  <c r="AA205" i="1"/>
  <c r="AB205" i="1" s="1"/>
  <c r="AA175" i="1"/>
  <c r="AB175" i="1" s="1"/>
  <c r="L536" i="7"/>
  <c r="K497" i="7"/>
  <c r="L497" i="7" s="1"/>
  <c r="G644" i="7"/>
  <c r="K644" i="7" s="1"/>
  <c r="L644" i="7" s="1"/>
  <c r="I644" i="7"/>
  <c r="G400" i="7"/>
  <c r="I400" i="7"/>
  <c r="G599" i="7"/>
  <c r="I599" i="7"/>
  <c r="G499" i="7"/>
  <c r="K499" i="7" s="1"/>
  <c r="L499" i="7" s="1"/>
  <c r="I499" i="7"/>
  <c r="G501" i="7"/>
  <c r="K501" i="7" s="1"/>
  <c r="L501" i="7" s="1"/>
  <c r="I501" i="7"/>
  <c r="G476" i="7"/>
  <c r="K476" i="7" s="1"/>
  <c r="L476" i="7" s="1"/>
  <c r="I476" i="7"/>
  <c r="G619" i="7"/>
  <c r="K619" i="7" s="1"/>
  <c r="L619" i="7" s="1"/>
  <c r="I619" i="7"/>
  <c r="G587" i="7"/>
  <c r="I587" i="7"/>
  <c r="G572" i="7"/>
  <c r="I572" i="7"/>
  <c r="G570" i="7"/>
  <c r="K570" i="7" s="1"/>
  <c r="L570" i="7" s="1"/>
  <c r="I570" i="7"/>
  <c r="G513" i="7"/>
  <c r="K513" i="7" s="1"/>
  <c r="L513" i="7" s="1"/>
  <c r="I513" i="7"/>
  <c r="G410" i="7"/>
  <c r="K410" i="7" s="1"/>
  <c r="L410" i="7" s="1"/>
  <c r="I410" i="7"/>
  <c r="I446" i="7"/>
  <c r="G446" i="7"/>
  <c r="G493" i="7"/>
  <c r="I493" i="7"/>
  <c r="G597" i="7"/>
  <c r="I597" i="7"/>
  <c r="G611" i="7"/>
  <c r="K611" i="7" s="1"/>
  <c r="L611" i="7" s="1"/>
  <c r="I611" i="7"/>
  <c r="L407" i="7"/>
  <c r="G567" i="7"/>
  <c r="K567" i="7" s="1"/>
  <c r="L567" i="7" s="1"/>
  <c r="I567" i="7"/>
  <c r="G413" i="7"/>
  <c r="K413" i="7" s="1"/>
  <c r="L413" i="7" s="1"/>
  <c r="I413" i="7"/>
  <c r="G427" i="7"/>
  <c r="K427" i="7" s="1"/>
  <c r="L427" i="7" s="1"/>
  <c r="I427" i="7"/>
  <c r="G444" i="7"/>
  <c r="K444" i="7" s="1"/>
  <c r="L444" i="7" s="1"/>
  <c r="I444" i="7"/>
  <c r="G579" i="7"/>
  <c r="I579" i="7"/>
  <c r="G586" i="7"/>
  <c r="K586" i="7" s="1"/>
  <c r="L586" i="7" s="1"/>
  <c r="I586" i="7"/>
  <c r="G535" i="7"/>
  <c r="I535" i="7"/>
  <c r="G406" i="7"/>
  <c r="K406" i="7" s="1"/>
  <c r="L406" i="7" s="1"/>
  <c r="I406" i="7"/>
  <c r="G547" i="7"/>
  <c r="I547" i="7"/>
  <c r="L458" i="7"/>
  <c r="G592" i="7"/>
  <c r="K592" i="7" s="1"/>
  <c r="L592" i="7" s="1"/>
  <c r="I592" i="7"/>
  <c r="K579" i="7"/>
  <c r="L579" i="7" s="1"/>
  <c r="I594" i="7"/>
  <c r="G594" i="7"/>
  <c r="G448" i="7"/>
  <c r="K448" i="7" s="1"/>
  <c r="L448" i="7" s="1"/>
  <c r="I448" i="7"/>
  <c r="I532" i="7"/>
  <c r="G532" i="7"/>
  <c r="K532" i="7" s="1"/>
  <c r="L532" i="7" s="1"/>
  <c r="G616" i="7"/>
  <c r="I616" i="7"/>
  <c r="G527" i="7"/>
  <c r="I527" i="7"/>
  <c r="G449" i="7"/>
  <c r="K449" i="7" s="1"/>
  <c r="L449" i="7" s="1"/>
  <c r="I449" i="7"/>
  <c r="G414" i="7"/>
  <c r="K414" i="7" s="1"/>
  <c r="L414" i="7" s="1"/>
  <c r="I414" i="7"/>
  <c r="K594" i="7"/>
  <c r="L594" i="7" s="1"/>
  <c r="K535" i="7"/>
  <c r="L535" i="7" s="1"/>
  <c r="G439" i="7"/>
  <c r="K439" i="7" s="1"/>
  <c r="L439" i="7" s="1"/>
  <c r="I439" i="7"/>
  <c r="G465" i="7"/>
  <c r="K465" i="7" s="1"/>
  <c r="L465" i="7" s="1"/>
  <c r="I465" i="7"/>
  <c r="G537" i="7"/>
  <c r="K537" i="7" s="1"/>
  <c r="L537" i="7" s="1"/>
  <c r="I537" i="7"/>
  <c r="G456" i="7"/>
  <c r="K456" i="7" s="1"/>
  <c r="L456" i="7" s="1"/>
  <c r="I456" i="7"/>
  <c r="E380" i="7"/>
  <c r="G603" i="7"/>
  <c r="K603" i="7" s="1"/>
  <c r="L603" i="7" s="1"/>
  <c r="I603" i="7"/>
  <c r="G645" i="7"/>
  <c r="I645" i="7"/>
  <c r="G433" i="7"/>
  <c r="K433" i="7" s="1"/>
  <c r="L433" i="7" s="1"/>
  <c r="I433" i="7"/>
  <c r="I508" i="7"/>
  <c r="G508" i="7"/>
  <c r="K508" i="7" s="1"/>
  <c r="L508" i="7" s="1"/>
  <c r="I631" i="7"/>
  <c r="G631" i="7"/>
  <c r="K631" i="7" s="1"/>
  <c r="L631" i="7" s="1"/>
  <c r="G481" i="7"/>
  <c r="K481" i="7" s="1"/>
  <c r="L481" i="7" s="1"/>
  <c r="I481" i="7"/>
  <c r="G538" i="7"/>
  <c r="I538" i="7"/>
  <c r="G626" i="7"/>
  <c r="K626" i="7" s="1"/>
  <c r="L626" i="7" s="1"/>
  <c r="I626" i="7"/>
  <c r="G417" i="7"/>
  <c r="K417" i="7" s="1"/>
  <c r="L417" i="7" s="1"/>
  <c r="I417" i="7"/>
  <c r="G434" i="7"/>
  <c r="K434" i="7" s="1"/>
  <c r="L434" i="7" s="1"/>
  <c r="I434" i="7"/>
  <c r="G498" i="7"/>
  <c r="K498" i="7" s="1"/>
  <c r="L498" i="7" s="1"/>
  <c r="I498" i="7"/>
  <c r="G402" i="7"/>
  <c r="K402" i="7" s="1"/>
  <c r="L402" i="7" s="1"/>
  <c r="I402" i="7"/>
  <c r="G429" i="7"/>
  <c r="K429" i="7" s="1"/>
  <c r="L429" i="7" s="1"/>
  <c r="I429" i="7"/>
  <c r="I471" i="7"/>
  <c r="G471" i="7"/>
  <c r="K471" i="7" s="1"/>
  <c r="L471" i="7" s="1"/>
  <c r="G415" i="7"/>
  <c r="I415" i="7"/>
  <c r="K493" i="7"/>
  <c r="L493" i="7" s="1"/>
  <c r="G608" i="7"/>
  <c r="K608" i="7" s="1"/>
  <c r="L608" i="7" s="1"/>
  <c r="I608" i="7"/>
  <c r="G559" i="7"/>
  <c r="K559" i="7" s="1"/>
  <c r="L559" i="7" s="1"/>
  <c r="I559" i="7"/>
  <c r="I507" i="7"/>
  <c r="G507" i="7"/>
  <c r="K507" i="7" s="1"/>
  <c r="L507" i="7" s="1"/>
  <c r="G491" i="7"/>
  <c r="K491" i="7" s="1"/>
  <c r="L491" i="7" s="1"/>
  <c r="I491" i="7"/>
  <c r="G528" i="7"/>
  <c r="K528" i="7" s="1"/>
  <c r="L528" i="7" s="1"/>
  <c r="I528" i="7"/>
  <c r="I600" i="7"/>
  <c r="G600" i="7"/>
  <c r="K600" i="7" s="1"/>
  <c r="L600" i="7" s="1"/>
  <c r="G426" i="7"/>
  <c r="K426" i="7" s="1"/>
  <c r="L426" i="7" s="1"/>
  <c r="I426" i="7"/>
  <c r="L435" i="7"/>
  <c r="G524" i="7"/>
  <c r="K524" i="7" s="1"/>
  <c r="L524" i="7" s="1"/>
  <c r="I524" i="7"/>
  <c r="G620" i="7"/>
  <c r="I620" i="7"/>
  <c r="G640" i="7"/>
  <c r="I640" i="7"/>
  <c r="G431" i="7"/>
  <c r="K431" i="7" s="1"/>
  <c r="L431" i="7" s="1"/>
  <c r="I431" i="7"/>
  <c r="G643" i="7"/>
  <c r="K643" i="7" s="1"/>
  <c r="L643" i="7" s="1"/>
  <c r="I643" i="7"/>
  <c r="I399" i="7"/>
  <c r="G399" i="7"/>
  <c r="K399" i="7" s="1"/>
  <c r="L399" i="7" s="1"/>
  <c r="G519" i="7"/>
  <c r="K519" i="7" s="1"/>
  <c r="L519" i="7" s="1"/>
  <c r="I519" i="7"/>
  <c r="G550" i="7"/>
  <c r="K550" i="7" s="1"/>
  <c r="L550" i="7" s="1"/>
  <c r="I550" i="7"/>
  <c r="G544" i="7"/>
  <c r="I544" i="7"/>
  <c r="K616" i="7"/>
  <c r="L616" i="7" s="1"/>
  <c r="K527" i="7"/>
  <c r="L527" i="7" s="1"/>
  <c r="G461" i="7"/>
  <c r="K461" i="7" s="1"/>
  <c r="L461" i="7" s="1"/>
  <c r="I461" i="7"/>
  <c r="G533" i="7"/>
  <c r="K533" i="7" s="1"/>
  <c r="L533" i="7" s="1"/>
  <c r="I533" i="7"/>
  <c r="G522" i="7"/>
  <c r="K522" i="7" s="1"/>
  <c r="L522" i="7" s="1"/>
  <c r="I522" i="7"/>
  <c r="G606" i="7"/>
  <c r="I606" i="7"/>
  <c r="I463" i="7"/>
  <c r="G463" i="7"/>
  <c r="K463" i="7" s="1"/>
  <c r="L463" i="7" s="1"/>
  <c r="K547" i="7"/>
  <c r="L547" i="7" s="1"/>
  <c r="G541" i="7"/>
  <c r="K541" i="7" s="1"/>
  <c r="L541" i="7" s="1"/>
  <c r="I541" i="7"/>
  <c r="I423" i="7"/>
  <c r="G423" i="7"/>
  <c r="K423" i="7" s="1"/>
  <c r="L423" i="7" s="1"/>
  <c r="G549" i="7"/>
  <c r="K549" i="7" s="1"/>
  <c r="L549" i="7" s="1"/>
  <c r="I549" i="7"/>
  <c r="G621" i="7"/>
  <c r="I621" i="7"/>
  <c r="G610" i="7"/>
  <c r="I610" i="7"/>
  <c r="G494" i="7"/>
  <c r="I494" i="7"/>
  <c r="G590" i="7"/>
  <c r="I590" i="7"/>
  <c r="G515" i="7"/>
  <c r="I515" i="7"/>
  <c r="G468" i="7"/>
  <c r="K468" i="7" s="1"/>
  <c r="L468" i="7" s="1"/>
  <c r="I468" i="7"/>
  <c r="G540" i="7"/>
  <c r="I540" i="7"/>
  <c r="G612" i="7"/>
  <c r="K612" i="7" s="1"/>
  <c r="L612" i="7" s="1"/>
  <c r="I612" i="7"/>
  <c r="G517" i="7"/>
  <c r="K517" i="7" s="1"/>
  <c r="L517" i="7" s="1"/>
  <c r="I517" i="7"/>
  <c r="G530" i="7"/>
  <c r="K530" i="7" s="1"/>
  <c r="L530" i="7" s="1"/>
  <c r="I530" i="7"/>
  <c r="I438" i="7"/>
  <c r="G438" i="7"/>
  <c r="K438" i="7" s="1"/>
  <c r="L438" i="7" s="1"/>
  <c r="G607" i="7"/>
  <c r="I607" i="7"/>
  <c r="G622" i="7"/>
  <c r="K622" i="7" s="1"/>
  <c r="L622" i="7" s="1"/>
  <c r="I622" i="7"/>
  <c r="K599" i="7"/>
  <c r="L599" i="7" s="1"/>
  <c r="G637" i="7"/>
  <c r="K637" i="7" s="1"/>
  <c r="L637" i="7" s="1"/>
  <c r="I637" i="7"/>
  <c r="G504" i="7"/>
  <c r="I504" i="7"/>
  <c r="G576" i="7"/>
  <c r="I576" i="7"/>
  <c r="G488" i="7"/>
  <c r="K488" i="7" s="1"/>
  <c r="L488" i="7" s="1"/>
  <c r="I488" i="7"/>
  <c r="G555" i="7"/>
  <c r="K555" i="7" s="1"/>
  <c r="L555" i="7" s="1"/>
  <c r="I555" i="7"/>
  <c r="G623" i="7"/>
  <c r="K623" i="7" s="1"/>
  <c r="L623" i="7" s="1"/>
  <c r="I623" i="7"/>
  <c r="G511" i="7"/>
  <c r="K511" i="7" s="1"/>
  <c r="L511" i="7" s="1"/>
  <c r="I511" i="7"/>
  <c r="G625" i="7"/>
  <c r="K625" i="7" s="1"/>
  <c r="L625" i="7" s="1"/>
  <c r="I625" i="7"/>
  <c r="K587" i="7"/>
  <c r="L587" i="7" s="1"/>
  <c r="G516" i="7"/>
  <c r="K516" i="7" s="1"/>
  <c r="L516" i="7" s="1"/>
  <c r="I516" i="7"/>
  <c r="I588" i="7"/>
  <c r="G588" i="7"/>
  <c r="K588" i="7" s="1"/>
  <c r="L588" i="7" s="1"/>
  <c r="L583" i="7"/>
  <c r="G502" i="7"/>
  <c r="K502" i="7" s="1"/>
  <c r="L502" i="7" s="1"/>
  <c r="I502" i="7"/>
  <c r="G523" i="7"/>
  <c r="I523" i="7"/>
  <c r="G512" i="7"/>
  <c r="K512" i="7" s="1"/>
  <c r="L512" i="7" s="1"/>
  <c r="I512" i="7"/>
  <c r="G639" i="7"/>
  <c r="K639" i="7" s="1"/>
  <c r="L639" i="7" s="1"/>
  <c r="I639" i="7"/>
  <c r="L484" i="7"/>
  <c r="G609" i="7"/>
  <c r="K609" i="7" s="1"/>
  <c r="L609" i="7" s="1"/>
  <c r="I609" i="7"/>
  <c r="G482" i="7"/>
  <c r="K482" i="7" s="1"/>
  <c r="L482" i="7" s="1"/>
  <c r="I482" i="7"/>
  <c r="K620" i="7"/>
  <c r="L620" i="7" s="1"/>
  <c r="L460" i="7"/>
  <c r="K544" i="7"/>
  <c r="L544" i="7" s="1"/>
  <c r="I630" i="7"/>
  <c r="G630" i="7"/>
  <c r="K630" i="7" s="1"/>
  <c r="L630" i="7" s="1"/>
  <c r="G551" i="7"/>
  <c r="K551" i="7" s="1"/>
  <c r="L551" i="7" s="1"/>
  <c r="I551" i="7"/>
  <c r="G450" i="7"/>
  <c r="K450" i="7" s="1"/>
  <c r="L450" i="7" s="1"/>
  <c r="I450" i="7"/>
  <c r="K606" i="7"/>
  <c r="L606" i="7" s="1"/>
  <c r="G451" i="7"/>
  <c r="K451" i="7" s="1"/>
  <c r="L451" i="7" s="1"/>
  <c r="I451" i="7"/>
  <c r="I409" i="7"/>
  <c r="G409" i="7"/>
  <c r="K409" i="7" s="1"/>
  <c r="L409" i="7" s="1"/>
  <c r="G505" i="7"/>
  <c r="K505" i="7" s="1"/>
  <c r="L505" i="7" s="1"/>
  <c r="I505" i="7"/>
  <c r="G477" i="7"/>
  <c r="K477" i="7" s="1"/>
  <c r="L477" i="7" s="1"/>
  <c r="I477" i="7"/>
  <c r="K621" i="7"/>
  <c r="L621" i="7" s="1"/>
  <c r="K610" i="7"/>
  <c r="L610" i="7" s="1"/>
  <c r="K494" i="7"/>
  <c r="L494" i="7" s="1"/>
  <c r="K590" i="7"/>
  <c r="L590" i="7" s="1"/>
  <c r="K515" i="7"/>
  <c r="L515" i="7" s="1"/>
  <c r="K540" i="7"/>
  <c r="L540" i="7" s="1"/>
  <c r="G629" i="7"/>
  <c r="I629" i="7"/>
  <c r="G558" i="7"/>
  <c r="K558" i="7" s="1"/>
  <c r="L558" i="7" s="1"/>
  <c r="I558" i="7"/>
  <c r="G573" i="7"/>
  <c r="K573" i="7" s="1"/>
  <c r="L573" i="7" s="1"/>
  <c r="I573" i="7"/>
  <c r="L582" i="7"/>
  <c r="G466" i="7"/>
  <c r="K466" i="7" s="1"/>
  <c r="L466" i="7" s="1"/>
  <c r="I466" i="7"/>
  <c r="G615" i="7"/>
  <c r="K615" i="7" s="1"/>
  <c r="L615" i="7" s="1"/>
  <c r="I615" i="7"/>
  <c r="G497" i="7"/>
  <c r="I497" i="7"/>
  <c r="G440" i="7"/>
  <c r="K440" i="7" s="1"/>
  <c r="L440" i="7" s="1"/>
  <c r="I440" i="7"/>
  <c r="G613" i="7"/>
  <c r="K613" i="7" s="1"/>
  <c r="L613" i="7" s="1"/>
  <c r="I613" i="7"/>
  <c r="K607" i="7"/>
  <c r="L607" i="7" s="1"/>
  <c r="G412" i="7"/>
  <c r="K412" i="7" s="1"/>
  <c r="L412" i="7" s="1"/>
  <c r="I412" i="7"/>
  <c r="G585" i="7"/>
  <c r="K585" i="7" s="1"/>
  <c r="L585" i="7" s="1"/>
  <c r="I585" i="7"/>
  <c r="K538" i="7"/>
  <c r="L538" i="7" s="1"/>
  <c r="K504" i="7"/>
  <c r="L504" i="7" s="1"/>
  <c r="K576" i="7"/>
  <c r="L576" i="7" s="1"/>
  <c r="I534" i="7"/>
  <c r="G534" i="7"/>
  <c r="K534" i="7" s="1"/>
  <c r="L534" i="7" s="1"/>
  <c r="K572" i="7"/>
  <c r="L572" i="7" s="1"/>
  <c r="I509" i="7"/>
  <c r="G509" i="7"/>
  <c r="K509" i="7" s="1"/>
  <c r="L509" i="7" s="1"/>
  <c r="G470" i="7"/>
  <c r="K470" i="7" s="1"/>
  <c r="L470" i="7" s="1"/>
  <c r="I470" i="7"/>
  <c r="L596" i="7"/>
  <c r="G432" i="7"/>
  <c r="K432" i="7" s="1"/>
  <c r="L432" i="7" s="1"/>
  <c r="I432" i="7"/>
  <c r="G627" i="7"/>
  <c r="K627" i="7" s="1"/>
  <c r="L627" i="7" s="1"/>
  <c r="I627" i="7"/>
  <c r="G453" i="7"/>
  <c r="K453" i="7" s="1"/>
  <c r="L453" i="7" s="1"/>
  <c r="I453" i="7"/>
  <c r="G526" i="7"/>
  <c r="K526" i="7" s="1"/>
  <c r="L526" i="7" s="1"/>
  <c r="I526" i="7"/>
  <c r="G593" i="7"/>
  <c r="K593" i="7" s="1"/>
  <c r="L593" i="7" s="1"/>
  <c r="I593" i="7"/>
  <c r="G521" i="7"/>
  <c r="K521" i="7" s="1"/>
  <c r="L521" i="7" s="1"/>
  <c r="I521" i="7"/>
  <c r="K523" i="7"/>
  <c r="L523" i="7" s="1"/>
  <c r="G635" i="7"/>
  <c r="K635" i="7" s="1"/>
  <c r="L635" i="7" s="1"/>
  <c r="I635" i="7"/>
  <c r="G632" i="7"/>
  <c r="I632" i="7"/>
  <c r="G419" i="7"/>
  <c r="K419" i="7" s="1"/>
  <c r="L419" i="7" s="1"/>
  <c r="I419" i="7"/>
  <c r="G430" i="7"/>
  <c r="K430" i="7" s="1"/>
  <c r="L430" i="7" s="1"/>
  <c r="I430" i="7"/>
  <c r="G591" i="7"/>
  <c r="K591" i="7" s="1"/>
  <c r="L591" i="7" s="1"/>
  <c r="I591" i="7"/>
  <c r="L531" i="7"/>
  <c r="G472" i="7"/>
  <c r="K472" i="7" s="1"/>
  <c r="L472" i="7" s="1"/>
  <c r="I472" i="7"/>
  <c r="I617" i="7"/>
  <c r="G617" i="7"/>
  <c r="G473" i="7"/>
  <c r="I473" i="7"/>
  <c r="I545" i="7"/>
  <c r="G545" i="7"/>
  <c r="K545" i="7" s="1"/>
  <c r="L545" i="7" s="1"/>
  <c r="G618" i="7"/>
  <c r="K618" i="7" s="1"/>
  <c r="L618" i="7" s="1"/>
  <c r="I618" i="7"/>
  <c r="I475" i="7"/>
  <c r="G475" i="7"/>
  <c r="K475" i="7" s="1"/>
  <c r="L475" i="7" s="1"/>
  <c r="G577" i="7"/>
  <c r="K577" i="7" s="1"/>
  <c r="L577" i="7" s="1"/>
  <c r="I577" i="7"/>
  <c r="G561" i="7"/>
  <c r="I561" i="7"/>
  <c r="G633" i="7"/>
  <c r="I633" i="7"/>
  <c r="G506" i="7"/>
  <c r="I506" i="7"/>
  <c r="G614" i="7"/>
  <c r="K614" i="7" s="1"/>
  <c r="L614" i="7" s="1"/>
  <c r="I614" i="7"/>
  <c r="G539" i="7"/>
  <c r="K539" i="7" s="1"/>
  <c r="L539" i="7" s="1"/>
  <c r="I539" i="7"/>
  <c r="G480" i="7"/>
  <c r="K480" i="7" s="1"/>
  <c r="L480" i="7" s="1"/>
  <c r="I480" i="7"/>
  <c r="G552" i="7"/>
  <c r="I552" i="7"/>
  <c r="G624" i="7"/>
  <c r="I624" i="7"/>
  <c r="I578" i="7"/>
  <c r="G578" i="7"/>
  <c r="K578" i="7" s="1"/>
  <c r="L578" i="7" s="1"/>
  <c r="G560" i="7"/>
  <c r="K560" i="7" s="1"/>
  <c r="L560" i="7" s="1"/>
  <c r="I560" i="7"/>
  <c r="G398" i="7"/>
  <c r="K398" i="7" s="1"/>
  <c r="L398" i="7" s="1"/>
  <c r="I398" i="7"/>
  <c r="G452" i="7"/>
  <c r="K452" i="7" s="1"/>
  <c r="L452" i="7" s="1"/>
  <c r="I452" i="7"/>
  <c r="G557" i="7"/>
  <c r="I557" i="7"/>
  <c r="G589" i="7"/>
  <c r="K589" i="7" s="1"/>
  <c r="L589" i="7" s="1"/>
  <c r="I589" i="7"/>
  <c r="G514" i="7"/>
  <c r="I514" i="7"/>
  <c r="L595" i="7"/>
  <c r="G569" i="7"/>
  <c r="K569" i="7" s="1"/>
  <c r="L569" i="7" s="1"/>
  <c r="I569" i="7"/>
  <c r="G542" i="7"/>
  <c r="K542" i="7" s="1"/>
  <c r="L542" i="7" s="1"/>
  <c r="I542" i="7"/>
  <c r="G416" i="7"/>
  <c r="K416" i="7" s="1"/>
  <c r="L416" i="7" s="1"/>
  <c r="I416" i="7"/>
  <c r="L642" i="7"/>
  <c r="G581" i="7"/>
  <c r="K581" i="7" s="1"/>
  <c r="L581" i="7" s="1"/>
  <c r="I581" i="7"/>
  <c r="G467" i="7"/>
  <c r="K467" i="7" s="1"/>
  <c r="L467" i="7" s="1"/>
  <c r="I467" i="7"/>
  <c r="G604" i="7"/>
  <c r="K604" i="7" s="1"/>
  <c r="L604" i="7" s="1"/>
  <c r="I604" i="7"/>
  <c r="G503" i="7"/>
  <c r="K503" i="7" s="1"/>
  <c r="L503" i="7" s="1"/>
  <c r="I503" i="7"/>
  <c r="I424" i="7"/>
  <c r="G424" i="7"/>
  <c r="K424" i="7" s="1"/>
  <c r="L424" i="7" s="1"/>
  <c r="G525" i="7"/>
  <c r="K525" i="7" s="1"/>
  <c r="L525" i="7" s="1"/>
  <c r="I525" i="7"/>
  <c r="K597" i="7"/>
  <c r="L597" i="7" s="1"/>
  <c r="G418" i="7"/>
  <c r="K418" i="7" s="1"/>
  <c r="L418" i="7" s="1"/>
  <c r="I418" i="7"/>
  <c r="K415" i="7"/>
  <c r="L415" i="7" s="1"/>
  <c r="G548" i="7"/>
  <c r="K548" i="7" s="1"/>
  <c r="L548" i="7" s="1"/>
  <c r="I548" i="7"/>
  <c r="K632" i="7"/>
  <c r="L632" i="7" s="1"/>
  <c r="G641" i="7"/>
  <c r="K641" i="7" s="1"/>
  <c r="L641" i="7" s="1"/>
  <c r="I641" i="7"/>
  <c r="L421" i="7"/>
  <c r="I447" i="7"/>
  <c r="G447" i="7"/>
  <c r="K447" i="7" s="1"/>
  <c r="L447" i="7" s="1"/>
  <c r="G574" i="7"/>
  <c r="K574" i="7" s="1"/>
  <c r="L574" i="7" s="1"/>
  <c r="I574" i="7"/>
  <c r="G556" i="7"/>
  <c r="K556" i="7" s="1"/>
  <c r="L556" i="7" s="1"/>
  <c r="I556" i="7"/>
  <c r="K640" i="7"/>
  <c r="L640" i="7" s="1"/>
  <c r="K617" i="7"/>
  <c r="L617" i="7" s="1"/>
  <c r="G575" i="7"/>
  <c r="K575" i="7" s="1"/>
  <c r="L575" i="7" s="1"/>
  <c r="I575" i="7"/>
  <c r="K473" i="7"/>
  <c r="L473" i="7" s="1"/>
  <c r="I462" i="7"/>
  <c r="G462" i="7"/>
  <c r="K462" i="7" s="1"/>
  <c r="L462" i="7" s="1"/>
  <c r="G546" i="7"/>
  <c r="K546" i="7" s="1"/>
  <c r="L546" i="7" s="1"/>
  <c r="I546" i="7"/>
  <c r="G487" i="7"/>
  <c r="K487" i="7" s="1"/>
  <c r="L487" i="7" s="1"/>
  <c r="I487" i="7"/>
  <c r="I457" i="7"/>
  <c r="G457" i="7"/>
  <c r="K457" i="7" s="1"/>
  <c r="L457" i="7" s="1"/>
  <c r="G404" i="7"/>
  <c r="K404" i="7" s="1"/>
  <c r="L404" i="7" s="1"/>
  <c r="I404" i="7"/>
  <c r="G553" i="7"/>
  <c r="K553" i="7" s="1"/>
  <c r="L553" i="7" s="1"/>
  <c r="I553" i="7"/>
  <c r="G489" i="7"/>
  <c r="K489" i="7" s="1"/>
  <c r="L489" i="7" s="1"/>
  <c r="I489" i="7"/>
  <c r="K561" i="7"/>
  <c r="L561" i="7" s="1"/>
  <c r="K633" i="7"/>
  <c r="L633" i="7" s="1"/>
  <c r="G490" i="7"/>
  <c r="K490" i="7" s="1"/>
  <c r="L490" i="7" s="1"/>
  <c r="I490" i="7"/>
  <c r="G634" i="7"/>
  <c r="K634" i="7" s="1"/>
  <c r="L634" i="7" s="1"/>
  <c r="I634" i="7"/>
  <c r="K506" i="7"/>
  <c r="L506" i="7" s="1"/>
  <c r="K552" i="7"/>
  <c r="L552" i="7" s="1"/>
  <c r="K624" i="7"/>
  <c r="L624" i="7" s="1"/>
  <c r="G405" i="7"/>
  <c r="K405" i="7" s="1"/>
  <c r="L405" i="7" s="1"/>
  <c r="I405" i="7"/>
  <c r="G580" i="7"/>
  <c r="K580" i="7" s="1"/>
  <c r="L580" i="7" s="1"/>
  <c r="I580" i="7"/>
  <c r="G403" i="7"/>
  <c r="K403" i="7" s="1"/>
  <c r="L403" i="7" s="1"/>
  <c r="I403" i="7"/>
  <c r="G443" i="7"/>
  <c r="K443" i="7" s="1"/>
  <c r="L443" i="7" s="1"/>
  <c r="I443" i="7"/>
  <c r="I395" i="7"/>
  <c r="G395" i="7"/>
  <c r="K395" i="7" s="1"/>
  <c r="L395" i="7" s="1"/>
  <c r="H396" i="7"/>
  <c r="F396" i="7"/>
  <c r="J396" i="7" s="1"/>
  <c r="I445" i="7"/>
  <c r="G445" i="7"/>
  <c r="K445" i="7" s="1"/>
  <c r="L445" i="7" s="1"/>
  <c r="G478" i="7"/>
  <c r="K478" i="7" s="1"/>
  <c r="L478" i="7" s="1"/>
  <c r="I478" i="7"/>
  <c r="G479" i="7"/>
  <c r="K479" i="7" s="1"/>
  <c r="L479" i="7" s="1"/>
  <c r="I479" i="7"/>
  <c r="I495" i="7"/>
  <c r="G495" i="7"/>
  <c r="K495" i="7" s="1"/>
  <c r="L495" i="7" s="1"/>
  <c r="G520" i="7"/>
  <c r="K520" i="7" s="1"/>
  <c r="L520" i="7" s="1"/>
  <c r="I520" i="7"/>
  <c r="G464" i="7"/>
  <c r="K464" i="7" s="1"/>
  <c r="L464" i="7" s="1"/>
  <c r="I464" i="7"/>
  <c r="G554" i="7"/>
  <c r="K554" i="7" s="1"/>
  <c r="L554" i="7" s="1"/>
  <c r="I554" i="7"/>
  <c r="K446" i="7"/>
  <c r="L446" i="7" s="1"/>
  <c r="G562" i="7"/>
  <c r="K562" i="7" s="1"/>
  <c r="L562" i="7" s="1"/>
  <c r="I562" i="7"/>
  <c r="G510" i="7"/>
  <c r="K510" i="7" s="1"/>
  <c r="L510" i="7" s="1"/>
  <c r="I510" i="7"/>
  <c r="G529" i="7"/>
  <c r="K529" i="7" s="1"/>
  <c r="L529" i="7" s="1"/>
  <c r="I529" i="7"/>
  <c r="I411" i="7"/>
  <c r="G411" i="7"/>
  <c r="K411" i="7" s="1"/>
  <c r="L411" i="7" s="1"/>
  <c r="G566" i="7"/>
  <c r="K566" i="7" s="1"/>
  <c r="L566" i="7" s="1"/>
  <c r="I566" i="7"/>
  <c r="G428" i="7"/>
  <c r="K428" i="7" s="1"/>
  <c r="L428" i="7" s="1"/>
  <c r="I428" i="7"/>
  <c r="G454" i="7"/>
  <c r="K454" i="7" s="1"/>
  <c r="L454" i="7" s="1"/>
  <c r="I454" i="7"/>
  <c r="I396" i="7"/>
  <c r="G396" i="7"/>
  <c r="K396" i="7" s="1"/>
  <c r="G397" i="7"/>
  <c r="K397" i="7" s="1"/>
  <c r="L397" i="7" s="1"/>
  <c r="I397" i="7"/>
  <c r="G543" i="7"/>
  <c r="K543" i="7" s="1"/>
  <c r="L543" i="7" s="1"/>
  <c r="I543" i="7"/>
  <c r="G598" i="7"/>
  <c r="K598" i="7" s="1"/>
  <c r="L598" i="7" s="1"/>
  <c r="I598" i="7"/>
  <c r="K400" i="7"/>
  <c r="L400" i="7" s="1"/>
  <c r="G496" i="7"/>
  <c r="K496" i="7" s="1"/>
  <c r="L496" i="7" s="1"/>
  <c r="I496" i="7"/>
  <c r="G568" i="7"/>
  <c r="K568" i="7" s="1"/>
  <c r="L568" i="7" s="1"/>
  <c r="I568" i="7"/>
  <c r="K629" i="7"/>
  <c r="L629" i="7" s="1"/>
  <c r="G483" i="7"/>
  <c r="K483" i="7" s="1"/>
  <c r="L483" i="7" s="1"/>
  <c r="I483" i="7"/>
  <c r="K557" i="7"/>
  <c r="L557" i="7" s="1"/>
  <c r="I474" i="7"/>
  <c r="G474" i="7"/>
  <c r="K474" i="7" s="1"/>
  <c r="L474" i="7" s="1"/>
  <c r="G571" i="7"/>
  <c r="K571" i="7" s="1"/>
  <c r="L571" i="7" s="1"/>
  <c r="I571" i="7"/>
  <c r="G469" i="7"/>
  <c r="K469" i="7" s="1"/>
  <c r="L469" i="7" s="1"/>
  <c r="I469" i="7"/>
  <c r="G601" i="7"/>
  <c r="K601" i="7" s="1"/>
  <c r="L601" i="7" s="1"/>
  <c r="I601" i="7"/>
  <c r="K645" i="7"/>
  <c r="L645" i="7" s="1"/>
  <c r="K514" i="7"/>
  <c r="L514" i="7" s="1"/>
  <c r="G565" i="7"/>
  <c r="K565" i="7" s="1"/>
  <c r="L565" i="7" s="1"/>
  <c r="I565" i="7"/>
  <c r="G518" i="7"/>
  <c r="K518" i="7" s="1"/>
  <c r="L518" i="7" s="1"/>
  <c r="I518" i="7"/>
  <c r="G638" i="7"/>
  <c r="K638" i="7" s="1"/>
  <c r="L638" i="7" s="1"/>
  <c r="I638" i="7"/>
  <c r="G563" i="7"/>
  <c r="K563" i="7" s="1"/>
  <c r="L563" i="7" s="1"/>
  <c r="I563" i="7"/>
  <c r="G492" i="7"/>
  <c r="K492" i="7" s="1"/>
  <c r="L492" i="7" s="1"/>
  <c r="I492" i="7"/>
  <c r="I564" i="7"/>
  <c r="G564" i="7"/>
  <c r="K564" i="7" s="1"/>
  <c r="L564" i="7" s="1"/>
  <c r="I636" i="7"/>
  <c r="G636" i="7"/>
  <c r="K636" i="7" s="1"/>
  <c r="L636" i="7" s="1"/>
  <c r="G602" i="7"/>
  <c r="K602" i="7" s="1"/>
  <c r="L602" i="7" s="1"/>
  <c r="I602" i="7"/>
  <c r="G437" i="7"/>
  <c r="K437" i="7" s="1"/>
  <c r="L437" i="7" s="1"/>
  <c r="I437" i="7"/>
  <c r="G392" i="7" l="1"/>
  <c r="P408" i="7"/>
  <c r="P420" i="7"/>
  <c r="P432" i="7"/>
  <c r="P444" i="7"/>
  <c r="P456" i="7"/>
  <c r="P468" i="7"/>
  <c r="P480" i="7"/>
  <c r="P492" i="7"/>
  <c r="P504" i="7"/>
  <c r="P516" i="7"/>
  <c r="P528" i="7"/>
  <c r="P540" i="7"/>
  <c r="P552" i="7"/>
  <c r="P564" i="7"/>
  <c r="P576" i="7"/>
  <c r="P588" i="7"/>
  <c r="P600" i="7"/>
  <c r="P612" i="7"/>
  <c r="P624" i="7"/>
  <c r="P636" i="7"/>
  <c r="P409" i="7"/>
  <c r="P421" i="7"/>
  <c r="P433" i="7"/>
  <c r="P445" i="7"/>
  <c r="P457" i="7"/>
  <c r="P469" i="7"/>
  <c r="P481" i="7"/>
  <c r="P493" i="7"/>
  <c r="P505" i="7"/>
  <c r="P517" i="7"/>
  <c r="P529" i="7"/>
  <c r="P541" i="7"/>
  <c r="P553" i="7"/>
  <c r="P565" i="7"/>
  <c r="P577" i="7"/>
  <c r="P589" i="7"/>
  <c r="P601" i="7"/>
  <c r="P613" i="7"/>
  <c r="P625" i="7"/>
  <c r="P637" i="7"/>
  <c r="P497" i="7"/>
  <c r="P569" i="7"/>
  <c r="P605" i="7"/>
  <c r="P641" i="7"/>
  <c r="P401" i="7"/>
  <c r="P438" i="7"/>
  <c r="P474" i="7"/>
  <c r="P510" i="7"/>
  <c r="P546" i="7"/>
  <c r="P606" i="7"/>
  <c r="P427" i="7"/>
  <c r="P487" i="7"/>
  <c r="P523" i="7"/>
  <c r="P571" i="7"/>
  <c r="P643" i="7"/>
  <c r="P452" i="7"/>
  <c r="P512" i="7"/>
  <c r="P584" i="7"/>
  <c r="P644" i="7"/>
  <c r="P429" i="7"/>
  <c r="P477" i="7"/>
  <c r="P525" i="7"/>
  <c r="P597" i="7"/>
  <c r="P402" i="7"/>
  <c r="P475" i="7"/>
  <c r="P547" i="7"/>
  <c r="P619" i="7"/>
  <c r="P404" i="7"/>
  <c r="P464" i="7"/>
  <c r="P536" i="7"/>
  <c r="P608" i="7"/>
  <c r="P441" i="7"/>
  <c r="P501" i="7"/>
  <c r="P561" i="7"/>
  <c r="P621" i="7"/>
  <c r="P403" i="7"/>
  <c r="P410" i="7"/>
  <c r="P422" i="7"/>
  <c r="P434" i="7"/>
  <c r="P446" i="7"/>
  <c r="P458" i="7"/>
  <c r="P470" i="7"/>
  <c r="P482" i="7"/>
  <c r="P494" i="7"/>
  <c r="P506" i="7"/>
  <c r="P518" i="7"/>
  <c r="P530" i="7"/>
  <c r="P542" i="7"/>
  <c r="P554" i="7"/>
  <c r="P566" i="7"/>
  <c r="P578" i="7"/>
  <c r="P590" i="7"/>
  <c r="P602" i="7"/>
  <c r="P614" i="7"/>
  <c r="P626" i="7"/>
  <c r="P638" i="7"/>
  <c r="P400" i="7"/>
  <c r="P437" i="7"/>
  <c r="P473" i="7"/>
  <c r="P509" i="7"/>
  <c r="P545" i="7"/>
  <c r="P581" i="7"/>
  <c r="P617" i="7"/>
  <c r="P414" i="7"/>
  <c r="P450" i="7"/>
  <c r="P486" i="7"/>
  <c r="P522" i="7"/>
  <c r="P558" i="7"/>
  <c r="P594" i="7"/>
  <c r="P630" i="7"/>
  <c r="P415" i="7"/>
  <c r="P463" i="7"/>
  <c r="P511" i="7"/>
  <c r="P559" i="7"/>
  <c r="P595" i="7"/>
  <c r="P416" i="7"/>
  <c r="P476" i="7"/>
  <c r="P548" i="7"/>
  <c r="P596" i="7"/>
  <c r="P405" i="7"/>
  <c r="P465" i="7"/>
  <c r="P537" i="7"/>
  <c r="P609" i="7"/>
  <c r="P411" i="7"/>
  <c r="P423" i="7"/>
  <c r="P435" i="7"/>
  <c r="P447" i="7"/>
  <c r="P459" i="7"/>
  <c r="P471" i="7"/>
  <c r="P483" i="7"/>
  <c r="P495" i="7"/>
  <c r="P507" i="7"/>
  <c r="P519" i="7"/>
  <c r="P531" i="7"/>
  <c r="P543" i="7"/>
  <c r="P555" i="7"/>
  <c r="P567" i="7"/>
  <c r="P579" i="7"/>
  <c r="P591" i="7"/>
  <c r="P603" i="7"/>
  <c r="P615" i="7"/>
  <c r="P627" i="7"/>
  <c r="P639" i="7"/>
  <c r="P413" i="7"/>
  <c r="P449" i="7"/>
  <c r="P461" i="7"/>
  <c r="P485" i="7"/>
  <c r="P521" i="7"/>
  <c r="P557" i="7"/>
  <c r="P593" i="7"/>
  <c r="P629" i="7"/>
  <c r="P426" i="7"/>
  <c r="P462" i="7"/>
  <c r="P498" i="7"/>
  <c r="P534" i="7"/>
  <c r="P570" i="7"/>
  <c r="P618" i="7"/>
  <c r="P642" i="7"/>
  <c r="P439" i="7"/>
  <c r="P499" i="7"/>
  <c r="P535" i="7"/>
  <c r="P583" i="7"/>
  <c r="P631" i="7"/>
  <c r="P440" i="7"/>
  <c r="P500" i="7"/>
  <c r="P572" i="7"/>
  <c r="P632" i="7"/>
  <c r="P453" i="7"/>
  <c r="P513" i="7"/>
  <c r="P549" i="7"/>
  <c r="P585" i="7"/>
  <c r="P633" i="7"/>
  <c r="P399" i="7"/>
  <c r="P412" i="7"/>
  <c r="P424" i="7"/>
  <c r="P436" i="7"/>
  <c r="P448" i="7"/>
  <c r="P460" i="7"/>
  <c r="P472" i="7"/>
  <c r="P484" i="7"/>
  <c r="P496" i="7"/>
  <c r="P508" i="7"/>
  <c r="P520" i="7"/>
  <c r="P532" i="7"/>
  <c r="P544" i="7"/>
  <c r="P556" i="7"/>
  <c r="P568" i="7"/>
  <c r="P580" i="7"/>
  <c r="P592" i="7"/>
  <c r="P604" i="7"/>
  <c r="P616" i="7"/>
  <c r="P628" i="7"/>
  <c r="P640" i="7"/>
  <c r="P425" i="7"/>
  <c r="P533" i="7"/>
  <c r="P524" i="7"/>
  <c r="P406" i="7"/>
  <c r="P418" i="7"/>
  <c r="P430" i="7"/>
  <c r="P442" i="7"/>
  <c r="P454" i="7"/>
  <c r="P466" i="7"/>
  <c r="P478" i="7"/>
  <c r="P490" i="7"/>
  <c r="P502" i="7"/>
  <c r="P514" i="7"/>
  <c r="P526" i="7"/>
  <c r="P538" i="7"/>
  <c r="P550" i="7"/>
  <c r="P562" i="7"/>
  <c r="P574" i="7"/>
  <c r="P586" i="7"/>
  <c r="P598" i="7"/>
  <c r="P610" i="7"/>
  <c r="P622" i="7"/>
  <c r="P634" i="7"/>
  <c r="P407" i="7"/>
  <c r="P419" i="7"/>
  <c r="P431" i="7"/>
  <c r="P443" i="7"/>
  <c r="P455" i="7"/>
  <c r="P467" i="7"/>
  <c r="P479" i="7"/>
  <c r="P491" i="7"/>
  <c r="P503" i="7"/>
  <c r="P515" i="7"/>
  <c r="P527" i="7"/>
  <c r="P539" i="7"/>
  <c r="P551" i="7"/>
  <c r="P563" i="7"/>
  <c r="P575" i="7"/>
  <c r="P587" i="7"/>
  <c r="P599" i="7"/>
  <c r="P611" i="7"/>
  <c r="P623" i="7"/>
  <c r="P635" i="7"/>
  <c r="P582" i="7"/>
  <c r="P451" i="7"/>
  <c r="P607" i="7"/>
  <c r="P428" i="7"/>
  <c r="P488" i="7"/>
  <c r="P560" i="7"/>
  <c r="P620" i="7"/>
  <c r="P417" i="7"/>
  <c r="P489" i="7"/>
  <c r="P573" i="7"/>
  <c r="P645" i="7"/>
  <c r="T396" i="7"/>
  <c r="S396" i="7"/>
  <c r="F380" i="7"/>
  <c r="AC3" i="1" a="1"/>
  <c r="AC3" i="1" s="1"/>
  <c r="AD3" i="1" l="1"/>
  <c r="AE3" i="1" s="1"/>
  <c r="F379" i="7"/>
  <c r="U6" i="7"/>
  <c r="AF3" i="1" l="1"/>
  <c r="AG3"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<sst xmlns="http://schemas.openxmlformats.org/spreadsheetml/2006/main" count="244" uniqueCount="182">
  <si>
    <t># contracts</t>
  </si>
  <si>
    <t>option</t>
  </si>
  <si>
    <t>underlying</t>
  </si>
  <si>
    <t>K</t>
  </si>
  <si>
    <t>T (in years)</t>
  </si>
  <si>
    <t>σ (annual)</t>
  </si>
  <si>
    <t>risk free rate</t>
  </si>
  <si>
    <t>long put</t>
  </si>
  <si>
    <t>NESN</t>
  </si>
  <si>
    <t>short call</t>
  </si>
  <si>
    <t>SREN</t>
  </si>
  <si>
    <t>Beta</t>
  </si>
  <si>
    <t>NSEN</t>
  </si>
  <si>
    <t>date</t>
  </si>
  <si>
    <t>SMI</t>
  </si>
  <si>
    <t># bonds</t>
  </si>
  <si>
    <t>maturity in years</t>
  </si>
  <si>
    <t>annual coupon</t>
  </si>
  <si>
    <t>zero</t>
  </si>
  <si>
    <t xml:space="preserve">Notes: </t>
  </si>
  <si>
    <t>Negative #bonds means you are short</t>
  </si>
  <si>
    <t>1y</t>
  </si>
  <si>
    <t>2y</t>
  </si>
  <si>
    <t>3y</t>
  </si>
  <si>
    <t>4y</t>
  </si>
  <si>
    <t>5y</t>
  </si>
  <si>
    <t>Price Bond 1</t>
  </si>
  <si>
    <t>Price Bond 2</t>
  </si>
  <si>
    <t>Price Bond 3</t>
  </si>
  <si>
    <t>d1</t>
  </si>
  <si>
    <t>Portfolio total</t>
  </si>
  <si>
    <t xml:space="preserve">Portfolio total </t>
  </si>
  <si>
    <t>(sum here of portfolio positions)</t>
  </si>
  <si>
    <t>VaR(00%, 1) sharp diagonal model formula:</t>
  </si>
  <si>
    <t>alpha * |portfolio beta| * variance SMI * W</t>
  </si>
  <si>
    <t>Alpha at 99% Normal</t>
  </si>
  <si>
    <t>Portfolio beta</t>
  </si>
  <si>
    <t>sum(weight * beta i)</t>
  </si>
  <si>
    <t>Variance SMI</t>
  </si>
  <si>
    <t>Portfolio</t>
  </si>
  <si>
    <t>weight = position value I / total portfolio value</t>
  </si>
  <si>
    <t>t todat = 0</t>
  </si>
  <si>
    <t>Assume face value</t>
  </si>
  <si>
    <t>Day Yield_1</t>
  </si>
  <si>
    <t>Day Yield_2</t>
  </si>
  <si>
    <t>Day Yield_3</t>
  </si>
  <si>
    <t>Day Yield_4</t>
  </si>
  <si>
    <t>Day Yield_5</t>
  </si>
  <si>
    <t>Simulated scenario 1</t>
  </si>
  <si>
    <t>Simulated scenario 2</t>
  </si>
  <si>
    <t>Simulated scenario 3</t>
  </si>
  <si>
    <t>Simulated scenario 4</t>
  </si>
  <si>
    <t>Simulated scenario 5</t>
  </si>
  <si>
    <t> ES(99%,1)</t>
  </si>
  <si>
    <t>Delta Method</t>
  </si>
  <si>
    <t>VaR(99%,1)</t>
  </si>
  <si>
    <t>SREN (short)</t>
  </si>
  <si>
    <t>NESN (long)</t>
  </si>
  <si>
    <t>contract size</t>
  </si>
  <si>
    <t>Asset Normal approach with</t>
  </si>
  <si>
    <t>Individual bond price 25.april.25</t>
  </si>
  <si>
    <t>Q1</t>
  </si>
  <si>
    <t>Q2</t>
  </si>
  <si>
    <t>Bond 1</t>
  </si>
  <si>
    <t>Bond 2</t>
  </si>
  <si>
    <t>Bond 3</t>
  </si>
  <si>
    <t>alpha</t>
  </si>
  <si>
    <t>daily volatility</t>
  </si>
  <si>
    <t>1.1)</t>
  </si>
  <si>
    <t>individual</t>
  </si>
  <si>
    <t>total</t>
  </si>
  <si>
    <t>R_SREN</t>
  </si>
  <si>
    <t>R_NSEN</t>
  </si>
  <si>
    <t>x</t>
  </si>
  <si>
    <t>Column 1</t>
  </si>
  <si>
    <t>Column 2</t>
  </si>
  <si>
    <t>Column 3</t>
  </si>
  <si>
    <t>Column 4</t>
  </si>
  <si>
    <t>Column 5</t>
  </si>
  <si>
    <t>z</t>
  </si>
  <si>
    <t>log returns</t>
  </si>
  <si>
    <t>correlation:</t>
  </si>
  <si>
    <t>historical data (past 250)</t>
  </si>
  <si>
    <t>VCV</t>
  </si>
  <si>
    <t>diversified</t>
  </si>
  <si>
    <t>individual sum</t>
  </si>
  <si>
    <t>benefit</t>
  </si>
  <si>
    <t>1.2)</t>
  </si>
  <si>
    <t>SMI Exposure</t>
  </si>
  <si>
    <t>total:</t>
  </si>
  <si>
    <t>1.3)</t>
  </si>
  <si>
    <t>d1 SREN</t>
  </si>
  <si>
    <t xml:space="preserve">T - 1day = </t>
  </si>
  <si>
    <t>d1 NESN</t>
  </si>
  <si>
    <t>d2 NESN</t>
  </si>
  <si>
    <t>d2 SREN</t>
  </si>
  <si>
    <t>delta_put/call_t</t>
  </si>
  <si>
    <t>delta_put NESN</t>
  </si>
  <si>
    <t>delta_call SREN</t>
  </si>
  <si>
    <t>Fair Price NESN put</t>
  </si>
  <si>
    <t>Fair Price SREN call</t>
  </si>
  <si>
    <t>Portfolio Value</t>
  </si>
  <si>
    <t>Todays portfolio value =</t>
  </si>
  <si>
    <t>(Delta) Exposure</t>
  </si>
  <si>
    <t>SIMULATIONS (t)</t>
  </si>
  <si>
    <t>SREN S_t</t>
  </si>
  <si>
    <t>NESN S_t</t>
  </si>
  <si>
    <t>T</t>
  </si>
  <si>
    <t>Today</t>
  </si>
  <si>
    <t>sim with the day of 250 days ago</t>
  </si>
  <si>
    <t>mean</t>
  </si>
  <si>
    <t>Last_250 days</t>
  </si>
  <si>
    <t>BOND 1</t>
  </si>
  <si>
    <t>BOND 2</t>
  </si>
  <si>
    <t>BOND 3</t>
  </si>
  <si>
    <t>1st Percentile</t>
  </si>
  <si>
    <t>Returns</t>
  </si>
  <si>
    <t>Portfolio Total</t>
  </si>
  <si>
    <t>Returns Sorted</t>
  </si>
  <si>
    <t>VAR</t>
  </si>
  <si>
    <t>ES</t>
  </si>
  <si>
    <t>"=T-t"</t>
  </si>
  <si>
    <t>solution at row 365</t>
  </si>
  <si>
    <t>maturity (years)</t>
  </si>
  <si>
    <t>coupon</t>
  </si>
  <si>
    <t>rate (%)</t>
  </si>
  <si>
    <t>Overall portfolio</t>
  </si>
  <si>
    <t>Price</t>
  </si>
  <si>
    <t>Total Value</t>
  </si>
  <si>
    <t>Mean below VAR</t>
  </si>
  <si>
    <t>sigma p</t>
  </si>
  <si>
    <t>P value sorted</t>
  </si>
  <si>
    <t>P sim sorted - P today</t>
  </si>
  <si>
    <t>potential change in value</t>
  </si>
  <si>
    <t>first percetile: value portfolio in 1% case</t>
  </si>
  <si>
    <t>ES(99%, 1)</t>
  </si>
  <si>
    <t>X_T (discounted cahs flow map)</t>
  </si>
  <si>
    <t>T (year)</t>
  </si>
  <si>
    <t>A</t>
  </si>
  <si>
    <t>B</t>
  </si>
  <si>
    <t>C</t>
  </si>
  <si>
    <t>Portf. zcb</t>
  </si>
  <si>
    <t>daily volatility right one</t>
  </si>
  <si>
    <t>Assue FV 100</t>
  </si>
  <si>
    <t>Yt</t>
  </si>
  <si>
    <t>DF(T)</t>
  </si>
  <si>
    <t>bond 1 pos</t>
  </si>
  <si>
    <t>bond 2 pos.</t>
  </si>
  <si>
    <t>bond 3 pos.</t>
  </si>
  <si>
    <r>
      <t>MD= T/(1 + y</t>
    </r>
    <r>
      <rPr>
        <sz val="9"/>
        <color rgb="FF000000"/>
        <rFont val="Helvetica"/>
        <family val="2"/>
      </rPr>
      <t xml:space="preserve">T </t>
    </r>
    <r>
      <rPr>
        <sz val="12"/>
        <color rgb="FF000000"/>
        <rFont val="Helvetica"/>
        <family val="2"/>
      </rPr>
      <t>)</t>
    </r>
  </si>
  <si>
    <r>
      <t>σ(dy</t>
    </r>
    <r>
      <rPr>
        <sz val="9"/>
        <color rgb="FF000000"/>
        <rFont val="Helvetica"/>
        <family val="2"/>
      </rPr>
      <t xml:space="preserve">T </t>
    </r>
    <r>
      <rPr>
        <sz val="12"/>
        <color rgb="FF000000"/>
        <rFont val="Helvetica"/>
        <family val="2"/>
      </rPr>
      <t>)</t>
    </r>
  </si>
  <si>
    <r>
      <t>MD ×σ(dy</t>
    </r>
    <r>
      <rPr>
        <sz val="9"/>
        <color rgb="FF000000"/>
        <rFont val="Helvetica"/>
        <family val="2"/>
      </rPr>
      <t xml:space="preserve">T </t>
    </r>
    <r>
      <rPr>
        <sz val="12"/>
        <color rgb="FF000000"/>
        <rFont val="Helvetica"/>
        <family val="2"/>
      </rPr>
      <t>) = V</t>
    </r>
  </si>
  <si>
    <t xml:space="preserve">correlation matrix of all 5 yields </t>
  </si>
  <si>
    <t>R:</t>
  </si>
  <si>
    <t>Diag V</t>
  </si>
  <si>
    <t>VaR(99%, 1)</t>
  </si>
  <si>
    <t>Σ= diag(V) ×R ×diag(V)</t>
  </si>
  <si>
    <t>dy1</t>
  </si>
  <si>
    <t>dy2</t>
  </si>
  <si>
    <t>dy4</t>
  </si>
  <si>
    <t>dy5</t>
  </si>
  <si>
    <t>2.2)</t>
  </si>
  <si>
    <t>2.3)</t>
  </si>
  <si>
    <t>2.1)</t>
  </si>
  <si>
    <t>Exch. USD/CHF(250d)</t>
  </si>
  <si>
    <t>% change</t>
  </si>
  <si>
    <t>simulation exch. USD/CHF</t>
  </si>
  <si>
    <t>Losses</t>
  </si>
  <si>
    <t>sorted losses</t>
  </si>
  <si>
    <t>corr(Op.P, B.P)</t>
  </si>
  <si>
    <t>Total UVaR</t>
  </si>
  <si>
    <t>ES bonds(99%,1)</t>
  </si>
  <si>
    <t>change from today</t>
  </si>
  <si>
    <t>VaR Bonds CHF(99%,1)</t>
  </si>
  <si>
    <t>3)</t>
  </si>
  <si>
    <t>sum var of 2 portfolios</t>
  </si>
  <si>
    <t>VaR bond weight</t>
  </si>
  <si>
    <t>VaR option weight</t>
  </si>
  <si>
    <t>TOTAL VaR P.</t>
  </si>
  <si>
    <t>TOTAL ES</t>
  </si>
  <si>
    <t>Total  ES without correlation</t>
  </si>
  <si>
    <t>sum var of 2 portfolios no correlation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</si>
</sst>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_ * #,##0.00_ ;_ * \-#,##0.00_ ;_ * &quot;-&quot;??_ ;_ @_ "/>
    <numFmt numFmtId="165" formatCode="_ [$€-2]\ * #,##0_ ;_ [$€-2]\ * \-#,##0_ ;_ [$€-2]\ * &quot;-&quot;??_ ;_ @_ "/>
    <numFmt numFmtId="166" formatCode="[$-F800]dddd\,\ mmmm\ dd\,\ yyyy"/>
    <numFmt numFmtId="167" formatCode="#,##0.00\ [$CHF]"/>
    <numFmt numFmtId="168" formatCode="#,##0\ [$CHF];\-#,##0\ [$CHF]"/>
    <numFmt numFmtId="169" formatCode="_ * #,##0.000_ ;_ * \-#,##0.000_ ;_ * &quot;-&quot;??_ ;_ @_ "/>
    <numFmt numFmtId="170" formatCode="0.000%"/>
    <numFmt numFmtId="171" formatCode="[$-409]dd\-mmm\-yy;@"/>
    <numFmt numFmtId="172" formatCode="#,##0.00\ &quot;€&quot;"/>
    <numFmt numFmtId="173" formatCode="&quot;CHF&quot;\ #,##0.00"/>
    <numFmt numFmtId="174" formatCode="[$CHF]\ #,##0.00"/>
    <numFmt numFmtId="175" formatCode="0.000000"/>
    <numFmt numFmtId="176" formatCode="[$CHF]\ #,##0.000"/>
    <numFmt numFmtId="177" formatCode="#,##0.000000000"/>
    <numFmt numFmtId="178" formatCode="0.000000000000000000"/>
    <numFmt numFmtId="179" formatCode="&quot;$&quot;#,##0.00"/>
    <numFmt numFmtId="180" formatCode="[$CHF]\ #,##0.00;[$CHF]\ \-#,##0.00"/>
    <numFmt numFmtId="181" formatCode="[$USD]\ #,##0.00"/>
  </numFmts>
  <fonts count="16" x14ac:knownFonts="1">
    <font>
      <sz val="11"/>
      <color theme="1"/>
      <name val="Calibri"/>
      <family val="2"/>
      <scheme val="minor"/>
    </font>
    <font>
      <sz val="11"/>
      <color theme="1"/>
      <name val="Calibri"/>
      <family val="2"/>
      <scheme val="minor"/>
    </font>
    <font>
      <sz val="12"/>
      <color theme="1"/>
      <name val="Calibri Light"/>
      <family val="2"/>
      <scheme val="major"/>
    </font>
    <font>
      <b/>
      <sz val="12"/>
      <color theme="1"/>
      <name val="Calibri Light"/>
      <family val="2"/>
      <scheme val="major"/>
    </font>
    <font>
      <b/>
      <sz val="11"/>
      <color theme="1"/>
      <name val="Calibri"/>
      <family val="2"/>
      <scheme val="minor"/>
    </font>
    <font>
      <b/>
      <sz val="12"/>
      <color theme="1"/>
      <name val="Calibri Light"/>
      <family val="2"/>
      <scheme val="major"/>
    </font>
    <font>
      <sz val="8"/>
      <name val="Calibri"/>
      <family val="2"/>
      <scheme val="minor"/>
    </font>
    <font>
      <sz val="12"/>
      <color rgb="FF000000"/>
      <name val="Helvetica"/>
      <family val="2"/>
    </font>
    <font>
      <sz val="11"/>
      <color rgb="FFFF0000"/>
      <name val="Calibri"/>
      <family val="2"/>
      <scheme val="minor"/>
    </font>
    <font>
      <sz val="11"/>
      <color rgb="FFFF0000"/>
      <name val="Calibri (Body)"/>
    </font>
    <font>
      <sz val="10"/>
      <color theme="1"/>
      <name val="Arial Unicode MS"/>
      <family val="2"/>
    </font>
    <font>
      <sz val="11"/>
      <color theme="8"/>
      <name val="Calibri"/>
      <family val="2"/>
      <scheme val="minor"/>
    </font>
    <font>
      <sz val="12"/>
      <color rgb="FF000000"/>
      <name val="Calibri Light"/>
      <family val="2"/>
    </font>
    <font>
      <sz val="9"/>
      <color rgb="FF000000"/>
      <name val="Helvetica"/>
      <family val="2"/>
    </font>
    <font>
      <i/>
      <sz val="11"/>
      <color theme="1"/>
      <name val="Calibri"/>
      <family val="2"/>
      <scheme val="minor"/>
    </font>
    <font>
      <sz val="11"/>
      <color theme="8" tint="-0.249977111117893"/>
      <name val="Calibri"/>
      <family val="2"/>
      <scheme val="minor"/>
    </font>
  </fonts>
  <fills count="17">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1" tint="4.9989318521683403E-2"/>
        <bgColor indexed="64"/>
      </patternFill>
    </fill>
    <fill>
      <patternFill patternType="solid">
        <fgColor rgb="FF00B0F0"/>
        <bgColor indexed="64"/>
      </patternFill>
    </fill>
    <fill>
      <patternFill patternType="solid">
        <fgColor rgb="FFFF0000"/>
        <bgColor indexed="64"/>
      </patternFill>
    </fill>
    <fill>
      <patternFill patternType="solid">
        <fgColor rgb="FF92D050"/>
        <bgColor indexed="64"/>
      </patternFill>
    </fill>
    <fill>
      <patternFill patternType="solid">
        <fgColor theme="0"/>
        <bgColor indexed="64"/>
      </patternFill>
    </fill>
    <fill>
      <patternFill patternType="solid">
        <fgColor theme="1"/>
        <bgColor indexed="64"/>
      </patternFill>
    </fill>
    <fill>
      <patternFill patternType="solid">
        <fgColor theme="5"/>
        <bgColor indexed="64"/>
      </patternFill>
    </fill>
    <fill>
      <patternFill patternType="solid">
        <fgColor theme="7"/>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8" tint="0.79998168889431442"/>
        <bgColor theme="8" tint="0.79998168889431442"/>
      </patternFill>
    </fill>
    <fill>
      <patternFill patternType="solid">
        <fgColor rgb="FFFFFF00"/>
        <bgColor theme="8" tint="0.79998168889431442"/>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
      <left/>
      <right/>
      <top/>
      <bottom style="thin">
        <color theme="8"/>
      </bottom>
      <diagonal/>
    </border>
  </borders>
  <cellStyleXfs count="4">
    <xf numFmtId="0" fontId="0" fillId="0" borderId="0"/>
    <xf numFmtId="164" fontId="1" fillId="0" borderId="0" applyFont="0" applyFill="0" applyBorder="0" applyAlignment="0" applyProtection="0"/>
    <xf numFmtId="0" fontId="1" fillId="0" borderId="0"/>
    <xf numFmtId="164" fontId="1" fillId="0" borderId="0" applyFont="0" applyFill="0" applyBorder="0" applyAlignment="0" applyProtection="0"/>
  </cellStyleXfs>
  <cellXfs count="94">
    <xf numFmtId="0" fontId="0" fillId="0" borderId="0" xfId="0"/>
    <xf numFmtId="0" fontId="2" fillId="0" borderId="0" xfId="0" applyFont="1"/>
    <xf numFmtId="0" fontId="2" fillId="2" borderId="1" xfId="0" applyFont="1" applyFill="1" applyBorder="1"/>
    <xf numFmtId="0" fontId="3" fillId="0" borderId="0" xfId="0" applyFont="1"/>
    <xf numFmtId="0" fontId="2" fillId="0" borderId="0" xfId="0" applyFont="1" applyAlignment="1">
      <alignment horizontal="center"/>
    </xf>
    <xf numFmtId="0" fontId="3" fillId="0" borderId="1" xfId="0" applyFont="1" applyBorder="1" applyAlignment="1">
      <alignment horizontal="center"/>
    </xf>
    <xf numFmtId="3" fontId="2" fillId="0" borderId="0" xfId="1" applyNumberFormat="1" applyFont="1" applyAlignment="1">
      <alignment horizontal="center"/>
    </xf>
    <xf numFmtId="165" fontId="2" fillId="0" borderId="0" xfId="0" applyNumberFormat="1" applyFont="1" applyAlignment="1">
      <alignment horizontal="center"/>
    </xf>
    <xf numFmtId="166" fontId="0" fillId="0" borderId="0" xfId="0" applyNumberFormat="1"/>
    <xf numFmtId="0" fontId="0" fillId="0" borderId="1" xfId="0" applyBorder="1"/>
    <xf numFmtId="14" fontId="0" fillId="0" borderId="0" xfId="0" applyNumberFormat="1"/>
    <xf numFmtId="167" fontId="0" fillId="0" borderId="0" xfId="0" applyNumberFormat="1"/>
    <xf numFmtId="0" fontId="4" fillId="3" borderId="2" xfId="0" applyFont="1" applyFill="1" applyBorder="1" applyAlignment="1">
      <alignment horizontal="center" vertical="center"/>
    </xf>
    <xf numFmtId="0" fontId="3" fillId="3" borderId="2" xfId="0" applyFont="1" applyFill="1" applyBorder="1" applyAlignment="1">
      <alignment horizontal="center"/>
    </xf>
    <xf numFmtId="0" fontId="4" fillId="0" borderId="1" xfId="0" applyFont="1" applyBorder="1" applyAlignment="1">
      <alignment horizontal="center"/>
    </xf>
    <xf numFmtId="168" fontId="2" fillId="0" borderId="0" xfId="0" applyNumberFormat="1" applyFont="1" applyAlignment="1">
      <alignment horizontal="center"/>
    </xf>
    <xf numFmtId="0" fontId="3" fillId="0" borderId="1" xfId="0" applyFont="1" applyBorder="1" applyAlignment="1">
      <alignment horizontal="center" vertical="center"/>
    </xf>
    <xf numFmtId="0" fontId="2" fillId="0" borderId="0" xfId="0" applyFont="1" applyAlignment="1">
      <alignment horizontal="center" vertical="center"/>
    </xf>
    <xf numFmtId="169" fontId="0" fillId="0" borderId="0" xfId="1" applyNumberFormat="1" applyFont="1"/>
    <xf numFmtId="2" fontId="2" fillId="0" borderId="0" xfId="0" applyNumberFormat="1" applyFont="1"/>
    <xf numFmtId="170" fontId="0" fillId="0" borderId="0" xfId="0" applyNumberFormat="1"/>
    <xf numFmtId="170" fontId="0" fillId="0" borderId="0" xfId="1" applyNumberFormat="1" applyFont="1"/>
    <xf numFmtId="170" fontId="4" fillId="3" borderId="2" xfId="0" applyNumberFormat="1" applyFont="1" applyFill="1" applyBorder="1" applyAlignment="1">
      <alignment horizontal="center" vertical="center"/>
    </xf>
    <xf numFmtId="2" fontId="2" fillId="2" borderId="1" xfId="0" applyNumberFormat="1" applyFont="1" applyFill="1" applyBorder="1" applyAlignment="1">
      <alignment horizontal="center"/>
    </xf>
    <xf numFmtId="2" fontId="0" fillId="0" borderId="0" xfId="0" applyNumberFormat="1" applyAlignment="1">
      <alignment horizontal="center"/>
    </xf>
    <xf numFmtId="171" fontId="0" fillId="0" borderId="0" xfId="0" applyNumberFormat="1"/>
    <xf numFmtId="172" fontId="0" fillId="0" borderId="0" xfId="0" applyNumberFormat="1"/>
    <xf numFmtId="172" fontId="2" fillId="0" borderId="0" xfId="0" applyNumberFormat="1" applyFont="1"/>
    <xf numFmtId="0" fontId="5" fillId="0" borderId="1" xfId="0" applyFont="1" applyBorder="1" applyAlignment="1">
      <alignment horizontal="center" vertical="center"/>
    </xf>
    <xf numFmtId="0" fontId="4" fillId="0" borderId="0" xfId="0" applyFont="1" applyAlignment="1">
      <alignment horizontal="center"/>
    </xf>
    <xf numFmtId="2" fontId="0" fillId="0" borderId="0" xfId="0" applyNumberFormat="1"/>
    <xf numFmtId="0" fontId="4" fillId="0" borderId="0" xfId="0" applyFont="1"/>
    <xf numFmtId="0" fontId="3" fillId="2" borderId="1" xfId="0" applyFont="1" applyFill="1" applyBorder="1"/>
    <xf numFmtId="0" fontId="7" fillId="0" borderId="0" xfId="0" applyFont="1"/>
    <xf numFmtId="173" fontId="0" fillId="0" borderId="0" xfId="0" applyNumberFormat="1"/>
    <xf numFmtId="0" fontId="3" fillId="0" borderId="0" xfId="0" applyFont="1" applyAlignment="1">
      <alignment horizontal="center"/>
    </xf>
    <xf numFmtId="174" fontId="0" fillId="0" borderId="0" xfId="0" applyNumberFormat="1"/>
    <xf numFmtId="171" fontId="8" fillId="4" borderId="0" xfId="0" applyNumberFormat="1" applyFont="1" applyFill="1"/>
    <xf numFmtId="0" fontId="8" fillId="4" borderId="0" xfId="0" applyFont="1" applyFill="1"/>
    <xf numFmtId="4" fontId="0" fillId="0" borderId="0" xfId="0" applyNumberFormat="1"/>
    <xf numFmtId="175" fontId="0" fillId="0" borderId="0" xfId="0" applyNumberFormat="1"/>
    <xf numFmtId="0" fontId="9" fillId="5" borderId="0" xfId="0" applyFont="1" applyFill="1"/>
    <xf numFmtId="10" fontId="0" fillId="0" borderId="0" xfId="0" applyNumberFormat="1"/>
    <xf numFmtId="10" fontId="0" fillId="0" borderId="0" xfId="1" applyNumberFormat="1" applyFont="1"/>
    <xf numFmtId="0" fontId="0" fillId="0" borderId="0" xfId="0" applyAlignment="1">
      <alignment horizontal="center"/>
    </xf>
    <xf numFmtId="175" fontId="10" fillId="0" borderId="0" xfId="0" applyNumberFormat="1" applyFont="1"/>
    <xf numFmtId="0" fontId="2" fillId="4" borderId="0" xfId="0" applyFont="1" applyFill="1"/>
    <xf numFmtId="173" fontId="0" fillId="4" borderId="0" xfId="0" applyNumberFormat="1" applyFill="1"/>
    <xf numFmtId="0" fontId="0" fillId="4" borderId="0" xfId="0" applyFill="1"/>
    <xf numFmtId="0" fontId="0" fillId="6" borderId="0" xfId="0" applyFill="1"/>
    <xf numFmtId="3" fontId="2" fillId="6" borderId="0" xfId="1" applyNumberFormat="1" applyFont="1" applyFill="1" applyAlignment="1">
      <alignment horizontal="center"/>
    </xf>
    <xf numFmtId="0" fontId="0" fillId="7" borderId="0" xfId="0" applyFill="1"/>
    <xf numFmtId="0" fontId="2" fillId="7" borderId="0" xfId="0" applyFont="1" applyFill="1" applyAlignment="1">
      <alignment horizontal="center"/>
    </xf>
    <xf numFmtId="0" fontId="0" fillId="8" borderId="0" xfId="0" applyFill="1"/>
    <xf numFmtId="0" fontId="9" fillId="9" borderId="0" xfId="0" applyFont="1" applyFill="1"/>
    <xf numFmtId="0" fontId="8" fillId="10" borderId="0" xfId="0" applyFont="1" applyFill="1"/>
    <xf numFmtId="0" fontId="0" fillId="0" borderId="0" xfId="0" applyAlignment="1">
      <alignment horizontal="left"/>
    </xf>
    <xf numFmtId="177" fontId="0" fillId="0" borderId="0" xfId="0" applyNumberFormat="1"/>
    <xf numFmtId="2" fontId="0" fillId="0" borderId="1" xfId="0" applyNumberFormat="1" applyBorder="1"/>
    <xf numFmtId="2" fontId="0" fillId="0" borderId="5" xfId="0" applyNumberFormat="1" applyBorder="1"/>
    <xf numFmtId="0" fontId="11" fillId="11" borderId="2" xfId="0" applyFont="1" applyFill="1" applyBorder="1"/>
    <xf numFmtId="0" fontId="11" fillId="11" borderId="3" xfId="0" applyFont="1" applyFill="1" applyBorder="1"/>
    <xf numFmtId="0" fontId="11" fillId="11" borderId="4" xfId="0" applyFont="1" applyFill="1" applyBorder="1"/>
    <xf numFmtId="166" fontId="0" fillId="11" borderId="0" xfId="0" applyNumberFormat="1" applyFill="1"/>
    <xf numFmtId="0" fontId="0" fillId="8" borderId="0" xfId="0" applyFill="1" applyAlignment="1">
      <alignment horizontal="right"/>
    </xf>
    <xf numFmtId="172" fontId="12" fillId="0" borderId="0" xfId="0" applyNumberFormat="1" applyFont="1"/>
    <xf numFmtId="2" fontId="0" fillId="12" borderId="0" xfId="0" applyNumberFormat="1" applyFill="1" applyAlignment="1">
      <alignment horizontal="center"/>
    </xf>
    <xf numFmtId="0" fontId="0" fillId="13" borderId="0" xfId="0" applyFill="1"/>
    <xf numFmtId="166" fontId="0" fillId="14" borderId="0" xfId="0" applyNumberFormat="1" applyFill="1"/>
    <xf numFmtId="2" fontId="0" fillId="14" borderId="0" xfId="0" applyNumberFormat="1" applyFill="1" applyAlignment="1">
      <alignment horizontal="center"/>
    </xf>
    <xf numFmtId="0" fontId="2" fillId="14" borderId="0" xfId="0" applyFont="1" applyFill="1"/>
    <xf numFmtId="2" fontId="2" fillId="14" borderId="0" xfId="0" applyNumberFormat="1" applyFont="1" applyFill="1"/>
    <xf numFmtId="0" fontId="2" fillId="0" borderId="0" xfId="2" applyFont="1" applyAlignment="1">
      <alignment horizontal="center"/>
    </xf>
    <xf numFmtId="0" fontId="3" fillId="14" borderId="1" xfId="2" applyFont="1" applyFill="1" applyBorder="1"/>
    <xf numFmtId="0" fontId="0" fillId="14" borderId="0" xfId="0" applyFill="1"/>
    <xf numFmtId="178" fontId="0" fillId="0" borderId="0" xfId="0" applyNumberFormat="1"/>
    <xf numFmtId="174" fontId="0" fillId="4" borderId="0" xfId="0" applyNumberFormat="1" applyFill="1"/>
    <xf numFmtId="176" fontId="0" fillId="4" borderId="0" xfId="0" applyNumberFormat="1" applyFill="1"/>
    <xf numFmtId="0" fontId="12" fillId="0" borderId="0" xfId="0" applyFont="1"/>
    <xf numFmtId="0" fontId="0" fillId="0" borderId="6" xfId="0" applyBorder="1"/>
    <xf numFmtId="0" fontId="14" fillId="0" borderId="7" xfId="0" applyFont="1" applyBorder="1" applyAlignment="1">
      <alignment horizontal="center"/>
    </xf>
    <xf numFmtId="0" fontId="2" fillId="0" borderId="0" xfId="0" applyFont="1" applyAlignment="1">
      <alignment horizontal="right"/>
    </xf>
    <xf numFmtId="175" fontId="2" fillId="0" borderId="0" xfId="0" applyNumberFormat="1" applyFont="1"/>
    <xf numFmtId="179" fontId="0" fillId="0" borderId="0" xfId="0" applyNumberFormat="1"/>
    <xf numFmtId="179" fontId="2" fillId="0" borderId="0" xfId="0" applyNumberFormat="1" applyFont="1"/>
    <xf numFmtId="179" fontId="0" fillId="14" borderId="0" xfId="0" applyNumberFormat="1" applyFill="1"/>
    <xf numFmtId="179" fontId="2" fillId="14" borderId="0" xfId="0" applyNumberFormat="1" applyFont="1" applyFill="1"/>
    <xf numFmtId="179" fontId="2" fillId="4" borderId="0" xfId="0" applyNumberFormat="1" applyFont="1" applyFill="1"/>
    <xf numFmtId="0" fontId="3" fillId="4" borderId="0" xfId="0" applyFont="1" applyFill="1" applyAlignment="1">
      <alignment horizontal="center"/>
    </xf>
    <xf numFmtId="180" fontId="0" fillId="0" borderId="0" xfId="0" applyNumberFormat="1"/>
    <xf numFmtId="181" fontId="0" fillId="4" borderId="0" xfId="0" applyNumberFormat="1" applyFill="1"/>
    <xf numFmtId="181" fontId="0" fillId="0" borderId="0" xfId="0" applyNumberFormat="1"/>
    <xf numFmtId="173" fontId="15" fillId="15" borderId="8" xfId="0" applyNumberFormat="1" applyFont="1" applyFill="1" applyBorder="1"/>
    <xf numFmtId="173" fontId="15" fillId="16" borderId="8" xfId="0" applyNumberFormat="1" applyFont="1" applyFill="1" applyBorder="1"/>
  </cellXfs>
  <cellStyles count="4">
    <cellStyle name="Comma" xfId="1" builtinId="3"/>
    <cellStyle name="Comma 2 2 2" xfId="3" xr:uid="{56C4A4FD-33D3-074E-B154-5A64F4CA4DA1}"/>
    <cellStyle name="Normal" xfId="0" builtinId="0"/>
    <cellStyle name="Normal 2 2 2" xfId="2" xr:uid="{6AB20B3A-5514-A543-946F-7E8EEB221C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a:t>VaR &amp; ES 99% confidence 1 day horizon, </a:t>
            </a:r>
            <a:r>
              <a:rPr lang="en-GB">
                <a:effectLst/>
              </a:rPr>
              <a:t>Asset-Normal </a:t>
            </a:r>
            <a:r>
              <a:rPr lang="en-GB" baseline="0"/>
              <a:t> </a:t>
            </a:r>
            <a:endParaRPr lang="en-GB"/>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GB"/>
        </a:p>
      </c:txPr>
    </c:title>
    <c:autoTitleDeleted val="0"/>
    <c:plotArea>
      <c:layout/>
      <c:barChart>
        <c:barDir val="col"/>
        <c:grouping val="clustered"/>
        <c:varyColors val="0"/>
        <c:ser>
          <c:idx val="0"/>
          <c:order val="0"/>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DB5F-924E-B7CE-B6F62C9F19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'Part 1'!$C$379:$C$380</c:f>
              <c:strCache>
                <c:ptCount val="2"/>
                <c:pt idx="0">
                  <c:v>VaR(99%,1)</c:v>
                </c:pt>
                <c:pt idx="1">
                  <c:v> ES(99%,1)</c:v>
                </c:pt>
              </c:strCache>
            </c:strRef>
          </c:cat>
          <c:val>
            <c:numRef>
              <c:f>'Part 1'!$D$379:$D$380</c:f>
              <c:numCache>
                <c:formatCode>[$CHF]\ #,##0.000</c:formatCode>
                <c:ptCount val="2"/>
                <c:pt idx="0" formatCode="[$CHF]\ #,##0.00">
                  <c:v>14300240.670079265</c:v>
                </c:pt>
                <c:pt idx="1">
                  <c:v>16356283.856549887</c:v>
                </c:pt>
              </c:numCache>
            </c:numRef>
          </c:val>
          <c:extLst>
            <c:ext xmlns:c16="http://schemas.microsoft.com/office/drawing/2014/chart" uri="{C3380CC4-5D6E-409C-BE32-E72D297353CC}">
              <c16:uniqueId val="{00000000-DB5F-924E-B7CE-B6F62C9F198C}"/>
            </c:ext>
          </c:extLst>
        </c:ser>
        <c:dLbls>
          <c:showLegendKey val="0"/>
          <c:showVal val="0"/>
          <c:showCatName val="0"/>
          <c:showSerName val="0"/>
          <c:showPercent val="0"/>
          <c:showBubbleSize val="0"/>
        </c:dLbls>
        <c:gapWidth val="219"/>
        <c:overlap val="-27"/>
        <c:axId val="282924015"/>
        <c:axId val="282928495"/>
      </c:barChart>
      <c:catAx>
        <c:axId val="28292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282928495"/>
        <c:crosses val="autoZero"/>
        <c:auto val="1"/>
        <c:lblAlgn val="ctr"/>
        <c:lblOffset val="100"/>
        <c:noMultiLvlLbl val="0"/>
      </c:catAx>
      <c:valAx>
        <c:axId val="282928495"/>
        <c:scaling>
          <c:orientation val="minMax"/>
        </c:scaling>
        <c:delete val="0"/>
        <c:axPos val="l"/>
        <c:majorGridlines>
          <c:spPr>
            <a:ln w="9525" cap="flat" cmpd="sng" algn="ctr">
              <a:solidFill>
                <a:schemeClr val="tx1">
                  <a:lumMod val="15000"/>
                  <a:lumOff val="85000"/>
                </a:schemeClr>
              </a:solidFill>
              <a:round/>
            </a:ln>
            <a:effectLst/>
          </c:spPr>
        </c:majorGridlines>
        <c:numFmt formatCode="[$CHF]\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H"/>
          </a:p>
        </c:txPr>
        <c:crossAx val="282924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H"/>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SMI Mapped VaR and ES</a:t>
            </a:r>
          </a:p>
        </c:rich>
      </c:tx>
      <c:layout>
        <c:manualLayout>
          <c:xMode val="edge"/>
          <c:yMode val="edge"/>
          <c:x val="0.40591152561121574"/>
          <c:y val="3.11686197916666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'Part 1'!$C$388:$C$389</c:f>
              <c:strCache>
                <c:ptCount val="2"/>
                <c:pt idx="0">
                  <c:v>VaR(99%,1)</c:v>
                </c:pt>
                <c:pt idx="1">
                  <c:v> ES(99%,1)</c:v>
                </c:pt>
              </c:strCache>
            </c:strRef>
          </c:cat>
          <c:val>
            <c:numRef>
              <c:f>'Part 1'!$D$388:$D$389</c:f>
              <c:numCache>
                <c:formatCode>[$CHF]\ #,##0.00</c:formatCode>
                <c:ptCount val="2"/>
                <c:pt idx="0">
                  <c:v>8414917.0326934997</c:v>
                </c:pt>
                <c:pt idx="1">
                  <c:v>10391047.297329821</c:v>
                </c:pt>
              </c:numCache>
            </c:numRef>
          </c:val>
          <c:extLst>
            <c:ext xmlns:c16="http://schemas.microsoft.com/office/drawing/2014/chart" uri="{C3380CC4-5D6E-409C-BE32-E72D297353CC}">
              <c16:uniqueId val="{00000001-D54F-4C1D-9A88-F6B2B2A506A8}"/>
            </c:ext>
          </c:extLst>
        </c:ser>
        <c:dLbls>
          <c:showLegendKey val="0"/>
          <c:showVal val="0"/>
          <c:showCatName val="0"/>
          <c:showSerName val="0"/>
          <c:showPercent val="0"/>
          <c:showBubbleSize val="0"/>
        </c:dLbls>
        <c:gapWidth val="219"/>
        <c:overlap val="-27"/>
        <c:axId val="123881992"/>
        <c:axId val="149057032"/>
      </c:barChart>
      <c:catAx>
        <c:axId val="123881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57032"/>
        <c:crosses val="autoZero"/>
        <c:auto val="1"/>
        <c:lblAlgn val="ctr"/>
        <c:lblOffset val="100"/>
        <c:noMultiLvlLbl val="0"/>
      </c:catAx>
      <c:valAx>
        <c:axId val="149057032"/>
        <c:scaling>
          <c:orientation val="minMax"/>
        </c:scaling>
        <c:delete val="0"/>
        <c:axPos val="l"/>
        <c:majorGridlines>
          <c:spPr>
            <a:ln w="9525" cap="flat" cmpd="sng" algn="ctr">
              <a:solidFill>
                <a:schemeClr val="tx1">
                  <a:lumMod val="15000"/>
                  <a:lumOff val="85000"/>
                </a:schemeClr>
              </a:solidFill>
              <a:round/>
            </a:ln>
            <a:effectLst/>
          </c:spPr>
        </c:majorGridlines>
        <c:numFmt formatCode="[$CHF]\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81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31750</xdr:colOff>
      <xdr:row>350</xdr:row>
      <xdr:rowOff>50800</xdr:rowOff>
    </xdr:from>
    <xdr:to>
      <xdr:col>4</xdr:col>
      <xdr:colOff>1860550</xdr:colOff>
      <xdr:row>364</xdr:row>
      <xdr:rowOff>127000</xdr:rowOff>
    </xdr:to>
    <xdr:graphicFrame macro="">
      <xdr:nvGraphicFramePr>
        <xdr:cNvPr id="58" name="Chart 1">
          <a:extLst>
            <a:ext uri="{FF2B5EF4-FFF2-40B4-BE49-F238E27FC236}">
              <a16:creationId xmlns:a16="http://schemas.microsoft.com/office/drawing/2014/main" id="{B765AEBB-0F59-1542-246E-388254180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866775</xdr:colOff>
      <xdr:row>376</xdr:row>
      <xdr:rowOff>38100</xdr:rowOff>
    </xdr:from>
    <xdr:to>
      <xdr:col>10</xdr:col>
      <xdr:colOff>742950</xdr:colOff>
      <xdr:row>390</xdr:row>
      <xdr:rowOff>25400</xdr:rowOff>
    </xdr:to>
    <xdr:graphicFrame macro="">
      <xdr:nvGraphicFramePr>
        <xdr:cNvPr id="62" name="Grafico 49">
          <a:extLst>
            <a:ext uri="{FF2B5EF4-FFF2-40B4-BE49-F238E27FC236}">
              <a16:creationId xmlns:a16="http://schemas.microsoft.com/office/drawing/2014/main" id="{5911D011-EAD7-EB5C-14A9-16CD5DBDAAFD}"/>
            </a:ext>
            <a:ext uri="{147F2762-F138-4A5C-976F-8EAC2B608ADB}">
              <a16:predDERef xmlns:a16="http://schemas.microsoft.com/office/drawing/2014/main" pred="{B765AEBB-0F59-1542-246E-388254180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32</xdr:col>
      <xdr:colOff>0</xdr:colOff>
      <xdr:row>9</xdr:row>
      <xdr:rowOff>0</xdr:rowOff>
    </xdr:from>
    <xdr:to>
      <xdr:col>36</xdr:col>
      <xdr:colOff>927422</xdr:colOff>
      <xdr:row>16</xdr:row>
      <xdr:rowOff>150734</xdr:rowOff>
    </xdr:to>
    <xdr:sp macro="" textlink="">
      <xdr:nvSpPr>
        <xdr:cNvPr id="2" name="Rectangle 1">
          <a:extLst>
            <a:ext uri="{FF2B5EF4-FFF2-40B4-BE49-F238E27FC236}">
              <a16:creationId xmlns:a16="http://schemas.microsoft.com/office/drawing/2014/main" id="{D06349B7-4946-2845-8B47-C0ECD7412391}"/>
            </a:ext>
          </a:extLst>
        </xdr:cNvPr>
        <xdr:cNvSpPr/>
      </xdr:nvSpPr>
      <xdr:spPr>
        <a:xfrm>
          <a:off x="38715758" y="1847273"/>
          <a:ext cx="6494896" cy="158750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Comparison</a:t>
          </a:r>
          <a:r>
            <a:rPr lang="en-US" sz="1400" baseline="0"/>
            <a:t> between 1.2 and 1.3: Historical Simulation yields slightly higher VaR and ES than Cash-Flow Mapping. This suggests that recent market data include more severe rate movements than the deterministic shocks used in mapping. It highlights the importance of incorporating empirical tail behavior in fixed income risk assessment.</a:t>
          </a:r>
          <a:endParaRPr lang="en-CH" sz="14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422275</xdr:colOff>
      <xdr:row>1</xdr:row>
      <xdr:rowOff>149225</xdr:rowOff>
    </xdr:from>
    <xdr:to>
      <xdr:col>2</xdr:col>
      <xdr:colOff>165100</xdr:colOff>
      <xdr:row>4</xdr:row>
      <xdr:rowOff>31750</xdr:rowOff>
    </xdr:to>
    <xdr:pic>
      <xdr:nvPicPr>
        <xdr:cNvPr id="2" name="Immagine 1">
          <a:extLst>
            <a:ext uri="{FF2B5EF4-FFF2-40B4-BE49-F238E27FC236}">
              <a16:creationId xmlns:a16="http://schemas.microsoft.com/office/drawing/2014/main" id="{00FE200B-C5C5-499E-A892-762A87A93447}"/>
            </a:ext>
          </a:extLst>
        </xdr:cNvPr>
        <xdr:cNvPicPr>
          <a:picLocks noChangeAspect="1"/>
        </xdr:cNvPicPr>
      </xdr:nvPicPr>
      <xdr:blipFill>
        <a:blip xmlns:r="http://schemas.openxmlformats.org/officeDocument/2006/relationships" r:embed="rId1"/>
        <a:stretch>
          <a:fillRect/>
        </a:stretch>
      </xdr:blipFill>
      <xdr:spPr>
        <a:xfrm>
          <a:off x="422275" y="339725"/>
          <a:ext cx="1431925" cy="4540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249</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83209624-71D4-4742-AF67-45F7E19EED94}">
  <we:reference id="wa104379190" version="2.0.0.0" store="it-IT" storeType="OMEX"/>
  <we:alternateReferences>
    <we:reference id="WA104379190" version="2.0.0.0" store="" storeType="OMEX"/>
  </we:alternateReferences>
  <we:properties/>
  <we:bindings>
    <we:binding id="RangeSelect" type="matrix" appref="{678D8EB4-5F20-BF4D-9EFC-55117E3DF46E}"/>
    <we:binding id="Input" type="matrix" appref="{C2207CAF-9D9F-FF4A-BB04-5EF48C7B372A}"/>
    <we:binding id="Output" type="matrix" appref="{94E4BEEE-13EE-8D4B-89F2-BEBFDAB1224B}"/>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D84F0D99-2960-4847-8CA5-09E91468E0AC}">
  <we:reference id="wa104100404" version="3.0.0.1" store="it-IT" storeType="OMEX"/>
  <we:alternateReferences>
    <we:reference id="WA104100404" version="3.0.0.1" store="" storeType="OMEX"/>
  </we:alternateReferences>
  <we:properties>
    <we:property name="UniqueID" value="&quot;20254211747835994657&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16"/>
  <sheetViews>
    <sheetView zoomScale="130" zoomScaleNormal="130" workbookViewId="0">
      <selection activeCell="M13" sqref="M13"/>
    </sheetView>
  </sheetViews>
  <sheetFormatPr baseColWidth="10" defaultColWidth="8.83203125" defaultRowHeight="16" x14ac:dyDescent="0.2"/>
  <cols>
    <col min="1" max="1" width="8.83203125" style="1"/>
    <col min="2" max="2" width="13.1640625" style="1" bestFit="1" customWidth="1"/>
    <col min="3" max="3" width="9.33203125" style="1" bestFit="1" customWidth="1"/>
    <col min="4" max="4" width="12.5" style="1" bestFit="1" customWidth="1"/>
    <col min="5" max="5" width="11.83203125" style="1" customWidth="1"/>
    <col min="6" max="6" width="13.5" style="1" bestFit="1" customWidth="1"/>
    <col min="7" max="7" width="12.1640625" style="1" bestFit="1" customWidth="1"/>
    <col min="8" max="8" width="15.5" style="1" bestFit="1" customWidth="1"/>
    <col min="9" max="9" width="13.5" style="1" customWidth="1"/>
    <col min="10" max="16384" width="8.83203125" style="1"/>
  </cols>
  <sheetData>
    <row r="2" spans="2:14" x14ac:dyDescent="0.2">
      <c r="I2"/>
      <c r="J2"/>
      <c r="K2"/>
      <c r="L2"/>
      <c r="M2"/>
      <c r="N2"/>
    </row>
    <row r="3" spans="2:14" x14ac:dyDescent="0.2">
      <c r="B3" s="5" t="s">
        <v>0</v>
      </c>
      <c r="C3" s="5" t="s">
        <v>1</v>
      </c>
      <c r="D3" s="5" t="s">
        <v>2</v>
      </c>
      <c r="E3" s="5" t="s">
        <v>3</v>
      </c>
      <c r="F3" s="5" t="s">
        <v>4</v>
      </c>
      <c r="G3" s="5" t="s">
        <v>5</v>
      </c>
      <c r="H3" s="16" t="s">
        <v>6</v>
      </c>
      <c r="I3" s="28" t="s">
        <v>58</v>
      </c>
    </row>
    <row r="4" spans="2:14" x14ac:dyDescent="0.2">
      <c r="B4" s="6">
        <v>7000</v>
      </c>
      <c r="C4" s="4" t="s">
        <v>7</v>
      </c>
      <c r="D4" s="4" t="s">
        <v>8</v>
      </c>
      <c r="E4" s="4">
        <v>85</v>
      </c>
      <c r="F4" s="4">
        <v>0.5</v>
      </c>
      <c r="G4" s="4">
        <v>0.17</v>
      </c>
      <c r="H4" s="17">
        <v>0.01</v>
      </c>
      <c r="I4" s="1">
        <v>1000</v>
      </c>
    </row>
    <row r="5" spans="2:14" x14ac:dyDescent="0.2">
      <c r="B5" s="6">
        <v>2000</v>
      </c>
      <c r="C5" s="4" t="s">
        <v>9</v>
      </c>
      <c r="D5" s="4" t="s">
        <v>10</v>
      </c>
      <c r="E5" s="4">
        <v>120</v>
      </c>
      <c r="F5" s="4">
        <v>0.5</v>
      </c>
      <c r="G5" s="4">
        <v>0.22</v>
      </c>
      <c r="H5" s="17">
        <v>0.01</v>
      </c>
      <c r="I5" s="1">
        <v>1000</v>
      </c>
    </row>
    <row r="6" spans="2:14" x14ac:dyDescent="0.2">
      <c r="B6" s="6"/>
      <c r="C6" s="4"/>
      <c r="D6" s="7"/>
      <c r="E6" s="4"/>
      <c r="F6" s="4" t="s">
        <v>121</v>
      </c>
      <c r="G6" s="4"/>
      <c r="H6" s="17"/>
    </row>
    <row r="7" spans="2:14" x14ac:dyDescent="0.2">
      <c r="B7" s="6"/>
      <c r="C7" s="4"/>
      <c r="D7" s="4"/>
    </row>
    <row r="9" spans="2:14" x14ac:dyDescent="0.2">
      <c r="B9" s="3"/>
    </row>
    <row r="16" spans="2:14" x14ac:dyDescent="0.2">
      <c r="G16" s="1">
        <f xml:space="preserve"> D372 * Option_Portfolio!B4* Option_Portfolio!I4 * Underlying_Assets!C365</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R366"/>
  <sheetViews>
    <sheetView topLeftCell="A183" zoomScale="99" workbookViewId="0">
      <selection activeCell="Q82" sqref="Q82"/>
    </sheetView>
  </sheetViews>
  <sheetFormatPr baseColWidth="10" defaultColWidth="11.5" defaultRowHeight="15" x14ac:dyDescent="0.2"/>
  <sheetData>
    <row r="2" spans="1:12" ht="16" x14ac:dyDescent="0.2">
      <c r="B2" s="9"/>
      <c r="C2" s="13" t="s">
        <v>11</v>
      </c>
    </row>
    <row r="3" spans="1:12" ht="16" x14ac:dyDescent="0.2">
      <c r="B3" s="4" t="s">
        <v>12</v>
      </c>
      <c r="C3" s="4">
        <v>0.75</v>
      </c>
    </row>
    <row r="4" spans="1:12" ht="16" x14ac:dyDescent="0.2">
      <c r="B4" s="7" t="s">
        <v>10</v>
      </c>
      <c r="C4" s="4">
        <v>1.1000000000000001</v>
      </c>
    </row>
    <row r="5" spans="1:12" ht="16" x14ac:dyDescent="0.2">
      <c r="B5" s="4"/>
      <c r="C5" s="4"/>
    </row>
    <row r="7" spans="1:12" x14ac:dyDescent="0.2">
      <c r="A7" s="14" t="s">
        <v>13</v>
      </c>
      <c r="C7" s="12" t="s">
        <v>8</v>
      </c>
      <c r="D7" s="12" t="s">
        <v>10</v>
      </c>
      <c r="F7" s="22" t="s">
        <v>14</v>
      </c>
      <c r="H7" t="s">
        <v>72</v>
      </c>
      <c r="I7" t="s">
        <v>71</v>
      </c>
      <c r="K7" t="s">
        <v>80</v>
      </c>
      <c r="L7" t="s">
        <v>80</v>
      </c>
    </row>
    <row r="8" spans="1:12" x14ac:dyDescent="0.2">
      <c r="A8" s="25">
        <v>45232</v>
      </c>
      <c r="B8" s="10"/>
      <c r="C8" s="11">
        <v>100.52</v>
      </c>
      <c r="D8" s="11">
        <v>100.4</v>
      </c>
      <c r="F8" s="20">
        <v>8.3865591969280989E-3</v>
      </c>
    </row>
    <row r="9" spans="1:12" x14ac:dyDescent="0.2">
      <c r="A9" s="25">
        <v>45233</v>
      </c>
      <c r="B9" s="10"/>
      <c r="C9" s="11">
        <v>99.75</v>
      </c>
      <c r="D9" s="11">
        <v>99.26</v>
      </c>
      <c r="E9" s="18"/>
      <c r="F9" s="21">
        <v>-1.1619935344675499E-3</v>
      </c>
      <c r="G9" s="18"/>
      <c r="H9" s="42">
        <f t="shared" ref="H9:H72" si="0">(C9-C8)/C8</f>
        <v>-7.6601671309191807E-3</v>
      </c>
      <c r="I9" s="43">
        <f t="shared" ref="I9:I72" si="1">(D9-D8)/D8</f>
        <v>-1.1354581673306777E-2</v>
      </c>
      <c r="K9" s="42">
        <f t="shared" ref="K9:K72" si="2">LN(C9/C8)</f>
        <v>-7.6896569054185869E-3</v>
      </c>
      <c r="L9" s="42">
        <f t="shared" ref="L9:L72" si="3">LN(D9/D8)</f>
        <v>-1.1419537098334133E-2</v>
      </c>
    </row>
    <row r="10" spans="1:12" x14ac:dyDescent="0.2">
      <c r="A10" s="25">
        <v>45236</v>
      </c>
      <c r="B10" s="10"/>
      <c r="C10" s="11">
        <v>99.87</v>
      </c>
      <c r="D10" s="11">
        <v>99.1</v>
      </c>
      <c r="E10" s="18"/>
      <c r="F10" s="21">
        <v>-2.7577402293432697E-4</v>
      </c>
      <c r="G10" s="18"/>
      <c r="H10" s="42">
        <f t="shared" si="0"/>
        <v>1.2030075187970382E-3</v>
      </c>
      <c r="I10" s="43">
        <f t="shared" si="1"/>
        <v>-1.6119282691921296E-3</v>
      </c>
      <c r="K10" s="42">
        <f t="shared" si="2"/>
        <v>1.2022844850704197E-3</v>
      </c>
      <c r="L10" s="42">
        <f t="shared" si="3"/>
        <v>-1.6132288233525168E-3</v>
      </c>
    </row>
    <row r="11" spans="1:12" x14ac:dyDescent="0.2">
      <c r="A11" s="25">
        <v>45237</v>
      </c>
      <c r="B11" s="10"/>
      <c r="C11" s="11">
        <v>99.62</v>
      </c>
      <c r="D11" s="11">
        <v>98.84</v>
      </c>
      <c r="E11" s="18"/>
      <c r="F11" s="21">
        <v>-5.4094184247954703E-4</v>
      </c>
      <c r="G11" s="18"/>
      <c r="H11" s="42">
        <f t="shared" si="0"/>
        <v>-2.5032542304996496E-3</v>
      </c>
      <c r="I11" s="43">
        <f t="shared" si="1"/>
        <v>-2.62361251261343E-3</v>
      </c>
      <c r="K11" s="42">
        <f t="shared" si="2"/>
        <v>-2.5063926099059743E-3</v>
      </c>
      <c r="L11" s="42">
        <f t="shared" si="3"/>
        <v>-2.6270602155329097E-3</v>
      </c>
    </row>
    <row r="12" spans="1:12" x14ac:dyDescent="0.2">
      <c r="A12" s="25">
        <v>45238</v>
      </c>
      <c r="B12" s="10"/>
      <c r="C12" s="11">
        <v>99.07</v>
      </c>
      <c r="D12" s="11">
        <v>98.7</v>
      </c>
      <c r="E12" s="18"/>
      <c r="F12" s="21">
        <v>2.2730268000585798E-3</v>
      </c>
      <c r="G12" s="18"/>
      <c r="H12" s="42">
        <f t="shared" si="0"/>
        <v>-5.5209797229473136E-3</v>
      </c>
      <c r="I12" s="43">
        <f t="shared" si="1"/>
        <v>-1.4164305949008556E-3</v>
      </c>
      <c r="K12" s="42">
        <f t="shared" si="2"/>
        <v>-5.5362766601985457E-3</v>
      </c>
      <c r="L12" s="42">
        <f t="shared" si="3"/>
        <v>-1.4174346809733935E-3</v>
      </c>
    </row>
    <row r="13" spans="1:12" x14ac:dyDescent="0.2">
      <c r="A13" s="25">
        <v>45239</v>
      </c>
      <c r="B13" s="10"/>
      <c r="C13" s="11">
        <v>99.91</v>
      </c>
      <c r="D13" s="11">
        <v>98.36</v>
      </c>
      <c r="E13" s="18"/>
      <c r="F13" s="21">
        <v>4.7124540821983302E-3</v>
      </c>
      <c r="G13" s="18"/>
      <c r="H13" s="42">
        <f t="shared" si="0"/>
        <v>8.4788533360250686E-3</v>
      </c>
      <c r="I13" s="43">
        <f t="shared" si="1"/>
        <v>-3.4447821681864578E-3</v>
      </c>
      <c r="K13" s="42">
        <f t="shared" si="2"/>
        <v>8.4431097599884739E-3</v>
      </c>
      <c r="L13" s="42">
        <f t="shared" si="3"/>
        <v>-3.4507290914441036E-3</v>
      </c>
    </row>
    <row r="14" spans="1:12" x14ac:dyDescent="0.2">
      <c r="A14" s="25">
        <v>45240</v>
      </c>
      <c r="B14" s="10"/>
      <c r="C14" s="11">
        <v>99.38</v>
      </c>
      <c r="D14" s="11">
        <v>97.96</v>
      </c>
      <c r="E14" s="18"/>
      <c r="F14" s="21">
        <v>-8.4204990862148891E-3</v>
      </c>
      <c r="G14" s="18"/>
      <c r="H14" s="42">
        <f t="shared" si="0"/>
        <v>-5.3047742968671922E-3</v>
      </c>
      <c r="I14" s="43">
        <f t="shared" si="1"/>
        <v>-4.0666937779585775E-3</v>
      </c>
      <c r="K14" s="42">
        <f t="shared" si="2"/>
        <v>-5.3188945707526797E-3</v>
      </c>
      <c r="L14" s="42">
        <f t="shared" si="3"/>
        <v>-4.0749852640248468E-3</v>
      </c>
    </row>
    <row r="15" spans="1:12" x14ac:dyDescent="0.2">
      <c r="A15" s="25">
        <v>45243</v>
      </c>
      <c r="B15" s="10"/>
      <c r="C15" s="11">
        <v>98.9</v>
      </c>
      <c r="D15" s="11">
        <v>99.2</v>
      </c>
      <c r="E15" s="18"/>
      <c r="F15" s="21">
        <v>3.31957042098718E-3</v>
      </c>
      <c r="G15" s="18"/>
      <c r="H15" s="42">
        <f t="shared" si="0"/>
        <v>-4.829945663111187E-3</v>
      </c>
      <c r="I15" s="43">
        <f t="shared" si="1"/>
        <v>1.2658227848101359E-2</v>
      </c>
      <c r="K15" s="42">
        <f t="shared" si="2"/>
        <v>-4.841647545508033E-3</v>
      </c>
      <c r="L15" s="42">
        <f t="shared" si="3"/>
        <v>1.2578782206860185E-2</v>
      </c>
    </row>
    <row r="16" spans="1:12" x14ac:dyDescent="0.2">
      <c r="A16" s="25">
        <v>45244</v>
      </c>
      <c r="B16" s="10"/>
      <c r="C16" s="11">
        <v>99.4</v>
      </c>
      <c r="D16" s="11">
        <v>99.1</v>
      </c>
      <c r="E16" s="18"/>
      <c r="F16" s="21">
        <v>1.18350311328507E-2</v>
      </c>
      <c r="G16" s="18"/>
      <c r="H16" s="42">
        <f t="shared" si="0"/>
        <v>5.0556117290192111E-3</v>
      </c>
      <c r="I16" s="43">
        <f t="shared" si="1"/>
        <v>-1.0080645161291181E-3</v>
      </c>
      <c r="K16" s="42">
        <f t="shared" si="2"/>
        <v>5.0428750338619597E-3</v>
      </c>
      <c r="L16" s="42">
        <f t="shared" si="3"/>
        <v>-1.0085729548848857E-3</v>
      </c>
    </row>
    <row r="17" spans="1:18" x14ac:dyDescent="0.2">
      <c r="A17" s="25">
        <v>45245</v>
      </c>
      <c r="B17" s="10"/>
      <c r="C17" s="11">
        <v>99.6</v>
      </c>
      <c r="D17" s="11">
        <v>99.14</v>
      </c>
      <c r="E17" s="18"/>
      <c r="F17" s="21">
        <v>-7.0323643621605892E-4</v>
      </c>
      <c r="G17" s="18"/>
      <c r="H17" s="42">
        <f t="shared" si="0"/>
        <v>2.0120724346075316E-3</v>
      </c>
      <c r="I17" s="43">
        <f t="shared" si="1"/>
        <v>4.0363269424829721E-4</v>
      </c>
      <c r="K17" s="42">
        <f t="shared" si="2"/>
        <v>2.0100509280241E-3</v>
      </c>
      <c r="L17" s="42">
        <f t="shared" si="3"/>
        <v>4.0355125648554947E-4</v>
      </c>
    </row>
    <row r="18" spans="1:18" x14ac:dyDescent="0.2">
      <c r="A18" s="25">
        <v>45246</v>
      </c>
      <c r="B18" s="10"/>
      <c r="C18" s="11">
        <v>98.63</v>
      </c>
      <c r="D18" s="11">
        <v>99.06</v>
      </c>
      <c r="E18" s="18"/>
      <c r="F18" s="21">
        <v>-6.0818872627046404E-3</v>
      </c>
      <c r="G18" s="18"/>
      <c r="H18" s="42">
        <f t="shared" si="0"/>
        <v>-9.7389558232931616E-3</v>
      </c>
      <c r="I18" s="43">
        <f t="shared" si="1"/>
        <v>-8.069396812588087E-4</v>
      </c>
      <c r="K18" s="42">
        <f t="shared" si="2"/>
        <v>-9.7866896246504281E-3</v>
      </c>
      <c r="L18" s="42">
        <f t="shared" si="3"/>
        <v>-8.0726543233614262E-4</v>
      </c>
      <c r="P18">
        <f>_xlfn.STDEV.S(Underlying_Assets!I114:I365)</f>
        <v>1.7050205112247505E-2</v>
      </c>
    </row>
    <row r="19" spans="1:18" x14ac:dyDescent="0.2">
      <c r="A19" s="25">
        <v>45247</v>
      </c>
      <c r="B19" s="10"/>
      <c r="C19" s="11">
        <v>98.99</v>
      </c>
      <c r="D19" s="11">
        <v>99.98</v>
      </c>
      <c r="E19" s="18"/>
      <c r="F19" s="21">
        <v>8.8601213151189295E-3</v>
      </c>
      <c r="G19" s="18"/>
      <c r="H19" s="42">
        <f t="shared" si="0"/>
        <v>3.6500050694514797E-3</v>
      </c>
      <c r="I19" s="43">
        <f t="shared" si="1"/>
        <v>9.2873006258833192E-3</v>
      </c>
      <c r="K19" s="42">
        <f t="shared" si="2"/>
        <v>3.643359965813827E-3</v>
      </c>
      <c r="L19" s="42">
        <f t="shared" si="3"/>
        <v>9.2444388253326987E-3</v>
      </c>
    </row>
    <row r="20" spans="1:18" x14ac:dyDescent="0.2">
      <c r="A20" s="25">
        <v>45250</v>
      </c>
      <c r="B20" s="10"/>
      <c r="C20" s="11">
        <v>98.29</v>
      </c>
      <c r="D20" s="11">
        <v>100.95</v>
      </c>
      <c r="E20" s="18"/>
      <c r="F20" s="21">
        <v>2.7018316245253001E-4</v>
      </c>
      <c r="G20" s="18"/>
      <c r="H20" s="42">
        <f t="shared" si="0"/>
        <v>-7.0714213556923797E-3</v>
      </c>
      <c r="I20" s="43">
        <f t="shared" si="1"/>
        <v>9.7019403880776039E-3</v>
      </c>
      <c r="K20" s="42">
        <f t="shared" si="2"/>
        <v>-7.0965423531779209E-3</v>
      </c>
      <c r="L20" s="42">
        <f t="shared" si="3"/>
        <v>9.6551787734221756E-3</v>
      </c>
    </row>
    <row r="21" spans="1:18" x14ac:dyDescent="0.2">
      <c r="A21" s="25">
        <v>45251</v>
      </c>
      <c r="B21" s="10"/>
      <c r="C21" s="11">
        <v>99.75</v>
      </c>
      <c r="D21" s="11">
        <v>101.55</v>
      </c>
      <c r="E21" s="18"/>
      <c r="F21" s="21">
        <v>3.9073031545706601E-3</v>
      </c>
      <c r="G21" s="18"/>
      <c r="H21" s="42">
        <f t="shared" si="0"/>
        <v>1.4854003459151426E-2</v>
      </c>
      <c r="I21" s="43">
        <f t="shared" si="1"/>
        <v>5.9435364041604188E-3</v>
      </c>
      <c r="K21" s="42">
        <f t="shared" si="2"/>
        <v>1.4744763191434702E-2</v>
      </c>
      <c r="L21" s="42">
        <f t="shared" si="3"/>
        <v>5.9259432675471679E-3</v>
      </c>
    </row>
    <row r="22" spans="1:18" x14ac:dyDescent="0.2">
      <c r="A22" s="25">
        <v>45252</v>
      </c>
      <c r="B22" s="10"/>
      <c r="C22" s="11">
        <v>100.3</v>
      </c>
      <c r="D22" s="11">
        <v>101.85</v>
      </c>
      <c r="E22" s="18"/>
      <c r="F22" s="21">
        <v>4.6518141360618595E-3</v>
      </c>
      <c r="G22" s="18"/>
      <c r="H22" s="42">
        <f t="shared" si="0"/>
        <v>5.5137844611528536E-3</v>
      </c>
      <c r="I22" s="43">
        <f t="shared" si="1"/>
        <v>2.9542097488921434E-3</v>
      </c>
      <c r="K22" s="42">
        <f t="shared" si="2"/>
        <v>5.4986391979169316E-3</v>
      </c>
      <c r="L22" s="42">
        <f t="shared" si="3"/>
        <v>2.9498546464211185E-3</v>
      </c>
    </row>
    <row r="23" spans="1:18" x14ac:dyDescent="0.2">
      <c r="A23" s="25">
        <v>45254</v>
      </c>
      <c r="B23" s="10"/>
      <c r="C23" s="11">
        <v>100.48</v>
      </c>
      <c r="D23" s="11">
        <v>102.65</v>
      </c>
      <c r="E23" s="18"/>
      <c r="F23" s="21">
        <v>4.3508575223210003E-3</v>
      </c>
      <c r="G23" s="18"/>
      <c r="H23" s="42">
        <f t="shared" si="0"/>
        <v>1.794616151545432E-3</v>
      </c>
      <c r="I23" s="43">
        <f t="shared" si="1"/>
        <v>7.8546882670595137E-3</v>
      </c>
      <c r="K23" s="42">
        <f t="shared" si="2"/>
        <v>1.793007751998749E-3</v>
      </c>
      <c r="L23" s="42">
        <f t="shared" si="3"/>
        <v>7.8240007921279459E-3</v>
      </c>
    </row>
    <row r="24" spans="1:18" x14ac:dyDescent="0.2">
      <c r="A24" s="25">
        <v>45257</v>
      </c>
      <c r="B24" s="10"/>
      <c r="C24" s="11">
        <v>100.22</v>
      </c>
      <c r="D24" s="11">
        <v>103.05</v>
      </c>
      <c r="E24" s="18"/>
      <c r="F24" s="21">
        <v>-5.3738536730555397E-3</v>
      </c>
      <c r="G24" s="18"/>
      <c r="H24" s="42">
        <f t="shared" si="0"/>
        <v>-2.5875796178344455E-3</v>
      </c>
      <c r="I24" s="43">
        <f t="shared" si="1"/>
        <v>3.8967364831952408E-3</v>
      </c>
      <c r="K24" s="42">
        <f t="shared" si="2"/>
        <v>-2.5909331883099624E-3</v>
      </c>
      <c r="L24" s="42">
        <f t="shared" si="3"/>
        <v>3.8891638715253542E-3</v>
      </c>
    </row>
    <row r="25" spans="1:18" x14ac:dyDescent="0.2">
      <c r="A25" s="25">
        <v>45258</v>
      </c>
      <c r="B25" s="10"/>
      <c r="C25" s="11">
        <v>99.4</v>
      </c>
      <c r="D25" s="11">
        <v>103.3</v>
      </c>
      <c r="E25" s="18"/>
      <c r="F25" s="21">
        <v>-5.6074999886855902E-3</v>
      </c>
      <c r="G25" s="18"/>
      <c r="H25" s="42">
        <f t="shared" si="0"/>
        <v>-8.1819996008780007E-3</v>
      </c>
      <c r="I25" s="43">
        <f t="shared" si="1"/>
        <v>2.4260067928190202E-3</v>
      </c>
      <c r="K25" s="42">
        <f t="shared" si="2"/>
        <v>-8.2156558690501223E-3</v>
      </c>
      <c r="L25" s="42">
        <f t="shared" si="3"/>
        <v>2.423068789124818E-3</v>
      </c>
      <c r="R25">
        <f xml:space="preserve"> D372 * Option_Portfolio!B4* Option_Portfolio!I4 * Underlying_Assets!C365</f>
        <v>0</v>
      </c>
    </row>
    <row r="26" spans="1:18" x14ac:dyDescent="0.2">
      <c r="A26" s="25">
        <v>45259</v>
      </c>
      <c r="B26" s="10"/>
      <c r="C26" s="11">
        <v>99.13</v>
      </c>
      <c r="D26" s="11">
        <v>102.75</v>
      </c>
      <c r="E26" s="18"/>
      <c r="F26" s="21">
        <v>3.9495287302540004E-3</v>
      </c>
      <c r="G26" s="18"/>
      <c r="H26" s="42">
        <f t="shared" si="0"/>
        <v>-2.7162977867204248E-3</v>
      </c>
      <c r="I26" s="43">
        <f t="shared" si="1"/>
        <v>-5.3242981606969712E-3</v>
      </c>
      <c r="K26" s="42">
        <f t="shared" si="2"/>
        <v>-2.719993617722365E-3</v>
      </c>
      <c r="L26" s="42">
        <f t="shared" si="3"/>
        <v>-5.3385227492488922E-3</v>
      </c>
    </row>
    <row r="27" spans="1:18" x14ac:dyDescent="0.2">
      <c r="A27" s="25">
        <v>45260</v>
      </c>
      <c r="B27" s="10"/>
      <c r="C27" s="11">
        <v>99.35</v>
      </c>
      <c r="D27" s="11">
        <v>103.25</v>
      </c>
      <c r="E27" s="18"/>
      <c r="F27" s="21">
        <v>4.7625058065920902E-3</v>
      </c>
      <c r="G27" s="18"/>
      <c r="H27" s="42">
        <f t="shared" si="0"/>
        <v>2.2193079794209508E-3</v>
      </c>
      <c r="I27" s="43">
        <f t="shared" si="1"/>
        <v>4.8661800486618006E-3</v>
      </c>
      <c r="K27" s="42">
        <f t="shared" si="2"/>
        <v>2.2168489530198297E-3</v>
      </c>
      <c r="L27" s="42">
        <f t="shared" si="3"/>
        <v>4.854378464798143E-3</v>
      </c>
    </row>
    <row r="28" spans="1:18" x14ac:dyDescent="0.2">
      <c r="A28" s="25">
        <v>45261</v>
      </c>
      <c r="B28" s="10"/>
      <c r="C28" s="11">
        <v>98.95</v>
      </c>
      <c r="D28" s="11">
        <v>98.34</v>
      </c>
      <c r="E28" s="18"/>
      <c r="F28" s="21">
        <v>3.0438512141555104E-3</v>
      </c>
      <c r="G28" s="18"/>
      <c r="H28" s="42">
        <f t="shared" si="0"/>
        <v>-4.0261701056868793E-3</v>
      </c>
      <c r="I28" s="43">
        <f t="shared" si="1"/>
        <v>-4.7554479418886166E-2</v>
      </c>
      <c r="K28" s="42">
        <f t="shared" si="2"/>
        <v>-4.0342969492509987E-3</v>
      </c>
      <c r="L28" s="42">
        <f t="shared" si="3"/>
        <v>-4.8722369857348749E-2</v>
      </c>
    </row>
    <row r="29" spans="1:18" x14ac:dyDescent="0.2">
      <c r="A29" s="25">
        <v>45264</v>
      </c>
      <c r="B29" s="10"/>
      <c r="C29" s="11">
        <v>99.97</v>
      </c>
      <c r="D29" s="11">
        <v>99.6</v>
      </c>
      <c r="E29" s="18"/>
      <c r="F29" s="21">
        <v>5.9771461753663699E-3</v>
      </c>
      <c r="G29" s="18"/>
      <c r="H29" s="42">
        <f t="shared" si="0"/>
        <v>1.0308236483072218E-2</v>
      </c>
      <c r="I29" s="43">
        <f t="shared" si="1"/>
        <v>1.2812690665039565E-2</v>
      </c>
      <c r="K29" s="42">
        <f t="shared" si="2"/>
        <v>1.025546893051457E-2</v>
      </c>
      <c r="L29" s="42">
        <f t="shared" si="3"/>
        <v>1.2731302606759224E-2</v>
      </c>
    </row>
    <row r="30" spans="1:18" x14ac:dyDescent="0.2">
      <c r="A30" s="25">
        <v>45265</v>
      </c>
      <c r="B30" s="10"/>
      <c r="C30" s="11">
        <v>99.62</v>
      </c>
      <c r="D30" s="11">
        <v>99.06</v>
      </c>
      <c r="E30" s="18"/>
      <c r="F30" s="21">
        <v>1.12941916777375E-3</v>
      </c>
      <c r="G30" s="18"/>
      <c r="H30" s="42">
        <f t="shared" si="0"/>
        <v>-3.5010503150944717E-3</v>
      </c>
      <c r="I30" s="43">
        <f t="shared" si="1"/>
        <v>-5.4216867469878719E-3</v>
      </c>
      <c r="K30" s="42">
        <f t="shared" si="2"/>
        <v>-3.507193333951998E-3</v>
      </c>
      <c r="L30" s="42">
        <f t="shared" si="3"/>
        <v>-5.4364374304607969E-3</v>
      </c>
    </row>
    <row r="31" spans="1:18" x14ac:dyDescent="0.2">
      <c r="A31" s="25">
        <v>45266</v>
      </c>
      <c r="B31" s="10"/>
      <c r="C31" s="11">
        <v>99.4</v>
      </c>
      <c r="D31" s="11">
        <v>98.76</v>
      </c>
      <c r="E31" s="18"/>
      <c r="F31" s="21">
        <v>3.3573699427795699E-3</v>
      </c>
      <c r="G31" s="18"/>
      <c r="H31" s="42">
        <f t="shared" si="0"/>
        <v>-2.2083918891788682E-3</v>
      </c>
      <c r="I31" s="43">
        <f t="shared" si="1"/>
        <v>-3.0284675953967007E-3</v>
      </c>
      <c r="K31" s="42">
        <f t="shared" si="2"/>
        <v>-2.2108339826089696E-3</v>
      </c>
      <c r="L31" s="42">
        <f t="shared" si="3"/>
        <v>-3.0330626831128137E-3</v>
      </c>
    </row>
    <row r="32" spans="1:18" x14ac:dyDescent="0.2">
      <c r="A32" s="25">
        <v>45267</v>
      </c>
      <c r="B32" s="10"/>
      <c r="C32" s="11">
        <v>98.67</v>
      </c>
      <c r="D32" s="11">
        <v>98.66</v>
      </c>
      <c r="E32" s="18"/>
      <c r="F32" s="21">
        <v>-3.04696448935593E-3</v>
      </c>
      <c r="G32" s="18"/>
      <c r="H32" s="42">
        <f t="shared" si="0"/>
        <v>-7.3440643863179472E-3</v>
      </c>
      <c r="I32" s="43">
        <f t="shared" si="1"/>
        <v>-1.0125556905630673E-3</v>
      </c>
      <c r="K32" s="42">
        <f t="shared" si="2"/>
        <v>-7.3711647934531117E-3</v>
      </c>
      <c r="L32" s="42">
        <f t="shared" si="3"/>
        <v>-1.0130686713866039E-3</v>
      </c>
    </row>
    <row r="33" spans="1:12" x14ac:dyDescent="0.2">
      <c r="A33" s="25">
        <v>45268</v>
      </c>
      <c r="B33" s="10"/>
      <c r="C33" s="11">
        <v>99.38</v>
      </c>
      <c r="D33" s="11">
        <v>98.88</v>
      </c>
      <c r="E33" s="18"/>
      <c r="F33" s="21">
        <v>9.4517139889551613E-3</v>
      </c>
      <c r="G33" s="18"/>
      <c r="H33" s="42">
        <f t="shared" si="0"/>
        <v>7.1957028478766977E-3</v>
      </c>
      <c r="I33" s="43">
        <f t="shared" si="1"/>
        <v>2.229880397324132E-3</v>
      </c>
      <c r="K33" s="42">
        <f t="shared" si="2"/>
        <v>7.1699373050990922E-3</v>
      </c>
      <c r="L33" s="42">
        <f t="shared" si="3"/>
        <v>2.2273979037884975E-3</v>
      </c>
    </row>
    <row r="34" spans="1:12" x14ac:dyDescent="0.2">
      <c r="A34" s="25">
        <v>45271</v>
      </c>
      <c r="B34" s="10"/>
      <c r="C34" s="11">
        <v>99.02</v>
      </c>
      <c r="D34" s="11">
        <v>99.1</v>
      </c>
      <c r="E34" s="18"/>
      <c r="F34" s="21">
        <v>5.2917619344803298E-3</v>
      </c>
      <c r="G34" s="18"/>
      <c r="H34" s="42">
        <f t="shared" si="0"/>
        <v>-3.6224592473334621E-3</v>
      </c>
      <c r="I34" s="43">
        <f t="shared" si="1"/>
        <v>2.2249190938511214E-3</v>
      </c>
      <c r="K34" s="42">
        <f t="shared" si="2"/>
        <v>-3.6290362408975662E-3</v>
      </c>
      <c r="L34" s="42">
        <f t="shared" si="3"/>
        <v>2.222447626561562E-3</v>
      </c>
    </row>
    <row r="35" spans="1:12" x14ac:dyDescent="0.2">
      <c r="A35" s="25">
        <v>45272</v>
      </c>
      <c r="B35" s="10"/>
      <c r="C35" s="11">
        <v>98.94</v>
      </c>
      <c r="D35" s="11">
        <v>99.94</v>
      </c>
      <c r="E35" s="18"/>
      <c r="F35" s="21">
        <v>1.87433514278967E-3</v>
      </c>
      <c r="G35" s="18"/>
      <c r="H35" s="42">
        <f t="shared" si="0"/>
        <v>-8.0791759240555745E-4</v>
      </c>
      <c r="I35" s="43">
        <f t="shared" si="1"/>
        <v>8.4762865792129514E-3</v>
      </c>
      <c r="K35" s="42">
        <f t="shared" si="2"/>
        <v>-8.0824413371438913E-4</v>
      </c>
      <c r="L35" s="42">
        <f t="shared" si="3"/>
        <v>8.440564580116685E-3</v>
      </c>
    </row>
    <row r="36" spans="1:12" x14ac:dyDescent="0.2">
      <c r="A36" s="25">
        <v>45273</v>
      </c>
      <c r="B36" s="10"/>
      <c r="C36" s="11">
        <v>98.43</v>
      </c>
      <c r="D36" s="11">
        <v>100.45</v>
      </c>
      <c r="E36" s="18"/>
      <c r="F36" s="21">
        <v>3.3799043549469499E-3</v>
      </c>
      <c r="G36" s="18"/>
      <c r="H36" s="42">
        <f t="shared" si="0"/>
        <v>-5.1546391752576399E-3</v>
      </c>
      <c r="I36" s="43">
        <f t="shared" si="1"/>
        <v>5.1030618371023127E-3</v>
      </c>
      <c r="K36" s="42">
        <f t="shared" si="2"/>
        <v>-5.1679701584424493E-3</v>
      </c>
      <c r="L36" s="42">
        <f t="shared" si="3"/>
        <v>5.0900853448846133E-3</v>
      </c>
    </row>
    <row r="37" spans="1:12" x14ac:dyDescent="0.2">
      <c r="A37" s="25">
        <v>45274</v>
      </c>
      <c r="B37" s="10"/>
      <c r="C37" s="11">
        <v>97.72</v>
      </c>
      <c r="D37" s="11">
        <v>95.5</v>
      </c>
      <c r="E37" s="18"/>
      <c r="F37" s="21">
        <v>1.88060217933228E-3</v>
      </c>
      <c r="G37" s="18"/>
      <c r="H37" s="42">
        <f t="shared" si="0"/>
        <v>-7.2132479934979973E-3</v>
      </c>
      <c r="I37" s="43">
        <f t="shared" si="1"/>
        <v>-4.9278247884519691E-2</v>
      </c>
      <c r="K37" s="42">
        <f t="shared" si="2"/>
        <v>-7.2393892515803041E-3</v>
      </c>
      <c r="L37" s="42">
        <f t="shared" si="3"/>
        <v>-5.053384377425893E-2</v>
      </c>
    </row>
    <row r="38" spans="1:12" x14ac:dyDescent="0.2">
      <c r="A38" s="25">
        <v>45275</v>
      </c>
      <c r="B38" s="10"/>
      <c r="C38" s="11">
        <v>98.11</v>
      </c>
      <c r="D38" s="11">
        <v>95.64</v>
      </c>
      <c r="E38" s="18"/>
      <c r="F38" s="21">
        <v>-1.6108302331958499E-3</v>
      </c>
      <c r="G38" s="18"/>
      <c r="H38" s="42">
        <f t="shared" si="0"/>
        <v>3.9909946786737677E-3</v>
      </c>
      <c r="I38" s="43">
        <f t="shared" si="1"/>
        <v>1.4659685863874406E-3</v>
      </c>
      <c r="K38" s="42">
        <f t="shared" si="2"/>
        <v>3.9830517857597711E-3</v>
      </c>
      <c r="L38" s="42">
        <f t="shared" si="3"/>
        <v>1.464895103439351E-3</v>
      </c>
    </row>
    <row r="39" spans="1:12" x14ac:dyDescent="0.2">
      <c r="A39" s="25">
        <v>45278</v>
      </c>
      <c r="B39" s="10"/>
      <c r="C39" s="11">
        <v>98.08</v>
      </c>
      <c r="D39" s="11">
        <v>95.98</v>
      </c>
      <c r="E39" s="18"/>
      <c r="F39" s="21">
        <v>-3.22498565688467E-3</v>
      </c>
      <c r="G39" s="18"/>
      <c r="H39" s="42">
        <f t="shared" si="0"/>
        <v>-3.0577922739783038E-4</v>
      </c>
      <c r="I39" s="43">
        <f t="shared" si="1"/>
        <v>3.5549979088247952E-3</v>
      </c>
      <c r="K39" s="42">
        <f t="shared" si="2"/>
        <v>-3.0582598739818358E-4</v>
      </c>
      <c r="L39" s="42">
        <f t="shared" si="3"/>
        <v>3.5486938399754645E-3</v>
      </c>
    </row>
    <row r="40" spans="1:12" x14ac:dyDescent="0.2">
      <c r="A40" s="25">
        <v>45279</v>
      </c>
      <c r="B40" s="10"/>
      <c r="C40" s="11">
        <v>96.57</v>
      </c>
      <c r="D40" s="11">
        <v>95.96</v>
      </c>
      <c r="E40" s="18"/>
      <c r="F40" s="21">
        <v>-8.3962274176785302E-4</v>
      </c>
      <c r="G40" s="18"/>
      <c r="H40" s="42">
        <f t="shared" si="0"/>
        <v>-1.5395595432300216E-2</v>
      </c>
      <c r="I40" s="43">
        <f t="shared" si="1"/>
        <v>-2.0837674515534728E-4</v>
      </c>
      <c r="K40" s="42">
        <f t="shared" si="2"/>
        <v>-1.5515338209074799E-2</v>
      </c>
      <c r="L40" s="42">
        <f t="shared" si="3"/>
        <v>-2.0839845860579052E-4</v>
      </c>
    </row>
    <row r="41" spans="1:12" x14ac:dyDescent="0.2">
      <c r="A41" s="25">
        <v>45280</v>
      </c>
      <c r="B41" s="10"/>
      <c r="C41" s="11">
        <v>96.58</v>
      </c>
      <c r="D41" s="11">
        <v>96.46</v>
      </c>
      <c r="E41" s="18"/>
      <c r="F41" s="21">
        <v>-1.3886895920300899E-4</v>
      </c>
      <c r="G41" s="18"/>
      <c r="H41" s="42">
        <f t="shared" si="0"/>
        <v>1.0355182768981171E-4</v>
      </c>
      <c r="I41" s="43">
        <f t="shared" si="1"/>
        <v>5.2105043768236768E-3</v>
      </c>
      <c r="K41" s="42">
        <f t="shared" si="2"/>
        <v>1.0354646656932E-4</v>
      </c>
      <c r="L41" s="42">
        <f t="shared" si="3"/>
        <v>5.1969766693318936E-3</v>
      </c>
    </row>
    <row r="42" spans="1:12" x14ac:dyDescent="0.2">
      <c r="A42" s="25">
        <v>45281</v>
      </c>
      <c r="B42" s="10"/>
      <c r="C42" s="11">
        <v>96.99</v>
      </c>
      <c r="D42" s="11">
        <v>95.34</v>
      </c>
      <c r="E42" s="18"/>
      <c r="F42" s="21">
        <v>-1.1018694652916699E-3</v>
      </c>
      <c r="G42" s="18"/>
      <c r="H42" s="42">
        <f t="shared" si="0"/>
        <v>4.245185338579381E-3</v>
      </c>
      <c r="I42" s="43">
        <f t="shared" si="1"/>
        <v>-1.1611030478954908E-2</v>
      </c>
      <c r="K42" s="42">
        <f t="shared" si="2"/>
        <v>4.2361999600555814E-3</v>
      </c>
      <c r="L42" s="42">
        <f t="shared" si="3"/>
        <v>-1.1678964864146149E-2</v>
      </c>
    </row>
    <row r="43" spans="1:12" x14ac:dyDescent="0.2">
      <c r="A43" s="25">
        <v>45282</v>
      </c>
      <c r="B43" s="10"/>
      <c r="C43" s="11">
        <v>97.2</v>
      </c>
      <c r="D43" s="11">
        <v>95.7</v>
      </c>
      <c r="E43" s="18"/>
      <c r="F43" s="21">
        <v>1.84012282332046E-3</v>
      </c>
      <c r="G43" s="18"/>
      <c r="H43" s="42">
        <f t="shared" si="0"/>
        <v>2.1651716671822661E-3</v>
      </c>
      <c r="I43" s="43">
        <f t="shared" si="1"/>
        <v>3.7759597230962809E-3</v>
      </c>
      <c r="K43" s="42">
        <f t="shared" si="2"/>
        <v>2.1628310609420214E-3</v>
      </c>
      <c r="L43" s="42">
        <f t="shared" si="3"/>
        <v>3.7688486822288684E-3</v>
      </c>
    </row>
    <row r="44" spans="1:12" x14ac:dyDescent="0.2">
      <c r="A44" s="25">
        <v>45287</v>
      </c>
      <c r="B44" s="10"/>
      <c r="C44" s="11">
        <v>96.84</v>
      </c>
      <c r="D44" s="11">
        <v>95.12</v>
      </c>
      <c r="E44" s="18"/>
      <c r="F44" s="21">
        <v>-3.5070247389864502E-3</v>
      </c>
      <c r="G44" s="18"/>
      <c r="H44" s="42">
        <f t="shared" si="0"/>
        <v>-3.7037037037036978E-3</v>
      </c>
      <c r="I44" s="43">
        <f t="shared" si="1"/>
        <v>-6.0606060606060424E-3</v>
      </c>
      <c r="K44" s="42">
        <f t="shared" si="2"/>
        <v>-3.7105793965356015E-3</v>
      </c>
      <c r="L44" s="42">
        <f t="shared" si="3"/>
        <v>-6.0790460763821153E-3</v>
      </c>
    </row>
    <row r="45" spans="1:12" x14ac:dyDescent="0.2">
      <c r="A45" s="25">
        <v>45288</v>
      </c>
      <c r="B45" s="10"/>
      <c r="C45" s="11">
        <v>96.79</v>
      </c>
      <c r="D45" s="11">
        <v>94.18</v>
      </c>
      <c r="E45" s="18"/>
      <c r="F45" s="21">
        <v>-5.0773127658968395E-3</v>
      </c>
      <c r="G45" s="18"/>
      <c r="H45" s="42">
        <f t="shared" si="0"/>
        <v>-5.1631557207762447E-4</v>
      </c>
      <c r="I45" s="43">
        <f t="shared" si="1"/>
        <v>-9.8822539949537189E-3</v>
      </c>
      <c r="K45" s="42">
        <f t="shared" si="2"/>
        <v>-5.1644890886051753E-4</v>
      </c>
      <c r="L45" s="42">
        <f t="shared" si="3"/>
        <v>-9.931407567117809E-3</v>
      </c>
    </row>
    <row r="46" spans="1:12" x14ac:dyDescent="0.2">
      <c r="A46" s="25">
        <v>45289</v>
      </c>
      <c r="B46" s="10"/>
      <c r="C46" s="11">
        <v>97.51</v>
      </c>
      <c r="D46" s="11">
        <v>94.56</v>
      </c>
      <c r="E46" s="18"/>
      <c r="F46" s="21">
        <v>7.2571853995615498E-3</v>
      </c>
      <c r="G46" s="18"/>
      <c r="H46" s="42">
        <f t="shared" si="0"/>
        <v>7.4387849984502413E-3</v>
      </c>
      <c r="I46" s="43">
        <f t="shared" si="1"/>
        <v>4.0348269271607076E-3</v>
      </c>
      <c r="K46" s="42">
        <f t="shared" si="2"/>
        <v>7.4112536860304621E-3</v>
      </c>
      <c r="L46" s="42">
        <f t="shared" si="3"/>
        <v>4.0267088423794079E-3</v>
      </c>
    </row>
    <row r="47" spans="1:12" x14ac:dyDescent="0.2">
      <c r="A47" s="25">
        <v>45294</v>
      </c>
      <c r="B47" s="10"/>
      <c r="C47" s="11">
        <v>99.3</v>
      </c>
      <c r="D47" s="11">
        <v>95.12</v>
      </c>
      <c r="E47" s="18"/>
      <c r="F47" s="21">
        <v>2.9151911515359302E-3</v>
      </c>
      <c r="G47" s="18"/>
      <c r="H47" s="42">
        <f t="shared" si="0"/>
        <v>1.8357091580350652E-2</v>
      </c>
      <c r="I47" s="43">
        <f t="shared" si="1"/>
        <v>5.9221658206430015E-3</v>
      </c>
      <c r="K47" s="42">
        <f t="shared" si="2"/>
        <v>1.8190634204099134E-2</v>
      </c>
      <c r="L47" s="42">
        <f t="shared" si="3"/>
        <v>5.9046987247383231E-3</v>
      </c>
    </row>
    <row r="48" spans="1:12" x14ac:dyDescent="0.2">
      <c r="A48" s="25">
        <v>45295</v>
      </c>
      <c r="B48" s="10"/>
      <c r="C48" s="11">
        <v>98.77</v>
      </c>
      <c r="D48" s="11">
        <v>95.94</v>
      </c>
      <c r="E48" s="18"/>
      <c r="F48" s="21">
        <v>4.8437887006587098E-3</v>
      </c>
      <c r="G48" s="18"/>
      <c r="H48" s="42">
        <f t="shared" si="0"/>
        <v>-5.3373615307150167E-3</v>
      </c>
      <c r="I48" s="43">
        <f t="shared" si="1"/>
        <v>8.6206896551723408E-3</v>
      </c>
      <c r="K48" s="42">
        <f t="shared" si="2"/>
        <v>-5.3516561310910302E-3</v>
      </c>
      <c r="L48" s="42">
        <f t="shared" si="3"/>
        <v>8.583743691391435E-3</v>
      </c>
    </row>
    <row r="49" spans="1:12" x14ac:dyDescent="0.2">
      <c r="A49" s="25">
        <v>45296</v>
      </c>
      <c r="B49" s="10"/>
      <c r="C49" s="11">
        <v>98.63</v>
      </c>
      <c r="D49" s="11">
        <v>96.02</v>
      </c>
      <c r="E49" s="18"/>
      <c r="F49" s="21">
        <v>-3.4272063357916301E-3</v>
      </c>
      <c r="G49" s="18"/>
      <c r="H49" s="42">
        <f t="shared" si="0"/>
        <v>-1.4174344436569868E-3</v>
      </c>
      <c r="I49" s="43">
        <f t="shared" si="1"/>
        <v>8.3385449239105998E-4</v>
      </c>
      <c r="K49" s="42">
        <f t="shared" si="2"/>
        <v>-1.4184399541337456E-3</v>
      </c>
      <c r="L49" s="42">
        <f t="shared" si="3"/>
        <v>8.3350702887650258E-4</v>
      </c>
    </row>
    <row r="50" spans="1:12" x14ac:dyDescent="0.2">
      <c r="A50" s="25">
        <v>45299</v>
      </c>
      <c r="B50" s="10"/>
      <c r="C50" s="11">
        <v>98.79</v>
      </c>
      <c r="D50" s="11">
        <v>96.86</v>
      </c>
      <c r="E50" s="18"/>
      <c r="F50" s="21">
        <v>3.9784633309269905E-3</v>
      </c>
      <c r="G50" s="18"/>
      <c r="H50" s="42">
        <f t="shared" si="0"/>
        <v>1.6222244753118808E-3</v>
      </c>
      <c r="I50" s="43">
        <f t="shared" si="1"/>
        <v>8.7481774630285714E-3</v>
      </c>
      <c r="K50" s="42">
        <f t="shared" si="2"/>
        <v>1.6209100904805869E-3</v>
      </c>
      <c r="L50" s="42">
        <f t="shared" si="3"/>
        <v>8.7101338722887188E-3</v>
      </c>
    </row>
    <row r="51" spans="1:12" x14ac:dyDescent="0.2">
      <c r="A51" s="25">
        <v>45300</v>
      </c>
      <c r="B51" s="10"/>
      <c r="C51" s="11">
        <v>98.82</v>
      </c>
      <c r="D51" s="11">
        <v>96.6</v>
      </c>
      <c r="E51" s="18"/>
      <c r="F51" s="21">
        <v>1.6243922964211898E-3</v>
      </c>
      <c r="G51" s="18"/>
      <c r="H51" s="42">
        <f t="shared" si="0"/>
        <v>3.0367446097769941E-4</v>
      </c>
      <c r="I51" s="43">
        <f t="shared" si="1"/>
        <v>-2.6842865992154153E-3</v>
      </c>
      <c r="K51" s="42">
        <f t="shared" si="2"/>
        <v>3.0362836122119441E-4</v>
      </c>
      <c r="L51" s="42">
        <f t="shared" si="3"/>
        <v>-2.6878957566107806E-3</v>
      </c>
    </row>
    <row r="52" spans="1:12" x14ac:dyDescent="0.2">
      <c r="A52" s="25">
        <v>45301</v>
      </c>
      <c r="B52" s="10"/>
      <c r="C52" s="11">
        <v>98.27</v>
      </c>
      <c r="D52" s="11">
        <v>96.74</v>
      </c>
      <c r="E52" s="18"/>
      <c r="F52" s="21">
        <v>5.6481150518594703E-4</v>
      </c>
      <c r="G52" s="18"/>
      <c r="H52" s="42">
        <f t="shared" si="0"/>
        <v>-5.5656749645820397E-3</v>
      </c>
      <c r="I52" s="43">
        <f t="shared" si="1"/>
        <v>1.4492753623188465E-3</v>
      </c>
      <c r="K52" s="42">
        <f t="shared" si="2"/>
        <v>-5.5812210432684408E-3</v>
      </c>
      <c r="L52" s="42">
        <f t="shared" si="3"/>
        <v>1.448226176364748E-3</v>
      </c>
    </row>
    <row r="53" spans="1:12" x14ac:dyDescent="0.2">
      <c r="A53" s="25">
        <v>45302</v>
      </c>
      <c r="B53" s="10"/>
      <c r="C53" s="11">
        <v>96.68</v>
      </c>
      <c r="D53" s="11">
        <v>96.98</v>
      </c>
      <c r="E53" s="18"/>
      <c r="F53" s="21">
        <v>-9.0076797483668002E-3</v>
      </c>
      <c r="G53" s="18"/>
      <c r="H53" s="42">
        <f t="shared" si="0"/>
        <v>-1.6179912486007829E-2</v>
      </c>
      <c r="I53" s="43">
        <f t="shared" si="1"/>
        <v>2.4808765763904188E-3</v>
      </c>
      <c r="K53" s="42">
        <f t="shared" si="2"/>
        <v>-1.6312236539053098E-2</v>
      </c>
      <c r="L53" s="42">
        <f t="shared" si="3"/>
        <v>2.4778042823691516E-3</v>
      </c>
    </row>
    <row r="54" spans="1:12" x14ac:dyDescent="0.2">
      <c r="A54" s="25">
        <v>45303</v>
      </c>
      <c r="B54" s="10"/>
      <c r="C54" s="11">
        <v>97.74</v>
      </c>
      <c r="D54" s="11">
        <v>97.8</v>
      </c>
      <c r="E54" s="18"/>
      <c r="F54" s="21">
        <v>6.5257410031942494E-3</v>
      </c>
      <c r="G54" s="18"/>
      <c r="H54" s="42">
        <f t="shared" si="0"/>
        <v>1.0964004964832312E-2</v>
      </c>
      <c r="I54" s="43">
        <f t="shared" si="1"/>
        <v>8.4553516188904214E-3</v>
      </c>
      <c r="K54" s="42">
        <f t="shared" si="2"/>
        <v>1.0904336006726361E-2</v>
      </c>
      <c r="L54" s="42">
        <f t="shared" si="3"/>
        <v>8.4198053635652689E-3</v>
      </c>
    </row>
    <row r="55" spans="1:12" x14ac:dyDescent="0.2">
      <c r="A55" s="25">
        <v>45307</v>
      </c>
      <c r="B55" s="10"/>
      <c r="C55" s="11">
        <v>98.39</v>
      </c>
      <c r="D55" s="11">
        <v>98.48</v>
      </c>
      <c r="E55" s="18"/>
      <c r="F55" s="21">
        <v>2.8924083531856E-4</v>
      </c>
      <c r="G55" s="18"/>
      <c r="H55" s="42">
        <f t="shared" si="0"/>
        <v>6.6502967055453825E-3</v>
      </c>
      <c r="I55" s="43">
        <f t="shared" si="1"/>
        <v>6.9529652351738944E-3</v>
      </c>
      <c r="K55" s="42">
        <f t="shared" si="2"/>
        <v>6.6282810356653029E-3</v>
      </c>
      <c r="L55" s="42">
        <f t="shared" si="3"/>
        <v>6.9289048354264533E-3</v>
      </c>
    </row>
    <row r="56" spans="1:12" x14ac:dyDescent="0.2">
      <c r="A56" s="25">
        <v>45308</v>
      </c>
      <c r="B56" s="10"/>
      <c r="C56" s="11">
        <v>98.18</v>
      </c>
      <c r="D56" s="11">
        <v>97.68</v>
      </c>
      <c r="E56" s="18"/>
      <c r="F56" s="21">
        <v>-7.2210097077989302E-3</v>
      </c>
      <c r="G56" s="18"/>
      <c r="H56" s="42">
        <f t="shared" si="0"/>
        <v>-2.1343632482975277E-3</v>
      </c>
      <c r="I56" s="43">
        <f t="shared" si="1"/>
        <v>-8.1234768480909544E-3</v>
      </c>
      <c r="K56" s="42">
        <f t="shared" si="2"/>
        <v>-2.1366442477675973E-3</v>
      </c>
      <c r="L56" s="42">
        <f t="shared" si="3"/>
        <v>-8.1566520737488529E-3</v>
      </c>
    </row>
    <row r="57" spans="1:12" x14ac:dyDescent="0.2">
      <c r="A57" s="25">
        <v>45309</v>
      </c>
      <c r="B57" s="10"/>
      <c r="C57" s="11">
        <v>97.61</v>
      </c>
      <c r="D57" s="11">
        <v>96.96</v>
      </c>
      <c r="E57" s="18"/>
      <c r="F57" s="21">
        <v>3.3475687147173001E-3</v>
      </c>
      <c r="G57" s="18"/>
      <c r="H57" s="42">
        <f t="shared" si="0"/>
        <v>-5.8056630678346641E-3</v>
      </c>
      <c r="I57" s="43">
        <f t="shared" si="1"/>
        <v>-7.371007371007504E-3</v>
      </c>
      <c r="K57" s="42">
        <f t="shared" si="2"/>
        <v>-5.822581443032813E-3</v>
      </c>
      <c r="L57" s="42">
        <f t="shared" si="3"/>
        <v>-7.3983074814450364E-3</v>
      </c>
    </row>
    <row r="58" spans="1:12" x14ac:dyDescent="0.2">
      <c r="A58" s="25">
        <v>45310</v>
      </c>
      <c r="B58" s="10"/>
      <c r="C58" s="11">
        <v>97.43</v>
      </c>
      <c r="D58" s="11">
        <v>97.76</v>
      </c>
      <c r="E58" s="18"/>
      <c r="F58" s="21">
        <v>-3.1608890766455702E-3</v>
      </c>
      <c r="G58" s="18"/>
      <c r="H58" s="42">
        <f t="shared" si="0"/>
        <v>-1.8440733531399714E-3</v>
      </c>
      <c r="I58" s="43">
        <f t="shared" si="1"/>
        <v>8.250825082508368E-3</v>
      </c>
      <c r="K58" s="42">
        <f t="shared" si="2"/>
        <v>-1.8457757496237765E-3</v>
      </c>
      <c r="L58" s="42">
        <f t="shared" si="3"/>
        <v>8.2169731022810246E-3</v>
      </c>
    </row>
    <row r="59" spans="1:12" x14ac:dyDescent="0.2">
      <c r="A59" s="25">
        <v>45313</v>
      </c>
      <c r="B59" s="10"/>
      <c r="C59" s="11">
        <v>97.49</v>
      </c>
      <c r="D59" s="11">
        <v>99.36</v>
      </c>
      <c r="E59" s="18"/>
      <c r="F59" s="21">
        <v>1.1194825129178401E-2</v>
      </c>
      <c r="G59" s="18"/>
      <c r="H59" s="42">
        <f t="shared" si="0"/>
        <v>6.1582674740827317E-4</v>
      </c>
      <c r="I59" s="43">
        <f t="shared" si="1"/>
        <v>1.6366612111292905E-2</v>
      </c>
      <c r="K59" s="42">
        <f t="shared" si="2"/>
        <v>6.1563720393023526E-4</v>
      </c>
      <c r="L59" s="42">
        <f t="shared" si="3"/>
        <v>1.6234122761883348E-2</v>
      </c>
    </row>
    <row r="60" spans="1:12" x14ac:dyDescent="0.2">
      <c r="A60" s="25">
        <v>45314</v>
      </c>
      <c r="B60" s="10"/>
      <c r="C60" s="11">
        <v>95.9</v>
      </c>
      <c r="D60" s="11">
        <v>98.26</v>
      </c>
      <c r="E60" s="18"/>
      <c r="F60" s="21">
        <v>-1.1182854017860299E-2</v>
      </c>
      <c r="G60" s="18"/>
      <c r="H60" s="42">
        <f t="shared" si="0"/>
        <v>-1.6309365063083284E-2</v>
      </c>
      <c r="I60" s="43">
        <f t="shared" si="1"/>
        <v>-1.1070853462157753E-2</v>
      </c>
      <c r="K60" s="42">
        <f t="shared" si="2"/>
        <v>-1.6443826751787564E-2</v>
      </c>
      <c r="L60" s="42">
        <f t="shared" si="3"/>
        <v>-1.1132591444666389E-2</v>
      </c>
    </row>
    <row r="61" spans="1:12" x14ac:dyDescent="0.2">
      <c r="A61" s="25">
        <v>45315</v>
      </c>
      <c r="B61" s="10"/>
      <c r="C61" s="11">
        <v>95.32</v>
      </c>
      <c r="D61" s="11">
        <v>98.76</v>
      </c>
      <c r="E61" s="18"/>
      <c r="F61" s="21">
        <v>4.2657520113376004E-3</v>
      </c>
      <c r="G61" s="18"/>
      <c r="H61" s="42">
        <f t="shared" si="0"/>
        <v>-6.0479666319083678E-3</v>
      </c>
      <c r="I61" s="43">
        <f t="shared" si="1"/>
        <v>5.0885406065540404E-3</v>
      </c>
      <c r="K61" s="42">
        <f t="shared" si="2"/>
        <v>-6.0663296588512449E-3</v>
      </c>
      <c r="L61" s="42">
        <f t="shared" si="3"/>
        <v>5.0756377364764805E-3</v>
      </c>
    </row>
    <row r="62" spans="1:12" x14ac:dyDescent="0.2">
      <c r="A62" s="25">
        <v>45316</v>
      </c>
      <c r="B62" s="10"/>
      <c r="C62" s="11">
        <v>96.2</v>
      </c>
      <c r="D62" s="11">
        <v>98.84</v>
      </c>
      <c r="E62" s="18"/>
      <c r="F62" s="21">
        <v>1.08927652653045E-3</v>
      </c>
      <c r="G62" s="18"/>
      <c r="H62" s="42">
        <f t="shared" si="0"/>
        <v>9.2320604280319938E-3</v>
      </c>
      <c r="I62" s="43">
        <f t="shared" si="1"/>
        <v>8.1004455245036746E-4</v>
      </c>
      <c r="K62" s="42">
        <f t="shared" si="2"/>
        <v>9.1897054411195795E-3</v>
      </c>
      <c r="L62" s="42">
        <f t="shared" si="3"/>
        <v>8.0971664343055746E-4</v>
      </c>
    </row>
    <row r="63" spans="1:12" x14ac:dyDescent="0.2">
      <c r="A63" s="25">
        <v>45317</v>
      </c>
      <c r="B63" s="10"/>
      <c r="C63" s="11">
        <v>98.49</v>
      </c>
      <c r="D63" s="11">
        <v>99.26</v>
      </c>
      <c r="E63" s="18"/>
      <c r="F63" s="21">
        <v>1.6157457579136499E-2</v>
      </c>
      <c r="G63" s="18"/>
      <c r="H63" s="42">
        <f t="shared" si="0"/>
        <v>2.3804573804573723E-2</v>
      </c>
      <c r="I63" s="43">
        <f t="shared" si="1"/>
        <v>4.2492917847025665E-3</v>
      </c>
      <c r="K63" s="42">
        <f t="shared" si="2"/>
        <v>2.3525662509950175E-2</v>
      </c>
      <c r="L63" s="42">
        <f t="shared" si="3"/>
        <v>4.2402890388854421E-3</v>
      </c>
    </row>
    <row r="64" spans="1:12" x14ac:dyDescent="0.2">
      <c r="A64" s="25">
        <v>45320</v>
      </c>
      <c r="B64" s="10"/>
      <c r="C64" s="11">
        <v>99.39</v>
      </c>
      <c r="D64" s="11">
        <v>99.28</v>
      </c>
      <c r="E64" s="18"/>
      <c r="F64" s="21">
        <v>3.48566308320386E-3</v>
      </c>
      <c r="G64" s="18"/>
      <c r="H64" s="42">
        <f t="shared" si="0"/>
        <v>9.1379835516296661E-3</v>
      </c>
      <c r="I64" s="43">
        <f t="shared" si="1"/>
        <v>2.0149103364896254E-4</v>
      </c>
      <c r="K64" s="42">
        <f t="shared" si="2"/>
        <v>9.096484798303231E-3</v>
      </c>
      <c r="L64" s="42">
        <f t="shared" si="3"/>
        <v>2.0147073705699189E-4</v>
      </c>
    </row>
    <row r="65" spans="1:12" x14ac:dyDescent="0.2">
      <c r="A65" s="25">
        <v>45321</v>
      </c>
      <c r="B65" s="10"/>
      <c r="C65" s="11">
        <v>99.03</v>
      </c>
      <c r="D65" s="11">
        <v>99.1</v>
      </c>
      <c r="E65" s="18"/>
      <c r="F65" s="21">
        <v>1.16375414382519E-3</v>
      </c>
      <c r="G65" s="18"/>
      <c r="H65" s="42">
        <f t="shared" si="0"/>
        <v>-3.6220947781466892E-3</v>
      </c>
      <c r="I65" s="43">
        <f t="shared" si="1"/>
        <v>-1.8130539887188438E-3</v>
      </c>
      <c r="K65" s="42">
        <f t="shared" si="2"/>
        <v>-3.6286704467028323E-3</v>
      </c>
      <c r="L65" s="42">
        <f t="shared" si="3"/>
        <v>-1.8146995604095822E-3</v>
      </c>
    </row>
    <row r="66" spans="1:12" x14ac:dyDescent="0.2">
      <c r="A66" s="25">
        <v>45322</v>
      </c>
      <c r="B66" s="10"/>
      <c r="C66" s="11">
        <v>98.56</v>
      </c>
      <c r="D66" s="11">
        <v>99.1</v>
      </c>
      <c r="E66" s="18"/>
      <c r="F66" s="21">
        <v>-9.5912706301360898E-3</v>
      </c>
      <c r="G66" s="18"/>
      <c r="H66" s="42">
        <f t="shared" si="0"/>
        <v>-4.7460365545794088E-3</v>
      </c>
      <c r="I66" s="43">
        <f t="shared" si="1"/>
        <v>0</v>
      </c>
      <c r="K66" s="42">
        <f t="shared" si="2"/>
        <v>-4.75733474800166E-3</v>
      </c>
      <c r="L66" s="42">
        <f t="shared" si="3"/>
        <v>0</v>
      </c>
    </row>
    <row r="67" spans="1:12" x14ac:dyDescent="0.2">
      <c r="A67" s="25">
        <v>45323</v>
      </c>
      <c r="B67" s="10"/>
      <c r="C67" s="11">
        <v>98.35</v>
      </c>
      <c r="D67" s="11">
        <v>97.76</v>
      </c>
      <c r="E67" s="18"/>
      <c r="F67" s="21">
        <v>-1.05411822200194E-2</v>
      </c>
      <c r="G67" s="18"/>
      <c r="H67" s="42">
        <f t="shared" si="0"/>
        <v>-2.1306818181818987E-3</v>
      </c>
      <c r="I67" s="43">
        <f t="shared" si="1"/>
        <v>-1.3521695257315735E-2</v>
      </c>
      <c r="K67" s="42">
        <f t="shared" si="2"/>
        <v>-2.132954950141631E-3</v>
      </c>
      <c r="L67" s="42">
        <f t="shared" si="3"/>
        <v>-1.3613945912656994E-2</v>
      </c>
    </row>
    <row r="68" spans="1:12" x14ac:dyDescent="0.2">
      <c r="A68" s="25">
        <v>45324</v>
      </c>
      <c r="B68" s="10"/>
      <c r="C68" s="11">
        <v>98.57</v>
      </c>
      <c r="D68" s="11">
        <v>98.48</v>
      </c>
      <c r="E68" s="18"/>
      <c r="F68" s="21">
        <v>2.29818844386686E-3</v>
      </c>
      <c r="G68" s="18"/>
      <c r="H68" s="42">
        <f t="shared" si="0"/>
        <v>2.2369089984748233E-3</v>
      </c>
      <c r="I68" s="43">
        <f t="shared" si="1"/>
        <v>7.3649754500818209E-3</v>
      </c>
      <c r="K68" s="42">
        <f t="shared" si="2"/>
        <v>2.2344108422795331E-3</v>
      </c>
      <c r="L68" s="42">
        <f t="shared" si="3"/>
        <v>7.3379864529127909E-3</v>
      </c>
    </row>
    <row r="69" spans="1:12" x14ac:dyDescent="0.2">
      <c r="A69" s="25">
        <v>45327</v>
      </c>
      <c r="B69" s="10"/>
      <c r="C69" s="11">
        <v>100.06</v>
      </c>
      <c r="D69" s="11">
        <v>100.05</v>
      </c>
      <c r="E69" s="18"/>
      <c r="F69" s="21">
        <v>3.09560047549983E-3</v>
      </c>
      <c r="G69" s="18"/>
      <c r="H69" s="42">
        <f t="shared" si="0"/>
        <v>1.5116161103784206E-2</v>
      </c>
      <c r="I69" s="43">
        <f t="shared" si="1"/>
        <v>1.5942323314378483E-2</v>
      </c>
      <c r="K69" s="42">
        <f t="shared" si="2"/>
        <v>1.5003050382711484E-2</v>
      </c>
      <c r="L69" s="42">
        <f t="shared" si="3"/>
        <v>1.5816579153544296E-2</v>
      </c>
    </row>
    <row r="70" spans="1:12" x14ac:dyDescent="0.2">
      <c r="A70" s="25">
        <v>45328</v>
      </c>
      <c r="B70" s="10"/>
      <c r="C70" s="11">
        <v>99.39</v>
      </c>
      <c r="D70" s="11">
        <v>102.2</v>
      </c>
      <c r="E70" s="18"/>
      <c r="F70" s="21">
        <v>-2.6113945432071298E-3</v>
      </c>
      <c r="G70" s="18"/>
      <c r="H70" s="42">
        <f t="shared" si="0"/>
        <v>-6.6959824105536844E-3</v>
      </c>
      <c r="I70" s="43">
        <f t="shared" si="1"/>
        <v>2.1489255372313901E-2</v>
      </c>
      <c r="K70" s="42">
        <f t="shared" si="2"/>
        <v>-6.7185010801448222E-3</v>
      </c>
      <c r="L70" s="42">
        <f t="shared" si="3"/>
        <v>2.1261616739861631E-2</v>
      </c>
    </row>
    <row r="71" spans="1:12" x14ac:dyDescent="0.2">
      <c r="A71" s="25">
        <v>45329</v>
      </c>
      <c r="B71" s="10"/>
      <c r="C71" s="11">
        <v>98.63</v>
      </c>
      <c r="D71" s="11">
        <v>102.45</v>
      </c>
      <c r="E71" s="18"/>
      <c r="F71" s="21">
        <v>-3.0933977532221404E-3</v>
      </c>
      <c r="G71" s="18"/>
      <c r="H71" s="42">
        <f t="shared" si="0"/>
        <v>-7.6466445316430735E-3</v>
      </c>
      <c r="I71" s="43">
        <f t="shared" si="1"/>
        <v>2.446183953033268E-3</v>
      </c>
      <c r="K71" s="42">
        <f t="shared" si="2"/>
        <v>-7.6760300140121078E-3</v>
      </c>
      <c r="L71" s="42">
        <f t="shared" si="3"/>
        <v>2.4431969153046323E-3</v>
      </c>
    </row>
    <row r="72" spans="1:12" x14ac:dyDescent="0.2">
      <c r="A72" s="25">
        <v>45330</v>
      </c>
      <c r="B72" s="10"/>
      <c r="C72" s="11">
        <v>98.34</v>
      </c>
      <c r="D72" s="11">
        <v>100.2</v>
      </c>
      <c r="E72" s="18"/>
      <c r="F72" s="21">
        <v>-6.3685498910476205E-3</v>
      </c>
      <c r="G72" s="18"/>
      <c r="H72" s="42">
        <f t="shared" si="0"/>
        <v>-2.9402818615025051E-3</v>
      </c>
      <c r="I72" s="43">
        <f t="shared" si="1"/>
        <v>-2.1961932650073207E-2</v>
      </c>
      <c r="K72" s="42">
        <f t="shared" si="2"/>
        <v>-2.9446129821087755E-3</v>
      </c>
      <c r="L72" s="42">
        <f t="shared" si="3"/>
        <v>-2.2206686034144309E-2</v>
      </c>
    </row>
    <row r="73" spans="1:12" x14ac:dyDescent="0.2">
      <c r="A73" s="25">
        <v>45331</v>
      </c>
      <c r="B73" s="10"/>
      <c r="C73" s="11">
        <v>95.41</v>
      </c>
      <c r="D73" s="11">
        <v>99.78</v>
      </c>
      <c r="E73" s="18"/>
      <c r="F73" s="21">
        <v>-4.2438768706474202E-3</v>
      </c>
      <c r="G73" s="18"/>
      <c r="H73" s="42">
        <f t="shared" ref="H73:H136" si="4">(C73-C72)/C72</f>
        <v>-2.9794590197274828E-2</v>
      </c>
      <c r="I73" s="43">
        <f t="shared" ref="I73:I136" si="5">(D73-D72)/D72</f>
        <v>-4.1916167664670829E-3</v>
      </c>
      <c r="K73" s="42">
        <f t="shared" ref="K73:K136" si="6">LN(C73/C72)</f>
        <v>-3.0247467220038824E-2</v>
      </c>
      <c r="L73" s="42">
        <f t="shared" ref="L73:L136" si="7">LN(D73/D72)</f>
        <v>-4.2004262178731155E-3</v>
      </c>
    </row>
    <row r="74" spans="1:12" x14ac:dyDescent="0.2">
      <c r="A74" s="25">
        <v>45334</v>
      </c>
      <c r="B74" s="10"/>
      <c r="C74" s="11">
        <v>96.8</v>
      </c>
      <c r="D74" s="11">
        <v>100.45</v>
      </c>
      <c r="E74" s="18"/>
      <c r="F74" s="21">
        <v>7.9081790404378297E-3</v>
      </c>
      <c r="G74" s="18"/>
      <c r="H74" s="42">
        <f t="shared" si="4"/>
        <v>1.4568703490200195E-2</v>
      </c>
      <c r="I74" s="43">
        <f t="shared" si="5"/>
        <v>6.7147724994989144E-3</v>
      </c>
      <c r="K74" s="42">
        <f t="shared" si="6"/>
        <v>1.4463599518776822E-2</v>
      </c>
      <c r="L74" s="42">
        <f t="shared" si="7"/>
        <v>6.6923288280521364E-3</v>
      </c>
    </row>
    <row r="75" spans="1:12" x14ac:dyDescent="0.2">
      <c r="A75" s="25">
        <v>45335</v>
      </c>
      <c r="B75" s="10"/>
      <c r="C75" s="11">
        <v>96.4</v>
      </c>
      <c r="D75" s="11">
        <v>101.95</v>
      </c>
      <c r="E75" s="18"/>
      <c r="F75" s="21">
        <v>-3.2654639241849097E-3</v>
      </c>
      <c r="G75" s="18"/>
      <c r="H75" s="42">
        <f t="shared" si="4"/>
        <v>-4.1322314049585893E-3</v>
      </c>
      <c r="I75" s="43">
        <f t="shared" si="5"/>
        <v>1.4932802389248382E-2</v>
      </c>
      <c r="K75" s="42">
        <f t="shared" si="6"/>
        <v>-4.1407926660312769E-3</v>
      </c>
      <c r="L75" s="42">
        <f t="shared" si="7"/>
        <v>1.4822405759520704E-2</v>
      </c>
    </row>
    <row r="76" spans="1:12" x14ac:dyDescent="0.2">
      <c r="A76" s="25">
        <v>45336</v>
      </c>
      <c r="B76" s="10"/>
      <c r="C76" s="11">
        <v>96.83</v>
      </c>
      <c r="D76" s="11">
        <v>102.5</v>
      </c>
      <c r="E76" s="18"/>
      <c r="F76" s="21">
        <v>6.3585931856979805E-3</v>
      </c>
      <c r="G76" s="18"/>
      <c r="H76" s="42">
        <f t="shared" si="4"/>
        <v>4.460580912862994E-3</v>
      </c>
      <c r="I76" s="43">
        <f t="shared" si="5"/>
        <v>5.3948013732221401E-3</v>
      </c>
      <c r="K76" s="42">
        <f t="shared" si="6"/>
        <v>4.4506620069397944E-3</v>
      </c>
      <c r="L76" s="42">
        <f t="shared" si="7"/>
        <v>5.3803015579986435E-3</v>
      </c>
    </row>
    <row r="77" spans="1:12" x14ac:dyDescent="0.2">
      <c r="A77" s="25">
        <v>45337</v>
      </c>
      <c r="B77" s="10"/>
      <c r="C77" s="11">
        <v>98.11</v>
      </c>
      <c r="D77" s="11">
        <v>103.6</v>
      </c>
      <c r="E77" s="18"/>
      <c r="F77" s="21">
        <v>6.2902317948576505E-3</v>
      </c>
      <c r="G77" s="18"/>
      <c r="H77" s="42">
        <f t="shared" si="4"/>
        <v>1.3219043684808439E-2</v>
      </c>
      <c r="I77" s="43">
        <f t="shared" si="5"/>
        <v>1.0731707317073116E-2</v>
      </c>
      <c r="K77" s="42">
        <f t="shared" si="6"/>
        <v>1.3132434551859803E-2</v>
      </c>
      <c r="L77" s="42">
        <f t="shared" si="7"/>
        <v>1.0674531246919824E-2</v>
      </c>
    </row>
    <row r="78" spans="1:12" x14ac:dyDescent="0.2">
      <c r="A78" s="25">
        <v>45338</v>
      </c>
      <c r="B78" s="10"/>
      <c r="C78" s="11">
        <v>97.15</v>
      </c>
      <c r="D78" s="11">
        <v>100.95</v>
      </c>
      <c r="E78" s="18"/>
      <c r="F78" s="21">
        <v>2.3420661192996499E-3</v>
      </c>
      <c r="G78" s="18"/>
      <c r="H78" s="42">
        <f t="shared" si="4"/>
        <v>-9.7849352767301369E-3</v>
      </c>
      <c r="I78" s="43">
        <f t="shared" si="5"/>
        <v>-2.5579150579150497E-2</v>
      </c>
      <c r="K78" s="42">
        <f t="shared" si="6"/>
        <v>-9.8331223518503368E-3</v>
      </c>
      <c r="L78" s="42">
        <f t="shared" si="7"/>
        <v>-2.5911985066536102E-2</v>
      </c>
    </row>
    <row r="79" spans="1:12" x14ac:dyDescent="0.2">
      <c r="A79" s="25">
        <v>45342</v>
      </c>
      <c r="B79" s="10"/>
      <c r="C79" s="11">
        <v>99.6</v>
      </c>
      <c r="D79" s="11">
        <v>102.75</v>
      </c>
      <c r="E79" s="18"/>
      <c r="F79" s="21">
        <v>1.29394631328048E-2</v>
      </c>
      <c r="G79" s="18"/>
      <c r="H79" s="42">
        <f t="shared" si="4"/>
        <v>2.5218733916623659E-2</v>
      </c>
      <c r="I79" s="43">
        <f t="shared" si="5"/>
        <v>1.7830609212481398E-2</v>
      </c>
      <c r="K79" s="42">
        <f t="shared" si="6"/>
        <v>2.490598876710334E-2</v>
      </c>
      <c r="L79" s="42">
        <f t="shared" si="7"/>
        <v>1.7673508617497422E-2</v>
      </c>
    </row>
    <row r="80" spans="1:12" x14ac:dyDescent="0.2">
      <c r="A80" s="25">
        <v>45343</v>
      </c>
      <c r="B80" s="10"/>
      <c r="C80" s="11">
        <v>99.12</v>
      </c>
      <c r="D80" s="11">
        <v>101.9</v>
      </c>
      <c r="E80" s="18"/>
      <c r="F80" s="21">
        <v>-2.4632161845770102E-3</v>
      </c>
      <c r="G80" s="18"/>
      <c r="H80" s="42">
        <f t="shared" si="4"/>
        <v>-4.8192771084336321E-3</v>
      </c>
      <c r="I80" s="43">
        <f t="shared" si="5"/>
        <v>-8.2725060827250063E-3</v>
      </c>
      <c r="K80" s="42">
        <f t="shared" si="6"/>
        <v>-4.8309272696654684E-3</v>
      </c>
      <c r="L80" s="42">
        <f t="shared" si="7"/>
        <v>-8.3069131476648031E-3</v>
      </c>
    </row>
    <row r="81" spans="1:17" x14ac:dyDescent="0.2">
      <c r="A81" s="25">
        <v>45344</v>
      </c>
      <c r="B81" s="10"/>
      <c r="C81" s="11">
        <v>94.24</v>
      </c>
      <c r="D81" s="11">
        <v>103.95</v>
      </c>
      <c r="E81" s="18"/>
      <c r="F81" s="21">
        <v>-3.7251146126925298E-3</v>
      </c>
      <c r="G81" s="18"/>
      <c r="H81" s="42">
        <f t="shared" si="4"/>
        <v>-4.9233252623083229E-2</v>
      </c>
      <c r="I81" s="43">
        <f t="shared" si="5"/>
        <v>2.01177625122669E-2</v>
      </c>
      <c r="K81" s="42">
        <f t="shared" si="6"/>
        <v>-5.0486517417610503E-2</v>
      </c>
      <c r="L81" s="42">
        <f t="shared" si="7"/>
        <v>1.9918074075342698E-2</v>
      </c>
      <c r="Q81">
        <f>Underlying_Assets!C114*(1+Underlying_Assets!H114)</f>
        <v>94.181386689492811</v>
      </c>
    </row>
    <row r="82" spans="1:17" x14ac:dyDescent="0.2">
      <c r="A82" s="25">
        <v>45345</v>
      </c>
      <c r="B82" s="10"/>
      <c r="C82" s="11">
        <v>95.35</v>
      </c>
      <c r="D82" s="11">
        <v>106.5</v>
      </c>
      <c r="E82" s="18"/>
      <c r="F82" s="21">
        <v>9.7125687078576297E-3</v>
      </c>
      <c r="G82" s="18"/>
      <c r="H82" s="42">
        <f t="shared" si="4"/>
        <v>1.1778438030560267E-2</v>
      </c>
      <c r="I82" s="43">
        <f t="shared" si="5"/>
        <v>2.4531024531024504E-2</v>
      </c>
      <c r="K82" s="42">
        <f t="shared" si="6"/>
        <v>1.170961214315156E-2</v>
      </c>
      <c r="L82" s="42">
        <f t="shared" si="7"/>
        <v>2.423497084545775E-2</v>
      </c>
    </row>
    <row r="83" spans="1:17" x14ac:dyDescent="0.2">
      <c r="A83" s="25">
        <v>45348</v>
      </c>
      <c r="B83" s="10"/>
      <c r="C83" s="11">
        <v>94.29</v>
      </c>
      <c r="D83" s="11">
        <v>105.85</v>
      </c>
      <c r="E83" s="18"/>
      <c r="F83" s="21">
        <v>-3.8162945194039001E-3</v>
      </c>
      <c r="G83" s="18"/>
      <c r="H83" s="42">
        <f t="shared" si="4"/>
        <v>-1.1116937598321847E-2</v>
      </c>
      <c r="I83" s="43">
        <f t="shared" si="5"/>
        <v>-6.1032863849765796E-3</v>
      </c>
      <c r="K83" s="42">
        <f t="shared" si="6"/>
        <v>-1.1179192568842065E-2</v>
      </c>
      <c r="L83" s="42">
        <f t="shared" si="7"/>
        <v>-6.1219875686057065E-3</v>
      </c>
    </row>
    <row r="84" spans="1:17" x14ac:dyDescent="0.2">
      <c r="A84" s="25">
        <v>45349</v>
      </c>
      <c r="B84" s="10"/>
      <c r="C84" s="11">
        <v>93.68</v>
      </c>
      <c r="D84" s="11">
        <v>105</v>
      </c>
      <c r="E84" s="18"/>
      <c r="F84" s="21">
        <v>-1.0850788321047299E-3</v>
      </c>
      <c r="G84" s="18"/>
      <c r="H84" s="42">
        <f t="shared" si="4"/>
        <v>-6.4694029059285119E-3</v>
      </c>
      <c r="I84" s="43">
        <f t="shared" si="5"/>
        <v>-8.0302314596126054E-3</v>
      </c>
      <c r="K84" s="42">
        <f t="shared" si="6"/>
        <v>-6.4904201881240686E-3</v>
      </c>
      <c r="L84" s="42">
        <f t="shared" si="7"/>
        <v>-8.0626474233507009E-3</v>
      </c>
    </row>
    <row r="85" spans="1:17" x14ac:dyDescent="0.2">
      <c r="A85" s="25">
        <v>45350</v>
      </c>
      <c r="B85" s="10"/>
      <c r="C85" s="11">
        <v>92.05</v>
      </c>
      <c r="D85" s="11">
        <v>105.8</v>
      </c>
      <c r="E85" s="18"/>
      <c r="F85" s="21">
        <v>-2.27886648716268E-3</v>
      </c>
      <c r="G85" s="18"/>
      <c r="H85" s="42">
        <f t="shared" si="4"/>
        <v>-1.7399658411614106E-2</v>
      </c>
      <c r="I85" s="43">
        <f t="shared" si="5"/>
        <v>7.6190476190475922E-3</v>
      </c>
      <c r="K85" s="42">
        <f t="shared" si="6"/>
        <v>-1.7552811610375096E-2</v>
      </c>
      <c r="L85" s="42">
        <f t="shared" si="7"/>
        <v>7.5901692666756528E-3</v>
      </c>
    </row>
    <row r="86" spans="1:17" x14ac:dyDescent="0.2">
      <c r="A86" s="25">
        <v>45351</v>
      </c>
      <c r="B86" s="10"/>
      <c r="C86" s="11">
        <v>91.76</v>
      </c>
      <c r="D86" s="11">
        <v>106.6</v>
      </c>
      <c r="E86" s="18"/>
      <c r="F86" s="21">
        <v>2.1442194595631099E-3</v>
      </c>
      <c r="G86" s="18"/>
      <c r="H86" s="42">
        <f t="shared" si="4"/>
        <v>-3.1504617055946992E-3</v>
      </c>
      <c r="I86" s="43">
        <f t="shared" si="5"/>
        <v>7.5614366729678372E-3</v>
      </c>
      <c r="K86" s="42">
        <f t="shared" si="6"/>
        <v>-3.1554348579715692E-3</v>
      </c>
      <c r="L86" s="42">
        <f t="shared" si="7"/>
        <v>7.5329923075452302E-3</v>
      </c>
    </row>
    <row r="87" spans="1:17" x14ac:dyDescent="0.2">
      <c r="A87" s="25">
        <v>45352</v>
      </c>
      <c r="B87" s="10"/>
      <c r="C87" s="11">
        <v>92.54</v>
      </c>
      <c r="D87" s="11">
        <v>106.3</v>
      </c>
      <c r="E87" s="18"/>
      <c r="F87" s="21">
        <v>4.8140604932180803E-3</v>
      </c>
      <c r="G87" s="18"/>
      <c r="H87" s="42">
        <f t="shared" si="4"/>
        <v>8.5004359197907702E-3</v>
      </c>
      <c r="I87" s="43">
        <f t="shared" si="5"/>
        <v>-2.814258911819861E-3</v>
      </c>
      <c r="K87" s="42">
        <f t="shared" si="6"/>
        <v>8.4645106577381848E-3</v>
      </c>
      <c r="L87" s="42">
        <f t="shared" si="7"/>
        <v>-2.8182263838418893E-3</v>
      </c>
    </row>
    <row r="88" spans="1:17" x14ac:dyDescent="0.2">
      <c r="A88" s="25">
        <v>45355</v>
      </c>
      <c r="B88" s="10"/>
      <c r="C88" s="11">
        <v>92.02</v>
      </c>
      <c r="D88" s="11">
        <v>106.65</v>
      </c>
      <c r="E88" s="18"/>
      <c r="F88" s="21">
        <v>-1.4027777548787301E-3</v>
      </c>
      <c r="G88" s="18"/>
      <c r="H88" s="42">
        <f t="shared" si="4"/>
        <v>-5.6191917008862136E-3</v>
      </c>
      <c r="I88" s="43">
        <f t="shared" si="5"/>
        <v>3.2925682031985752E-3</v>
      </c>
      <c r="K88" s="42">
        <f t="shared" si="6"/>
        <v>-5.6350387515310971E-3</v>
      </c>
      <c r="L88" s="42">
        <f t="shared" si="7"/>
        <v>3.2871595694574001E-3</v>
      </c>
    </row>
    <row r="89" spans="1:17" x14ac:dyDescent="0.2">
      <c r="A89" s="25">
        <v>45356</v>
      </c>
      <c r="B89" s="10"/>
      <c r="C89" s="11">
        <v>91.93</v>
      </c>
      <c r="D89" s="11">
        <v>107.3</v>
      </c>
      <c r="E89" s="18"/>
      <c r="F89" s="21">
        <v>-1.2248969159351899E-3</v>
      </c>
      <c r="G89" s="18"/>
      <c r="H89" s="42">
        <f t="shared" si="4"/>
        <v>-9.780482503802348E-4</v>
      </c>
      <c r="I89" s="43">
        <f t="shared" si="5"/>
        <v>6.0947022972338621E-3</v>
      </c>
      <c r="K89" s="42">
        <f t="shared" si="6"/>
        <v>-9.7852685165919387E-4</v>
      </c>
      <c r="L89" s="42">
        <f t="shared" si="7"/>
        <v>6.0762047192932369E-3</v>
      </c>
    </row>
    <row r="90" spans="1:17" x14ac:dyDescent="0.2">
      <c r="A90" s="25">
        <v>45357</v>
      </c>
      <c r="B90" s="10"/>
      <c r="C90" s="11">
        <v>92.83</v>
      </c>
      <c r="D90" s="11">
        <v>108.1</v>
      </c>
      <c r="E90" s="18"/>
      <c r="F90" s="21">
        <v>7.2169044373546695E-3</v>
      </c>
      <c r="G90" s="18"/>
      <c r="H90" s="42">
        <f t="shared" si="4"/>
        <v>9.790057652561638E-3</v>
      </c>
      <c r="I90" s="43">
        <f t="shared" si="5"/>
        <v>7.4557315936626019E-3</v>
      </c>
      <c r="K90" s="42">
        <f t="shared" si="6"/>
        <v>9.7424455361777643E-3</v>
      </c>
      <c r="L90" s="42">
        <f t="shared" si="7"/>
        <v>7.4280750085097078E-3</v>
      </c>
    </row>
    <row r="91" spans="1:17" x14ac:dyDescent="0.2">
      <c r="A91" s="25">
        <v>45358</v>
      </c>
      <c r="B91" s="10"/>
      <c r="C91" s="11">
        <v>93.31</v>
      </c>
      <c r="D91" s="11">
        <v>109</v>
      </c>
      <c r="E91" s="18"/>
      <c r="F91" s="21">
        <v>2.5028896401975099E-3</v>
      </c>
      <c r="G91" s="18"/>
      <c r="H91" s="42">
        <f t="shared" si="4"/>
        <v>5.1707422169557683E-3</v>
      </c>
      <c r="I91" s="43">
        <f t="shared" si="5"/>
        <v>8.3256244218316896E-3</v>
      </c>
      <c r="K91" s="42">
        <f t="shared" si="6"/>
        <v>5.1574198340894849E-3</v>
      </c>
      <c r="L91" s="42">
        <f t="shared" si="7"/>
        <v>8.2911575839811815E-3</v>
      </c>
    </row>
    <row r="92" spans="1:17" x14ac:dyDescent="0.2">
      <c r="A92" s="25">
        <v>45359</v>
      </c>
      <c r="B92" s="10"/>
      <c r="C92" s="11">
        <v>93.81</v>
      </c>
      <c r="D92" s="11">
        <v>109</v>
      </c>
      <c r="E92" s="18"/>
      <c r="F92" s="21">
        <v>6.1998323782053097E-3</v>
      </c>
      <c r="G92" s="18"/>
      <c r="H92" s="42">
        <f t="shared" si="4"/>
        <v>5.358482477762298E-3</v>
      </c>
      <c r="I92" s="43">
        <f t="shared" si="5"/>
        <v>0</v>
      </c>
      <c r="K92" s="42">
        <f t="shared" si="6"/>
        <v>5.3441768919290861E-3</v>
      </c>
      <c r="L92" s="42">
        <f t="shared" si="7"/>
        <v>0</v>
      </c>
    </row>
    <row r="93" spans="1:17" x14ac:dyDescent="0.2">
      <c r="A93" s="25">
        <v>45362</v>
      </c>
      <c r="B93" s="10"/>
      <c r="C93" s="11">
        <v>93.99</v>
      </c>
      <c r="D93" s="11">
        <v>109.85</v>
      </c>
      <c r="E93" s="18"/>
      <c r="F93" s="21">
        <v>3.26714422199625E-3</v>
      </c>
      <c r="G93" s="18"/>
      <c r="H93" s="42">
        <f t="shared" si="4"/>
        <v>1.9187719859289267E-3</v>
      </c>
      <c r="I93" s="43">
        <f t="shared" si="5"/>
        <v>7.7981651376146264E-3</v>
      </c>
      <c r="K93" s="42">
        <f t="shared" si="6"/>
        <v>1.916933494350266E-3</v>
      </c>
      <c r="L93" s="42">
        <f t="shared" si="7"/>
        <v>7.7679166014755011E-3</v>
      </c>
    </row>
    <row r="94" spans="1:17" x14ac:dyDescent="0.2">
      <c r="A94" s="25">
        <v>45363</v>
      </c>
      <c r="B94" s="10"/>
      <c r="C94" s="11">
        <v>94.27</v>
      </c>
      <c r="D94" s="11">
        <v>110.5</v>
      </c>
      <c r="E94" s="18"/>
      <c r="F94" s="21">
        <v>6.5777294193958202E-3</v>
      </c>
      <c r="G94" s="18"/>
      <c r="H94" s="42">
        <f t="shared" si="4"/>
        <v>2.9790403234386761E-3</v>
      </c>
      <c r="I94" s="43">
        <f t="shared" si="5"/>
        <v>5.9171597633136614E-3</v>
      </c>
      <c r="K94" s="42">
        <f t="shared" si="6"/>
        <v>2.9746117758489002E-3</v>
      </c>
      <c r="L94" s="42">
        <f t="shared" si="7"/>
        <v>5.899722127188322E-3</v>
      </c>
    </row>
    <row r="95" spans="1:17" x14ac:dyDescent="0.2">
      <c r="A95" s="25">
        <v>45364</v>
      </c>
      <c r="B95" s="10"/>
      <c r="C95" s="11">
        <v>95.48</v>
      </c>
      <c r="D95" s="11">
        <v>111.8</v>
      </c>
      <c r="E95" s="18"/>
      <c r="F95" s="21">
        <v>2.4150256820705198E-3</v>
      </c>
      <c r="G95" s="18"/>
      <c r="H95" s="42">
        <f t="shared" si="4"/>
        <v>1.2835472578763212E-2</v>
      </c>
      <c r="I95" s="43">
        <f t="shared" si="5"/>
        <v>1.1764705882352915E-2</v>
      </c>
      <c r="K95" s="42">
        <f t="shared" si="6"/>
        <v>1.2753796062570415E-2</v>
      </c>
      <c r="L95" s="42">
        <f t="shared" si="7"/>
        <v>1.1696039763191236E-2</v>
      </c>
    </row>
    <row r="96" spans="1:17" x14ac:dyDescent="0.2">
      <c r="A96" s="25">
        <v>45365</v>
      </c>
      <c r="B96" s="10"/>
      <c r="C96" s="11">
        <v>95.08</v>
      </c>
      <c r="D96" s="11">
        <v>113.15</v>
      </c>
      <c r="E96" s="18"/>
      <c r="F96" s="21">
        <v>-5.9170019012618705E-3</v>
      </c>
      <c r="G96" s="18"/>
      <c r="H96" s="42">
        <f t="shared" si="4"/>
        <v>-4.1893590280687645E-3</v>
      </c>
      <c r="I96" s="43">
        <f t="shared" si="5"/>
        <v>1.2075134168157501E-2</v>
      </c>
      <c r="K96" s="42">
        <f t="shared" si="6"/>
        <v>-4.1981589786361838E-3</v>
      </c>
      <c r="L96" s="42">
        <f t="shared" si="7"/>
        <v>1.2002811358547702E-2</v>
      </c>
    </row>
    <row r="97" spans="1:12" x14ac:dyDescent="0.2">
      <c r="A97" s="25">
        <v>45366</v>
      </c>
      <c r="B97" s="10"/>
      <c r="C97" s="11">
        <v>95.23</v>
      </c>
      <c r="D97" s="11">
        <v>113.75</v>
      </c>
      <c r="E97" s="18"/>
      <c r="F97" s="21">
        <v>-3.8022083406130604E-3</v>
      </c>
      <c r="G97" s="18"/>
      <c r="H97" s="42">
        <f t="shared" si="4"/>
        <v>1.5776188472865554E-3</v>
      </c>
      <c r="I97" s="43">
        <f t="shared" si="5"/>
        <v>5.302695536897873E-3</v>
      </c>
      <c r="K97" s="42">
        <f t="shared" si="6"/>
        <v>1.5763757139614398E-3</v>
      </c>
      <c r="L97" s="42">
        <f t="shared" si="7"/>
        <v>5.2886857515132652E-3</v>
      </c>
    </row>
    <row r="98" spans="1:12" x14ac:dyDescent="0.2">
      <c r="A98" s="25">
        <v>45369</v>
      </c>
      <c r="B98" s="10"/>
      <c r="C98" s="11">
        <v>94.69</v>
      </c>
      <c r="D98" s="11">
        <v>114.6</v>
      </c>
      <c r="E98" s="18"/>
      <c r="F98" s="21">
        <v>-4.4964697128533297E-3</v>
      </c>
      <c r="G98" s="18"/>
      <c r="H98" s="42">
        <f t="shared" si="4"/>
        <v>-5.6704819909692977E-3</v>
      </c>
      <c r="I98" s="43">
        <f t="shared" si="5"/>
        <v>7.4725274725274222E-3</v>
      </c>
      <c r="K98" s="42">
        <f t="shared" si="6"/>
        <v>-5.6866202105459894E-3</v>
      </c>
      <c r="L98" s="42">
        <f t="shared" si="7"/>
        <v>7.4447464495792778E-3</v>
      </c>
    </row>
    <row r="99" spans="1:12" x14ac:dyDescent="0.2">
      <c r="A99" s="25">
        <v>45370</v>
      </c>
      <c r="B99" s="10"/>
      <c r="C99" s="11">
        <v>93.81</v>
      </c>
      <c r="D99" s="11">
        <v>116</v>
      </c>
      <c r="E99" s="18"/>
      <c r="F99" s="21">
        <v>-3.9431074429614396E-3</v>
      </c>
      <c r="G99" s="18"/>
      <c r="H99" s="42">
        <f t="shared" si="4"/>
        <v>-9.2934840004223838E-3</v>
      </c>
      <c r="I99" s="43">
        <f t="shared" si="5"/>
        <v>1.2216404886562005E-2</v>
      </c>
      <c r="K99" s="42">
        <f t="shared" si="6"/>
        <v>-9.3369378575490977E-3</v>
      </c>
      <c r="L99" s="42">
        <f t="shared" si="7"/>
        <v>1.2142386825725561E-2</v>
      </c>
    </row>
    <row r="100" spans="1:12" x14ac:dyDescent="0.2">
      <c r="A100" s="25">
        <v>45371</v>
      </c>
      <c r="B100" s="10"/>
      <c r="C100" s="11">
        <v>94.55</v>
      </c>
      <c r="D100" s="11">
        <v>116.1</v>
      </c>
      <c r="E100" s="18"/>
      <c r="F100" s="21">
        <v>3.5265571503373299E-3</v>
      </c>
      <c r="G100" s="18"/>
      <c r="H100" s="42">
        <f t="shared" si="4"/>
        <v>7.8882848310414116E-3</v>
      </c>
      <c r="I100" s="43">
        <f t="shared" si="5"/>
        <v>8.6206896551719236E-4</v>
      </c>
      <c r="K100" s="42">
        <f t="shared" si="6"/>
        <v>7.8573349666067414E-3</v>
      </c>
      <c r="L100" s="42">
        <f t="shared" si="7"/>
        <v>8.6169759748114163E-4</v>
      </c>
    </row>
    <row r="101" spans="1:12" x14ac:dyDescent="0.2">
      <c r="A101" s="25">
        <v>45372</v>
      </c>
      <c r="B101" s="10"/>
      <c r="C101" s="11">
        <v>94.96</v>
      </c>
      <c r="D101" s="11">
        <v>116.5</v>
      </c>
      <c r="E101" s="18"/>
      <c r="F101" s="21">
        <v>7.31874855726233E-3</v>
      </c>
      <c r="G101" s="18"/>
      <c r="H101" s="42">
        <f t="shared" si="4"/>
        <v>4.3363299841353425E-3</v>
      </c>
      <c r="I101" s="43">
        <f t="shared" si="5"/>
        <v>3.4453057708872152E-3</v>
      </c>
      <c r="K101" s="42">
        <f t="shared" si="6"/>
        <v>4.3269551969459643E-3</v>
      </c>
      <c r="L101" s="42">
        <f t="shared" si="7"/>
        <v>3.4393843019094729E-3</v>
      </c>
    </row>
    <row r="102" spans="1:12" x14ac:dyDescent="0.2">
      <c r="A102" s="25">
        <v>45373</v>
      </c>
      <c r="B102" s="10"/>
      <c r="C102" s="11">
        <v>94.36</v>
      </c>
      <c r="D102" s="11">
        <v>115.6</v>
      </c>
      <c r="E102" s="18"/>
      <c r="F102" s="21">
        <v>-4.4145656118649203E-3</v>
      </c>
      <c r="G102" s="18"/>
      <c r="H102" s="42">
        <f t="shared" si="4"/>
        <v>-6.318449873630943E-3</v>
      </c>
      <c r="I102" s="43">
        <f t="shared" si="5"/>
        <v>-7.7253218884120655E-3</v>
      </c>
      <c r="K102" s="42">
        <f t="shared" si="6"/>
        <v>-6.3384957619382629E-3</v>
      </c>
      <c r="L102" s="42">
        <f t="shared" si="7"/>
        <v>-7.7553167674781608E-3</v>
      </c>
    </row>
    <row r="103" spans="1:12" x14ac:dyDescent="0.2">
      <c r="A103" s="25">
        <v>45376</v>
      </c>
      <c r="B103" s="10"/>
      <c r="C103" s="11">
        <v>94.75</v>
      </c>
      <c r="D103" s="11">
        <v>115.4</v>
      </c>
      <c r="E103" s="18"/>
      <c r="F103" s="21">
        <v>-1.2827509746995399E-3</v>
      </c>
      <c r="G103" s="18"/>
      <c r="H103" s="42">
        <f t="shared" si="4"/>
        <v>4.1331072488342575E-3</v>
      </c>
      <c r="I103" s="43">
        <f t="shared" si="5"/>
        <v>-1.7301038062282755E-3</v>
      </c>
      <c r="K103" s="42">
        <f t="shared" si="6"/>
        <v>4.1245894230613972E-3</v>
      </c>
      <c r="L103" s="42">
        <f t="shared" si="7"/>
        <v>-1.7316021642778238E-3</v>
      </c>
    </row>
    <row r="104" spans="1:12" x14ac:dyDescent="0.2">
      <c r="A104" s="25">
        <v>45377</v>
      </c>
      <c r="B104" s="10"/>
      <c r="C104" s="11">
        <v>95.48</v>
      </c>
      <c r="D104" s="11">
        <v>116.1</v>
      </c>
      <c r="E104" s="18"/>
      <c r="F104" s="21">
        <v>3.7221788596548599E-3</v>
      </c>
      <c r="G104" s="18"/>
      <c r="H104" s="42">
        <f t="shared" si="4"/>
        <v>7.7044854881266915E-3</v>
      </c>
      <c r="I104" s="43">
        <f t="shared" si="5"/>
        <v>6.0658578856151524E-3</v>
      </c>
      <c r="K104" s="42">
        <f t="shared" si="6"/>
        <v>7.6749575080937117E-3</v>
      </c>
      <c r="L104" s="42">
        <f t="shared" si="7"/>
        <v>6.0475346298465762E-3</v>
      </c>
    </row>
    <row r="105" spans="1:12" x14ac:dyDescent="0.2">
      <c r="A105" s="25">
        <v>45378</v>
      </c>
      <c r="B105" s="10"/>
      <c r="C105" s="11">
        <v>96</v>
      </c>
      <c r="D105" s="11">
        <v>116.75</v>
      </c>
      <c r="E105" s="18"/>
      <c r="F105" s="21">
        <v>2.1702100874338901E-3</v>
      </c>
      <c r="G105" s="18"/>
      <c r="H105" s="42">
        <f t="shared" si="4"/>
        <v>5.4461667364892755E-3</v>
      </c>
      <c r="I105" s="43">
        <f t="shared" si="5"/>
        <v>5.5986218776916943E-3</v>
      </c>
      <c r="K105" s="42">
        <f t="shared" si="6"/>
        <v>5.4313899972069195E-3</v>
      </c>
      <c r="L105" s="42">
        <f t="shared" si="7"/>
        <v>5.5830078451610116E-3</v>
      </c>
    </row>
    <row r="106" spans="1:12" x14ac:dyDescent="0.2">
      <c r="A106" s="25">
        <v>45379</v>
      </c>
      <c r="B106" s="10"/>
      <c r="C106" s="11">
        <v>95.75</v>
      </c>
      <c r="D106" s="11">
        <v>115.95</v>
      </c>
      <c r="E106" s="18"/>
      <c r="F106" s="21">
        <v>2.1119449397442001E-3</v>
      </c>
      <c r="G106" s="18"/>
      <c r="H106" s="42">
        <f t="shared" si="4"/>
        <v>-2.6041666666666665E-3</v>
      </c>
      <c r="I106" s="43">
        <f t="shared" si="5"/>
        <v>-6.8522483940042581E-3</v>
      </c>
      <c r="K106" s="42">
        <f t="shared" si="6"/>
        <v>-2.6075634070808302E-3</v>
      </c>
      <c r="L106" s="42">
        <f t="shared" si="7"/>
        <v>-6.8758328474659734E-3</v>
      </c>
    </row>
    <row r="107" spans="1:12" x14ac:dyDescent="0.2">
      <c r="A107" s="25">
        <v>45384</v>
      </c>
      <c r="B107" s="10"/>
      <c r="C107" s="11">
        <v>94.82</v>
      </c>
      <c r="D107" s="11">
        <v>115.35</v>
      </c>
      <c r="E107" s="18"/>
      <c r="F107" s="21">
        <v>-1.15451445871019E-2</v>
      </c>
      <c r="G107" s="18"/>
      <c r="H107" s="42">
        <f t="shared" si="4"/>
        <v>-9.712793733681533E-3</v>
      </c>
      <c r="I107" s="43">
        <f t="shared" si="5"/>
        <v>-5.1746442432083527E-3</v>
      </c>
      <c r="K107" s="42">
        <f t="shared" si="6"/>
        <v>-9.7602705867831374E-3</v>
      </c>
      <c r="L107" s="42">
        <f t="shared" si="7"/>
        <v>-5.1880790817780565E-3</v>
      </c>
    </row>
    <row r="108" spans="1:12" x14ac:dyDescent="0.2">
      <c r="A108" s="25">
        <v>45385</v>
      </c>
      <c r="B108" s="10"/>
      <c r="C108" s="11">
        <v>94.24</v>
      </c>
      <c r="D108" s="11">
        <v>111.25</v>
      </c>
      <c r="E108" s="18"/>
      <c r="F108" s="21">
        <v>1.8859752706417098E-3</v>
      </c>
      <c r="G108" s="18"/>
      <c r="H108" s="42">
        <f t="shared" si="4"/>
        <v>-6.1168529846023873E-3</v>
      </c>
      <c r="I108" s="43">
        <f t="shared" si="5"/>
        <v>-3.5543996532292975E-2</v>
      </c>
      <c r="K108" s="42">
        <f t="shared" si="6"/>
        <v>-6.1356375706956984E-3</v>
      </c>
      <c r="L108" s="42">
        <f t="shared" si="7"/>
        <v>-3.619106357341307E-2</v>
      </c>
    </row>
    <row r="109" spans="1:12" x14ac:dyDescent="0.2">
      <c r="A109" s="25">
        <v>45386</v>
      </c>
      <c r="B109" s="10"/>
      <c r="C109" s="11">
        <v>94.78</v>
      </c>
      <c r="D109" s="11">
        <v>110.45</v>
      </c>
      <c r="E109" s="18"/>
      <c r="F109" s="21">
        <v>6.3926205849698103E-3</v>
      </c>
      <c r="G109" s="18"/>
      <c r="H109" s="42">
        <f t="shared" si="4"/>
        <v>5.7300509337861452E-3</v>
      </c>
      <c r="I109" s="43">
        <f t="shared" si="5"/>
        <v>-7.1910112359550304E-3</v>
      </c>
      <c r="K109" s="42">
        <f t="shared" si="6"/>
        <v>5.7136966361656764E-3</v>
      </c>
      <c r="L109" s="42">
        <f t="shared" si="7"/>
        <v>-7.2169911802233604E-3</v>
      </c>
    </row>
    <row r="110" spans="1:12" x14ac:dyDescent="0.2">
      <c r="A110" s="25">
        <v>45387</v>
      </c>
      <c r="B110" s="10"/>
      <c r="C110" s="11">
        <v>92.92</v>
      </c>
      <c r="D110" s="11">
        <v>108.6</v>
      </c>
      <c r="E110" s="18"/>
      <c r="F110" s="21">
        <v>-1.6708534989821899E-2</v>
      </c>
      <c r="G110" s="18"/>
      <c r="H110" s="42">
        <f t="shared" si="4"/>
        <v>-1.962439333192656E-2</v>
      </c>
      <c r="I110" s="43">
        <f t="shared" si="5"/>
        <v>-1.6749660479855214E-2</v>
      </c>
      <c r="K110" s="42">
        <f t="shared" si="6"/>
        <v>-1.9819508637233838E-2</v>
      </c>
      <c r="L110" s="42">
        <f t="shared" si="7"/>
        <v>-1.6891522366291246E-2</v>
      </c>
    </row>
    <row r="111" spans="1:12" x14ac:dyDescent="0.2">
      <c r="A111" s="25">
        <v>45390</v>
      </c>
      <c r="B111" s="10"/>
      <c r="C111" s="11">
        <v>93.26</v>
      </c>
      <c r="D111" s="11">
        <v>108.75</v>
      </c>
      <c r="E111" s="18"/>
      <c r="F111" s="21">
        <v>4.4669867003501703E-3</v>
      </c>
      <c r="G111" s="18"/>
      <c r="H111" s="42">
        <f t="shared" si="4"/>
        <v>3.6590615583297825E-3</v>
      </c>
      <c r="I111" s="43">
        <f t="shared" si="5"/>
        <v>1.3812154696133121E-3</v>
      </c>
      <c r="K111" s="42">
        <f t="shared" si="6"/>
        <v>3.6523834779665079E-3</v>
      </c>
      <c r="L111" s="42">
        <f t="shared" si="7"/>
        <v>1.3802624689584903E-3</v>
      </c>
    </row>
    <row r="112" spans="1:12" x14ac:dyDescent="0.2">
      <c r="A112" s="25">
        <v>45391</v>
      </c>
      <c r="B112" s="10"/>
      <c r="C112" s="11">
        <v>93.5</v>
      </c>
      <c r="D112" s="11">
        <v>106.1</v>
      </c>
      <c r="E112" s="18"/>
      <c r="F112" s="21">
        <v>-3.56005405845993E-3</v>
      </c>
      <c r="G112" s="18"/>
      <c r="H112" s="42">
        <f t="shared" si="4"/>
        <v>2.5734505683036122E-3</v>
      </c>
      <c r="I112" s="43">
        <f t="shared" si="5"/>
        <v>-2.4367816091954077E-2</v>
      </c>
      <c r="K112" s="42">
        <f t="shared" si="6"/>
        <v>2.5701449144665614E-3</v>
      </c>
      <c r="L112" s="42">
        <f t="shared" si="7"/>
        <v>-2.4669624348856042E-2</v>
      </c>
    </row>
    <row r="113" spans="1:12" x14ac:dyDescent="0.2">
      <c r="A113" s="25">
        <v>45392</v>
      </c>
      <c r="B113" s="10"/>
      <c r="C113" s="11">
        <v>93.46</v>
      </c>
      <c r="D113" s="11">
        <v>106.55</v>
      </c>
      <c r="E113" s="18"/>
      <c r="F113" s="21">
        <v>-9.40678019467733E-4</v>
      </c>
      <c r="G113" s="18"/>
      <c r="H113" s="42">
        <f t="shared" si="4"/>
        <v>-4.2780748663108292E-4</v>
      </c>
      <c r="I113" s="43">
        <f t="shared" si="5"/>
        <v>4.2412818096135988E-3</v>
      </c>
      <c r="K113" s="42">
        <f t="shared" si="6"/>
        <v>-4.278990223612579E-4</v>
      </c>
      <c r="L113" s="42">
        <f t="shared" si="7"/>
        <v>4.232312924688706E-3</v>
      </c>
    </row>
    <row r="114" spans="1:12" x14ac:dyDescent="0.2">
      <c r="A114" s="25">
        <v>45393</v>
      </c>
      <c r="B114" s="10"/>
      <c r="C114" s="11">
        <v>93.82</v>
      </c>
      <c r="D114" s="11">
        <v>105.4</v>
      </c>
      <c r="E114" s="18"/>
      <c r="F114" s="21">
        <v>-2.5635776479551097E-3</v>
      </c>
      <c r="G114" s="18"/>
      <c r="H114" s="42">
        <f t="shared" si="4"/>
        <v>3.8519152578643211E-3</v>
      </c>
      <c r="I114" s="43">
        <f t="shared" si="5"/>
        <v>-1.0793054903800952E-2</v>
      </c>
      <c r="K114" s="42">
        <f t="shared" si="6"/>
        <v>3.8445156280317453E-3</v>
      </c>
      <c r="L114" s="42">
        <f t="shared" si="7"/>
        <v>-1.0851722437364163E-2</v>
      </c>
    </row>
    <row r="115" spans="1:12" x14ac:dyDescent="0.2">
      <c r="A115" s="25">
        <v>45394</v>
      </c>
      <c r="B115" s="10"/>
      <c r="C115" s="11">
        <v>93.04</v>
      </c>
      <c r="D115" s="11">
        <v>106</v>
      </c>
      <c r="E115" s="18"/>
      <c r="F115" s="21">
        <v>-7.5148387072342306E-3</v>
      </c>
      <c r="G115" s="18"/>
      <c r="H115" s="42">
        <f t="shared" si="4"/>
        <v>-8.3137923683648147E-3</v>
      </c>
      <c r="I115" s="43">
        <f t="shared" si="5"/>
        <v>5.6925996204933048E-3</v>
      </c>
      <c r="K115" s="42">
        <f t="shared" si="6"/>
        <v>-8.3485446899028547E-3</v>
      </c>
      <c r="L115" s="42">
        <f t="shared" si="7"/>
        <v>5.6764580048051221E-3</v>
      </c>
    </row>
    <row r="116" spans="1:12" x14ac:dyDescent="0.2">
      <c r="A116" s="25">
        <v>45397</v>
      </c>
      <c r="B116" s="10"/>
      <c r="C116" s="11">
        <v>92.5</v>
      </c>
      <c r="D116" s="11">
        <v>107.4</v>
      </c>
      <c r="E116" s="18"/>
      <c r="F116" s="21">
        <v>1.42665743865855E-3</v>
      </c>
      <c r="G116" s="18"/>
      <c r="H116" s="42">
        <f t="shared" si="4"/>
        <v>-5.8039552880482185E-3</v>
      </c>
      <c r="I116" s="43">
        <f t="shared" si="5"/>
        <v>1.3207547169811375E-2</v>
      </c>
      <c r="K116" s="42">
        <f t="shared" si="6"/>
        <v>-5.8208636920295482E-3</v>
      </c>
      <c r="L116" s="42">
        <f t="shared" si="7"/>
        <v>1.3121087962697276E-2</v>
      </c>
    </row>
    <row r="117" spans="1:12" x14ac:dyDescent="0.2">
      <c r="A117" s="25">
        <v>45398</v>
      </c>
      <c r="B117" s="10"/>
      <c r="C117" s="11">
        <v>91.92</v>
      </c>
      <c r="D117" s="11">
        <v>97.84</v>
      </c>
      <c r="E117" s="18"/>
      <c r="F117" s="21">
        <v>-1.7475582221706001E-2</v>
      </c>
      <c r="G117" s="18"/>
      <c r="H117" s="42">
        <f t="shared" si="4"/>
        <v>-6.270270270270252E-3</v>
      </c>
      <c r="I117" s="43">
        <f t="shared" si="5"/>
        <v>-8.9013035381750483E-2</v>
      </c>
      <c r="K117" s="42">
        <f t="shared" si="6"/>
        <v>-6.2900109778792701E-3</v>
      </c>
      <c r="L117" s="42">
        <f t="shared" si="7"/>
        <v>-9.3226690695847353E-2</v>
      </c>
    </row>
    <row r="118" spans="1:12" x14ac:dyDescent="0.2">
      <c r="A118" s="25">
        <v>45399</v>
      </c>
      <c r="B118" s="10"/>
      <c r="C118" s="11">
        <v>93.36</v>
      </c>
      <c r="D118" s="11">
        <v>98.04</v>
      </c>
      <c r="E118" s="18"/>
      <c r="F118" s="21">
        <v>3.1407042274635899E-3</v>
      </c>
      <c r="G118" s="18"/>
      <c r="H118" s="42">
        <f t="shared" si="4"/>
        <v>1.5665796344647494E-2</v>
      </c>
      <c r="I118" s="43">
        <f t="shared" si="5"/>
        <v>2.0441537203598E-3</v>
      </c>
      <c r="K118" s="42">
        <f t="shared" si="6"/>
        <v>1.5544354437800379E-2</v>
      </c>
      <c r="L118" s="42">
        <f t="shared" si="7"/>
        <v>2.0420672809948488E-3</v>
      </c>
    </row>
    <row r="119" spans="1:12" x14ac:dyDescent="0.2">
      <c r="A119" s="25">
        <v>45400</v>
      </c>
      <c r="B119" s="10"/>
      <c r="C119" s="11">
        <v>93.24</v>
      </c>
      <c r="D119" s="11">
        <v>98</v>
      </c>
      <c r="E119" s="18"/>
      <c r="F119" s="21">
        <v>-1.24358757342624E-4</v>
      </c>
      <c r="G119" s="18"/>
      <c r="H119" s="42">
        <f t="shared" si="4"/>
        <v>-1.2853470437018482E-3</v>
      </c>
      <c r="I119" s="43">
        <f t="shared" si="5"/>
        <v>-4.0799673602617554E-4</v>
      </c>
      <c r="K119" s="42">
        <f t="shared" si="6"/>
        <v>-1.2861738107442296E-3</v>
      </c>
      <c r="L119" s="42">
        <f t="shared" si="7"/>
        <v>-4.0807998934000033E-4</v>
      </c>
    </row>
    <row r="120" spans="1:12" x14ac:dyDescent="0.2">
      <c r="A120" s="25">
        <v>45401</v>
      </c>
      <c r="B120" s="10"/>
      <c r="C120" s="11">
        <v>95.24</v>
      </c>
      <c r="D120" s="11">
        <v>98.12</v>
      </c>
      <c r="E120" s="18"/>
      <c r="F120" s="21">
        <v>5.8738636396162801E-3</v>
      </c>
      <c r="G120" s="18"/>
      <c r="H120" s="42">
        <f t="shared" si="4"/>
        <v>2.145002145002145E-2</v>
      </c>
      <c r="I120" s="43">
        <f t="shared" si="5"/>
        <v>1.2244897959184137E-3</v>
      </c>
      <c r="K120" s="42">
        <f t="shared" si="6"/>
        <v>2.1223207451105702E-2</v>
      </c>
      <c r="L120" s="42">
        <f t="shared" si="7"/>
        <v>1.2237407197166485E-3</v>
      </c>
    </row>
    <row r="121" spans="1:12" x14ac:dyDescent="0.2">
      <c r="A121" s="25">
        <v>45404</v>
      </c>
      <c r="B121" s="10"/>
      <c r="C121" s="11">
        <v>93.84</v>
      </c>
      <c r="D121" s="11">
        <v>99.3</v>
      </c>
      <c r="E121" s="18"/>
      <c r="F121" s="21">
        <v>2.7765228793676898E-3</v>
      </c>
      <c r="G121" s="18"/>
      <c r="H121" s="42">
        <f t="shared" si="4"/>
        <v>-1.4699706005879793E-2</v>
      </c>
      <c r="I121" s="43">
        <f t="shared" si="5"/>
        <v>1.2026090501426749E-2</v>
      </c>
      <c r="K121" s="42">
        <f t="shared" si="6"/>
        <v>-1.4808817273441901E-2</v>
      </c>
      <c r="L121" s="42">
        <f t="shared" si="7"/>
        <v>1.19543516608382E-2</v>
      </c>
    </row>
    <row r="122" spans="1:12" x14ac:dyDescent="0.2">
      <c r="A122" s="25">
        <v>45405</v>
      </c>
      <c r="B122" s="10"/>
      <c r="C122" s="11">
        <v>94.26</v>
      </c>
      <c r="D122" s="11">
        <v>101.85</v>
      </c>
      <c r="E122" s="18"/>
      <c r="F122" s="21">
        <v>1.2480993515636201E-2</v>
      </c>
      <c r="G122" s="18"/>
      <c r="H122" s="42">
        <f t="shared" si="4"/>
        <v>4.4757033248082022E-3</v>
      </c>
      <c r="I122" s="43">
        <f t="shared" si="5"/>
        <v>2.5679758308157073E-2</v>
      </c>
      <c r="K122" s="42">
        <f t="shared" si="6"/>
        <v>4.4657171503647607E-3</v>
      </c>
      <c r="L122" s="42">
        <f t="shared" si="7"/>
        <v>2.5355571621687979E-2</v>
      </c>
    </row>
    <row r="123" spans="1:12" x14ac:dyDescent="0.2">
      <c r="A123" s="25">
        <v>45406</v>
      </c>
      <c r="B123" s="10"/>
      <c r="C123" s="11">
        <v>93.98</v>
      </c>
      <c r="D123" s="11">
        <v>100.75</v>
      </c>
      <c r="E123" s="18"/>
      <c r="F123" s="21">
        <v>-8.5803469285853293E-3</v>
      </c>
      <c r="G123" s="18"/>
      <c r="H123" s="42">
        <f t="shared" si="4"/>
        <v>-2.9705071079991633E-3</v>
      </c>
      <c r="I123" s="43">
        <f t="shared" si="5"/>
        <v>-1.0800196367206621E-2</v>
      </c>
      <c r="K123" s="42">
        <f t="shared" si="6"/>
        <v>-2.9749278209151562E-3</v>
      </c>
      <c r="L123" s="42">
        <f t="shared" si="7"/>
        <v>-1.0858941846022423E-2</v>
      </c>
    </row>
    <row r="124" spans="1:12" x14ac:dyDescent="0.2">
      <c r="A124" s="25">
        <v>45407</v>
      </c>
      <c r="B124" s="10"/>
      <c r="C124" s="11">
        <v>92.08</v>
      </c>
      <c r="D124" s="11">
        <v>99.5</v>
      </c>
      <c r="E124" s="18"/>
      <c r="F124" s="21">
        <v>-9.6854034425050087E-3</v>
      </c>
      <c r="G124" s="18"/>
      <c r="H124" s="42">
        <f t="shared" si="4"/>
        <v>-2.021706746116201E-2</v>
      </c>
      <c r="I124" s="43">
        <f t="shared" si="5"/>
        <v>-1.2406947890818859E-2</v>
      </c>
      <c r="K124" s="42">
        <f t="shared" si="6"/>
        <v>-2.0424229261042537E-2</v>
      </c>
      <c r="L124" s="42">
        <f t="shared" si="7"/>
        <v>-1.2484556662245284E-2</v>
      </c>
    </row>
    <row r="125" spans="1:12" x14ac:dyDescent="0.2">
      <c r="A125" s="25">
        <v>45408</v>
      </c>
      <c r="B125" s="10"/>
      <c r="C125" s="11">
        <v>92.7</v>
      </c>
      <c r="D125" s="11">
        <v>99.5</v>
      </c>
      <c r="E125" s="18"/>
      <c r="F125" s="21">
        <v>7.4338647131280099E-3</v>
      </c>
      <c r="G125" s="18"/>
      <c r="H125" s="42">
        <f t="shared" si="4"/>
        <v>6.7332754126846715E-3</v>
      </c>
      <c r="I125" s="43">
        <f t="shared" si="5"/>
        <v>0</v>
      </c>
      <c r="K125" s="42">
        <f t="shared" si="6"/>
        <v>6.7107081581824005E-3</v>
      </c>
      <c r="L125" s="42">
        <f t="shared" si="7"/>
        <v>0</v>
      </c>
    </row>
    <row r="126" spans="1:12" x14ac:dyDescent="0.2">
      <c r="A126" s="25">
        <v>45411</v>
      </c>
      <c r="B126" s="10"/>
      <c r="C126" s="11">
        <v>92.08</v>
      </c>
      <c r="D126" s="11">
        <v>100.3</v>
      </c>
      <c r="E126" s="18"/>
      <c r="F126" s="21">
        <v>-1.0544284506530601E-3</v>
      </c>
      <c r="G126" s="18"/>
      <c r="H126" s="42">
        <f t="shared" si="4"/>
        <v>-6.6882416396979996E-3</v>
      </c>
      <c r="I126" s="43">
        <f t="shared" si="5"/>
        <v>8.040201005025097E-3</v>
      </c>
      <c r="K126" s="42">
        <f t="shared" si="6"/>
        <v>-6.7107081581822599E-3</v>
      </c>
      <c r="L126" s="42">
        <f t="shared" si="7"/>
        <v>8.0080508033427509E-3</v>
      </c>
    </row>
    <row r="127" spans="1:12" x14ac:dyDescent="0.2">
      <c r="A127" s="25">
        <v>45412</v>
      </c>
      <c r="B127" s="10"/>
      <c r="C127" s="11">
        <v>92.2</v>
      </c>
      <c r="D127" s="11">
        <v>99.82</v>
      </c>
      <c r="E127" s="18"/>
      <c r="F127" s="21">
        <v>-6.3049945009573307E-3</v>
      </c>
      <c r="G127" s="18"/>
      <c r="H127" s="42">
        <f t="shared" si="4"/>
        <v>1.3032145960035245E-3</v>
      </c>
      <c r="I127" s="43">
        <f t="shared" si="5"/>
        <v>-4.785643070787677E-3</v>
      </c>
      <c r="K127" s="42">
        <f t="shared" si="6"/>
        <v>1.3023661489209302E-3</v>
      </c>
      <c r="L127" s="42">
        <f t="shared" si="7"/>
        <v>-4.7971309264266864E-3</v>
      </c>
    </row>
    <row r="128" spans="1:12" x14ac:dyDescent="0.2">
      <c r="A128" s="25">
        <v>45414</v>
      </c>
      <c r="B128" s="10"/>
      <c r="C128" s="11">
        <v>91.82</v>
      </c>
      <c r="D128" s="11">
        <v>99.2</v>
      </c>
      <c r="E128" s="18"/>
      <c r="F128" s="21">
        <v>-4.5538256620175598E-3</v>
      </c>
      <c r="G128" s="18"/>
      <c r="H128" s="42">
        <f t="shared" si="4"/>
        <v>-4.1214750542300392E-3</v>
      </c>
      <c r="I128" s="43">
        <f t="shared" si="5"/>
        <v>-6.2111801242235058E-3</v>
      </c>
      <c r="K128" s="42">
        <f t="shared" si="6"/>
        <v>-4.1299917414722147E-3</v>
      </c>
      <c r="L128" s="42">
        <f t="shared" si="7"/>
        <v>-6.2305497506359745E-3</v>
      </c>
    </row>
    <row r="129" spans="1:12" x14ac:dyDescent="0.2">
      <c r="A129" s="25">
        <v>45415</v>
      </c>
      <c r="B129" s="10"/>
      <c r="C129" s="11">
        <v>91.72</v>
      </c>
      <c r="D129" s="11">
        <v>99.58</v>
      </c>
      <c r="E129" s="18"/>
      <c r="F129" s="21">
        <v>5.6489508081118897E-3</v>
      </c>
      <c r="G129" s="18"/>
      <c r="H129" s="42">
        <f t="shared" si="4"/>
        <v>-1.0890873448049915E-3</v>
      </c>
      <c r="I129" s="43">
        <f t="shared" si="5"/>
        <v>3.8306451612902764E-3</v>
      </c>
      <c r="K129" s="42">
        <f t="shared" si="6"/>
        <v>-1.089680831372195E-3</v>
      </c>
      <c r="L129" s="42">
        <f t="shared" si="7"/>
        <v>3.8233269232094058E-3</v>
      </c>
    </row>
    <row r="130" spans="1:12" x14ac:dyDescent="0.2">
      <c r="A130" s="25">
        <v>45418</v>
      </c>
      <c r="B130" s="10"/>
      <c r="C130" s="11">
        <v>91.36</v>
      </c>
      <c r="D130" s="11">
        <v>101.55</v>
      </c>
      <c r="E130" s="18"/>
      <c r="F130" s="21">
        <v>4.8533668626646797E-3</v>
      </c>
      <c r="G130" s="18"/>
      <c r="H130" s="42">
        <f t="shared" si="4"/>
        <v>-3.9249890972525014E-3</v>
      </c>
      <c r="I130" s="43">
        <f t="shared" si="5"/>
        <v>1.9783088973689484E-2</v>
      </c>
      <c r="K130" s="42">
        <f t="shared" si="6"/>
        <v>-3.9327120820035711E-3</v>
      </c>
      <c r="L130" s="42">
        <f t="shared" si="7"/>
        <v>1.9589946812356939E-2</v>
      </c>
    </row>
    <row r="131" spans="1:12" x14ac:dyDescent="0.2">
      <c r="A131" s="25">
        <v>45419</v>
      </c>
      <c r="B131" s="10"/>
      <c r="C131" s="11">
        <v>92.16</v>
      </c>
      <c r="D131" s="11">
        <v>102.5</v>
      </c>
      <c r="E131" s="18"/>
      <c r="F131" s="21">
        <v>1.6359419418423102E-2</v>
      </c>
      <c r="G131" s="18"/>
      <c r="H131" s="42">
        <f t="shared" si="4"/>
        <v>8.7565674255691457E-3</v>
      </c>
      <c r="I131" s="43">
        <f t="shared" si="5"/>
        <v>9.3549975381585701E-3</v>
      </c>
      <c r="K131" s="42">
        <f t="shared" si="6"/>
        <v>8.7184510398810294E-3</v>
      </c>
      <c r="L131" s="42">
        <f t="shared" si="7"/>
        <v>9.3115105520692396E-3</v>
      </c>
    </row>
    <row r="132" spans="1:12" x14ac:dyDescent="0.2">
      <c r="A132" s="25">
        <v>45420</v>
      </c>
      <c r="B132" s="10"/>
      <c r="C132" s="11">
        <v>94.2</v>
      </c>
      <c r="D132" s="11">
        <v>103.5</v>
      </c>
      <c r="E132" s="18"/>
      <c r="F132" s="21">
        <v>7.7512250658067208E-3</v>
      </c>
      <c r="G132" s="18"/>
      <c r="H132" s="42">
        <f t="shared" si="4"/>
        <v>2.2135416666666734E-2</v>
      </c>
      <c r="I132" s="43">
        <f t="shared" si="5"/>
        <v>9.7560975609756097E-3</v>
      </c>
      <c r="K132" s="42">
        <f t="shared" si="6"/>
        <v>2.1893984634736338E-2</v>
      </c>
      <c r="L132" s="42">
        <f t="shared" si="7"/>
        <v>9.7088141269609032E-3</v>
      </c>
    </row>
    <row r="133" spans="1:12" x14ac:dyDescent="0.2">
      <c r="A133" s="25">
        <v>45422</v>
      </c>
      <c r="B133" s="10"/>
      <c r="C133" s="11">
        <v>95.18</v>
      </c>
      <c r="D133" s="11">
        <v>106.05</v>
      </c>
      <c r="E133" s="18"/>
      <c r="F133" s="21">
        <v>1.30567351611792E-2</v>
      </c>
      <c r="G133" s="18"/>
      <c r="H133" s="42">
        <f t="shared" si="4"/>
        <v>1.0403397027600892E-2</v>
      </c>
      <c r="I133" s="43">
        <f t="shared" si="5"/>
        <v>2.4637681159420263E-2</v>
      </c>
      <c r="K133" s="42">
        <f t="shared" si="6"/>
        <v>1.0349654110647134E-2</v>
      </c>
      <c r="L133" s="42">
        <f t="shared" si="7"/>
        <v>2.4339068305267622E-2</v>
      </c>
    </row>
    <row r="134" spans="1:12" x14ac:dyDescent="0.2">
      <c r="A134" s="25">
        <v>45425</v>
      </c>
      <c r="B134" s="10"/>
      <c r="C134" s="11">
        <v>95</v>
      </c>
      <c r="D134" s="11">
        <v>104.85</v>
      </c>
      <c r="E134" s="18"/>
      <c r="F134" s="21">
        <v>1.22340542403787E-3</v>
      </c>
      <c r="G134" s="18"/>
      <c r="H134" s="42">
        <f t="shared" si="4"/>
        <v>-1.8911536036983275E-3</v>
      </c>
      <c r="I134" s="43">
        <f t="shared" si="5"/>
        <v>-1.1315417256011342E-2</v>
      </c>
      <c r="K134" s="42">
        <f t="shared" si="6"/>
        <v>-1.8929440924236019E-3</v>
      </c>
      <c r="L134" s="42">
        <f t="shared" si="7"/>
        <v>-1.1379923662762557E-2</v>
      </c>
    </row>
    <row r="135" spans="1:12" x14ac:dyDescent="0.2">
      <c r="A135" s="25">
        <v>45426</v>
      </c>
      <c r="B135" s="10"/>
      <c r="C135" s="11">
        <v>94.64</v>
      </c>
      <c r="D135" s="11">
        <v>103.4</v>
      </c>
      <c r="E135" s="18"/>
      <c r="F135" s="21">
        <v>1.3587001055666002E-3</v>
      </c>
      <c r="G135" s="18"/>
      <c r="H135" s="42">
        <f t="shared" si="4"/>
        <v>-3.7894736842105205E-3</v>
      </c>
      <c r="I135" s="43">
        <f t="shared" si="5"/>
        <v>-1.3829279923700416E-2</v>
      </c>
      <c r="K135" s="42">
        <f t="shared" si="6"/>
        <v>-3.7966719304095356E-3</v>
      </c>
      <c r="L135" s="42">
        <f t="shared" si="7"/>
        <v>-1.3925795273600093E-2</v>
      </c>
    </row>
    <row r="136" spans="1:12" x14ac:dyDescent="0.2">
      <c r="A136" s="25">
        <v>45427</v>
      </c>
      <c r="B136" s="10"/>
      <c r="C136" s="11">
        <v>95.54</v>
      </c>
      <c r="D136" s="11">
        <v>103.7</v>
      </c>
      <c r="E136" s="18"/>
      <c r="F136" s="21">
        <v>9.7750933915878805E-3</v>
      </c>
      <c r="G136" s="18"/>
      <c r="H136" s="42">
        <f t="shared" si="4"/>
        <v>9.5097210481826459E-3</v>
      </c>
      <c r="I136" s="43">
        <f t="shared" si="5"/>
        <v>2.9013539651837248E-3</v>
      </c>
      <c r="K136" s="42">
        <f t="shared" si="6"/>
        <v>9.4647882916845689E-3</v>
      </c>
      <c r="L136" s="42">
        <f t="shared" si="7"/>
        <v>2.8971531611527873E-3</v>
      </c>
    </row>
    <row r="137" spans="1:12" x14ac:dyDescent="0.2">
      <c r="A137" s="25">
        <v>45428</v>
      </c>
      <c r="B137" s="10"/>
      <c r="C137" s="11">
        <v>95.42</v>
      </c>
      <c r="D137" s="11">
        <v>107.65</v>
      </c>
      <c r="E137" s="18"/>
      <c r="F137" s="21">
        <v>3.98326930550396E-3</v>
      </c>
      <c r="G137" s="18"/>
      <c r="H137" s="42">
        <f t="shared" ref="H137:H200" si="8">(C137-C136)/C136</f>
        <v>-1.2560184216035644E-3</v>
      </c>
      <c r="I137" s="43">
        <f t="shared" ref="I137:I200" si="9">(D137-D136)/D136</f>
        <v>3.8090646094503404E-2</v>
      </c>
      <c r="K137" s="42">
        <f t="shared" ref="K137:K200" si="10">LN(C137/C136)</f>
        <v>-1.2568078738549318E-3</v>
      </c>
      <c r="L137" s="42">
        <f t="shared" ref="L137:L200" si="11">LN(D137/D136)</f>
        <v>3.7383108574890425E-2</v>
      </c>
    </row>
    <row r="138" spans="1:12" x14ac:dyDescent="0.2">
      <c r="A138" s="25">
        <v>45429</v>
      </c>
      <c r="B138" s="10"/>
      <c r="C138" s="11">
        <v>96.62</v>
      </c>
      <c r="D138" s="11">
        <v>110.1</v>
      </c>
      <c r="E138" s="18"/>
      <c r="F138" s="21">
        <v>7.6448613050601397E-3</v>
      </c>
      <c r="G138" s="18"/>
      <c r="H138" s="42">
        <f t="shared" si="8"/>
        <v>1.2575979878432224E-2</v>
      </c>
      <c r="I138" s="43">
        <f t="shared" si="9"/>
        <v>2.2758941012540536E-2</v>
      </c>
      <c r="K138" s="42">
        <f t="shared" si="10"/>
        <v>1.2497559038299641E-2</v>
      </c>
      <c r="L138" s="42">
        <f t="shared" si="11"/>
        <v>2.2503819918262214E-2</v>
      </c>
    </row>
    <row r="139" spans="1:12" x14ac:dyDescent="0.2">
      <c r="A139" s="25">
        <v>45433</v>
      </c>
      <c r="B139" s="10"/>
      <c r="C139" s="11">
        <v>95.3</v>
      </c>
      <c r="D139" s="11">
        <v>110.3</v>
      </c>
      <c r="E139" s="18"/>
      <c r="F139" s="21">
        <v>-3.03138938980129E-3</v>
      </c>
      <c r="G139" s="18"/>
      <c r="H139" s="42">
        <f t="shared" si="8"/>
        <v>-1.3661767749948327E-2</v>
      </c>
      <c r="I139" s="43">
        <f t="shared" si="9"/>
        <v>1.8165304268846763E-3</v>
      </c>
      <c r="K139" s="42">
        <f t="shared" si="10"/>
        <v>-1.3755948466104248E-2</v>
      </c>
      <c r="L139" s="42">
        <f t="shared" si="11"/>
        <v>1.8148825308225342E-3</v>
      </c>
    </row>
    <row r="140" spans="1:12" x14ac:dyDescent="0.2">
      <c r="A140" s="25">
        <v>45434</v>
      </c>
      <c r="B140" s="10"/>
      <c r="C140" s="11">
        <v>95.06</v>
      </c>
      <c r="D140" s="11">
        <v>110.7</v>
      </c>
      <c r="E140" s="18"/>
      <c r="F140" s="21">
        <v>-3.5685913551364301E-3</v>
      </c>
      <c r="G140" s="18"/>
      <c r="H140" s="42">
        <f t="shared" si="8"/>
        <v>-2.5183630640083408E-3</v>
      </c>
      <c r="I140" s="43">
        <f t="shared" si="9"/>
        <v>3.6264732547597977E-3</v>
      </c>
      <c r="K140" s="42">
        <f t="shared" si="10"/>
        <v>-2.5215394742929818E-3</v>
      </c>
      <c r="L140" s="42">
        <f t="shared" si="11"/>
        <v>3.6199134551343935E-3</v>
      </c>
    </row>
    <row r="141" spans="1:12" x14ac:dyDescent="0.2">
      <c r="A141" s="25">
        <v>45435</v>
      </c>
      <c r="B141" s="10"/>
      <c r="C141" s="11">
        <v>93.3</v>
      </c>
      <c r="D141" s="11">
        <v>111.2</v>
      </c>
      <c r="E141" s="18"/>
      <c r="F141" s="21">
        <v>6.7587061444207498E-4</v>
      </c>
      <c r="G141" s="18"/>
      <c r="H141" s="42">
        <f t="shared" si="8"/>
        <v>-1.8514622343782927E-2</v>
      </c>
      <c r="I141" s="43">
        <f t="shared" si="9"/>
        <v>4.5167118337850042E-3</v>
      </c>
      <c r="K141" s="42">
        <f t="shared" si="10"/>
        <v>-1.8688163332565344E-2</v>
      </c>
      <c r="L141" s="42">
        <f t="shared" si="11"/>
        <v>4.5065421018907949E-3</v>
      </c>
    </row>
    <row r="142" spans="1:12" x14ac:dyDescent="0.2">
      <c r="A142" s="25">
        <v>45436</v>
      </c>
      <c r="B142" s="10"/>
      <c r="C142" s="11">
        <v>92.42</v>
      </c>
      <c r="D142" s="11">
        <v>112.05</v>
      </c>
      <c r="E142" s="18"/>
      <c r="F142" s="21">
        <v>-2.9290271588428003E-3</v>
      </c>
      <c r="G142" s="18"/>
      <c r="H142" s="42">
        <f t="shared" si="8"/>
        <v>-9.4319399785637251E-3</v>
      </c>
      <c r="I142" s="43">
        <f t="shared" si="9"/>
        <v>7.6438848920862799E-3</v>
      </c>
      <c r="K142" s="42">
        <f t="shared" si="10"/>
        <v>-9.4767024111777759E-3</v>
      </c>
      <c r="L142" s="42">
        <f t="shared" si="11"/>
        <v>7.6148184304540107E-3</v>
      </c>
    </row>
    <row r="143" spans="1:12" x14ac:dyDescent="0.2">
      <c r="A143" s="25">
        <v>45440</v>
      </c>
      <c r="B143" s="10"/>
      <c r="C143" s="11">
        <v>91.64</v>
      </c>
      <c r="D143" s="11">
        <v>111.8</v>
      </c>
      <c r="E143" s="18"/>
      <c r="F143" s="21">
        <v>-6.4704320265231898E-3</v>
      </c>
      <c r="G143" s="18"/>
      <c r="H143" s="42">
        <f t="shared" si="8"/>
        <v>-8.4397316598139056E-3</v>
      </c>
      <c r="I143" s="43">
        <f t="shared" si="9"/>
        <v>-2.2311468094600626E-3</v>
      </c>
      <c r="K143" s="42">
        <f t="shared" si="10"/>
        <v>-8.4755478568255896E-3</v>
      </c>
      <c r="L143" s="42">
        <f t="shared" si="11"/>
        <v>-2.2336395259371731E-3</v>
      </c>
    </row>
    <row r="144" spans="1:12" x14ac:dyDescent="0.2">
      <c r="A144" s="25">
        <v>45441</v>
      </c>
      <c r="B144" s="10"/>
      <c r="C144" s="11">
        <v>91.18</v>
      </c>
      <c r="D144" s="11">
        <v>113.35</v>
      </c>
      <c r="E144" s="18"/>
      <c r="F144" s="21">
        <v>-5.1261894063331301E-3</v>
      </c>
      <c r="G144" s="18"/>
      <c r="H144" s="42">
        <f t="shared" si="8"/>
        <v>-5.0196420776952612E-3</v>
      </c>
      <c r="I144" s="43">
        <f t="shared" si="9"/>
        <v>1.386404293381035E-2</v>
      </c>
      <c r="K144" s="42">
        <f t="shared" si="10"/>
        <v>-5.0322827999993219E-3</v>
      </c>
      <c r="L144" s="42">
        <f t="shared" si="11"/>
        <v>1.3768816232539224E-2</v>
      </c>
    </row>
    <row r="145" spans="1:12" x14ac:dyDescent="0.2">
      <c r="A145" s="25">
        <v>45442</v>
      </c>
      <c r="B145" s="10"/>
      <c r="C145" s="11">
        <v>94.14</v>
      </c>
      <c r="D145" s="11">
        <v>112.15</v>
      </c>
      <c r="E145" s="18"/>
      <c r="F145" s="21">
        <v>7.6457179490947401E-3</v>
      </c>
      <c r="G145" s="18"/>
      <c r="H145" s="42">
        <f t="shared" si="8"/>
        <v>3.2463259486729477E-2</v>
      </c>
      <c r="I145" s="43">
        <f t="shared" si="9"/>
        <v>-1.05866784296426E-2</v>
      </c>
      <c r="K145" s="42">
        <f t="shared" si="10"/>
        <v>3.1947461187700893E-2</v>
      </c>
      <c r="L145" s="42">
        <f t="shared" si="11"/>
        <v>-1.0643115987320536E-2</v>
      </c>
    </row>
    <row r="146" spans="1:12" x14ac:dyDescent="0.2">
      <c r="A146" s="25">
        <v>45443</v>
      </c>
      <c r="B146" s="10"/>
      <c r="C146" s="11">
        <v>95.56</v>
      </c>
      <c r="D146" s="11">
        <v>114.7</v>
      </c>
      <c r="E146" s="18"/>
      <c r="F146" s="21">
        <v>9.8419593414251702E-3</v>
      </c>
      <c r="G146" s="18"/>
      <c r="H146" s="42">
        <f t="shared" si="8"/>
        <v>1.5083917569577244E-2</v>
      </c>
      <c r="I146" s="43">
        <f t="shared" si="9"/>
        <v>2.2737405260811385E-2</v>
      </c>
      <c r="K146" s="42">
        <f t="shared" si="10"/>
        <v>1.49712864846125E-2</v>
      </c>
      <c r="L146" s="42">
        <f t="shared" si="11"/>
        <v>2.248276316910763E-2</v>
      </c>
    </row>
    <row r="147" spans="1:12" x14ac:dyDescent="0.2">
      <c r="A147" s="25">
        <v>45446</v>
      </c>
      <c r="B147" s="10"/>
      <c r="C147" s="11">
        <v>96.46</v>
      </c>
      <c r="D147" s="11">
        <v>113.55</v>
      </c>
      <c r="E147" s="18"/>
      <c r="F147" s="21">
        <v>5.14890538259704E-4</v>
      </c>
      <c r="G147" s="18"/>
      <c r="H147" s="42">
        <f t="shared" si="8"/>
        <v>9.4181665969023803E-3</v>
      </c>
      <c r="I147" s="43">
        <f t="shared" si="9"/>
        <v>-1.0026155187445559E-2</v>
      </c>
      <c r="K147" s="42">
        <f t="shared" si="10"/>
        <v>9.3740921832169855E-3</v>
      </c>
      <c r="L147" s="42">
        <f t="shared" si="11"/>
        <v>-1.0076755583757563E-2</v>
      </c>
    </row>
    <row r="148" spans="1:12" x14ac:dyDescent="0.2">
      <c r="A148" s="25">
        <v>45447</v>
      </c>
      <c r="B148" s="10"/>
      <c r="C148" s="11">
        <v>97.6</v>
      </c>
      <c r="D148" s="11">
        <v>111.55</v>
      </c>
      <c r="E148" s="18"/>
      <c r="F148" s="21">
        <v>1.58337338583169E-4</v>
      </c>
      <c r="G148" s="18"/>
      <c r="H148" s="42">
        <f t="shared" si="8"/>
        <v>1.1818370308936354E-2</v>
      </c>
      <c r="I148" s="43">
        <f t="shared" si="9"/>
        <v>-1.7613386173491855E-2</v>
      </c>
      <c r="K148" s="42">
        <f t="shared" si="10"/>
        <v>1.1749078778220928E-2</v>
      </c>
      <c r="L148" s="42">
        <f t="shared" si="11"/>
        <v>-1.7770347673025943E-2</v>
      </c>
    </row>
    <row r="149" spans="1:12" x14ac:dyDescent="0.2">
      <c r="A149" s="25">
        <v>45448</v>
      </c>
      <c r="B149" s="10"/>
      <c r="C149" s="11">
        <v>97.72</v>
      </c>
      <c r="D149" s="11">
        <v>112.8</v>
      </c>
      <c r="E149" s="18"/>
      <c r="F149" s="21">
        <v>1.1747588784239E-2</v>
      </c>
      <c r="G149" s="18"/>
      <c r="H149" s="42">
        <f t="shared" si="8"/>
        <v>1.2295081967213582E-3</v>
      </c>
      <c r="I149" s="43">
        <f t="shared" si="9"/>
        <v>1.1205737337516808E-2</v>
      </c>
      <c r="K149" s="42">
        <f t="shared" si="10"/>
        <v>1.2287529704929014E-3</v>
      </c>
      <c r="L149" s="42">
        <f t="shared" si="11"/>
        <v>1.1143418185416925E-2</v>
      </c>
    </row>
    <row r="150" spans="1:12" x14ac:dyDescent="0.2">
      <c r="A150" s="25">
        <v>45449</v>
      </c>
      <c r="B150" s="10"/>
      <c r="C150" s="11">
        <v>98.34</v>
      </c>
      <c r="D150" s="11">
        <v>113.1</v>
      </c>
      <c r="E150" s="18"/>
      <c r="F150" s="21">
        <v>7.5086245215469907E-3</v>
      </c>
      <c r="G150" s="18"/>
      <c r="H150" s="42">
        <f t="shared" si="8"/>
        <v>6.3446582071224368E-3</v>
      </c>
      <c r="I150" s="43">
        <f t="shared" si="9"/>
        <v>2.6595744680850812E-3</v>
      </c>
      <c r="K150" s="42">
        <f t="shared" si="10"/>
        <v>6.3246155942536962E-3</v>
      </c>
      <c r="L150" s="42">
        <f t="shared" si="11"/>
        <v>2.6560440581162104E-3</v>
      </c>
    </row>
    <row r="151" spans="1:12" x14ac:dyDescent="0.2">
      <c r="A151" s="25">
        <v>45450</v>
      </c>
      <c r="B151" s="10"/>
      <c r="C151" s="11">
        <v>98.02</v>
      </c>
      <c r="D151" s="11">
        <v>113.65</v>
      </c>
      <c r="E151" s="18"/>
      <c r="F151" s="21">
        <v>1.1035645322678899E-3</v>
      </c>
      <c r="G151" s="18"/>
      <c r="H151" s="42">
        <f t="shared" si="8"/>
        <v>-3.254016676835544E-3</v>
      </c>
      <c r="I151" s="43">
        <f t="shared" si="9"/>
        <v>4.8629531388153088E-3</v>
      </c>
      <c r="K151" s="42">
        <f t="shared" si="10"/>
        <v>-3.2593225023919668E-3</v>
      </c>
      <c r="L151" s="42">
        <f t="shared" si="11"/>
        <v>4.8511671764775843E-3</v>
      </c>
    </row>
    <row r="152" spans="1:12" x14ac:dyDescent="0.2">
      <c r="A152" s="25">
        <v>45453</v>
      </c>
      <c r="B152" s="10"/>
      <c r="C152" s="11">
        <v>95.6</v>
      </c>
      <c r="D152" s="11">
        <v>112.25</v>
      </c>
      <c r="E152" s="18"/>
      <c r="F152" s="21">
        <v>-9.5481836693175302E-3</v>
      </c>
      <c r="G152" s="18"/>
      <c r="H152" s="42">
        <f t="shared" si="8"/>
        <v>-2.4688839012446458E-2</v>
      </c>
      <c r="I152" s="43">
        <f t="shared" si="9"/>
        <v>-1.2318521777386763E-2</v>
      </c>
      <c r="K152" s="42">
        <f t="shared" si="10"/>
        <v>-2.499871942404585E-2</v>
      </c>
      <c r="L152" s="42">
        <f t="shared" si="11"/>
        <v>-1.2395023676188617E-2</v>
      </c>
    </row>
    <row r="153" spans="1:12" x14ac:dyDescent="0.2">
      <c r="A153" s="25">
        <v>45454</v>
      </c>
      <c r="B153" s="10"/>
      <c r="C153" s="11">
        <v>94.6</v>
      </c>
      <c r="D153" s="11">
        <v>111.5</v>
      </c>
      <c r="E153" s="18"/>
      <c r="F153" s="21">
        <v>-5.3405189985888902E-3</v>
      </c>
      <c r="G153" s="18"/>
      <c r="H153" s="42">
        <f t="shared" si="8"/>
        <v>-1.0460251046025106E-2</v>
      </c>
      <c r="I153" s="43">
        <f t="shared" si="9"/>
        <v>-6.6815144766146995E-3</v>
      </c>
      <c r="K153" s="42">
        <f t="shared" si="10"/>
        <v>-1.0515343999523008E-2</v>
      </c>
      <c r="L153" s="42">
        <f t="shared" si="11"/>
        <v>-6.7039357221902176E-3</v>
      </c>
    </row>
    <row r="154" spans="1:12" x14ac:dyDescent="0.2">
      <c r="A154" s="25">
        <v>45455</v>
      </c>
      <c r="B154" s="10"/>
      <c r="C154" s="11">
        <v>94.94</v>
      </c>
      <c r="D154" s="11">
        <v>112.05</v>
      </c>
      <c r="E154" s="18"/>
      <c r="F154" s="21">
        <v>7.8411763532071303E-3</v>
      </c>
      <c r="G154" s="18"/>
      <c r="H154" s="42">
        <f t="shared" si="8"/>
        <v>3.5940803382664209E-3</v>
      </c>
      <c r="I154" s="43">
        <f t="shared" si="9"/>
        <v>4.9327354260089431E-3</v>
      </c>
      <c r="K154" s="42">
        <f t="shared" si="10"/>
        <v>3.5876370653393605E-3</v>
      </c>
      <c r="L154" s="42">
        <f t="shared" si="11"/>
        <v>4.9206093467625027E-3</v>
      </c>
    </row>
    <row r="155" spans="1:12" x14ac:dyDescent="0.2">
      <c r="A155" s="25">
        <v>45456</v>
      </c>
      <c r="B155" s="10"/>
      <c r="C155" s="11">
        <v>95.1</v>
      </c>
      <c r="D155" s="11">
        <v>110.6</v>
      </c>
      <c r="E155" s="18"/>
      <c r="F155" s="21">
        <v>-5.8847166746545101E-3</v>
      </c>
      <c r="G155" s="18"/>
      <c r="H155" s="42">
        <f t="shared" si="8"/>
        <v>1.6852749104697346E-3</v>
      </c>
      <c r="I155" s="43">
        <f t="shared" si="9"/>
        <v>-1.2940651494868389E-2</v>
      </c>
      <c r="K155" s="42">
        <f t="shared" si="10"/>
        <v>1.6838564281725307E-3</v>
      </c>
      <c r="L155" s="42">
        <f t="shared" si="11"/>
        <v>-1.3025111158701554E-2</v>
      </c>
    </row>
    <row r="156" spans="1:12" x14ac:dyDescent="0.2">
      <c r="A156" s="25">
        <v>45457</v>
      </c>
      <c r="B156" s="10"/>
      <c r="C156" s="11">
        <v>95.28</v>
      </c>
      <c r="D156" s="11">
        <v>108.9</v>
      </c>
      <c r="E156" s="18"/>
      <c r="F156" s="21">
        <v>-4.2488711617463199E-3</v>
      </c>
      <c r="G156" s="18"/>
      <c r="H156" s="42">
        <f t="shared" si="8"/>
        <v>1.8927444794953399E-3</v>
      </c>
      <c r="I156" s="43">
        <f t="shared" si="9"/>
        <v>-1.5370705244122864E-2</v>
      </c>
      <c r="K156" s="42">
        <f t="shared" si="10"/>
        <v>1.8909554957001644E-3</v>
      </c>
      <c r="L156" s="42">
        <f t="shared" si="11"/>
        <v>-1.5490059149319543E-2</v>
      </c>
    </row>
    <row r="157" spans="1:12" x14ac:dyDescent="0.2">
      <c r="A157" s="25">
        <v>45460</v>
      </c>
      <c r="B157" s="10"/>
      <c r="C157" s="11">
        <v>95.1</v>
      </c>
      <c r="D157" s="11">
        <v>110.15</v>
      </c>
      <c r="E157" s="18"/>
      <c r="F157" s="21">
        <v>-3.4100292368037799E-3</v>
      </c>
      <c r="G157" s="18"/>
      <c r="H157" s="42">
        <f t="shared" si="8"/>
        <v>-1.8891687657431446E-3</v>
      </c>
      <c r="I157" s="43">
        <f t="shared" si="9"/>
        <v>1.1478420569329659E-2</v>
      </c>
      <c r="K157" s="42">
        <f t="shared" si="10"/>
        <v>-1.8909554957001579E-3</v>
      </c>
      <c r="L157" s="42">
        <f t="shared" si="11"/>
        <v>1.1413043309437366E-2</v>
      </c>
    </row>
    <row r="158" spans="1:12" x14ac:dyDescent="0.2">
      <c r="A158" s="25">
        <v>45461</v>
      </c>
      <c r="B158" s="10"/>
      <c r="C158" s="11">
        <v>94.9</v>
      </c>
      <c r="D158" s="11">
        <v>111.25</v>
      </c>
      <c r="E158" s="18"/>
      <c r="F158" s="21">
        <v>3.58994764262177E-3</v>
      </c>
      <c r="G158" s="18"/>
      <c r="H158" s="42">
        <f t="shared" si="8"/>
        <v>-2.1030494216612897E-3</v>
      </c>
      <c r="I158" s="43">
        <f t="shared" si="9"/>
        <v>9.9863822060825627E-3</v>
      </c>
      <c r="K158" s="42">
        <f t="shared" si="10"/>
        <v>-2.1052639354623161E-3</v>
      </c>
      <c r="L158" s="42">
        <f t="shared" si="11"/>
        <v>9.9368477979974602E-3</v>
      </c>
    </row>
    <row r="159" spans="1:12" x14ac:dyDescent="0.2">
      <c r="A159" s="25">
        <v>45463</v>
      </c>
      <c r="B159" s="10"/>
      <c r="C159" s="11">
        <v>94.9</v>
      </c>
      <c r="D159" s="11">
        <v>113.15</v>
      </c>
      <c r="E159" s="18"/>
      <c r="F159" s="21">
        <v>6.7691073672633195E-3</v>
      </c>
      <c r="G159" s="18"/>
      <c r="H159" s="42">
        <f t="shared" si="8"/>
        <v>0</v>
      </c>
      <c r="I159" s="43">
        <f t="shared" si="9"/>
        <v>1.7078651685393308E-2</v>
      </c>
      <c r="K159" s="42">
        <f t="shared" si="10"/>
        <v>0</v>
      </c>
      <c r="L159" s="42">
        <f t="shared" si="11"/>
        <v>1.6934451033196882E-2</v>
      </c>
    </row>
    <row r="160" spans="1:12" x14ac:dyDescent="0.2">
      <c r="A160" s="25">
        <v>45464</v>
      </c>
      <c r="B160" s="10"/>
      <c r="C160" s="11">
        <v>93.7</v>
      </c>
      <c r="D160" s="11">
        <v>112.45</v>
      </c>
      <c r="E160" s="18"/>
      <c r="F160" s="21">
        <v>-9.5057278964482093E-3</v>
      </c>
      <c r="G160" s="18"/>
      <c r="H160" s="42">
        <f t="shared" si="8"/>
        <v>-1.2644889357218154E-2</v>
      </c>
      <c r="I160" s="43">
        <f t="shared" si="9"/>
        <v>-6.1864781263809348E-3</v>
      </c>
      <c r="K160" s="42">
        <f t="shared" si="10"/>
        <v>-1.2725516371505746E-2</v>
      </c>
      <c r="L160" s="42">
        <f t="shared" si="11"/>
        <v>-6.2056936742217383E-3</v>
      </c>
    </row>
    <row r="161" spans="1:12" x14ac:dyDescent="0.2">
      <c r="A161" s="25">
        <v>45467</v>
      </c>
      <c r="B161" s="10"/>
      <c r="C161" s="11">
        <v>94.68</v>
      </c>
      <c r="D161" s="11">
        <v>113.1</v>
      </c>
      <c r="E161" s="18"/>
      <c r="F161" s="21">
        <v>1.2021990551456901E-2</v>
      </c>
      <c r="G161" s="18"/>
      <c r="H161" s="42">
        <f t="shared" si="8"/>
        <v>1.0458911419423735E-2</v>
      </c>
      <c r="I161" s="43">
        <f t="shared" si="9"/>
        <v>5.7803468208091728E-3</v>
      </c>
      <c r="K161" s="42">
        <f t="shared" si="10"/>
        <v>1.0404595401406777E-2</v>
      </c>
      <c r="L161" s="42">
        <f t="shared" si="11"/>
        <v>5.7637047167499126E-3</v>
      </c>
    </row>
    <row r="162" spans="1:12" x14ac:dyDescent="0.2">
      <c r="A162" s="25">
        <v>45468</v>
      </c>
      <c r="B162" s="10"/>
      <c r="C162" s="11">
        <v>93.9</v>
      </c>
      <c r="D162" s="11">
        <v>112.45</v>
      </c>
      <c r="E162" s="18"/>
      <c r="F162" s="21">
        <v>-5.83791254670229E-3</v>
      </c>
      <c r="G162" s="18"/>
      <c r="H162" s="42">
        <f t="shared" si="8"/>
        <v>-8.2382762991128119E-3</v>
      </c>
      <c r="I162" s="43">
        <f t="shared" si="9"/>
        <v>-5.7471264367815345E-3</v>
      </c>
      <c r="K162" s="42">
        <f t="shared" si="10"/>
        <v>-8.2723984315659378E-3</v>
      </c>
      <c r="L162" s="42">
        <f t="shared" si="11"/>
        <v>-5.7637047167500184E-3</v>
      </c>
    </row>
    <row r="163" spans="1:12" x14ac:dyDescent="0.2">
      <c r="A163" s="25">
        <v>45469</v>
      </c>
      <c r="B163" s="10"/>
      <c r="C163" s="11">
        <v>92.9</v>
      </c>
      <c r="D163" s="11">
        <v>111.5</v>
      </c>
      <c r="E163" s="18"/>
      <c r="F163" s="21">
        <v>-5.8404838290039198E-3</v>
      </c>
      <c r="G163" s="18"/>
      <c r="H163" s="42">
        <f t="shared" si="8"/>
        <v>-1.0649627263045794E-2</v>
      </c>
      <c r="I163" s="43">
        <f t="shared" si="9"/>
        <v>-8.4481991996443115E-3</v>
      </c>
      <c r="K163" s="42">
        <f t="shared" si="10"/>
        <v>-1.0706740394424343E-2</v>
      </c>
      <c r="L163" s="42">
        <f t="shared" si="11"/>
        <v>-8.4840875051513005E-3</v>
      </c>
    </row>
    <row r="164" spans="1:12" x14ac:dyDescent="0.2">
      <c r="A164" s="25">
        <v>45470</v>
      </c>
      <c r="B164" s="10"/>
      <c r="C164" s="11">
        <v>92.14</v>
      </c>
      <c r="D164" s="11">
        <v>111.75</v>
      </c>
      <c r="E164" s="18"/>
      <c r="F164" s="21">
        <v>-9.4995670648134701E-4</v>
      </c>
      <c r="G164" s="18"/>
      <c r="H164" s="42">
        <f t="shared" si="8"/>
        <v>-8.1808396124865984E-3</v>
      </c>
      <c r="I164" s="43">
        <f t="shared" si="9"/>
        <v>2.242152466367713E-3</v>
      </c>
      <c r="K164" s="42">
        <f t="shared" si="10"/>
        <v>-8.2144863120219794E-3</v>
      </c>
      <c r="L164" s="42">
        <f t="shared" si="11"/>
        <v>2.2396425935046599E-3</v>
      </c>
    </row>
    <row r="165" spans="1:12" x14ac:dyDescent="0.2">
      <c r="A165" s="25">
        <v>45471</v>
      </c>
      <c r="B165" s="10"/>
      <c r="C165" s="11">
        <v>91.72</v>
      </c>
      <c r="D165" s="11">
        <v>111.5</v>
      </c>
      <c r="E165" s="18"/>
      <c r="F165" s="21">
        <v>-8.7318568035865598E-4</v>
      </c>
      <c r="G165" s="18"/>
      <c r="H165" s="42">
        <f t="shared" si="8"/>
        <v>-4.5582808769264347E-3</v>
      </c>
      <c r="I165" s="43">
        <f t="shared" si="9"/>
        <v>-2.2371364653243847E-3</v>
      </c>
      <c r="K165" s="42">
        <f t="shared" si="10"/>
        <v>-4.5687015180672606E-3</v>
      </c>
      <c r="L165" s="42">
        <f t="shared" si="11"/>
        <v>-2.2396425935047983E-3</v>
      </c>
    </row>
    <row r="166" spans="1:12" x14ac:dyDescent="0.2">
      <c r="A166" s="25">
        <v>45474</v>
      </c>
      <c r="B166" s="10"/>
      <c r="C166" s="11">
        <v>91.88</v>
      </c>
      <c r="D166" s="11">
        <v>112.4</v>
      </c>
      <c r="E166" s="18"/>
      <c r="F166" s="21">
        <v>4.6508871006067896E-3</v>
      </c>
      <c r="G166" s="18"/>
      <c r="H166" s="42">
        <f t="shared" si="8"/>
        <v>1.744439598778855E-3</v>
      </c>
      <c r="I166" s="43">
        <f t="shared" si="9"/>
        <v>8.0717488789238175E-3</v>
      </c>
      <c r="K166" s="42">
        <f t="shared" si="10"/>
        <v>1.7429198311938198E-3</v>
      </c>
      <c r="L166" s="42">
        <f t="shared" si="11"/>
        <v>8.0393465594174058E-3</v>
      </c>
    </row>
    <row r="167" spans="1:12" x14ac:dyDescent="0.2">
      <c r="A167" s="25">
        <v>45475</v>
      </c>
      <c r="B167" s="10"/>
      <c r="C167" s="11">
        <v>92.52</v>
      </c>
      <c r="D167" s="11">
        <v>107.95</v>
      </c>
      <c r="E167" s="18"/>
      <c r="F167" s="21">
        <v>-3.20243912835271E-3</v>
      </c>
      <c r="G167" s="18"/>
      <c r="H167" s="42">
        <f t="shared" si="8"/>
        <v>6.9656073138876862E-3</v>
      </c>
      <c r="I167" s="43">
        <f t="shared" si="9"/>
        <v>-3.9590747330960879E-2</v>
      </c>
      <c r="K167" s="42">
        <f t="shared" si="10"/>
        <v>6.9414595423409843E-3</v>
      </c>
      <c r="L167" s="42">
        <f t="shared" si="11"/>
        <v>-4.0395780498774396E-2</v>
      </c>
    </row>
    <row r="168" spans="1:12" x14ac:dyDescent="0.2">
      <c r="A168" s="25">
        <v>45476</v>
      </c>
      <c r="B168" s="10"/>
      <c r="C168" s="11">
        <v>92.56</v>
      </c>
      <c r="D168" s="11">
        <v>107.1</v>
      </c>
      <c r="E168" s="18"/>
      <c r="F168" s="21">
        <v>6.0622265231446894E-4</v>
      </c>
      <c r="G168" s="18"/>
      <c r="H168" s="42">
        <f t="shared" si="8"/>
        <v>4.3233895373979953E-4</v>
      </c>
      <c r="I168" s="43">
        <f t="shared" si="9"/>
        <v>-7.874015748031574E-3</v>
      </c>
      <c r="K168" s="42">
        <f t="shared" si="10"/>
        <v>4.322455221827011E-4</v>
      </c>
      <c r="L168" s="42">
        <f t="shared" si="11"/>
        <v>-7.9051795071133739E-3</v>
      </c>
    </row>
    <row r="169" spans="1:12" x14ac:dyDescent="0.2">
      <c r="A169" s="25">
        <v>45478</v>
      </c>
      <c r="B169" s="10"/>
      <c r="C169" s="11">
        <v>92.56</v>
      </c>
      <c r="D169" s="11">
        <v>107.4</v>
      </c>
      <c r="E169" s="18"/>
      <c r="F169" s="21">
        <v>-1.0116569146549901E-3</v>
      </c>
      <c r="G169" s="18"/>
      <c r="H169" s="42">
        <f t="shared" si="8"/>
        <v>0</v>
      </c>
      <c r="I169" s="43">
        <f t="shared" si="9"/>
        <v>2.801120448179378E-3</v>
      </c>
      <c r="K169" s="42">
        <f t="shared" si="10"/>
        <v>0</v>
      </c>
      <c r="L169" s="42">
        <f t="shared" si="11"/>
        <v>2.7972046210614403E-3</v>
      </c>
    </row>
    <row r="170" spans="1:12" x14ac:dyDescent="0.2">
      <c r="A170" s="25">
        <v>45481</v>
      </c>
      <c r="B170" s="10"/>
      <c r="C170" s="11">
        <v>92.84</v>
      </c>
      <c r="D170" s="11">
        <v>110.2</v>
      </c>
      <c r="E170" s="18"/>
      <c r="F170" s="21">
        <v>3.7913741160400197E-3</v>
      </c>
      <c r="G170" s="18"/>
      <c r="H170" s="42">
        <f t="shared" si="8"/>
        <v>3.0250648228176439E-3</v>
      </c>
      <c r="I170" s="43">
        <f t="shared" si="9"/>
        <v>2.6070763500931071E-2</v>
      </c>
      <c r="K170" s="42">
        <f t="shared" si="10"/>
        <v>3.0204985208151379E-3</v>
      </c>
      <c r="L170" s="42">
        <f t="shared" si="11"/>
        <v>2.5736714644049665E-2</v>
      </c>
    </row>
    <row r="171" spans="1:12" x14ac:dyDescent="0.2">
      <c r="A171" s="25">
        <v>45482</v>
      </c>
      <c r="B171" s="10"/>
      <c r="C171" s="11">
        <v>92.56</v>
      </c>
      <c r="D171" s="11">
        <v>110.35</v>
      </c>
      <c r="E171" s="18"/>
      <c r="F171" s="21">
        <v>-1.18684312340866E-3</v>
      </c>
      <c r="G171" s="18"/>
      <c r="H171" s="42">
        <f t="shared" si="8"/>
        <v>-3.0159414045670091E-3</v>
      </c>
      <c r="I171" s="43">
        <f t="shared" si="9"/>
        <v>1.36116152450083E-3</v>
      </c>
      <c r="K171" s="42">
        <f t="shared" si="10"/>
        <v>-3.0204985208151162E-3</v>
      </c>
      <c r="L171" s="42">
        <f t="shared" si="11"/>
        <v>1.3602359839312178E-3</v>
      </c>
    </row>
    <row r="172" spans="1:12" x14ac:dyDescent="0.2">
      <c r="A172" s="25">
        <v>45483</v>
      </c>
      <c r="B172" s="10"/>
      <c r="C172" s="11">
        <v>93.3</v>
      </c>
      <c r="D172" s="11">
        <v>110.7</v>
      </c>
      <c r="E172" s="18"/>
      <c r="F172" s="21">
        <v>9.4561222670737008E-3</v>
      </c>
      <c r="G172" s="18"/>
      <c r="H172" s="42">
        <f t="shared" si="8"/>
        <v>7.9948141745893996E-3</v>
      </c>
      <c r="I172" s="43">
        <f t="shared" si="9"/>
        <v>3.1717263253285776E-3</v>
      </c>
      <c r="K172" s="42">
        <f t="shared" si="10"/>
        <v>7.9630249678769114E-3</v>
      </c>
      <c r="L172" s="42">
        <f t="shared" si="11"/>
        <v>3.1667070118458701E-3</v>
      </c>
    </row>
    <row r="173" spans="1:12" x14ac:dyDescent="0.2">
      <c r="A173" s="25">
        <v>45484</v>
      </c>
      <c r="B173" s="10"/>
      <c r="C173" s="11">
        <v>93.66</v>
      </c>
      <c r="D173" s="11">
        <v>110.6</v>
      </c>
      <c r="E173" s="18"/>
      <c r="F173" s="21">
        <v>8.6074187534026497E-3</v>
      </c>
      <c r="G173" s="18"/>
      <c r="H173" s="42">
        <f t="shared" si="8"/>
        <v>3.8585209003215376E-3</v>
      </c>
      <c r="I173" s="43">
        <f t="shared" si="9"/>
        <v>-9.0334236675707795E-4</v>
      </c>
      <c r="K173" s="42">
        <f t="shared" si="10"/>
        <v>3.8510959020974724E-3</v>
      </c>
      <c r="L173" s="42">
        <f t="shared" si="11"/>
        <v>-9.0375062635681129E-4</v>
      </c>
    </row>
    <row r="174" spans="1:12" x14ac:dyDescent="0.2">
      <c r="A174" s="25">
        <v>45485</v>
      </c>
      <c r="B174" s="10"/>
      <c r="C174" s="11">
        <v>94.66</v>
      </c>
      <c r="D174" s="11">
        <v>110.8</v>
      </c>
      <c r="E174" s="18"/>
      <c r="F174" s="21">
        <v>8.9267917362612012E-3</v>
      </c>
      <c r="G174" s="18"/>
      <c r="H174" s="42">
        <f t="shared" si="8"/>
        <v>1.067691650651292E-2</v>
      </c>
      <c r="I174" s="43">
        <f t="shared" si="9"/>
        <v>1.8083182640144923E-3</v>
      </c>
      <c r="K174" s="42">
        <f t="shared" si="10"/>
        <v>1.0620320722706123E-2</v>
      </c>
      <c r="L174" s="42">
        <f t="shared" si="11"/>
        <v>1.8066852249490513E-3</v>
      </c>
    </row>
    <row r="175" spans="1:12" x14ac:dyDescent="0.2">
      <c r="A175" s="25">
        <v>45488</v>
      </c>
      <c r="B175" s="10"/>
      <c r="C175" s="11">
        <v>93.14</v>
      </c>
      <c r="D175" s="11">
        <v>110.9</v>
      </c>
      <c r="E175" s="18"/>
      <c r="F175" s="21">
        <v>-6.9006072027982803E-3</v>
      </c>
      <c r="G175" s="18"/>
      <c r="H175" s="42">
        <f t="shared" si="8"/>
        <v>-1.6057468835833467E-2</v>
      </c>
      <c r="I175" s="43">
        <f t="shared" si="9"/>
        <v>9.0252707581235138E-4</v>
      </c>
      <c r="K175" s="42">
        <f t="shared" si="10"/>
        <v>-1.6187786923870743E-2</v>
      </c>
      <c r="L175" s="42">
        <f t="shared" si="11"/>
        <v>9.0212004313792895E-4</v>
      </c>
    </row>
    <row r="176" spans="1:12" x14ac:dyDescent="0.2">
      <c r="A176" s="25">
        <v>45489</v>
      </c>
      <c r="B176" s="10"/>
      <c r="C176" s="11">
        <v>92.62</v>
      </c>
      <c r="D176" s="11">
        <v>109.4</v>
      </c>
      <c r="E176" s="18"/>
      <c r="F176" s="21">
        <v>-1.5408680679461701E-3</v>
      </c>
      <c r="G176" s="18"/>
      <c r="H176" s="42">
        <f t="shared" si="8"/>
        <v>-5.582993343354048E-3</v>
      </c>
      <c r="I176" s="43">
        <f t="shared" si="9"/>
        <v>-1.3525698827772768E-2</v>
      </c>
      <c r="K176" s="42">
        <f t="shared" si="10"/>
        <v>-5.59863650162515E-3</v>
      </c>
      <c r="L176" s="42">
        <f t="shared" si="11"/>
        <v>-1.3618004368440521E-2</v>
      </c>
    </row>
    <row r="177" spans="1:12" x14ac:dyDescent="0.2">
      <c r="A177" s="25">
        <v>45490</v>
      </c>
      <c r="B177" s="10"/>
      <c r="C177" s="11">
        <v>93.62</v>
      </c>
      <c r="D177" s="11">
        <v>108.8</v>
      </c>
      <c r="E177" s="18"/>
      <c r="F177" s="21">
        <v>5.9532225071052798E-3</v>
      </c>
      <c r="G177" s="18"/>
      <c r="H177" s="42">
        <f t="shared" si="8"/>
        <v>1.0796804145972791E-2</v>
      </c>
      <c r="I177" s="43">
        <f t="shared" si="9"/>
        <v>-5.4844606946984325E-3</v>
      </c>
      <c r="K177" s="42">
        <f t="shared" si="10"/>
        <v>1.0738934819318549E-2</v>
      </c>
      <c r="L177" s="42">
        <f t="shared" si="11"/>
        <v>-5.4995555660386584E-3</v>
      </c>
    </row>
    <row r="178" spans="1:12" x14ac:dyDescent="0.2">
      <c r="A178" s="25">
        <v>45491</v>
      </c>
      <c r="B178" s="10"/>
      <c r="C178" s="11">
        <v>94.24</v>
      </c>
      <c r="D178" s="11">
        <v>108.5</v>
      </c>
      <c r="E178" s="18"/>
      <c r="F178" s="21">
        <v>-6.9981164594418097E-3</v>
      </c>
      <c r="G178" s="18"/>
      <c r="H178" s="42">
        <f t="shared" si="8"/>
        <v>6.6225165562912875E-3</v>
      </c>
      <c r="I178" s="43">
        <f t="shared" si="9"/>
        <v>-2.7573529411764447E-3</v>
      </c>
      <c r="K178" s="42">
        <f t="shared" si="10"/>
        <v>6.6006840313518724E-3</v>
      </c>
      <c r="L178" s="42">
        <f t="shared" si="11"/>
        <v>-2.7611614413279458E-3</v>
      </c>
    </row>
    <row r="179" spans="1:12" x14ac:dyDescent="0.2">
      <c r="A179" s="25">
        <v>45492</v>
      </c>
      <c r="B179" s="10"/>
      <c r="C179" s="11">
        <v>93.78</v>
      </c>
      <c r="D179" s="11">
        <v>106.45</v>
      </c>
      <c r="E179" s="18"/>
      <c r="F179" s="21">
        <v>-6.0561249852877294E-3</v>
      </c>
      <c r="G179" s="18"/>
      <c r="H179" s="42">
        <f t="shared" si="8"/>
        <v>-4.8811544991510377E-3</v>
      </c>
      <c r="I179" s="43">
        <f t="shared" si="9"/>
        <v>-1.8894009216589836E-2</v>
      </c>
      <c r="K179" s="42">
        <f t="shared" si="10"/>
        <v>-4.8931062418362823E-3</v>
      </c>
      <c r="L179" s="42">
        <f t="shared" si="11"/>
        <v>-1.9074781641025693E-2</v>
      </c>
    </row>
    <row r="180" spans="1:12" x14ac:dyDescent="0.2">
      <c r="A180" s="25">
        <v>45495</v>
      </c>
      <c r="B180" s="10"/>
      <c r="C180" s="11">
        <v>94.5</v>
      </c>
      <c r="D180" s="11">
        <v>106.05</v>
      </c>
      <c r="E180" s="18"/>
      <c r="F180" s="21">
        <v>1.0129111365844099E-2</v>
      </c>
      <c r="G180" s="18"/>
      <c r="H180" s="42">
        <f t="shared" si="8"/>
        <v>7.6775431861804098E-3</v>
      </c>
      <c r="I180" s="43">
        <f t="shared" si="9"/>
        <v>-3.7576326914044687E-3</v>
      </c>
      <c r="K180" s="42">
        <f t="shared" si="10"/>
        <v>7.6482208382568188E-3</v>
      </c>
      <c r="L180" s="42">
        <f t="shared" si="11"/>
        <v>-3.7647103287971086E-3</v>
      </c>
    </row>
    <row r="181" spans="1:12" x14ac:dyDescent="0.2">
      <c r="A181" s="25">
        <v>45496</v>
      </c>
      <c r="B181" s="10"/>
      <c r="C181" s="11">
        <v>94.26</v>
      </c>
      <c r="D181" s="11">
        <v>107.15</v>
      </c>
      <c r="E181" s="18"/>
      <c r="F181" s="21">
        <v>-1.45781163509872E-3</v>
      </c>
      <c r="G181" s="18"/>
      <c r="H181" s="42">
        <f t="shared" si="8"/>
        <v>-2.5396825396824855E-3</v>
      </c>
      <c r="I181" s="43">
        <f t="shared" si="9"/>
        <v>1.0372465818010454E-2</v>
      </c>
      <c r="K181" s="42">
        <f t="shared" si="10"/>
        <v>-2.5429130041122487E-3</v>
      </c>
      <c r="L181" s="42">
        <f t="shared" si="11"/>
        <v>1.0319040908894631E-2</v>
      </c>
    </row>
    <row r="182" spans="1:12" x14ac:dyDescent="0.2">
      <c r="A182" s="25">
        <v>45497</v>
      </c>
      <c r="B182" s="10"/>
      <c r="C182" s="11">
        <v>93.56</v>
      </c>
      <c r="D182" s="11">
        <v>107.3</v>
      </c>
      <c r="E182" s="18"/>
      <c r="F182" s="21">
        <v>-6.1609142156927501E-3</v>
      </c>
      <c r="G182" s="18"/>
      <c r="H182" s="42">
        <f t="shared" si="8"/>
        <v>-7.4262677699979077E-3</v>
      </c>
      <c r="I182" s="43">
        <f t="shared" si="9"/>
        <v>1.3999066728883946E-3</v>
      </c>
      <c r="K182" s="42">
        <f t="shared" si="10"/>
        <v>-7.4539797796065203E-3</v>
      </c>
      <c r="L182" s="42">
        <f t="shared" si="11"/>
        <v>1.3989277170667624E-3</v>
      </c>
    </row>
    <row r="183" spans="1:12" x14ac:dyDescent="0.2">
      <c r="A183" s="25">
        <v>45498</v>
      </c>
      <c r="B183" s="10"/>
      <c r="C183" s="11">
        <v>88.82</v>
      </c>
      <c r="D183" s="11">
        <v>107.25</v>
      </c>
      <c r="E183" s="18"/>
      <c r="F183" s="21">
        <v>-8.0004338037450388E-3</v>
      </c>
      <c r="G183" s="18"/>
      <c r="H183" s="42">
        <f t="shared" si="8"/>
        <v>-5.0662676357417794E-2</v>
      </c>
      <c r="I183" s="43">
        <f t="shared" si="9"/>
        <v>-4.6598322460388779E-4</v>
      </c>
      <c r="K183" s="42">
        <f t="shared" si="10"/>
        <v>-5.1991091852022206E-2</v>
      </c>
      <c r="L183" s="42">
        <f t="shared" si="11"/>
        <v>-4.6609182852641476E-4</v>
      </c>
    </row>
    <row r="184" spans="1:12" x14ac:dyDescent="0.2">
      <c r="A184" s="25">
        <v>45499</v>
      </c>
      <c r="B184" s="10"/>
      <c r="C184" s="11">
        <v>87.92</v>
      </c>
      <c r="D184" s="11">
        <v>108.3</v>
      </c>
      <c r="E184" s="18"/>
      <c r="F184" s="21">
        <v>1.1230182360194501E-2</v>
      </c>
      <c r="G184" s="18"/>
      <c r="H184" s="42">
        <f t="shared" si="8"/>
        <v>-1.0132852961044714E-2</v>
      </c>
      <c r="I184" s="43">
        <f t="shared" si="9"/>
        <v>9.7902097902097633E-3</v>
      </c>
      <c r="K184" s="42">
        <f t="shared" si="10"/>
        <v>-1.0184539768590193E-2</v>
      </c>
      <c r="L184" s="42">
        <f t="shared" si="11"/>
        <v>9.7425961988186205E-3</v>
      </c>
    </row>
    <row r="185" spans="1:12" x14ac:dyDescent="0.2">
      <c r="A185" s="25">
        <v>45502</v>
      </c>
      <c r="B185" s="10"/>
      <c r="C185" s="11">
        <v>88.02</v>
      </c>
      <c r="D185" s="11">
        <v>107.7</v>
      </c>
      <c r="E185" s="18"/>
      <c r="F185" s="21">
        <v>-2.1720206997543003E-3</v>
      </c>
      <c r="G185" s="18"/>
      <c r="H185" s="42">
        <f t="shared" si="8"/>
        <v>1.1373976342128561E-3</v>
      </c>
      <c r="I185" s="43">
        <f t="shared" si="9"/>
        <v>-5.5401662049860976E-3</v>
      </c>
      <c r="K185" s="42">
        <f t="shared" si="10"/>
        <v>1.1367512875793395E-3</v>
      </c>
      <c r="L185" s="42">
        <f t="shared" si="11"/>
        <v>-5.555569844601994E-3</v>
      </c>
    </row>
    <row r="186" spans="1:12" x14ac:dyDescent="0.2">
      <c r="A186" s="25">
        <v>45503</v>
      </c>
      <c r="B186" s="10"/>
      <c r="C186" s="11">
        <v>88.68</v>
      </c>
      <c r="D186" s="11">
        <v>109.05</v>
      </c>
      <c r="E186" s="18"/>
      <c r="F186" s="21">
        <v>5.49527579489983E-3</v>
      </c>
      <c r="G186" s="18"/>
      <c r="H186" s="42">
        <f t="shared" si="8"/>
        <v>7.4982958418542472E-3</v>
      </c>
      <c r="I186" s="43">
        <f t="shared" si="9"/>
        <v>1.2534818941504124E-2</v>
      </c>
      <c r="K186" s="42">
        <f t="shared" si="10"/>
        <v>7.4703233651655931E-3</v>
      </c>
      <c r="L186" s="42">
        <f t="shared" si="11"/>
        <v>1.2456908485295216E-2</v>
      </c>
    </row>
    <row r="187" spans="1:12" x14ac:dyDescent="0.2">
      <c r="A187" s="25">
        <v>45504</v>
      </c>
      <c r="B187" s="10"/>
      <c r="C187" s="11">
        <v>89.14</v>
      </c>
      <c r="D187" s="11">
        <v>108.45</v>
      </c>
      <c r="E187" s="18"/>
      <c r="F187" s="21">
        <v>2.88384843737432E-3</v>
      </c>
      <c r="G187" s="18"/>
      <c r="H187" s="42">
        <f t="shared" si="8"/>
        <v>5.187189896256131E-3</v>
      </c>
      <c r="I187" s="43">
        <f t="shared" si="9"/>
        <v>-5.5020632737275959E-3</v>
      </c>
      <c r="K187" s="42">
        <f t="shared" si="10"/>
        <v>5.1737827702989497E-3</v>
      </c>
      <c r="L187" s="42">
        <f t="shared" si="11"/>
        <v>-5.5172553747546288E-3</v>
      </c>
    </row>
    <row r="188" spans="1:12" x14ac:dyDescent="0.2">
      <c r="A188" s="25">
        <v>45506</v>
      </c>
      <c r="B188" s="10"/>
      <c r="C188" s="11">
        <v>89.4</v>
      </c>
      <c r="D188" s="11">
        <v>103.6</v>
      </c>
      <c r="E188" s="18"/>
      <c r="F188" s="21">
        <v>-3.5878007524916405E-2</v>
      </c>
      <c r="G188" s="18"/>
      <c r="H188" s="42">
        <f t="shared" si="8"/>
        <v>2.9167601525690499E-3</v>
      </c>
      <c r="I188" s="43">
        <f t="shared" si="9"/>
        <v>-4.4721069617335255E-2</v>
      </c>
      <c r="K188" s="42">
        <f t="shared" si="10"/>
        <v>2.9125146610587344E-3</v>
      </c>
      <c r="L188" s="42">
        <f t="shared" si="11"/>
        <v>-4.5751907447500767E-2</v>
      </c>
    </row>
    <row r="189" spans="1:12" x14ac:dyDescent="0.2">
      <c r="A189" s="25">
        <v>45509</v>
      </c>
      <c r="B189" s="10"/>
      <c r="C189" s="11">
        <v>87.28</v>
      </c>
      <c r="D189" s="11">
        <v>99.3</v>
      </c>
      <c r="E189" s="18"/>
      <c r="F189" s="21">
        <v>-2.7978865799461003E-2</v>
      </c>
      <c r="G189" s="18"/>
      <c r="H189" s="42">
        <f t="shared" si="8"/>
        <v>-2.3713646532438529E-2</v>
      </c>
      <c r="I189" s="43">
        <f t="shared" si="9"/>
        <v>-4.1505791505791478E-2</v>
      </c>
      <c r="K189" s="42">
        <f t="shared" si="10"/>
        <v>-2.3999340654653173E-2</v>
      </c>
      <c r="L189" s="42">
        <f t="shared" si="11"/>
        <v>-4.2391758774255744E-2</v>
      </c>
    </row>
    <row r="190" spans="1:12" x14ac:dyDescent="0.2">
      <c r="A190" s="25">
        <v>45510</v>
      </c>
      <c r="B190" s="10"/>
      <c r="C190" s="11">
        <v>87.52</v>
      </c>
      <c r="D190" s="11">
        <v>100</v>
      </c>
      <c r="E190" s="18"/>
      <c r="F190" s="21">
        <v>-2.8410832518276303E-3</v>
      </c>
      <c r="G190" s="18"/>
      <c r="H190" s="42">
        <f t="shared" si="8"/>
        <v>2.7497708524289056E-3</v>
      </c>
      <c r="I190" s="43">
        <f t="shared" si="9"/>
        <v>7.049345417925507E-3</v>
      </c>
      <c r="K190" s="42">
        <f t="shared" si="10"/>
        <v>2.7459971488556223E-3</v>
      </c>
      <c r="L190" s="42">
        <f t="shared" si="11"/>
        <v>7.0246149369644385E-3</v>
      </c>
    </row>
    <row r="191" spans="1:12" x14ac:dyDescent="0.2">
      <c r="A191" s="25">
        <v>45511</v>
      </c>
      <c r="B191" s="10"/>
      <c r="C191" s="11">
        <v>89.28</v>
      </c>
      <c r="D191" s="11">
        <v>102.55</v>
      </c>
      <c r="E191" s="18"/>
      <c r="F191" s="21">
        <v>2.8905744337962499E-2</v>
      </c>
      <c r="G191" s="18"/>
      <c r="H191" s="42">
        <f t="shared" si="8"/>
        <v>2.0109689213894028E-2</v>
      </c>
      <c r="I191" s="43">
        <f t="shared" si="9"/>
        <v>2.5499999999999971E-2</v>
      </c>
      <c r="K191" s="42">
        <f t="shared" si="10"/>
        <v>1.9910159959329873E-2</v>
      </c>
      <c r="L191" s="42">
        <f t="shared" si="11"/>
        <v>2.5180298530298326E-2</v>
      </c>
    </row>
    <row r="192" spans="1:12" x14ac:dyDescent="0.2">
      <c r="A192" s="25">
        <v>45512</v>
      </c>
      <c r="B192" s="10"/>
      <c r="C192" s="11">
        <v>89.14</v>
      </c>
      <c r="D192" s="11">
        <v>103.15</v>
      </c>
      <c r="E192" s="18"/>
      <c r="F192" s="21">
        <v>-1.3291842891575102E-3</v>
      </c>
      <c r="G192" s="18"/>
      <c r="H192" s="42">
        <f t="shared" si="8"/>
        <v>-1.5681003584229454E-3</v>
      </c>
      <c r="I192" s="43">
        <f t="shared" si="9"/>
        <v>5.850804485616856E-3</v>
      </c>
      <c r="K192" s="42">
        <f t="shared" si="10"/>
        <v>-1.5693311145910259E-3</v>
      </c>
      <c r="L192" s="42">
        <f t="shared" si="11"/>
        <v>5.8337549988713615E-3</v>
      </c>
    </row>
    <row r="193" spans="1:12" x14ac:dyDescent="0.2">
      <c r="A193" s="25">
        <v>45513</v>
      </c>
      <c r="B193" s="10"/>
      <c r="C193" s="11">
        <v>89</v>
      </c>
      <c r="D193" s="11">
        <v>103.9</v>
      </c>
      <c r="E193" s="18"/>
      <c r="F193" s="21">
        <v>3.2546879274954997E-3</v>
      </c>
      <c r="G193" s="18"/>
      <c r="H193" s="42">
        <f t="shared" si="8"/>
        <v>-1.5705631590756178E-3</v>
      </c>
      <c r="I193" s="43">
        <f t="shared" si="9"/>
        <v>7.2709646146388749E-3</v>
      </c>
      <c r="K193" s="42">
        <f t="shared" si="10"/>
        <v>-1.5717977862699786E-3</v>
      </c>
      <c r="L193" s="42">
        <f t="shared" si="11"/>
        <v>7.2446585879209447E-3</v>
      </c>
    </row>
    <row r="194" spans="1:12" x14ac:dyDescent="0.2">
      <c r="A194" s="25">
        <v>45516</v>
      </c>
      <c r="B194" s="10"/>
      <c r="C194" s="11">
        <v>88.64</v>
      </c>
      <c r="D194" s="11">
        <v>104</v>
      </c>
      <c r="E194" s="18"/>
      <c r="F194" s="21">
        <v>6.5591857897140393E-4</v>
      </c>
      <c r="G194" s="18"/>
      <c r="H194" s="42">
        <f t="shared" si="8"/>
        <v>-4.0449438202247124E-3</v>
      </c>
      <c r="I194" s="43">
        <f t="shared" si="9"/>
        <v>9.6246390760341006E-4</v>
      </c>
      <c r="K194" s="42">
        <f t="shared" si="10"/>
        <v>-4.053146733166129E-3</v>
      </c>
      <c r="L194" s="42">
        <f t="shared" si="11"/>
        <v>9.620010361908411E-4</v>
      </c>
    </row>
    <row r="195" spans="1:12" x14ac:dyDescent="0.2">
      <c r="A195" s="25">
        <v>45517</v>
      </c>
      <c r="B195" s="10"/>
      <c r="C195" s="11">
        <v>88.68</v>
      </c>
      <c r="D195" s="11">
        <v>104.5</v>
      </c>
      <c r="E195" s="18"/>
      <c r="F195" s="21">
        <v>4.5840048783336498E-3</v>
      </c>
      <c r="G195" s="18"/>
      <c r="H195" s="42">
        <f t="shared" si="8"/>
        <v>4.5126353790620773E-4</v>
      </c>
      <c r="I195" s="43">
        <f t="shared" si="9"/>
        <v>4.807692307692308E-3</v>
      </c>
      <c r="K195" s="42">
        <f t="shared" si="10"/>
        <v>4.511617491370439E-4</v>
      </c>
      <c r="L195" s="42">
        <f t="shared" si="11"/>
        <v>4.7961722634930135E-3</v>
      </c>
    </row>
    <row r="196" spans="1:12" x14ac:dyDescent="0.2">
      <c r="A196" s="25">
        <v>45518</v>
      </c>
      <c r="B196" s="10"/>
      <c r="C196" s="11">
        <v>89.3</v>
      </c>
      <c r="D196" s="11">
        <v>106.1</v>
      </c>
      <c r="E196" s="18"/>
      <c r="F196" s="21">
        <v>1.2046338638044001E-2</v>
      </c>
      <c r="G196" s="18"/>
      <c r="H196" s="42">
        <f t="shared" si="8"/>
        <v>6.9914298601712931E-3</v>
      </c>
      <c r="I196" s="43">
        <f t="shared" si="9"/>
        <v>1.531100478468894E-2</v>
      </c>
      <c r="K196" s="42">
        <f t="shared" si="10"/>
        <v>6.9671031343424509E-3</v>
      </c>
      <c r="L196" s="42">
        <f t="shared" si="11"/>
        <v>1.5194974215071703E-2</v>
      </c>
    </row>
    <row r="197" spans="1:12" x14ac:dyDescent="0.2">
      <c r="A197" s="25">
        <v>45519</v>
      </c>
      <c r="B197" s="10"/>
      <c r="C197" s="11">
        <v>89.28</v>
      </c>
      <c r="D197" s="11">
        <v>108.3</v>
      </c>
      <c r="E197" s="18"/>
      <c r="F197" s="21">
        <v>6.4939117327547004E-3</v>
      </c>
      <c r="G197" s="18"/>
      <c r="H197" s="42">
        <f t="shared" si="8"/>
        <v>-2.2396416573343809E-4</v>
      </c>
      <c r="I197" s="43">
        <f t="shared" si="9"/>
        <v>2.0735155513666382E-2</v>
      </c>
      <c r="K197" s="42">
        <f t="shared" si="10"/>
        <v>-2.2398924945252029E-4</v>
      </c>
      <c r="L197" s="42">
        <f t="shared" si="11"/>
        <v>2.0523108387007463E-2</v>
      </c>
    </row>
    <row r="198" spans="1:12" x14ac:dyDescent="0.2">
      <c r="A198" s="25">
        <v>45520</v>
      </c>
      <c r="B198" s="10"/>
      <c r="C198" s="11">
        <v>89.82</v>
      </c>
      <c r="D198" s="11">
        <v>109.35</v>
      </c>
      <c r="E198" s="18"/>
      <c r="F198" s="21">
        <v>3.16879549065807E-3</v>
      </c>
      <c r="G198" s="18"/>
      <c r="H198" s="42">
        <f t="shared" si="8"/>
        <v>6.048387096774104E-3</v>
      </c>
      <c r="I198" s="43">
        <f t="shared" si="9"/>
        <v>9.6952908587257351E-3</v>
      </c>
      <c r="K198" s="42">
        <f t="shared" si="10"/>
        <v>6.0301690265910108E-3</v>
      </c>
      <c r="L198" s="42">
        <f t="shared" si="11"/>
        <v>9.6485931158319365E-3</v>
      </c>
    </row>
    <row r="199" spans="1:12" x14ac:dyDescent="0.2">
      <c r="A199" s="25">
        <v>45523</v>
      </c>
      <c r="B199" s="10"/>
      <c r="C199" s="11">
        <v>90.18</v>
      </c>
      <c r="D199" s="11">
        <v>109.95</v>
      </c>
      <c r="E199" s="18"/>
      <c r="F199" s="21">
        <v>7.0975272024107403E-3</v>
      </c>
      <c r="G199" s="18"/>
      <c r="H199" s="42">
        <f t="shared" si="8"/>
        <v>4.0080160320642806E-3</v>
      </c>
      <c r="I199" s="43">
        <f t="shared" si="9"/>
        <v>5.4869684499314914E-3</v>
      </c>
      <c r="K199" s="42">
        <f t="shared" si="10"/>
        <v>4.0000053333463584E-3</v>
      </c>
      <c r="L199" s="42">
        <f t="shared" si="11"/>
        <v>5.4719698779933925E-3</v>
      </c>
    </row>
    <row r="200" spans="1:12" x14ac:dyDescent="0.2">
      <c r="A200" s="25">
        <v>45524</v>
      </c>
      <c r="B200" s="10"/>
      <c r="C200" s="11">
        <v>89.28</v>
      </c>
      <c r="D200" s="11">
        <v>111.1</v>
      </c>
      <c r="E200" s="18"/>
      <c r="F200" s="21">
        <v>-7.0705108033808307E-4</v>
      </c>
      <c r="G200" s="18"/>
      <c r="H200" s="42">
        <f t="shared" si="8"/>
        <v>-9.9800399201597431E-3</v>
      </c>
      <c r="I200" s="43">
        <f t="shared" si="9"/>
        <v>1.045929968167341E-2</v>
      </c>
      <c r="K200" s="42">
        <f t="shared" si="10"/>
        <v>-1.0030174359937357E-2</v>
      </c>
      <c r="L200" s="42">
        <f t="shared" si="11"/>
        <v>1.0404979644814107E-2</v>
      </c>
    </row>
    <row r="201" spans="1:12" x14ac:dyDescent="0.2">
      <c r="A201" s="25">
        <v>45525</v>
      </c>
      <c r="B201" s="10"/>
      <c r="C201" s="11">
        <v>89.44</v>
      </c>
      <c r="D201" s="11">
        <v>110.9</v>
      </c>
      <c r="E201" s="18"/>
      <c r="F201" s="21">
        <v>-1.34102933341395E-3</v>
      </c>
      <c r="G201" s="18"/>
      <c r="H201" s="42">
        <f t="shared" ref="H201:H264" si="12">(C201-C200)/C200</f>
        <v>1.7921146953404636E-3</v>
      </c>
      <c r="I201" s="43">
        <f t="shared" ref="I201:I264" si="13">(D201-D200)/D200</f>
        <v>-1.800180018001698E-3</v>
      </c>
      <c r="K201" s="42">
        <f t="shared" ref="K201:K264" si="14">LN(C201/C200)</f>
        <v>1.7905107737882938E-3</v>
      </c>
      <c r="L201" s="42">
        <f t="shared" ref="L201:L264" si="15">LN(D201/D200)</f>
        <v>-1.8018022892629111E-3</v>
      </c>
    </row>
    <row r="202" spans="1:12" x14ac:dyDescent="0.2">
      <c r="A202" s="25">
        <v>45526</v>
      </c>
      <c r="B202" s="10"/>
      <c r="C202" s="11">
        <v>89.44</v>
      </c>
      <c r="D202" s="11">
        <v>115.9</v>
      </c>
      <c r="E202" s="18"/>
      <c r="F202" s="21">
        <v>4.5180532909456696E-3</v>
      </c>
      <c r="G202" s="18"/>
      <c r="H202" s="42">
        <f t="shared" si="12"/>
        <v>0</v>
      </c>
      <c r="I202" s="43">
        <f t="shared" si="13"/>
        <v>4.5085662759242556E-2</v>
      </c>
      <c r="K202" s="42">
        <f t="shared" si="14"/>
        <v>0</v>
      </c>
      <c r="L202" s="42">
        <f t="shared" si="15"/>
        <v>4.4098855989384747E-2</v>
      </c>
    </row>
    <row r="203" spans="1:12" x14ac:dyDescent="0.2">
      <c r="A203" s="25">
        <v>45527</v>
      </c>
      <c r="B203" s="10"/>
      <c r="C203" s="11">
        <v>89.54</v>
      </c>
      <c r="D203" s="11">
        <v>117.85</v>
      </c>
      <c r="E203" s="18"/>
      <c r="F203" s="21">
        <v>3.4136149097132502E-3</v>
      </c>
      <c r="G203" s="18"/>
      <c r="H203" s="42">
        <f t="shared" si="12"/>
        <v>1.1180679785331902E-3</v>
      </c>
      <c r="I203" s="43">
        <f t="shared" si="13"/>
        <v>1.6824849007765215E-2</v>
      </c>
      <c r="K203" s="42">
        <f t="shared" si="14"/>
        <v>1.1174434060305491E-3</v>
      </c>
      <c r="L203" s="42">
        <f t="shared" si="15"/>
        <v>1.6684879036433935E-2</v>
      </c>
    </row>
    <row r="204" spans="1:12" x14ac:dyDescent="0.2">
      <c r="A204" s="25">
        <v>45530</v>
      </c>
      <c r="B204" s="10"/>
      <c r="C204" s="11">
        <v>89.72</v>
      </c>
      <c r="D204" s="11">
        <v>115.75</v>
      </c>
      <c r="E204" s="18"/>
      <c r="F204" s="21">
        <v>5.5816781564121899E-4</v>
      </c>
      <c r="G204" s="18"/>
      <c r="H204" s="42">
        <f t="shared" si="12"/>
        <v>2.0102747375473819E-3</v>
      </c>
      <c r="I204" s="43">
        <f t="shared" si="13"/>
        <v>-1.7819261773440766E-2</v>
      </c>
      <c r="K204" s="42">
        <f t="shared" si="14"/>
        <v>2.0082568391880757E-3</v>
      </c>
      <c r="L204" s="42">
        <f t="shared" si="15"/>
        <v>-1.797993641579658E-2</v>
      </c>
    </row>
    <row r="205" spans="1:12" x14ac:dyDescent="0.2">
      <c r="A205" s="25">
        <v>45531</v>
      </c>
      <c r="B205" s="10"/>
      <c r="C205" s="11">
        <v>89.68</v>
      </c>
      <c r="D205" s="11">
        <v>115.45</v>
      </c>
      <c r="E205" s="18"/>
      <c r="F205" s="21">
        <v>-4.6645056781666697E-3</v>
      </c>
      <c r="G205" s="18"/>
      <c r="H205" s="42">
        <f t="shared" si="12"/>
        <v>-4.4583147570209587E-4</v>
      </c>
      <c r="I205" s="43">
        <f t="shared" si="13"/>
        <v>-2.5917926565874484E-3</v>
      </c>
      <c r="K205" s="42">
        <f t="shared" si="14"/>
        <v>-4.4593088810300946E-4</v>
      </c>
      <c r="L205" s="42">
        <f t="shared" si="15"/>
        <v>-2.595157165839107E-3</v>
      </c>
    </row>
    <row r="206" spans="1:12" x14ac:dyDescent="0.2">
      <c r="A206" s="25">
        <v>45532</v>
      </c>
      <c r="B206" s="10"/>
      <c r="C206" s="11">
        <v>90.32</v>
      </c>
      <c r="D206" s="11">
        <v>117.05</v>
      </c>
      <c r="E206" s="18"/>
      <c r="F206" s="21">
        <v>4.2268038878703305E-3</v>
      </c>
      <c r="G206" s="18"/>
      <c r="H206" s="42">
        <f t="shared" si="12"/>
        <v>7.1364852809989556E-3</v>
      </c>
      <c r="I206" s="43">
        <f t="shared" si="13"/>
        <v>1.385881333910779E-2</v>
      </c>
      <c r="K206" s="42">
        <f t="shared" si="14"/>
        <v>7.1111410775019715E-3</v>
      </c>
      <c r="L206" s="42">
        <f t="shared" si="15"/>
        <v>1.3763658136415337E-2</v>
      </c>
    </row>
    <row r="207" spans="1:12" x14ac:dyDescent="0.2">
      <c r="A207" s="25">
        <v>45533</v>
      </c>
      <c r="B207" s="10"/>
      <c r="C207" s="11">
        <v>91.1</v>
      </c>
      <c r="D207" s="11">
        <v>116.2</v>
      </c>
      <c r="E207" s="18"/>
      <c r="F207" s="21">
        <v>5.58884272771087E-3</v>
      </c>
      <c r="G207" s="18"/>
      <c r="H207" s="42">
        <f t="shared" si="12"/>
        <v>8.6359610274579415E-3</v>
      </c>
      <c r="I207" s="43">
        <f t="shared" si="13"/>
        <v>-7.2618539085860263E-3</v>
      </c>
      <c r="K207" s="42">
        <f t="shared" si="14"/>
        <v>8.5988844245061379E-3</v>
      </c>
      <c r="L207" s="42">
        <f t="shared" si="15"/>
        <v>-7.2883495191088683E-3</v>
      </c>
    </row>
    <row r="208" spans="1:12" x14ac:dyDescent="0.2">
      <c r="A208" s="25">
        <v>45534</v>
      </c>
      <c r="B208" s="10"/>
      <c r="C208" s="11">
        <v>91.02</v>
      </c>
      <c r="D208" s="11">
        <v>115.7</v>
      </c>
      <c r="E208" s="18"/>
      <c r="F208" s="21">
        <v>1.52026800353E-3</v>
      </c>
      <c r="G208" s="18"/>
      <c r="H208" s="42">
        <f t="shared" si="12"/>
        <v>-8.781558726673798E-4</v>
      </c>
      <c r="I208" s="43">
        <f t="shared" si="13"/>
        <v>-4.3029259896729772E-3</v>
      </c>
      <c r="K208" s="42">
        <f t="shared" si="14"/>
        <v>-8.785416774167318E-4</v>
      </c>
      <c r="L208" s="42">
        <f t="shared" si="15"/>
        <v>-4.3122102181799536E-3</v>
      </c>
    </row>
    <row r="209" spans="1:12" x14ac:dyDescent="0.2">
      <c r="A209" s="25">
        <v>45538</v>
      </c>
      <c r="B209" s="10"/>
      <c r="C209" s="11">
        <v>91.48</v>
      </c>
      <c r="D209" s="11">
        <v>117.3</v>
      </c>
      <c r="E209" s="18"/>
      <c r="F209" s="21">
        <v>-7.10821071061285E-3</v>
      </c>
      <c r="G209" s="18"/>
      <c r="H209" s="42">
        <f t="shared" si="12"/>
        <v>5.0538343221270925E-3</v>
      </c>
      <c r="I209" s="43">
        <f t="shared" si="13"/>
        <v>1.3828867761451981E-2</v>
      </c>
      <c r="K209" s="42">
        <f t="shared" si="14"/>
        <v>5.041106566084641E-3</v>
      </c>
      <c r="L209" s="42">
        <f t="shared" si="15"/>
        <v>1.3734121459798836E-2</v>
      </c>
    </row>
    <row r="210" spans="1:12" x14ac:dyDescent="0.2">
      <c r="A210" s="25">
        <v>45539</v>
      </c>
      <c r="B210" s="10"/>
      <c r="C210" s="11">
        <v>89.64</v>
      </c>
      <c r="D210" s="11">
        <v>116.55</v>
      </c>
      <c r="E210" s="18"/>
      <c r="F210" s="21">
        <v>-1.39311858652545E-2</v>
      </c>
      <c r="G210" s="18"/>
      <c r="H210" s="42">
        <f t="shared" si="12"/>
        <v>-2.0113686051596014E-2</v>
      </c>
      <c r="I210" s="43">
        <f t="shared" si="13"/>
        <v>-6.3938618925831201E-3</v>
      </c>
      <c r="K210" s="42">
        <f t="shared" si="14"/>
        <v>-2.031872022185419E-2</v>
      </c>
      <c r="L210" s="42">
        <f t="shared" si="15"/>
        <v>-6.4143901776636944E-3</v>
      </c>
    </row>
    <row r="211" spans="1:12" x14ac:dyDescent="0.2">
      <c r="A211" s="25">
        <v>45540</v>
      </c>
      <c r="B211" s="10"/>
      <c r="C211" s="11">
        <v>88.48</v>
      </c>
      <c r="D211" s="11">
        <v>116.95</v>
      </c>
      <c r="E211" s="18"/>
      <c r="F211" s="21">
        <v>-1.1894364796944501E-2</v>
      </c>
      <c r="G211" s="18"/>
      <c r="H211" s="42">
        <f t="shared" si="12"/>
        <v>-1.2940651494868324E-2</v>
      </c>
      <c r="I211" s="43">
        <f t="shared" si="13"/>
        <v>3.432003432003481E-3</v>
      </c>
      <c r="K211" s="42">
        <f t="shared" si="14"/>
        <v>-1.3025111158701554E-2</v>
      </c>
      <c r="L211" s="42">
        <f t="shared" si="15"/>
        <v>3.4261275484219113E-3</v>
      </c>
    </row>
    <row r="212" spans="1:12" x14ac:dyDescent="0.2">
      <c r="A212" s="25">
        <v>45541</v>
      </c>
      <c r="B212" s="10"/>
      <c r="C212" s="11">
        <v>87.54</v>
      </c>
      <c r="D212" s="11">
        <v>114.45</v>
      </c>
      <c r="E212" s="18"/>
      <c r="F212" s="21">
        <v>-1.02315263455761E-2</v>
      </c>
      <c r="G212" s="18"/>
      <c r="H212" s="42">
        <f t="shared" si="12"/>
        <v>-1.0623869801084965E-2</v>
      </c>
      <c r="I212" s="43">
        <f t="shared" si="13"/>
        <v>-2.1376656690893545E-2</v>
      </c>
      <c r="K212" s="42">
        <f t="shared" si="14"/>
        <v>-1.0680706011275383E-2</v>
      </c>
      <c r="L212" s="42">
        <f t="shared" si="15"/>
        <v>-2.1608446631612287E-2</v>
      </c>
    </row>
    <row r="213" spans="1:12" x14ac:dyDescent="0.2">
      <c r="A213" s="25">
        <v>45544</v>
      </c>
      <c r="B213" s="10"/>
      <c r="C213" s="11">
        <v>88.1</v>
      </c>
      <c r="D213" s="11">
        <v>115.5</v>
      </c>
      <c r="E213" s="18"/>
      <c r="F213" s="21">
        <v>6.0795195688696504E-3</v>
      </c>
      <c r="G213" s="18"/>
      <c r="H213" s="42">
        <f t="shared" si="12"/>
        <v>6.3970756225724011E-3</v>
      </c>
      <c r="I213" s="43">
        <f t="shared" si="13"/>
        <v>9.1743119266054791E-3</v>
      </c>
      <c r="K213" s="42">
        <f t="shared" si="14"/>
        <v>6.3767011793844208E-3</v>
      </c>
      <c r="L213" s="42">
        <f t="shared" si="15"/>
        <v>9.1324835632724723E-3</v>
      </c>
    </row>
    <row r="214" spans="1:12" x14ac:dyDescent="0.2">
      <c r="A214" s="25">
        <v>45545</v>
      </c>
      <c r="B214" s="10"/>
      <c r="C214" s="11">
        <v>88.3</v>
      </c>
      <c r="D214" s="11">
        <v>115.35</v>
      </c>
      <c r="E214" s="18"/>
      <c r="F214" s="21">
        <v>-1.3290826049577799E-3</v>
      </c>
      <c r="G214" s="18"/>
      <c r="H214" s="42">
        <f t="shared" si="12"/>
        <v>2.2701475595914059E-3</v>
      </c>
      <c r="I214" s="43">
        <f t="shared" si="13"/>
        <v>-1.2987012987013479E-3</v>
      </c>
      <c r="K214" s="42">
        <f t="shared" si="14"/>
        <v>2.2675746677805605E-3</v>
      </c>
      <c r="L214" s="42">
        <f t="shared" si="15"/>
        <v>-1.2995453420856146E-3</v>
      </c>
    </row>
    <row r="215" spans="1:12" x14ac:dyDescent="0.2">
      <c r="A215" s="25">
        <v>45546</v>
      </c>
      <c r="B215" s="10"/>
      <c r="C215" s="11">
        <v>87.76</v>
      </c>
      <c r="D215" s="11">
        <v>114.6</v>
      </c>
      <c r="E215" s="18"/>
      <c r="F215" s="21">
        <v>-3.4942884495423598E-3</v>
      </c>
      <c r="G215" s="18"/>
      <c r="H215" s="42">
        <f t="shared" si="12"/>
        <v>-6.1155152887881316E-3</v>
      </c>
      <c r="I215" s="43">
        <f t="shared" si="13"/>
        <v>-6.5019505851755532E-3</v>
      </c>
      <c r="K215" s="42">
        <f t="shared" si="14"/>
        <v>-6.1342916429394769E-3</v>
      </c>
      <c r="L215" s="42">
        <f t="shared" si="15"/>
        <v>-6.5231803391234836E-3</v>
      </c>
    </row>
    <row r="216" spans="1:12" x14ac:dyDescent="0.2">
      <c r="A216" s="25">
        <v>45547</v>
      </c>
      <c r="B216" s="10"/>
      <c r="C216" s="11">
        <v>87.88</v>
      </c>
      <c r="D216" s="11">
        <v>115.2</v>
      </c>
      <c r="E216" s="18"/>
      <c r="F216" s="21">
        <v>4.9848758261017397E-3</v>
      </c>
      <c r="G216" s="18"/>
      <c r="H216" s="42">
        <f t="shared" si="12"/>
        <v>1.3673655423882215E-3</v>
      </c>
      <c r="I216" s="43">
        <f t="shared" si="13"/>
        <v>5.2356020942409126E-3</v>
      </c>
      <c r="K216" s="42">
        <f t="shared" si="14"/>
        <v>1.3664315494345757E-3</v>
      </c>
      <c r="L216" s="42">
        <f t="shared" si="15"/>
        <v>5.2219439811518461E-3</v>
      </c>
    </row>
    <row r="217" spans="1:12" x14ac:dyDescent="0.2">
      <c r="A217" s="25">
        <v>45548</v>
      </c>
      <c r="B217" s="10"/>
      <c r="C217" s="11">
        <v>87.6</v>
      </c>
      <c r="D217" s="11">
        <v>115.85</v>
      </c>
      <c r="E217" s="18"/>
      <c r="F217" s="21">
        <v>4.5850005068035398E-3</v>
      </c>
      <c r="G217" s="18"/>
      <c r="H217" s="42">
        <f t="shared" si="12"/>
        <v>-3.1861629494765722E-3</v>
      </c>
      <c r="I217" s="43">
        <f t="shared" si="13"/>
        <v>5.6423611111110373E-3</v>
      </c>
      <c r="K217" s="42">
        <f t="shared" si="14"/>
        <v>-3.1912495740637455E-3</v>
      </c>
      <c r="L217" s="42">
        <f t="shared" si="15"/>
        <v>5.6265026165941761E-3</v>
      </c>
    </row>
    <row r="218" spans="1:12" x14ac:dyDescent="0.2">
      <c r="A218" s="25">
        <v>45551</v>
      </c>
      <c r="B218" s="10"/>
      <c r="C218" s="11">
        <v>86.76</v>
      </c>
      <c r="D218" s="11">
        <v>116.15</v>
      </c>
      <c r="E218" s="18"/>
      <c r="F218" s="21">
        <v>-2.6425737111565001E-3</v>
      </c>
      <c r="G218" s="18"/>
      <c r="H218" s="42">
        <f t="shared" si="12"/>
        <v>-9.5890410958902883E-3</v>
      </c>
      <c r="I218" s="43">
        <f t="shared" si="13"/>
        <v>2.5895554596461925E-3</v>
      </c>
      <c r="K218" s="42">
        <f t="shared" si="14"/>
        <v>-9.6353119836720298E-3</v>
      </c>
      <c r="L218" s="42">
        <f t="shared" si="15"/>
        <v>2.5862083380330724E-3</v>
      </c>
    </row>
    <row r="219" spans="1:12" x14ac:dyDescent="0.2">
      <c r="A219" s="25">
        <v>45552</v>
      </c>
      <c r="B219" s="10"/>
      <c r="C219" s="11">
        <v>86.46</v>
      </c>
      <c r="D219" s="11">
        <v>115.85</v>
      </c>
      <c r="E219" s="18"/>
      <c r="F219" s="21">
        <v>3.1081098286922498E-3</v>
      </c>
      <c r="G219" s="18"/>
      <c r="H219" s="42">
        <f t="shared" si="12"/>
        <v>-3.457814661134294E-3</v>
      </c>
      <c r="I219" s="43">
        <f t="shared" si="13"/>
        <v>-2.5828669823505066E-3</v>
      </c>
      <c r="K219" s="42">
        <f t="shared" si="14"/>
        <v>-3.4638067191880072E-3</v>
      </c>
      <c r="L219" s="42">
        <f t="shared" si="15"/>
        <v>-2.5862083380330785E-3</v>
      </c>
    </row>
    <row r="220" spans="1:12" x14ac:dyDescent="0.2">
      <c r="A220" s="25">
        <v>45553</v>
      </c>
      <c r="B220" s="10"/>
      <c r="C220" s="11">
        <v>85.7</v>
      </c>
      <c r="D220" s="11">
        <v>115.4</v>
      </c>
      <c r="E220" s="18"/>
      <c r="F220" s="21">
        <v>-5.0220839585715105E-3</v>
      </c>
      <c r="G220" s="18"/>
      <c r="H220" s="42">
        <f t="shared" si="12"/>
        <v>-8.7901919962987615E-3</v>
      </c>
      <c r="I220" s="43">
        <f t="shared" si="13"/>
        <v>-3.8843331894690431E-3</v>
      </c>
      <c r="K220" s="42">
        <f t="shared" si="14"/>
        <v>-8.8290536357514601E-3</v>
      </c>
      <c r="L220" s="42">
        <f t="shared" si="15"/>
        <v>-3.8918968043858975E-3</v>
      </c>
    </row>
    <row r="221" spans="1:12" x14ac:dyDescent="0.2">
      <c r="A221" s="25">
        <v>45554</v>
      </c>
      <c r="B221" s="10"/>
      <c r="C221" s="11">
        <v>85.4</v>
      </c>
      <c r="D221" s="11">
        <v>115.85</v>
      </c>
      <c r="E221" s="18"/>
      <c r="F221" s="21">
        <v>6.3423140231035902E-3</v>
      </c>
      <c r="G221" s="18"/>
      <c r="H221" s="42">
        <f t="shared" si="12"/>
        <v>-3.5005834305717287E-3</v>
      </c>
      <c r="I221" s="43">
        <f t="shared" si="13"/>
        <v>3.8994800693239913E-3</v>
      </c>
      <c r="K221" s="42">
        <f t="shared" si="14"/>
        <v>-3.5067248092098551E-3</v>
      </c>
      <c r="L221" s="42">
        <f t="shared" si="15"/>
        <v>3.8918968043858823E-3</v>
      </c>
    </row>
    <row r="222" spans="1:12" x14ac:dyDescent="0.2">
      <c r="A222" s="25">
        <v>45555</v>
      </c>
      <c r="B222" s="10"/>
      <c r="C222" s="11">
        <v>82.04</v>
      </c>
      <c r="D222" s="11">
        <v>116.3</v>
      </c>
      <c r="E222" s="18"/>
      <c r="F222" s="21">
        <v>-1.0301989236867299E-2</v>
      </c>
      <c r="G222" s="18"/>
      <c r="H222" s="42">
        <f t="shared" si="12"/>
        <v>-3.9344262295081957E-2</v>
      </c>
      <c r="I222" s="43">
        <f t="shared" si="13"/>
        <v>3.8843331894691658E-3</v>
      </c>
      <c r="K222" s="42">
        <f t="shared" si="14"/>
        <v>-4.013916759034427E-2</v>
      </c>
      <c r="L222" s="42">
        <f t="shared" si="15"/>
        <v>3.8768086462335118E-3</v>
      </c>
    </row>
    <row r="223" spans="1:12" x14ac:dyDescent="0.2">
      <c r="A223" s="25">
        <v>45558</v>
      </c>
      <c r="B223" s="10"/>
      <c r="C223" s="11">
        <v>82.88</v>
      </c>
      <c r="D223" s="11">
        <v>115.7</v>
      </c>
      <c r="E223" s="18"/>
      <c r="F223" s="21">
        <v>2.6208932426272603E-3</v>
      </c>
      <c r="G223" s="18"/>
      <c r="H223" s="42">
        <f t="shared" si="12"/>
        <v>1.0238907849829219E-2</v>
      </c>
      <c r="I223" s="43">
        <f t="shared" si="13"/>
        <v>-5.1590713671538632E-3</v>
      </c>
      <c r="K223" s="42">
        <f t="shared" si="14"/>
        <v>1.0186845306992997E-2</v>
      </c>
      <c r="L223" s="42">
        <f t="shared" si="15"/>
        <v>-5.1724253249878158E-3</v>
      </c>
    </row>
    <row r="224" spans="1:12" x14ac:dyDescent="0.2">
      <c r="A224" s="25">
        <v>45559</v>
      </c>
      <c r="B224" s="10"/>
      <c r="C224" s="11">
        <v>84</v>
      </c>
      <c r="D224" s="11">
        <v>117.3</v>
      </c>
      <c r="E224" s="18"/>
      <c r="F224" s="21">
        <v>6.9779085061458801E-3</v>
      </c>
      <c r="G224" s="18"/>
      <c r="H224" s="42">
        <f t="shared" si="12"/>
        <v>1.351351351351357E-2</v>
      </c>
      <c r="I224" s="43">
        <f t="shared" si="13"/>
        <v>1.3828867761451981E-2</v>
      </c>
      <c r="K224" s="42">
        <f t="shared" si="14"/>
        <v>1.3423020332140771E-2</v>
      </c>
      <c r="L224" s="42">
        <f t="shared" si="15"/>
        <v>1.3734121459798836E-2</v>
      </c>
    </row>
    <row r="225" spans="1:12" x14ac:dyDescent="0.2">
      <c r="A225" s="25">
        <v>45560</v>
      </c>
      <c r="B225" s="10"/>
      <c r="C225" s="11">
        <v>84.36</v>
      </c>
      <c r="D225" s="11">
        <v>118.1</v>
      </c>
      <c r="E225" s="18"/>
      <c r="F225" s="21">
        <v>8.261285939287431E-3</v>
      </c>
      <c r="G225" s="18"/>
      <c r="H225" s="42">
        <f t="shared" si="12"/>
        <v>4.285714285714279E-3</v>
      </c>
      <c r="I225" s="43">
        <f t="shared" si="13"/>
        <v>6.8201193520886372E-3</v>
      </c>
      <c r="K225" s="42">
        <f t="shared" si="14"/>
        <v>4.276556767260172E-3</v>
      </c>
      <c r="L225" s="42">
        <f t="shared" si="15"/>
        <v>6.7969675438868853E-3</v>
      </c>
    </row>
    <row r="226" spans="1:12" x14ac:dyDescent="0.2">
      <c r="A226" s="25">
        <v>45561</v>
      </c>
      <c r="B226" s="10"/>
      <c r="C226" s="11">
        <v>84.82</v>
      </c>
      <c r="D226" s="11">
        <v>117.65</v>
      </c>
      <c r="E226" s="18"/>
      <c r="F226" s="21">
        <v>5.0404788964211102E-3</v>
      </c>
      <c r="G226" s="18"/>
      <c r="H226" s="42">
        <f t="shared" si="12"/>
        <v>5.4528212422948526E-3</v>
      </c>
      <c r="I226" s="43">
        <f t="shared" si="13"/>
        <v>-3.8103302286197176E-3</v>
      </c>
      <c r="K226" s="42">
        <f t="shared" si="14"/>
        <v>5.4380084358707295E-3</v>
      </c>
      <c r="L226" s="42">
        <f t="shared" si="15"/>
        <v>-3.8176080299450804E-3</v>
      </c>
    </row>
    <row r="227" spans="1:12" x14ac:dyDescent="0.2">
      <c r="A227" s="25">
        <v>45562</v>
      </c>
      <c r="B227" s="10"/>
      <c r="C227" s="11">
        <v>85.2</v>
      </c>
      <c r="D227" s="11">
        <v>117.5</v>
      </c>
      <c r="E227" s="18"/>
      <c r="F227" s="21">
        <v>2.0009560961120601E-3</v>
      </c>
      <c r="G227" s="18"/>
      <c r="H227" s="42">
        <f t="shared" si="12"/>
        <v>4.4800754539024955E-3</v>
      </c>
      <c r="I227" s="43">
        <f t="shared" si="13"/>
        <v>-1.2749681257969033E-3</v>
      </c>
      <c r="K227" s="42">
        <f t="shared" si="14"/>
        <v>4.4700697888255094E-3</v>
      </c>
      <c r="L227" s="42">
        <f t="shared" si="15"/>
        <v>-1.2757815891578427E-3</v>
      </c>
    </row>
    <row r="228" spans="1:12" x14ac:dyDescent="0.2">
      <c r="A228" s="25">
        <v>45565</v>
      </c>
      <c r="B228" s="10"/>
      <c r="C228" s="11">
        <v>84.96</v>
      </c>
      <c r="D228" s="11">
        <v>116.7</v>
      </c>
      <c r="E228" s="18"/>
      <c r="F228" s="21">
        <v>-5.3277381344855003E-3</v>
      </c>
      <c r="G228" s="18"/>
      <c r="H228" s="42">
        <f t="shared" si="12"/>
        <v>-2.8169014084508111E-3</v>
      </c>
      <c r="I228" s="43">
        <f t="shared" si="13"/>
        <v>-6.808510638297848E-3</v>
      </c>
      <c r="K228" s="42">
        <f t="shared" si="14"/>
        <v>-2.820876341641452E-3</v>
      </c>
      <c r="L228" s="42">
        <f t="shared" si="15"/>
        <v>-6.8317942917032722E-3</v>
      </c>
    </row>
    <row r="229" spans="1:12" x14ac:dyDescent="0.2">
      <c r="A229" s="25">
        <v>45566</v>
      </c>
      <c r="B229" s="10"/>
      <c r="C229" s="11">
        <v>84.92</v>
      </c>
      <c r="D229" s="11">
        <v>115.35</v>
      </c>
      <c r="E229" s="18"/>
      <c r="F229" s="21">
        <v>-6.7554338364943503E-3</v>
      </c>
      <c r="G229" s="18"/>
      <c r="H229" s="42">
        <f t="shared" si="12"/>
        <v>-4.7080979284359751E-4</v>
      </c>
      <c r="I229" s="43">
        <f t="shared" si="13"/>
        <v>-1.1568123393316268E-2</v>
      </c>
      <c r="K229" s="42">
        <f t="shared" si="14"/>
        <v>-4.709206585733057E-4</v>
      </c>
      <c r="L229" s="42">
        <f t="shared" si="15"/>
        <v>-1.1635554672747687E-2</v>
      </c>
    </row>
    <row r="230" spans="1:12" x14ac:dyDescent="0.2">
      <c r="A230" s="25">
        <v>45567</v>
      </c>
      <c r="B230" s="10"/>
      <c r="C230" s="11">
        <v>85.06</v>
      </c>
      <c r="D230" s="11">
        <v>114.4</v>
      </c>
      <c r="E230" s="18"/>
      <c r="F230" s="21">
        <v>2.9312774882343999E-3</v>
      </c>
      <c r="G230" s="18"/>
      <c r="H230" s="42">
        <f t="shared" si="12"/>
        <v>1.6486104569006189E-3</v>
      </c>
      <c r="I230" s="43">
        <f t="shared" si="13"/>
        <v>-8.2358040745556024E-3</v>
      </c>
      <c r="K230" s="42">
        <f t="shared" si="14"/>
        <v>1.6472529904321964E-3</v>
      </c>
      <c r="L230" s="42">
        <f t="shared" si="15"/>
        <v>-8.2699056740650444E-3</v>
      </c>
    </row>
    <row r="231" spans="1:12" x14ac:dyDescent="0.2">
      <c r="A231" s="25">
        <v>45568</v>
      </c>
      <c r="B231" s="10"/>
      <c r="C231" s="11">
        <v>83.98</v>
      </c>
      <c r="D231" s="11">
        <v>113.9</v>
      </c>
      <c r="E231" s="18"/>
      <c r="F231" s="21">
        <v>-9.0558311938676497E-3</v>
      </c>
      <c r="G231" s="18"/>
      <c r="H231" s="42">
        <f t="shared" si="12"/>
        <v>-1.2696919821302589E-2</v>
      </c>
      <c r="I231" s="43">
        <f t="shared" si="13"/>
        <v>-4.3706293706293701E-3</v>
      </c>
      <c r="K231" s="42">
        <f t="shared" si="14"/>
        <v>-1.277821456944026E-2</v>
      </c>
      <c r="L231" s="42">
        <f t="shared" si="15"/>
        <v>-4.3802084925610735E-3</v>
      </c>
    </row>
    <row r="232" spans="1:12" x14ac:dyDescent="0.2">
      <c r="A232" s="25">
        <v>45569</v>
      </c>
      <c r="B232" s="10"/>
      <c r="C232" s="11">
        <v>83.72</v>
      </c>
      <c r="D232" s="11">
        <v>114.85</v>
      </c>
      <c r="E232" s="18"/>
      <c r="F232" s="21">
        <v>-1.26737215603933E-3</v>
      </c>
      <c r="G232" s="18"/>
      <c r="H232" s="42">
        <f t="shared" si="12"/>
        <v>-3.0959752321982033E-3</v>
      </c>
      <c r="I232" s="43">
        <f t="shared" si="13"/>
        <v>8.3406496927128058E-3</v>
      </c>
      <c r="K232" s="42">
        <f t="shared" si="14"/>
        <v>-3.1007776782482708E-3</v>
      </c>
      <c r="L232" s="42">
        <f t="shared" si="15"/>
        <v>8.3060586819706499E-3</v>
      </c>
    </row>
    <row r="233" spans="1:12" x14ac:dyDescent="0.2">
      <c r="A233" s="25">
        <v>45572</v>
      </c>
      <c r="B233" s="10"/>
      <c r="C233" s="11">
        <v>83.62</v>
      </c>
      <c r="D233" s="11">
        <v>110.3</v>
      </c>
      <c r="E233" s="18"/>
      <c r="F233" s="21">
        <v>9.6779419127135293E-4</v>
      </c>
      <c r="G233" s="18"/>
      <c r="H233" s="42">
        <f t="shared" si="12"/>
        <v>-1.1944577161967786E-3</v>
      </c>
      <c r="I233" s="43">
        <f t="shared" si="13"/>
        <v>-3.9616891597736154E-2</v>
      </c>
      <c r="K233" s="42">
        <f t="shared" si="14"/>
        <v>-1.1951716493799323E-3</v>
      </c>
      <c r="L233" s="42">
        <f t="shared" si="15"/>
        <v>-4.0423002875650475E-2</v>
      </c>
    </row>
    <row r="234" spans="1:12" x14ac:dyDescent="0.2">
      <c r="A234" s="25">
        <v>45573</v>
      </c>
      <c r="B234" s="10"/>
      <c r="C234" s="11">
        <v>83.34</v>
      </c>
      <c r="D234" s="11">
        <v>110.45</v>
      </c>
      <c r="E234" s="18"/>
      <c r="F234" s="21">
        <v>1.90100833328932E-4</v>
      </c>
      <c r="G234" s="18"/>
      <c r="H234" s="42">
        <f t="shared" si="12"/>
        <v>-3.3484812245874328E-3</v>
      </c>
      <c r="I234" s="43">
        <f t="shared" si="13"/>
        <v>1.3599274705349564E-3</v>
      </c>
      <c r="K234" s="42">
        <f t="shared" si="14"/>
        <v>-3.3540999341115552E-3</v>
      </c>
      <c r="L234" s="42">
        <f t="shared" si="15"/>
        <v>1.3590036066694162E-3</v>
      </c>
    </row>
    <row r="235" spans="1:12" x14ac:dyDescent="0.2">
      <c r="A235" s="25">
        <v>45574</v>
      </c>
      <c r="B235" s="10"/>
      <c r="C235" s="11">
        <v>83.96</v>
      </c>
      <c r="D235" s="11">
        <v>112.55</v>
      </c>
      <c r="E235" s="18"/>
      <c r="F235" s="21">
        <v>9.3203726559314398E-3</v>
      </c>
      <c r="G235" s="18"/>
      <c r="H235" s="42">
        <f t="shared" si="12"/>
        <v>7.4394048476120744E-3</v>
      </c>
      <c r="I235" s="43">
        <f t="shared" si="13"/>
        <v>1.9013128112267942E-2</v>
      </c>
      <c r="K235" s="42">
        <f t="shared" si="14"/>
        <v>7.4118689581247248E-3</v>
      </c>
      <c r="L235" s="42">
        <f t="shared" si="15"/>
        <v>1.883463748661493E-2</v>
      </c>
    </row>
    <row r="236" spans="1:12" x14ac:dyDescent="0.2">
      <c r="A236" s="25">
        <v>45575</v>
      </c>
      <c r="B236" s="10"/>
      <c r="C236" s="11">
        <v>83.8</v>
      </c>
      <c r="D236" s="11">
        <v>115.65</v>
      </c>
      <c r="E236" s="18"/>
      <c r="F236" s="21">
        <v>-3.72650206788061E-3</v>
      </c>
      <c r="G236" s="18"/>
      <c r="H236" s="42">
        <f t="shared" si="12"/>
        <v>-1.9056693663648953E-3</v>
      </c>
      <c r="I236" s="43">
        <f t="shared" si="13"/>
        <v>2.754331408263002E-2</v>
      </c>
      <c r="K236" s="42">
        <f t="shared" si="14"/>
        <v>-1.9074874643948839E-3</v>
      </c>
      <c r="L236" s="42">
        <f t="shared" si="15"/>
        <v>2.7170821324706995E-2</v>
      </c>
    </row>
    <row r="237" spans="1:12" x14ac:dyDescent="0.2">
      <c r="A237" s="25">
        <v>45576</v>
      </c>
      <c r="B237" s="10"/>
      <c r="C237" s="11">
        <v>84</v>
      </c>
      <c r="D237" s="11">
        <v>116.45</v>
      </c>
      <c r="E237" s="18"/>
      <c r="F237" s="21">
        <v>6.3287426513363096E-3</v>
      </c>
      <c r="G237" s="18"/>
      <c r="H237" s="42">
        <f t="shared" si="12"/>
        <v>2.386634844868769E-3</v>
      </c>
      <c r="I237" s="43">
        <f t="shared" si="13"/>
        <v>6.9174232598356866E-3</v>
      </c>
      <c r="K237" s="42">
        <f t="shared" si="14"/>
        <v>2.3837913552761975E-3</v>
      </c>
      <c r="L237" s="42">
        <f t="shared" si="15"/>
        <v>6.8936076529017903E-3</v>
      </c>
    </row>
    <row r="238" spans="1:12" x14ac:dyDescent="0.2">
      <c r="A238" s="25">
        <v>45579</v>
      </c>
      <c r="B238" s="10"/>
      <c r="C238" s="11">
        <v>84.32</v>
      </c>
      <c r="D238" s="11">
        <v>118.15</v>
      </c>
      <c r="E238" s="18"/>
      <c r="F238" s="21">
        <v>8.6415353803432904E-3</v>
      </c>
      <c r="G238" s="18"/>
      <c r="H238" s="42">
        <f t="shared" si="12"/>
        <v>3.8095238095237284E-3</v>
      </c>
      <c r="I238" s="43">
        <f t="shared" si="13"/>
        <v>1.4598540145985425E-2</v>
      </c>
      <c r="K238" s="42">
        <f t="shared" si="14"/>
        <v>3.8022859497384787E-3</v>
      </c>
      <c r="L238" s="42">
        <f t="shared" si="15"/>
        <v>1.4493007302566824E-2</v>
      </c>
    </row>
    <row r="239" spans="1:12" x14ac:dyDescent="0.2">
      <c r="A239" s="25">
        <v>45580</v>
      </c>
      <c r="B239" s="10"/>
      <c r="C239" s="11">
        <v>83.88</v>
      </c>
      <c r="D239" s="11">
        <v>117.3</v>
      </c>
      <c r="E239" s="18"/>
      <c r="F239" s="21">
        <v>-3.2932594387112802E-3</v>
      </c>
      <c r="G239" s="18"/>
      <c r="H239" s="42">
        <f t="shared" si="12"/>
        <v>-5.2182163187855521E-3</v>
      </c>
      <c r="I239" s="43">
        <f t="shared" si="13"/>
        <v>-7.1942446043166183E-3</v>
      </c>
      <c r="K239" s="42">
        <f t="shared" si="14"/>
        <v>-5.231878759333025E-3</v>
      </c>
      <c r="L239" s="42">
        <f t="shared" si="15"/>
        <v>-7.220247973487132E-3</v>
      </c>
    </row>
    <row r="240" spans="1:12" x14ac:dyDescent="0.2">
      <c r="A240" s="25">
        <v>45581</v>
      </c>
      <c r="B240" s="10"/>
      <c r="C240" s="11">
        <v>83.88</v>
      </c>
      <c r="D240" s="11">
        <v>116.9</v>
      </c>
      <c r="E240" s="18"/>
      <c r="F240" s="21">
        <v>-2.10987389163797E-3</v>
      </c>
      <c r="G240" s="18"/>
      <c r="H240" s="42">
        <f t="shared" si="12"/>
        <v>0</v>
      </c>
      <c r="I240" s="43">
        <f t="shared" si="13"/>
        <v>-3.4100596760442583E-3</v>
      </c>
      <c r="K240" s="42">
        <f t="shared" si="14"/>
        <v>0</v>
      </c>
      <c r="L240" s="42">
        <f t="shared" si="15"/>
        <v>-3.4158871814069605E-3</v>
      </c>
    </row>
    <row r="241" spans="1:12" x14ac:dyDescent="0.2">
      <c r="A241" s="25">
        <v>45582</v>
      </c>
      <c r="B241" s="10"/>
      <c r="C241" s="11">
        <v>86</v>
      </c>
      <c r="D241" s="11">
        <v>116.65</v>
      </c>
      <c r="E241" s="18"/>
      <c r="F241" s="21">
        <v>9.1199621640769505E-3</v>
      </c>
      <c r="G241" s="18"/>
      <c r="H241" s="42">
        <f t="shared" si="12"/>
        <v>2.5274201239866532E-2</v>
      </c>
      <c r="I241" s="43">
        <f t="shared" si="13"/>
        <v>-2.1385799828913601E-3</v>
      </c>
      <c r="K241" s="42">
        <f t="shared" si="14"/>
        <v>2.4960090219788622E-2</v>
      </c>
      <c r="L241" s="42">
        <f t="shared" si="15"/>
        <v>-2.1408700105837461E-3</v>
      </c>
    </row>
    <row r="242" spans="1:12" x14ac:dyDescent="0.2">
      <c r="A242" s="25">
        <v>45583</v>
      </c>
      <c r="B242" s="10"/>
      <c r="C242" s="11">
        <v>85.98</v>
      </c>
      <c r="D242" s="11">
        <v>116.8</v>
      </c>
      <c r="E242" s="18"/>
      <c r="F242" s="21">
        <v>1.8279953454882699E-3</v>
      </c>
      <c r="G242" s="18"/>
      <c r="H242" s="42">
        <f t="shared" si="12"/>
        <v>-2.3255813953483747E-4</v>
      </c>
      <c r="I242" s="43">
        <f t="shared" si="13"/>
        <v>1.2858979854264163E-3</v>
      </c>
      <c r="K242" s="42">
        <f t="shared" si="14"/>
        <v>-2.3258518537218827E-4</v>
      </c>
      <c r="L242" s="42">
        <f t="shared" si="15"/>
        <v>1.2850719266876609E-3</v>
      </c>
    </row>
    <row r="243" spans="1:12" x14ac:dyDescent="0.2">
      <c r="A243" s="25">
        <v>45586</v>
      </c>
      <c r="B243" s="10"/>
      <c r="C243" s="11">
        <v>86.36</v>
      </c>
      <c r="D243" s="11">
        <v>114.65</v>
      </c>
      <c r="E243" s="18"/>
      <c r="F243" s="21">
        <v>-5.2646758361997101E-3</v>
      </c>
      <c r="G243" s="18"/>
      <c r="H243" s="42">
        <f t="shared" si="12"/>
        <v>4.4196324726680095E-3</v>
      </c>
      <c r="I243" s="43">
        <f t="shared" si="13"/>
        <v>-1.840753424657527E-2</v>
      </c>
      <c r="K243" s="42">
        <f t="shared" si="14"/>
        <v>4.4098945784710264E-3</v>
      </c>
      <c r="L243" s="42">
        <f t="shared" si="15"/>
        <v>-1.8579061090213154E-2</v>
      </c>
    </row>
    <row r="244" spans="1:12" x14ac:dyDescent="0.2">
      <c r="A244" s="25">
        <v>45587</v>
      </c>
      <c r="B244" s="10"/>
      <c r="C244" s="11">
        <v>85.52</v>
      </c>
      <c r="D244" s="11">
        <v>112.65</v>
      </c>
      <c r="E244" s="18"/>
      <c r="F244" s="21">
        <v>-8.0365130480537506E-3</v>
      </c>
      <c r="G244" s="18"/>
      <c r="H244" s="42">
        <f t="shared" si="12"/>
        <v>-9.7267253358036525E-3</v>
      </c>
      <c r="I244" s="43">
        <f t="shared" si="13"/>
        <v>-1.7444395987788922E-2</v>
      </c>
      <c r="K244" s="42">
        <f t="shared" si="14"/>
        <v>-9.7743389298168611E-3</v>
      </c>
      <c r="L244" s="42">
        <f t="shared" si="15"/>
        <v>-1.7598342425659989E-2</v>
      </c>
    </row>
    <row r="245" spans="1:12" x14ac:dyDescent="0.2">
      <c r="A245" s="25">
        <v>45588</v>
      </c>
      <c r="B245" s="10"/>
      <c r="C245" s="11">
        <v>85.38</v>
      </c>
      <c r="D245" s="11">
        <v>111.85</v>
      </c>
      <c r="E245" s="18"/>
      <c r="F245" s="21">
        <v>-1.3338302123735398E-3</v>
      </c>
      <c r="G245" s="18"/>
      <c r="H245" s="42">
        <f t="shared" si="12"/>
        <v>-1.6370439663236738E-3</v>
      </c>
      <c r="I245" s="43">
        <f t="shared" si="13"/>
        <v>-7.1016422547715164E-3</v>
      </c>
      <c r="K245" s="42">
        <f t="shared" si="14"/>
        <v>-1.6383853869738093E-3</v>
      </c>
      <c r="L245" s="42">
        <f t="shared" si="15"/>
        <v>-7.126978942114913E-3</v>
      </c>
    </row>
    <row r="246" spans="1:12" x14ac:dyDescent="0.2">
      <c r="A246" s="25">
        <v>45589</v>
      </c>
      <c r="B246" s="10"/>
      <c r="C246" s="11">
        <v>84.82</v>
      </c>
      <c r="D246" s="11">
        <v>112.25</v>
      </c>
      <c r="E246" s="18"/>
      <c r="F246" s="21">
        <v>2.1350853265409402E-3</v>
      </c>
      <c r="G246" s="18"/>
      <c r="H246" s="42">
        <f t="shared" si="12"/>
        <v>-6.5589130944015261E-3</v>
      </c>
      <c r="I246" s="43">
        <f t="shared" si="13"/>
        <v>3.5762181493071586E-3</v>
      </c>
      <c r="K246" s="42">
        <f t="shared" si="14"/>
        <v>-6.5805172833713343E-3</v>
      </c>
      <c r="L246" s="42">
        <f t="shared" si="15"/>
        <v>3.5698386862250387E-3</v>
      </c>
    </row>
    <row r="247" spans="1:12" x14ac:dyDescent="0.2">
      <c r="A247" s="25">
        <v>45590</v>
      </c>
      <c r="B247" s="10"/>
      <c r="C247" s="11">
        <v>84.54</v>
      </c>
      <c r="D247" s="11">
        <v>111.75</v>
      </c>
      <c r="E247" s="18"/>
      <c r="F247" s="21">
        <v>9.0028897572191902E-4</v>
      </c>
      <c r="G247" s="18"/>
      <c r="H247" s="42">
        <f t="shared" si="12"/>
        <v>-3.3011082291910746E-3</v>
      </c>
      <c r="I247" s="43">
        <f t="shared" si="13"/>
        <v>-4.4543429844097994E-3</v>
      </c>
      <c r="K247" s="42">
        <f t="shared" si="14"/>
        <v>-3.3065689078006278E-3</v>
      </c>
      <c r="L247" s="42">
        <f t="shared" si="15"/>
        <v>-4.4642931286854931E-3</v>
      </c>
    </row>
    <row r="248" spans="1:12" x14ac:dyDescent="0.2">
      <c r="A248" s="25">
        <v>45593</v>
      </c>
      <c r="B248" s="10"/>
      <c r="C248" s="11">
        <v>84.4</v>
      </c>
      <c r="D248" s="11">
        <v>112.8</v>
      </c>
      <c r="E248" s="18"/>
      <c r="F248" s="21">
        <v>4.4298203272488098E-3</v>
      </c>
      <c r="G248" s="18"/>
      <c r="H248" s="42">
        <f t="shared" si="12"/>
        <v>-1.6560208185474397E-3</v>
      </c>
      <c r="I248" s="43">
        <f t="shared" si="13"/>
        <v>9.3959731543623911E-3</v>
      </c>
      <c r="K248" s="42">
        <f t="shared" si="14"/>
        <v>-1.6573935367324183E-3</v>
      </c>
      <c r="L248" s="42">
        <f t="shared" si="15"/>
        <v>9.3521055702803623E-3</v>
      </c>
    </row>
    <row r="249" spans="1:12" x14ac:dyDescent="0.2">
      <c r="A249" s="25">
        <v>45594</v>
      </c>
      <c r="B249" s="10"/>
      <c r="C249" s="11">
        <v>83.06</v>
      </c>
      <c r="D249" s="11">
        <v>112.4</v>
      </c>
      <c r="E249" s="18"/>
      <c r="F249" s="21">
        <v>-1.1227616681883199E-2</v>
      </c>
      <c r="G249" s="18"/>
      <c r="H249" s="42">
        <f t="shared" si="12"/>
        <v>-1.5876777251184873E-2</v>
      </c>
      <c r="I249" s="43">
        <f t="shared" si="13"/>
        <v>-3.5460992907800663E-3</v>
      </c>
      <c r="K249" s="42">
        <f t="shared" si="14"/>
        <v>-1.6004163399303977E-2</v>
      </c>
      <c r="L249" s="42">
        <f t="shared" si="15"/>
        <v>-3.5524016043677721E-3</v>
      </c>
    </row>
    <row r="250" spans="1:12" x14ac:dyDescent="0.2">
      <c r="A250" s="25">
        <v>45595</v>
      </c>
      <c r="B250" s="10"/>
      <c r="C250" s="11">
        <v>82.42</v>
      </c>
      <c r="D250" s="11">
        <v>111.7</v>
      </c>
      <c r="E250" s="18"/>
      <c r="F250" s="21">
        <v>-1.0980479790981299E-2</v>
      </c>
      <c r="G250" s="18"/>
      <c r="H250" s="42">
        <f t="shared" si="12"/>
        <v>-7.7052732964122388E-3</v>
      </c>
      <c r="I250" s="43">
        <f t="shared" si="13"/>
        <v>-6.2277580071174628E-3</v>
      </c>
      <c r="K250" s="42">
        <f t="shared" si="14"/>
        <v>-7.7351122919361972E-3</v>
      </c>
      <c r="L250" s="42">
        <f t="shared" si="15"/>
        <v>-6.2472313844357391E-3</v>
      </c>
    </row>
    <row r="251" spans="1:12" x14ac:dyDescent="0.2">
      <c r="A251" s="25">
        <v>45596</v>
      </c>
      <c r="B251" s="10"/>
      <c r="C251" s="11">
        <v>81.58</v>
      </c>
      <c r="D251" s="11">
        <v>110.65</v>
      </c>
      <c r="E251" s="18"/>
      <c r="F251" s="21">
        <v>-1.4604024198148101E-2</v>
      </c>
      <c r="G251" s="18"/>
      <c r="H251" s="42">
        <f t="shared" si="12"/>
        <v>-1.0191701043436101E-2</v>
      </c>
      <c r="I251" s="43">
        <f t="shared" si="13"/>
        <v>-9.4001790510295172E-3</v>
      </c>
      <c r="K251" s="42">
        <f t="shared" si="14"/>
        <v>-1.0243992021258979E-2</v>
      </c>
      <c r="L251" s="42">
        <f t="shared" si="15"/>
        <v>-9.4446395780963394E-3</v>
      </c>
    </row>
    <row r="252" spans="1:12" x14ac:dyDescent="0.2">
      <c r="A252" s="25">
        <v>45597</v>
      </c>
      <c r="B252" s="10"/>
      <c r="C252" s="11">
        <v>82.72</v>
      </c>
      <c r="D252" s="11">
        <v>111.9</v>
      </c>
      <c r="E252" s="18"/>
      <c r="F252" s="21">
        <v>1.47783433441555E-2</v>
      </c>
      <c r="G252" s="18"/>
      <c r="H252" s="42">
        <f t="shared" si="12"/>
        <v>1.3974013238538864E-2</v>
      </c>
      <c r="I252" s="43">
        <f t="shared" si="13"/>
        <v>1.1296882060551287E-2</v>
      </c>
      <c r="K252" s="42">
        <f t="shared" si="14"/>
        <v>1.3877276870706612E-2</v>
      </c>
      <c r="L252" s="42">
        <f t="shared" si="15"/>
        <v>1.1233548820820836E-2</v>
      </c>
    </row>
    <row r="253" spans="1:12" x14ac:dyDescent="0.2">
      <c r="A253" s="25">
        <v>45600</v>
      </c>
      <c r="B253" s="10"/>
      <c r="C253" s="11">
        <v>81.78</v>
      </c>
      <c r="D253" s="11">
        <v>110.35</v>
      </c>
      <c r="E253" s="18"/>
      <c r="F253" s="21">
        <v>-5.8707153984668406E-3</v>
      </c>
      <c r="G253" s="18"/>
      <c r="H253" s="42">
        <f t="shared" si="12"/>
        <v>-1.1363636363636336E-2</v>
      </c>
      <c r="I253" s="43">
        <f t="shared" si="13"/>
        <v>-1.385165326184103E-2</v>
      </c>
      <c r="K253" s="42">
        <f t="shared" si="14"/>
        <v>-1.1428695823622744E-2</v>
      </c>
      <c r="L253" s="42">
        <f t="shared" si="15"/>
        <v>-1.3948482615134226E-2</v>
      </c>
    </row>
    <row r="254" spans="1:12" x14ac:dyDescent="0.2">
      <c r="A254" s="25">
        <v>45601</v>
      </c>
      <c r="B254" s="10"/>
      <c r="C254" s="11">
        <v>80.819999999999993</v>
      </c>
      <c r="D254" s="11">
        <v>112.1</v>
      </c>
      <c r="E254" s="18"/>
      <c r="F254" s="21">
        <v>-2.6002362491238601E-3</v>
      </c>
      <c r="G254" s="18"/>
      <c r="H254" s="42">
        <f t="shared" si="12"/>
        <v>-1.1738811445341257E-2</v>
      </c>
      <c r="I254" s="43">
        <f t="shared" si="13"/>
        <v>1.5858631626642503E-2</v>
      </c>
      <c r="K254" s="42">
        <f t="shared" si="14"/>
        <v>-1.180825528616875E-2</v>
      </c>
      <c r="L254" s="42">
        <f t="shared" si="15"/>
        <v>1.573419737536879E-2</v>
      </c>
    </row>
    <row r="255" spans="1:12" x14ac:dyDescent="0.2">
      <c r="A255" s="25">
        <v>45602</v>
      </c>
      <c r="B255" s="10"/>
      <c r="C255" s="11">
        <v>79.36</v>
      </c>
      <c r="D255" s="11">
        <v>111.85</v>
      </c>
      <c r="E255" s="18"/>
      <c r="F255" s="21">
        <v>-1.5775714466113001E-3</v>
      </c>
      <c r="G255" s="18"/>
      <c r="H255" s="42">
        <f t="shared" si="12"/>
        <v>-1.8064835436773001E-2</v>
      </c>
      <c r="I255" s="43">
        <f t="shared" si="13"/>
        <v>-2.2301516503122213E-3</v>
      </c>
      <c r="K255" s="42">
        <f t="shared" si="14"/>
        <v>-1.8229996673710138E-2</v>
      </c>
      <c r="L255" s="42">
        <f t="shared" si="15"/>
        <v>-2.232642141975653E-3</v>
      </c>
    </row>
    <row r="256" spans="1:12" x14ac:dyDescent="0.2">
      <c r="A256" s="25">
        <v>45603</v>
      </c>
      <c r="B256" s="10"/>
      <c r="C256" s="11">
        <v>79.459999999999994</v>
      </c>
      <c r="D256" s="11">
        <v>119.95</v>
      </c>
      <c r="E256" s="18"/>
      <c r="F256" s="21">
        <v>5.8838781984549204E-3</v>
      </c>
      <c r="G256" s="18"/>
      <c r="H256" s="42">
        <f t="shared" si="12"/>
        <v>1.2600806451612187E-3</v>
      </c>
      <c r="I256" s="43">
        <f t="shared" si="13"/>
        <v>7.2418417523469017E-2</v>
      </c>
      <c r="K256" s="42">
        <f t="shared" si="14"/>
        <v>1.259287409835495E-3</v>
      </c>
      <c r="L256" s="42">
        <f t="shared" si="15"/>
        <v>6.991630134956503E-2</v>
      </c>
    </row>
    <row r="257" spans="1:12" x14ac:dyDescent="0.2">
      <c r="A257" s="25">
        <v>45604</v>
      </c>
      <c r="B257" s="10"/>
      <c r="C257" s="11">
        <v>78.98</v>
      </c>
      <c r="D257" s="11">
        <v>118.35</v>
      </c>
      <c r="E257" s="18"/>
      <c r="F257" s="21">
        <v>-1.0009315525083501E-2</v>
      </c>
      <c r="G257" s="18"/>
      <c r="H257" s="42">
        <f t="shared" si="12"/>
        <v>-6.0407752328214175E-3</v>
      </c>
      <c r="I257" s="43">
        <f t="shared" si="13"/>
        <v>-1.3338891204668683E-2</v>
      </c>
      <c r="K257" s="42">
        <f t="shared" si="14"/>
        <v>-6.0590945279494065E-3</v>
      </c>
      <c r="L257" s="42">
        <f t="shared" si="15"/>
        <v>-1.3428653325710719E-2</v>
      </c>
    </row>
    <row r="258" spans="1:12" x14ac:dyDescent="0.2">
      <c r="A258" s="25">
        <v>45607</v>
      </c>
      <c r="B258" s="10"/>
      <c r="C258" s="11">
        <v>79.02</v>
      </c>
      <c r="D258" s="11">
        <v>122.55</v>
      </c>
      <c r="E258" s="18"/>
      <c r="F258" s="21">
        <v>8.9066275493618896E-3</v>
      </c>
      <c r="G258" s="18"/>
      <c r="H258" s="42">
        <f t="shared" si="12"/>
        <v>5.0645733096976503E-4</v>
      </c>
      <c r="I258" s="43">
        <f t="shared" si="13"/>
        <v>3.5487959442332094E-2</v>
      </c>
      <c r="K258" s="42">
        <f t="shared" si="14"/>
        <v>5.0632912474110625E-4</v>
      </c>
      <c r="L258" s="42">
        <f t="shared" si="15"/>
        <v>3.4872774014128645E-2</v>
      </c>
    </row>
    <row r="259" spans="1:12" x14ac:dyDescent="0.2">
      <c r="A259" s="25">
        <v>45608</v>
      </c>
      <c r="C259" s="11">
        <v>78</v>
      </c>
      <c r="D259" s="11">
        <v>120.45</v>
      </c>
      <c r="F259" s="21">
        <v>-1.60214625377187E-2</v>
      </c>
      <c r="G259" s="18"/>
      <c r="H259" s="42">
        <f t="shared" si="12"/>
        <v>-1.2908124525436548E-2</v>
      </c>
      <c r="I259" s="43">
        <f t="shared" si="13"/>
        <v>-1.7135862913096649E-2</v>
      </c>
      <c r="K259" s="42">
        <f t="shared" si="14"/>
        <v>-1.2992158293652887E-2</v>
      </c>
      <c r="L259" s="42">
        <f t="shared" si="15"/>
        <v>-1.7284380913241169E-2</v>
      </c>
    </row>
    <row r="260" spans="1:12" x14ac:dyDescent="0.2">
      <c r="A260" s="25">
        <v>45609</v>
      </c>
      <c r="C260" s="11">
        <v>77.72</v>
      </c>
      <c r="D260" s="11">
        <v>120.55</v>
      </c>
      <c r="F260" s="21">
        <v>-7.0688131539276E-4</v>
      </c>
      <c r="G260" s="18"/>
      <c r="H260" s="42">
        <f t="shared" si="12"/>
        <v>-3.5897435897436045E-3</v>
      </c>
      <c r="I260" s="43">
        <f t="shared" si="13"/>
        <v>8.3022000830215291E-4</v>
      </c>
      <c r="K260" s="42">
        <f t="shared" si="14"/>
        <v>-3.5962021803524311E-3</v>
      </c>
      <c r="L260" s="42">
        <f t="shared" si="15"/>
        <v>8.2987556629961451E-4</v>
      </c>
    </row>
    <row r="261" spans="1:12" x14ac:dyDescent="0.2">
      <c r="A261" s="25">
        <v>45610</v>
      </c>
      <c r="C261" s="11">
        <v>78.739999999999995</v>
      </c>
      <c r="D261" s="11">
        <v>121.2</v>
      </c>
      <c r="F261" s="21">
        <v>6.8211880508746107E-3</v>
      </c>
      <c r="G261" s="18"/>
      <c r="H261" s="42">
        <f t="shared" si="12"/>
        <v>1.3124034997426608E-2</v>
      </c>
      <c r="I261" s="43">
        <f t="shared" si="13"/>
        <v>5.3919535462464184E-3</v>
      </c>
      <c r="K261" s="42">
        <f t="shared" si="14"/>
        <v>1.3038661006352112E-2</v>
      </c>
      <c r="L261" s="42">
        <f t="shared" si="15"/>
        <v>5.3774690080339808E-3</v>
      </c>
    </row>
    <row r="262" spans="1:12" x14ac:dyDescent="0.2">
      <c r="A262" s="25">
        <v>45611</v>
      </c>
      <c r="C262" s="11">
        <v>77.52</v>
      </c>
      <c r="D262" s="11">
        <v>122.35</v>
      </c>
      <c r="F262" s="21">
        <v>-1.3290044989185099E-2</v>
      </c>
      <c r="G262" s="18"/>
      <c r="H262" s="42">
        <f t="shared" si="12"/>
        <v>-1.5494030988061963E-2</v>
      </c>
      <c r="I262" s="43">
        <f t="shared" si="13"/>
        <v>9.4884488448844177E-3</v>
      </c>
      <c r="K262" s="42">
        <f t="shared" si="14"/>
        <v>-1.5615317933080707E-2</v>
      </c>
      <c r="L262" s="42">
        <f t="shared" si="15"/>
        <v>9.4437162534664176E-3</v>
      </c>
    </row>
    <row r="263" spans="1:12" x14ac:dyDescent="0.2">
      <c r="A263" s="25">
        <v>45614</v>
      </c>
      <c r="C263" s="11">
        <v>78.180000000000007</v>
      </c>
      <c r="D263" s="11">
        <v>125</v>
      </c>
      <c r="F263" s="21">
        <v>1.0798336158706001E-3</v>
      </c>
      <c r="G263" s="18"/>
      <c r="H263" s="42">
        <f t="shared" si="12"/>
        <v>8.5139318885450316E-3</v>
      </c>
      <c r="I263" s="43">
        <f t="shared" si="13"/>
        <v>2.1659174499387052E-2</v>
      </c>
      <c r="K263" s="42">
        <f t="shared" si="14"/>
        <v>8.477892782298057E-3</v>
      </c>
      <c r="L263" s="42">
        <f t="shared" si="15"/>
        <v>2.1427947413620484E-2</v>
      </c>
    </row>
    <row r="264" spans="1:12" x14ac:dyDescent="0.2">
      <c r="A264" s="25">
        <v>45615</v>
      </c>
      <c r="C264" s="11">
        <v>76.66</v>
      </c>
      <c r="D264" s="11">
        <v>125.25</v>
      </c>
      <c r="F264" s="21">
        <v>-8.4340895641313793E-3</v>
      </c>
      <c r="G264" s="18"/>
      <c r="H264" s="42">
        <f t="shared" si="12"/>
        <v>-1.9442312611921336E-2</v>
      </c>
      <c r="I264" s="43">
        <f t="shared" si="13"/>
        <v>2E-3</v>
      </c>
      <c r="K264" s="42">
        <f t="shared" si="14"/>
        <v>-1.9633800412399822E-2</v>
      </c>
      <c r="L264" s="42">
        <f t="shared" si="15"/>
        <v>1.9980026626730579E-3</v>
      </c>
    </row>
    <row r="265" spans="1:12" x14ac:dyDescent="0.2">
      <c r="A265" s="25">
        <v>45616</v>
      </c>
      <c r="C265" s="11">
        <v>76.52</v>
      </c>
      <c r="D265" s="11">
        <v>125.95</v>
      </c>
      <c r="F265" s="21">
        <v>-1.5521482576985599E-4</v>
      </c>
      <c r="G265" s="18"/>
      <c r="H265" s="42">
        <f t="shared" ref="H265:H328" si="16">(C265-C264)/C264</f>
        <v>-1.8262457605009207E-3</v>
      </c>
      <c r="I265" s="43">
        <f t="shared" ref="I265:I328" si="17">(D265-D264)/D264</f>
        <v>5.5888223552894439E-3</v>
      </c>
      <c r="K265" s="42">
        <f t="shared" ref="K265:K328" si="18">LN(C265/C264)</f>
        <v>-1.827915380356935E-3</v>
      </c>
      <c r="L265" s="42">
        <f t="shared" ref="L265:L328" si="19">LN(D265/D264)</f>
        <v>5.5732628336449454E-3</v>
      </c>
    </row>
    <row r="266" spans="1:12" x14ac:dyDescent="0.2">
      <c r="A266" s="25">
        <v>45617</v>
      </c>
      <c r="C266" s="11">
        <v>75.959999999999994</v>
      </c>
      <c r="D266" s="11">
        <v>127.2</v>
      </c>
      <c r="F266" s="21">
        <v>4.5023900450493698E-3</v>
      </c>
      <c r="G266" s="18"/>
      <c r="H266" s="42">
        <f t="shared" si="16"/>
        <v>-7.3183481442760361E-3</v>
      </c>
      <c r="I266" s="43">
        <f t="shared" si="17"/>
        <v>9.9245732433505349E-3</v>
      </c>
      <c r="K266" s="42">
        <f t="shared" si="18"/>
        <v>-7.3452586279670008E-3</v>
      </c>
      <c r="L266" s="42">
        <f t="shared" si="19"/>
        <v>9.8756481074026431E-3</v>
      </c>
    </row>
    <row r="267" spans="1:12" x14ac:dyDescent="0.2">
      <c r="A267" s="25">
        <v>45618</v>
      </c>
      <c r="C267" s="11">
        <v>76</v>
      </c>
      <c r="D267" s="11">
        <v>128.30000000000001</v>
      </c>
      <c r="F267" s="21">
        <v>1.07755824921766E-2</v>
      </c>
      <c r="G267" s="18"/>
      <c r="H267" s="42">
        <f t="shared" si="16"/>
        <v>5.2659294365463738E-4</v>
      </c>
      <c r="I267" s="43">
        <f t="shared" si="17"/>
        <v>8.6477987421384322E-3</v>
      </c>
      <c r="K267" s="42">
        <f t="shared" si="18"/>
        <v>5.2645434224604128E-4</v>
      </c>
      <c r="L267" s="42">
        <f t="shared" si="19"/>
        <v>8.6106207155691103E-3</v>
      </c>
    </row>
    <row r="268" spans="1:12" x14ac:dyDescent="0.2">
      <c r="A268" s="25">
        <v>45621</v>
      </c>
      <c r="C268" s="11">
        <v>75.959999999999994</v>
      </c>
      <c r="D268" s="11">
        <v>129.35</v>
      </c>
      <c r="F268" s="21">
        <v>-3.2359056902647697E-3</v>
      </c>
      <c r="G268" s="18"/>
      <c r="H268" s="42">
        <f t="shared" si="16"/>
        <v>-5.2631578947376649E-4</v>
      </c>
      <c r="I268" s="43">
        <f t="shared" si="17"/>
        <v>8.1839438815275358E-3</v>
      </c>
      <c r="K268" s="42">
        <f t="shared" si="18"/>
        <v>-5.2645434224608443E-4</v>
      </c>
      <c r="L268" s="42">
        <f t="shared" si="19"/>
        <v>8.1506370104471593E-3</v>
      </c>
    </row>
    <row r="269" spans="1:12" x14ac:dyDescent="0.2">
      <c r="A269" s="25">
        <v>45622</v>
      </c>
      <c r="C269" s="11">
        <v>75.84</v>
      </c>
      <c r="D269" s="11">
        <v>128.80000000000001</v>
      </c>
      <c r="F269" s="21">
        <v>-3.9137242358066003E-3</v>
      </c>
      <c r="G269" s="18"/>
      <c r="H269" s="42">
        <f t="shared" si="16"/>
        <v>-1.579778830963538E-3</v>
      </c>
      <c r="I269" s="43">
        <f t="shared" si="17"/>
        <v>-4.2520293776573863E-3</v>
      </c>
      <c r="K269" s="42">
        <f t="shared" si="18"/>
        <v>-1.5810279973185958E-3</v>
      </c>
      <c r="L269" s="42">
        <f t="shared" si="19"/>
        <v>-4.2610949617847187E-3</v>
      </c>
    </row>
    <row r="270" spans="1:12" x14ac:dyDescent="0.2">
      <c r="A270" s="25">
        <v>45623</v>
      </c>
      <c r="C270" s="11">
        <v>76.36</v>
      </c>
      <c r="D270" s="11">
        <v>128.69999999999999</v>
      </c>
      <c r="F270" s="21">
        <v>9.5708532680904802E-4</v>
      </c>
      <c r="G270" s="18"/>
      <c r="H270" s="42">
        <f t="shared" si="16"/>
        <v>6.8565400843881331E-3</v>
      </c>
      <c r="I270" s="43">
        <f t="shared" si="17"/>
        <v>-7.7639751552812677E-4</v>
      </c>
      <c r="K270" s="42">
        <f t="shared" si="18"/>
        <v>6.83314091078039E-3</v>
      </c>
      <c r="L270" s="42">
        <f t="shared" si="19"/>
        <v>-7.7669906817247108E-4</v>
      </c>
    </row>
    <row r="271" spans="1:12" x14ac:dyDescent="0.2">
      <c r="A271" s="25">
        <v>45625</v>
      </c>
      <c r="C271" s="11">
        <v>76.48</v>
      </c>
      <c r="D271" s="11">
        <v>130.15</v>
      </c>
      <c r="F271" s="21">
        <v>1.0322079246098901E-2</v>
      </c>
      <c r="G271" s="18"/>
      <c r="H271" s="42">
        <f t="shared" si="16"/>
        <v>1.5715034049241035E-3</v>
      </c>
      <c r="I271" s="43">
        <f t="shared" si="17"/>
        <v>1.12665112665114E-2</v>
      </c>
      <c r="K271" s="42">
        <f t="shared" si="18"/>
        <v>1.5702698855991162E-3</v>
      </c>
      <c r="L271" s="42">
        <f t="shared" si="19"/>
        <v>1.1203516838493483E-2</v>
      </c>
    </row>
    <row r="272" spans="1:12" x14ac:dyDescent="0.2">
      <c r="A272" s="25">
        <v>45628</v>
      </c>
      <c r="C272" s="11">
        <v>76.599999999999994</v>
      </c>
      <c r="D272" s="11">
        <v>132.19999999999999</v>
      </c>
      <c r="F272" s="21">
        <v>5.5287520657341105E-3</v>
      </c>
      <c r="G272" s="18"/>
      <c r="H272" s="42">
        <f t="shared" si="16"/>
        <v>1.5690376569036392E-3</v>
      </c>
      <c r="I272" s="43">
        <f t="shared" si="17"/>
        <v>1.5751056473299906E-2</v>
      </c>
      <c r="K272" s="42">
        <f t="shared" si="18"/>
        <v>1.5678080033997527E-3</v>
      </c>
      <c r="L272" s="42">
        <f t="shared" si="19"/>
        <v>1.5628295977011378E-2</v>
      </c>
    </row>
    <row r="273" spans="1:12" x14ac:dyDescent="0.2">
      <c r="A273" s="25">
        <v>45629</v>
      </c>
      <c r="C273" s="11">
        <v>76.599999999999994</v>
      </c>
      <c r="D273" s="11">
        <v>132.25</v>
      </c>
      <c r="F273" s="21">
        <v>4.2917629244687496E-4</v>
      </c>
      <c r="G273" s="18"/>
      <c r="H273" s="42">
        <f t="shared" si="16"/>
        <v>0</v>
      </c>
      <c r="I273" s="43">
        <f t="shared" si="17"/>
        <v>3.7821482602126607E-4</v>
      </c>
      <c r="K273" s="42">
        <f t="shared" si="18"/>
        <v>0</v>
      </c>
      <c r="L273" s="42">
        <f t="shared" si="19"/>
        <v>3.7814332082285521E-4</v>
      </c>
    </row>
    <row r="274" spans="1:12" x14ac:dyDescent="0.2">
      <c r="A274" s="25">
        <v>45630</v>
      </c>
      <c r="C274" s="11">
        <v>76.36</v>
      </c>
      <c r="D274" s="11">
        <v>132.44999999999999</v>
      </c>
      <c r="F274" s="21">
        <v>-4.2852905166300597E-3</v>
      </c>
      <c r="G274" s="18"/>
      <c r="H274" s="42">
        <f t="shared" si="16"/>
        <v>-3.1331592689294373E-3</v>
      </c>
      <c r="I274" s="43">
        <f t="shared" si="17"/>
        <v>1.5122873345934868E-3</v>
      </c>
      <c r="K274" s="42">
        <f t="shared" si="18"/>
        <v>-3.1380778889986767E-3</v>
      </c>
      <c r="L274" s="42">
        <f t="shared" si="19"/>
        <v>1.5111449796697857E-3</v>
      </c>
    </row>
    <row r="275" spans="1:12" x14ac:dyDescent="0.2">
      <c r="A275" s="25">
        <v>45631</v>
      </c>
      <c r="C275" s="11">
        <v>75.959999999999994</v>
      </c>
      <c r="D275" s="11">
        <v>132.55000000000001</v>
      </c>
      <c r="F275" s="21">
        <v>6.0959177516650698E-4</v>
      </c>
      <c r="G275" s="18"/>
      <c r="H275" s="42">
        <f t="shared" si="16"/>
        <v>-5.2383446830802215E-3</v>
      </c>
      <c r="I275" s="43">
        <f t="shared" si="17"/>
        <v>7.5500188750489048E-4</v>
      </c>
      <c r="K275" s="42">
        <f t="shared" si="18"/>
        <v>-5.2521129134618545E-3</v>
      </c>
      <c r="L275" s="42">
        <f t="shared" si="19"/>
        <v>7.5471701695599598E-4</v>
      </c>
    </row>
    <row r="276" spans="1:12" x14ac:dyDescent="0.2">
      <c r="A276" s="25">
        <v>45632</v>
      </c>
      <c r="C276" s="11">
        <v>75.760000000000005</v>
      </c>
      <c r="D276" s="11">
        <v>131.30000000000001</v>
      </c>
      <c r="F276" s="21">
        <v>-8.5978770891315104E-4</v>
      </c>
      <c r="G276" s="18"/>
      <c r="H276" s="42">
        <f t="shared" si="16"/>
        <v>-2.6329647182726256E-3</v>
      </c>
      <c r="I276" s="43">
        <f t="shared" si="17"/>
        <v>-9.4304036212749902E-3</v>
      </c>
      <c r="K276" s="42">
        <f t="shared" si="18"/>
        <v>-2.6364370662622289E-3</v>
      </c>
      <c r="L276" s="42">
        <f t="shared" si="19"/>
        <v>-9.4751514262840595E-3</v>
      </c>
    </row>
    <row r="277" spans="1:12" x14ac:dyDescent="0.2">
      <c r="A277" s="25">
        <v>45635</v>
      </c>
      <c r="C277" s="11">
        <v>75.599999999999994</v>
      </c>
      <c r="D277" s="11">
        <v>130.94999999999999</v>
      </c>
      <c r="F277" s="21">
        <v>-1.60728754477723E-3</v>
      </c>
      <c r="G277" s="18"/>
      <c r="H277" s="42">
        <f t="shared" si="16"/>
        <v>-2.1119324181627613E-3</v>
      </c>
      <c r="I277" s="43">
        <f t="shared" si="17"/>
        <v>-2.6656511805028386E-3</v>
      </c>
      <c r="K277" s="42">
        <f t="shared" si="18"/>
        <v>-2.1141656923356366E-3</v>
      </c>
      <c r="L277" s="42">
        <f t="shared" si="19"/>
        <v>-2.6692103550298163E-3</v>
      </c>
    </row>
    <row r="278" spans="1:12" x14ac:dyDescent="0.2">
      <c r="A278" s="25">
        <v>45636</v>
      </c>
      <c r="C278" s="11">
        <v>74.459999999999994</v>
      </c>
      <c r="D278" s="11">
        <v>129.05000000000001</v>
      </c>
      <c r="F278" s="21">
        <v>-1.01455490795346E-2</v>
      </c>
      <c r="G278" s="18"/>
      <c r="H278" s="42">
        <f t="shared" si="16"/>
        <v>-1.5079365079365088E-2</v>
      </c>
      <c r="I278" s="43">
        <f t="shared" si="17"/>
        <v>-1.450935471554011E-2</v>
      </c>
      <c r="K278" s="42">
        <f t="shared" si="18"/>
        <v>-1.5194214740916531E-2</v>
      </c>
      <c r="L278" s="42">
        <f t="shared" si="19"/>
        <v>-1.4615644789097904E-2</v>
      </c>
    </row>
    <row r="279" spans="1:12" x14ac:dyDescent="0.2">
      <c r="A279" s="25">
        <v>45637</v>
      </c>
      <c r="C279" s="11">
        <v>74.819999999999993</v>
      </c>
      <c r="D279" s="11">
        <v>128.19999999999999</v>
      </c>
      <c r="F279" s="21">
        <v>3.3913100049560701E-3</v>
      </c>
      <c r="G279" s="18"/>
      <c r="H279" s="42">
        <f t="shared" si="16"/>
        <v>4.8348106365833929E-3</v>
      </c>
      <c r="I279" s="43">
        <f t="shared" si="17"/>
        <v>-6.5865943432779749E-3</v>
      </c>
      <c r="K279" s="42">
        <f t="shared" si="18"/>
        <v>4.8231604754292601E-3</v>
      </c>
      <c r="L279" s="42">
        <f t="shared" si="19"/>
        <v>-6.6083816780534276E-3</v>
      </c>
    </row>
    <row r="280" spans="1:12" x14ac:dyDescent="0.2">
      <c r="A280" s="25">
        <v>45638</v>
      </c>
      <c r="C280" s="11">
        <v>74.900000000000006</v>
      </c>
      <c r="D280" s="11">
        <v>127.8</v>
      </c>
      <c r="F280" s="21">
        <v>2.9087815869155396E-3</v>
      </c>
      <c r="G280" s="18"/>
      <c r="H280" s="42">
        <f t="shared" si="16"/>
        <v>1.0692328254479084E-3</v>
      </c>
      <c r="I280" s="43">
        <f t="shared" si="17"/>
        <v>-3.1201248049921334E-3</v>
      </c>
      <c r="K280" s="42">
        <f t="shared" si="18"/>
        <v>1.0686616031739882E-3</v>
      </c>
      <c r="L280" s="42">
        <f t="shared" si="19"/>
        <v>-3.1250025431351662E-3</v>
      </c>
    </row>
    <row r="281" spans="1:12" x14ac:dyDescent="0.2">
      <c r="A281" s="25">
        <v>45639</v>
      </c>
      <c r="C281" s="11">
        <v>75.180000000000007</v>
      </c>
      <c r="D281" s="11">
        <v>133.55000000000001</v>
      </c>
      <c r="F281" s="21">
        <v>-1.8289521736342099E-3</v>
      </c>
      <c r="G281" s="18"/>
      <c r="H281" s="42">
        <f t="shared" si="16"/>
        <v>3.7383177570093607E-3</v>
      </c>
      <c r="I281" s="43">
        <f t="shared" si="17"/>
        <v>4.499217527386553E-2</v>
      </c>
      <c r="K281" s="42">
        <f t="shared" si="18"/>
        <v>3.7313476128581842E-3</v>
      </c>
      <c r="L281" s="42">
        <f t="shared" si="19"/>
        <v>4.400939761253559E-2</v>
      </c>
    </row>
    <row r="282" spans="1:12" x14ac:dyDescent="0.2">
      <c r="A282" s="25">
        <v>45642</v>
      </c>
      <c r="C282" s="11">
        <v>74.459999999999994</v>
      </c>
      <c r="D282" s="11">
        <v>132.85</v>
      </c>
      <c r="F282" s="21">
        <v>6.0618443479087904E-4</v>
      </c>
      <c r="G282" s="18"/>
      <c r="H282" s="42">
        <f t="shared" si="16"/>
        <v>-9.5770151636075159E-3</v>
      </c>
      <c r="I282" s="43">
        <f t="shared" si="17"/>
        <v>-5.2414825907900935E-3</v>
      </c>
      <c r="K282" s="42">
        <f t="shared" si="18"/>
        <v>-9.6231696914612901E-3</v>
      </c>
      <c r="L282" s="42">
        <f t="shared" si="19"/>
        <v>-5.2552673501474459E-3</v>
      </c>
    </row>
    <row r="283" spans="1:12" x14ac:dyDescent="0.2">
      <c r="A283" s="25">
        <v>45643</v>
      </c>
      <c r="C283" s="11">
        <v>75.22</v>
      </c>
      <c r="D283" s="11">
        <v>131.94999999999999</v>
      </c>
      <c r="F283" s="21">
        <v>3.3335686108910603E-3</v>
      </c>
      <c r="G283" s="18"/>
      <c r="H283" s="42">
        <f t="shared" si="16"/>
        <v>1.020682245500947E-2</v>
      </c>
      <c r="I283" s="43">
        <f t="shared" si="17"/>
        <v>-6.7745577719232645E-3</v>
      </c>
      <c r="K283" s="42">
        <f t="shared" si="18"/>
        <v>1.0155084597619457E-2</v>
      </c>
      <c r="L283" s="42">
        <f t="shared" si="19"/>
        <v>-6.7976092564894768E-3</v>
      </c>
    </row>
    <row r="284" spans="1:12" x14ac:dyDescent="0.2">
      <c r="A284" s="25">
        <v>45644</v>
      </c>
      <c r="C284" s="11">
        <v>74.099999999999994</v>
      </c>
      <c r="D284" s="11">
        <v>129.6</v>
      </c>
      <c r="F284" s="21">
        <v>-8.6550993996388197E-3</v>
      </c>
      <c r="G284" s="18"/>
      <c r="H284" s="42">
        <f t="shared" si="16"/>
        <v>-1.4889657006115456E-2</v>
      </c>
      <c r="I284" s="43">
        <f t="shared" si="17"/>
        <v>-1.7809776430466044E-2</v>
      </c>
      <c r="K284" s="42">
        <f t="shared" si="18"/>
        <v>-1.5001620740149177E-2</v>
      </c>
      <c r="L284" s="42">
        <f t="shared" si="19"/>
        <v>-1.7970279031158665E-2</v>
      </c>
    </row>
    <row r="285" spans="1:12" x14ac:dyDescent="0.2">
      <c r="A285" s="25">
        <v>45645</v>
      </c>
      <c r="C285" s="11">
        <v>74.2</v>
      </c>
      <c r="D285" s="11">
        <v>129.1</v>
      </c>
      <c r="F285" s="21">
        <v>-1.9251509464186502E-2</v>
      </c>
      <c r="G285" s="18"/>
      <c r="H285" s="42">
        <f t="shared" si="16"/>
        <v>1.3495276653172541E-3</v>
      </c>
      <c r="I285" s="43">
        <f t="shared" si="17"/>
        <v>-3.8580246913580249E-3</v>
      </c>
      <c r="K285" s="42">
        <f t="shared" si="18"/>
        <v>1.3486178712936849E-3</v>
      </c>
      <c r="L285" s="42">
        <f t="shared" si="19"/>
        <v>-3.8654860655774649E-3</v>
      </c>
    </row>
    <row r="286" spans="1:12" x14ac:dyDescent="0.2">
      <c r="A286" s="25">
        <v>45646</v>
      </c>
      <c r="C286" s="11">
        <v>73.98</v>
      </c>
      <c r="D286" s="11">
        <v>128.5</v>
      </c>
      <c r="F286" s="21">
        <v>-2.6209353029644699E-3</v>
      </c>
      <c r="G286" s="18"/>
      <c r="H286" s="42">
        <f t="shared" si="16"/>
        <v>-2.9649595687331384E-3</v>
      </c>
      <c r="I286" s="43">
        <f t="shared" si="17"/>
        <v>-4.6475600309836898E-3</v>
      </c>
      <c r="K286" s="42">
        <f t="shared" si="18"/>
        <v>-2.9693637690267854E-3</v>
      </c>
      <c r="L286" s="42">
        <f t="shared" si="19"/>
        <v>-4.6583935173222478E-3</v>
      </c>
    </row>
    <row r="287" spans="1:12" x14ac:dyDescent="0.2">
      <c r="A287" s="25">
        <v>45649</v>
      </c>
      <c r="C287" s="11">
        <v>74.08</v>
      </c>
      <c r="D287" s="11">
        <v>130.35</v>
      </c>
      <c r="F287" s="21">
        <v>9.0782501057513603E-3</v>
      </c>
      <c r="G287" s="18"/>
      <c r="H287" s="42">
        <f t="shared" si="16"/>
        <v>1.3517166801837565E-3</v>
      </c>
      <c r="I287" s="43">
        <f t="shared" si="17"/>
        <v>1.439688715953303E-2</v>
      </c>
      <c r="K287" s="42">
        <f t="shared" si="18"/>
        <v>1.3508039336159251E-3</v>
      </c>
      <c r="L287" s="42">
        <f t="shared" si="19"/>
        <v>1.4294236044236196E-2</v>
      </c>
    </row>
    <row r="288" spans="1:12" x14ac:dyDescent="0.2">
      <c r="A288" s="25">
        <v>45653</v>
      </c>
      <c r="C288" s="11">
        <v>74.42</v>
      </c>
      <c r="D288" s="11">
        <v>131.65</v>
      </c>
      <c r="F288" s="21">
        <v>8.7968710064221193E-3</v>
      </c>
      <c r="G288" s="18"/>
      <c r="H288" s="42">
        <f t="shared" si="16"/>
        <v>4.5896328293736962E-3</v>
      </c>
      <c r="I288" s="43">
        <f t="shared" si="17"/>
        <v>9.9731492136556302E-3</v>
      </c>
      <c r="K288" s="42">
        <f t="shared" si="18"/>
        <v>4.5791325805525909E-3</v>
      </c>
      <c r="L288" s="42">
        <f t="shared" si="19"/>
        <v>9.9237455628077911E-3</v>
      </c>
    </row>
    <row r="289" spans="1:12" x14ac:dyDescent="0.2">
      <c r="A289" s="25">
        <v>45656</v>
      </c>
      <c r="C289" s="11">
        <v>74.88</v>
      </c>
      <c r="D289" s="11">
        <v>131.19999999999999</v>
      </c>
      <c r="F289" s="21">
        <v>9.9728480291649802E-4</v>
      </c>
      <c r="G289" s="18"/>
      <c r="H289" s="42">
        <f t="shared" si="16"/>
        <v>6.1811341037354712E-3</v>
      </c>
      <c r="I289" s="43">
        <f t="shared" si="17"/>
        <v>-3.4181541967338931E-3</v>
      </c>
      <c r="K289" s="42">
        <f t="shared" si="18"/>
        <v>6.1621092508600556E-3</v>
      </c>
      <c r="L289" s="42">
        <f t="shared" si="19"/>
        <v>-3.4240094323298364E-3</v>
      </c>
    </row>
    <row r="290" spans="1:12" x14ac:dyDescent="0.2">
      <c r="A290" s="25">
        <v>45660</v>
      </c>
      <c r="C290" s="11">
        <v>74.7</v>
      </c>
      <c r="D290" s="11">
        <v>132.69999999999999</v>
      </c>
      <c r="F290" s="21">
        <v>1.9929949276389302E-3</v>
      </c>
      <c r="G290" s="18"/>
      <c r="H290" s="42">
        <f t="shared" si="16"/>
        <v>-2.4038461538460551E-3</v>
      </c>
      <c r="I290" s="43">
        <f t="shared" si="17"/>
        <v>1.1432926829268294E-2</v>
      </c>
      <c r="K290" s="42">
        <f t="shared" si="18"/>
        <v>-2.4067400305648654E-3</v>
      </c>
      <c r="L290" s="42">
        <f t="shared" si="19"/>
        <v>1.1368064828173196E-2</v>
      </c>
    </row>
    <row r="291" spans="1:12" x14ac:dyDescent="0.2">
      <c r="A291" s="25">
        <v>45663</v>
      </c>
      <c r="C291" s="11">
        <v>74.02</v>
      </c>
      <c r="D291" s="11">
        <v>132.6</v>
      </c>
      <c r="F291" s="21">
        <v>5.7735788809634104E-3</v>
      </c>
      <c r="G291" s="18"/>
      <c r="H291" s="42">
        <f t="shared" si="16"/>
        <v>-9.1030789825971466E-3</v>
      </c>
      <c r="I291" s="43">
        <f t="shared" si="17"/>
        <v>-7.5357950263748544E-4</v>
      </c>
      <c r="K291" s="42">
        <f t="shared" si="18"/>
        <v>-9.1447651807617519E-3</v>
      </c>
      <c r="L291" s="42">
        <f t="shared" si="19"/>
        <v>-7.5386358639959979E-4</v>
      </c>
    </row>
    <row r="292" spans="1:12" x14ac:dyDescent="0.2">
      <c r="A292" s="25">
        <v>45664</v>
      </c>
      <c r="C292" s="11">
        <v>74.94</v>
      </c>
      <c r="D292" s="11">
        <v>134.85</v>
      </c>
      <c r="F292" s="21">
        <v>1.19441782069862E-2</v>
      </c>
      <c r="G292" s="18"/>
      <c r="H292" s="42">
        <f t="shared" si="16"/>
        <v>1.2429073223453144E-2</v>
      </c>
      <c r="I292" s="43">
        <f t="shared" si="17"/>
        <v>1.6968325791855206E-2</v>
      </c>
      <c r="K292" s="42">
        <f t="shared" si="18"/>
        <v>1.2352466407531373E-2</v>
      </c>
      <c r="L292" s="42">
        <f t="shared" si="19"/>
        <v>1.6825971833976779E-2</v>
      </c>
    </row>
    <row r="293" spans="1:12" x14ac:dyDescent="0.2">
      <c r="A293" s="25">
        <v>45665</v>
      </c>
      <c r="C293" s="11">
        <v>75.36</v>
      </c>
      <c r="D293" s="11">
        <v>134.80000000000001</v>
      </c>
      <c r="F293" s="21">
        <v>3.84071696310805E-3</v>
      </c>
      <c r="G293" s="18"/>
      <c r="H293" s="42">
        <f t="shared" si="16"/>
        <v>5.6044835868695186E-3</v>
      </c>
      <c r="I293" s="43">
        <f t="shared" si="17"/>
        <v>-3.7078235075997738E-4</v>
      </c>
      <c r="K293" s="42">
        <f t="shared" si="18"/>
        <v>5.5888369025664155E-3</v>
      </c>
      <c r="L293" s="42">
        <f t="shared" si="19"/>
        <v>-3.7085110753214292E-4</v>
      </c>
    </row>
    <row r="294" spans="1:12" x14ac:dyDescent="0.2">
      <c r="A294" s="25">
        <v>45667</v>
      </c>
      <c r="C294" s="11">
        <v>74.040000000000006</v>
      </c>
      <c r="D294" s="11">
        <v>131.44999999999999</v>
      </c>
      <c r="F294" s="21">
        <v>-7.09852112225994E-3</v>
      </c>
      <c r="G294" s="18"/>
      <c r="H294" s="42">
        <f t="shared" si="16"/>
        <v>-1.751592356687889E-2</v>
      </c>
      <c r="I294" s="43">
        <f t="shared" si="17"/>
        <v>-2.4851632047477912E-2</v>
      </c>
      <c r="K294" s="42">
        <f t="shared" si="18"/>
        <v>-1.7671142562810802E-2</v>
      </c>
      <c r="L294" s="42">
        <f t="shared" si="19"/>
        <v>-2.5165647302316567E-2</v>
      </c>
    </row>
    <row r="295" spans="1:12" x14ac:dyDescent="0.2">
      <c r="A295" s="25">
        <v>45670</v>
      </c>
      <c r="C295" s="11">
        <v>74.239999999999995</v>
      </c>
      <c r="D295" s="11">
        <v>131.1</v>
      </c>
      <c r="F295" s="21">
        <v>-7.6482303009848193E-3</v>
      </c>
      <c r="G295" s="18"/>
      <c r="H295" s="42">
        <f t="shared" si="16"/>
        <v>2.7012425715827746E-3</v>
      </c>
      <c r="I295" s="43">
        <f t="shared" si="17"/>
        <v>-2.6626093571699835E-3</v>
      </c>
      <c r="K295" s="42">
        <f t="shared" si="18"/>
        <v>2.6976007726483352E-3</v>
      </c>
      <c r="L295" s="42">
        <f t="shared" si="19"/>
        <v>-2.6661604062360308E-3</v>
      </c>
    </row>
    <row r="296" spans="1:12" x14ac:dyDescent="0.2">
      <c r="A296" s="25">
        <v>45671</v>
      </c>
      <c r="C296" s="11">
        <v>74.16</v>
      </c>
      <c r="D296" s="11">
        <v>132.30000000000001</v>
      </c>
      <c r="F296" s="21">
        <v>7.2988650292149502E-5</v>
      </c>
      <c r="G296" s="18"/>
      <c r="H296" s="42">
        <f t="shared" si="16"/>
        <v>-1.0775862068965287E-3</v>
      </c>
      <c r="I296" s="43">
        <f t="shared" si="17"/>
        <v>9.1533180778033338E-3</v>
      </c>
      <c r="K296" s="42">
        <f t="shared" si="18"/>
        <v>-1.0781672203454436E-3</v>
      </c>
      <c r="L296" s="42">
        <f t="shared" si="19"/>
        <v>9.1116803512560334E-3</v>
      </c>
    </row>
    <row r="297" spans="1:12" x14ac:dyDescent="0.2">
      <c r="A297" s="25">
        <v>45672</v>
      </c>
      <c r="C297" s="11">
        <v>73.66</v>
      </c>
      <c r="D297" s="11">
        <v>134</v>
      </c>
      <c r="F297" s="21">
        <v>6.76497446408896E-3</v>
      </c>
      <c r="G297" s="18"/>
      <c r="H297" s="42">
        <f t="shared" si="16"/>
        <v>-6.7421790722761599E-3</v>
      </c>
      <c r="I297" s="43">
        <f t="shared" si="17"/>
        <v>1.2849584278155619E-2</v>
      </c>
      <c r="K297" s="42">
        <f t="shared" si="18"/>
        <v>-6.7650102406804566E-3</v>
      </c>
      <c r="L297" s="42">
        <f t="shared" si="19"/>
        <v>1.2767728830001188E-2</v>
      </c>
    </row>
    <row r="298" spans="1:12" x14ac:dyDescent="0.2">
      <c r="A298" s="25">
        <v>45673</v>
      </c>
      <c r="C298" s="11">
        <v>73.900000000000006</v>
      </c>
      <c r="D298" s="11">
        <v>135.19999999999999</v>
      </c>
      <c r="F298" s="21">
        <v>1.3602848145576501E-2</v>
      </c>
      <c r="G298" s="18"/>
      <c r="H298" s="42">
        <f t="shared" si="16"/>
        <v>3.2582134129786736E-3</v>
      </c>
      <c r="I298" s="43">
        <f t="shared" si="17"/>
        <v>8.9552238805969304E-3</v>
      </c>
      <c r="K298" s="42">
        <f t="shared" si="18"/>
        <v>3.2529169372369038E-3</v>
      </c>
      <c r="L298" s="42">
        <f t="shared" si="19"/>
        <v>8.9153636579523288E-3</v>
      </c>
    </row>
    <row r="299" spans="1:12" x14ac:dyDescent="0.2">
      <c r="A299" s="25">
        <v>45674</v>
      </c>
      <c r="C299" s="11">
        <v>74.2</v>
      </c>
      <c r="D299" s="11">
        <v>135.85</v>
      </c>
      <c r="F299" s="21">
        <v>4.0419404638576397E-3</v>
      </c>
      <c r="G299" s="18"/>
      <c r="H299" s="42">
        <f t="shared" si="16"/>
        <v>4.0595399188091625E-3</v>
      </c>
      <c r="I299" s="43">
        <f t="shared" si="17"/>
        <v>4.8076923076923505E-3</v>
      </c>
      <c r="K299" s="42">
        <f t="shared" si="18"/>
        <v>4.0513222191787242E-3</v>
      </c>
      <c r="L299" s="42">
        <f t="shared" si="19"/>
        <v>4.7961722634930135E-3</v>
      </c>
    </row>
    <row r="300" spans="1:12" x14ac:dyDescent="0.2">
      <c r="A300" s="25">
        <v>45678</v>
      </c>
      <c r="C300" s="11">
        <v>74.739999999999995</v>
      </c>
      <c r="D300" s="11">
        <v>135.85</v>
      </c>
      <c r="F300" s="21">
        <v>1.0082073862798399E-2</v>
      </c>
      <c r="G300" s="18"/>
      <c r="H300" s="42">
        <f t="shared" si="16"/>
        <v>7.2776280323449058E-3</v>
      </c>
      <c r="I300" s="43">
        <f t="shared" si="17"/>
        <v>0</v>
      </c>
      <c r="K300" s="42">
        <f t="shared" si="18"/>
        <v>7.2512738840030547E-3</v>
      </c>
      <c r="L300" s="42">
        <f t="shared" si="19"/>
        <v>0</v>
      </c>
    </row>
    <row r="301" spans="1:12" x14ac:dyDescent="0.2">
      <c r="A301" s="25">
        <v>45679</v>
      </c>
      <c r="C301" s="11">
        <v>74.180000000000007</v>
      </c>
      <c r="D301" s="11">
        <v>137.85</v>
      </c>
      <c r="F301" s="21">
        <v>7.9869935884735403E-3</v>
      </c>
      <c r="G301" s="18"/>
      <c r="H301" s="42">
        <f t="shared" si="16"/>
        <v>-7.4926411560073333E-3</v>
      </c>
      <c r="I301" s="43">
        <f t="shared" si="17"/>
        <v>1.4722119985277881E-2</v>
      </c>
      <c r="K301" s="42">
        <f t="shared" si="18"/>
        <v>-7.5208519958929387E-3</v>
      </c>
      <c r="L301" s="42">
        <f t="shared" si="19"/>
        <v>1.4614801597448959E-2</v>
      </c>
    </row>
    <row r="302" spans="1:12" x14ac:dyDescent="0.2">
      <c r="A302" s="25">
        <v>45680</v>
      </c>
      <c r="C302" s="11">
        <v>74.7</v>
      </c>
      <c r="D302" s="11">
        <v>138.6</v>
      </c>
      <c r="F302" s="21">
        <v>4.7108540810860602E-3</v>
      </c>
      <c r="G302" s="18"/>
      <c r="H302" s="42">
        <f t="shared" si="16"/>
        <v>7.0099757346993256E-3</v>
      </c>
      <c r="I302" s="43">
        <f t="shared" si="17"/>
        <v>5.4406964091403701E-3</v>
      </c>
      <c r="K302" s="42">
        <f t="shared" si="18"/>
        <v>6.9855200773268015E-3</v>
      </c>
      <c r="L302" s="42">
        <f t="shared" si="19"/>
        <v>5.4259492859972053E-3</v>
      </c>
    </row>
    <row r="303" spans="1:12" x14ac:dyDescent="0.2">
      <c r="A303" s="25">
        <v>45681</v>
      </c>
      <c r="C303" s="11">
        <v>74.680000000000007</v>
      </c>
      <c r="D303" s="11">
        <v>138.05000000000001</v>
      </c>
      <c r="F303" s="21">
        <v>1.7839553834071401E-3</v>
      </c>
      <c r="G303" s="18"/>
      <c r="H303" s="42">
        <f t="shared" si="16"/>
        <v>-2.6773761713515422E-4</v>
      </c>
      <c r="I303" s="43">
        <f t="shared" si="17"/>
        <v>-3.9682539682538457E-3</v>
      </c>
      <c r="K303" s="42">
        <f t="shared" si="18"/>
        <v>-2.6777346524971632E-4</v>
      </c>
      <c r="L303" s="42">
        <f t="shared" si="19"/>
        <v>-3.9761483796392945E-3</v>
      </c>
    </row>
    <row r="304" spans="1:12" x14ac:dyDescent="0.2">
      <c r="A304" s="25">
        <v>45684</v>
      </c>
      <c r="C304" s="11">
        <v>77.56</v>
      </c>
      <c r="D304" s="11">
        <v>139.85</v>
      </c>
      <c r="F304" s="21">
        <v>1.05250671764784E-2</v>
      </c>
      <c r="G304" s="18"/>
      <c r="H304" s="42">
        <f t="shared" si="16"/>
        <v>3.856454204606314E-2</v>
      </c>
      <c r="I304" s="43">
        <f t="shared" si="17"/>
        <v>1.3038754074610524E-2</v>
      </c>
      <c r="K304" s="42">
        <f t="shared" si="18"/>
        <v>3.7839511700929175E-2</v>
      </c>
      <c r="L304" s="42">
        <f t="shared" si="19"/>
        <v>1.2954481271805065E-2</v>
      </c>
    </row>
    <row r="305" spans="1:12" x14ac:dyDescent="0.2">
      <c r="A305" s="25">
        <v>45685</v>
      </c>
      <c r="C305" s="11">
        <v>78.180000000000007</v>
      </c>
      <c r="D305" s="11">
        <v>139.85</v>
      </c>
      <c r="F305" s="21">
        <v>3.1271935843575297E-3</v>
      </c>
      <c r="G305" s="18"/>
      <c r="H305" s="42">
        <f t="shared" si="16"/>
        <v>7.9938112429087747E-3</v>
      </c>
      <c r="I305" s="43">
        <f t="shared" si="17"/>
        <v>0</v>
      </c>
      <c r="K305" s="42">
        <f t="shared" si="18"/>
        <v>7.9620299903577444E-3</v>
      </c>
      <c r="L305" s="42">
        <f t="shared" si="19"/>
        <v>0</v>
      </c>
    </row>
    <row r="306" spans="1:12" x14ac:dyDescent="0.2">
      <c r="A306" s="25">
        <v>45686</v>
      </c>
      <c r="C306" s="11">
        <v>78.28</v>
      </c>
      <c r="D306" s="11">
        <v>140.25</v>
      </c>
      <c r="F306" s="21">
        <v>6.01179850876731E-3</v>
      </c>
      <c r="G306" s="18"/>
      <c r="H306" s="42">
        <f t="shared" si="16"/>
        <v>1.2790995139421119E-3</v>
      </c>
      <c r="I306" s="43">
        <f t="shared" si="17"/>
        <v>2.8602073650340057E-3</v>
      </c>
      <c r="K306" s="42">
        <f t="shared" si="18"/>
        <v>1.2782821630665524E-3</v>
      </c>
      <c r="L306" s="42">
        <f t="shared" si="19"/>
        <v>2.8561247548368951E-3</v>
      </c>
    </row>
    <row r="307" spans="1:12" x14ac:dyDescent="0.2">
      <c r="A307" s="25">
        <v>45687</v>
      </c>
      <c r="C307" s="11">
        <v>78.680000000000007</v>
      </c>
      <c r="D307" s="11">
        <v>140.1</v>
      </c>
      <c r="F307" s="21">
        <v>5.9233200609984903E-3</v>
      </c>
      <c r="G307" s="18"/>
      <c r="H307" s="42">
        <f t="shared" si="16"/>
        <v>5.1098620337251622E-3</v>
      </c>
      <c r="I307" s="43">
        <f t="shared" si="17"/>
        <v>-1.0695187165775807E-3</v>
      </c>
      <c r="K307" s="42">
        <f t="shared" si="18"/>
        <v>5.0968509929828487E-3</v>
      </c>
      <c r="L307" s="42">
        <f t="shared" si="19"/>
        <v>-1.0700910598444044E-3</v>
      </c>
    </row>
    <row r="308" spans="1:12" x14ac:dyDescent="0.2">
      <c r="A308" s="25">
        <v>45688</v>
      </c>
      <c r="C308" s="11">
        <v>77.48</v>
      </c>
      <c r="D308" s="11">
        <v>139.4</v>
      </c>
      <c r="F308" s="21">
        <v>-5.9095870245928707E-4</v>
      </c>
      <c r="G308" s="18"/>
      <c r="H308" s="42">
        <f t="shared" si="16"/>
        <v>-1.5251652262328453E-2</v>
      </c>
      <c r="I308" s="43">
        <f t="shared" si="17"/>
        <v>-4.9964311206280422E-3</v>
      </c>
      <c r="K308" s="42">
        <f t="shared" si="18"/>
        <v>-1.5369154982063272E-2</v>
      </c>
      <c r="L308" s="42">
        <f t="shared" si="19"/>
        <v>-5.0089550165377727E-3</v>
      </c>
    </row>
    <row r="309" spans="1:12" x14ac:dyDescent="0.2">
      <c r="A309" s="25">
        <v>45691</v>
      </c>
      <c r="C309" s="11">
        <v>77.86</v>
      </c>
      <c r="D309" s="11">
        <v>138.85</v>
      </c>
      <c r="F309" s="21">
        <v>-3.9941531468291602E-3</v>
      </c>
      <c r="G309" s="18"/>
      <c r="H309" s="42">
        <f t="shared" si="16"/>
        <v>4.904491481672631E-3</v>
      </c>
      <c r="I309" s="43">
        <f t="shared" si="17"/>
        <v>-3.9454806312769824E-3</v>
      </c>
      <c r="K309" s="42">
        <f t="shared" si="18"/>
        <v>4.8925036435145649E-3</v>
      </c>
      <c r="L309" s="42">
        <f t="shared" si="19"/>
        <v>-3.9532845736150301E-3</v>
      </c>
    </row>
    <row r="310" spans="1:12" x14ac:dyDescent="0.2">
      <c r="A310" s="25">
        <v>45692</v>
      </c>
      <c r="C310" s="11">
        <v>77.459999999999994</v>
      </c>
      <c r="D310" s="11">
        <v>139.30000000000001</v>
      </c>
      <c r="F310" s="21">
        <v>-5.6812238390576697E-3</v>
      </c>
      <c r="G310" s="18"/>
      <c r="H310" s="42">
        <f t="shared" si="16"/>
        <v>-5.1374261494991739E-3</v>
      </c>
      <c r="I310" s="43">
        <f t="shared" si="17"/>
        <v>3.2409074540872673E-3</v>
      </c>
      <c r="K310" s="42">
        <f t="shared" si="18"/>
        <v>-5.1506680957036288E-3</v>
      </c>
      <c r="L310" s="42">
        <f t="shared" si="19"/>
        <v>3.2356670329516551E-3</v>
      </c>
    </row>
    <row r="311" spans="1:12" x14ac:dyDescent="0.2">
      <c r="A311" s="25">
        <v>45693</v>
      </c>
      <c r="C311" s="11">
        <v>77.260000000000005</v>
      </c>
      <c r="D311" s="11">
        <v>140.25</v>
      </c>
      <c r="F311" s="21">
        <v>8.3318408025592205E-3</v>
      </c>
      <c r="G311" s="18"/>
      <c r="H311" s="42">
        <f t="shared" si="16"/>
        <v>-2.5819777949908167E-3</v>
      </c>
      <c r="I311" s="43">
        <f t="shared" si="17"/>
        <v>6.8198133524765871E-3</v>
      </c>
      <c r="K311" s="42">
        <f t="shared" si="18"/>
        <v>-2.5853168484707306E-3</v>
      </c>
      <c r="L311" s="42">
        <f t="shared" si="19"/>
        <v>6.7966636170456235E-3</v>
      </c>
    </row>
    <row r="312" spans="1:12" x14ac:dyDescent="0.2">
      <c r="A312" s="25">
        <v>45694</v>
      </c>
      <c r="C312" s="11">
        <v>77.5</v>
      </c>
      <c r="D312" s="11">
        <v>141.15</v>
      </c>
      <c r="F312" s="21">
        <v>3.5587691781475599E-3</v>
      </c>
      <c r="G312" s="18"/>
      <c r="H312" s="42">
        <f t="shared" si="16"/>
        <v>3.1063939943048778E-3</v>
      </c>
      <c r="I312" s="43">
        <f t="shared" si="17"/>
        <v>6.4171122994652816E-3</v>
      </c>
      <c r="K312" s="42">
        <f t="shared" si="18"/>
        <v>3.1015791211659108E-3</v>
      </c>
      <c r="L312" s="42">
        <f t="shared" si="19"/>
        <v>6.3966102966925729E-3</v>
      </c>
    </row>
    <row r="313" spans="1:12" x14ac:dyDescent="0.2">
      <c r="A313" s="25">
        <v>45695</v>
      </c>
      <c r="C313" s="11">
        <v>77.5</v>
      </c>
      <c r="D313" s="11">
        <v>141.65</v>
      </c>
      <c r="F313" s="21">
        <v>-2.44492132704454E-3</v>
      </c>
      <c r="G313" s="18"/>
      <c r="H313" s="42">
        <f t="shared" si="16"/>
        <v>0</v>
      </c>
      <c r="I313" s="43">
        <f t="shared" si="17"/>
        <v>3.5423308537017354E-3</v>
      </c>
      <c r="K313" s="42">
        <f t="shared" si="18"/>
        <v>0</v>
      </c>
      <c r="L313" s="42">
        <f t="shared" si="19"/>
        <v>3.5360715770271925E-3</v>
      </c>
    </row>
    <row r="314" spans="1:12" x14ac:dyDescent="0.2">
      <c r="A314" s="25">
        <v>45698</v>
      </c>
      <c r="C314" s="11">
        <v>77.36</v>
      </c>
      <c r="D314" s="11">
        <v>142</v>
      </c>
      <c r="F314" s="21">
        <v>2.73972193358251E-3</v>
      </c>
      <c r="G314" s="18"/>
      <c r="H314" s="42">
        <f t="shared" si="16"/>
        <v>-1.8064516129032331E-3</v>
      </c>
      <c r="I314" s="43">
        <f t="shared" si="17"/>
        <v>2.47087892693254E-3</v>
      </c>
      <c r="K314" s="42">
        <f t="shared" si="18"/>
        <v>-1.8080852142624698E-3</v>
      </c>
      <c r="L314" s="42">
        <f t="shared" si="19"/>
        <v>2.4678313247351326E-3</v>
      </c>
    </row>
    <row r="315" spans="1:12" x14ac:dyDescent="0.2">
      <c r="A315" s="25">
        <v>45699</v>
      </c>
      <c r="C315" s="11">
        <v>78.2</v>
      </c>
      <c r="D315" s="11">
        <v>141.69999999999999</v>
      </c>
      <c r="F315" s="21">
        <v>5.2515978512532799E-3</v>
      </c>
      <c r="G315" s="18"/>
      <c r="H315" s="42">
        <f t="shared" si="16"/>
        <v>1.0858324715615349E-2</v>
      </c>
      <c r="I315" s="43">
        <f t="shared" si="17"/>
        <v>-2.1126760563381082E-3</v>
      </c>
      <c r="K315" s="42">
        <f t="shared" si="18"/>
        <v>1.0799796406226525E-2</v>
      </c>
      <c r="L315" s="42">
        <f t="shared" si="19"/>
        <v>-2.1149109046260869E-3</v>
      </c>
    </row>
    <row r="316" spans="1:12" x14ac:dyDescent="0.2">
      <c r="A316" s="25">
        <v>45700</v>
      </c>
      <c r="C316" s="11">
        <v>78.78</v>
      </c>
      <c r="D316" s="11">
        <v>141.69999999999999</v>
      </c>
      <c r="F316" s="21">
        <v>1.5551592164293401E-3</v>
      </c>
      <c r="G316" s="18"/>
      <c r="H316" s="42">
        <f t="shared" si="16"/>
        <v>7.4168797953963975E-3</v>
      </c>
      <c r="I316" s="43">
        <f t="shared" si="17"/>
        <v>0</v>
      </c>
      <c r="K316" s="42">
        <f t="shared" si="18"/>
        <v>7.3895099914944064E-3</v>
      </c>
      <c r="L316" s="42">
        <f t="shared" si="19"/>
        <v>0</v>
      </c>
    </row>
    <row r="317" spans="1:12" x14ac:dyDescent="0.2">
      <c r="A317" s="25">
        <v>45701</v>
      </c>
      <c r="C317" s="11">
        <v>83.68</v>
      </c>
      <c r="D317" s="11">
        <v>141.05000000000001</v>
      </c>
      <c r="F317" s="21">
        <v>1.84960733294765E-2</v>
      </c>
      <c r="G317" s="18"/>
      <c r="H317" s="42">
        <f t="shared" si="16"/>
        <v>6.219852754506227E-2</v>
      </c>
      <c r="I317" s="43">
        <f t="shared" si="17"/>
        <v>-4.5871559633025921E-3</v>
      </c>
      <c r="K317" s="42">
        <f t="shared" si="18"/>
        <v>6.0340842773853022E-2</v>
      </c>
      <c r="L317" s="42">
        <f t="shared" si="19"/>
        <v>-4.5977092486293196E-3</v>
      </c>
    </row>
    <row r="318" spans="1:12" x14ac:dyDescent="0.2">
      <c r="A318" s="25">
        <v>45702</v>
      </c>
      <c r="C318" s="11">
        <v>82.48</v>
      </c>
      <c r="D318" s="11">
        <v>139.94999999999999</v>
      </c>
      <c r="F318" s="21">
        <v>-8.4315998038902995E-3</v>
      </c>
      <c r="G318" s="18"/>
      <c r="H318" s="42">
        <f t="shared" si="16"/>
        <v>-1.434034416826007E-2</v>
      </c>
      <c r="I318" s="43">
        <f t="shared" si="17"/>
        <v>-7.798652959943443E-3</v>
      </c>
      <c r="K318" s="42">
        <f t="shared" si="18"/>
        <v>-1.4444160607908268E-2</v>
      </c>
      <c r="L318" s="42">
        <f t="shared" si="19"/>
        <v>-7.8292214865429074E-3</v>
      </c>
    </row>
    <row r="319" spans="1:12" x14ac:dyDescent="0.2">
      <c r="A319" s="25">
        <v>45706</v>
      </c>
      <c r="C319" s="11">
        <v>82.38</v>
      </c>
      <c r="D319" s="11">
        <v>142.65</v>
      </c>
      <c r="F319" s="21">
        <v>4.2141895107894404E-3</v>
      </c>
      <c r="G319" s="18"/>
      <c r="H319" s="42">
        <f t="shared" si="16"/>
        <v>-1.2124151309409375E-3</v>
      </c>
      <c r="I319" s="43">
        <f t="shared" si="17"/>
        <v>1.929260450160784E-2</v>
      </c>
      <c r="K319" s="42">
        <f t="shared" si="18"/>
        <v>-1.2131507007699163E-3</v>
      </c>
      <c r="L319" s="42">
        <f t="shared" si="19"/>
        <v>1.9108861698046507E-2</v>
      </c>
    </row>
    <row r="320" spans="1:12" x14ac:dyDescent="0.2">
      <c r="A320" s="25">
        <v>45707</v>
      </c>
      <c r="C320" s="11">
        <v>82.5</v>
      </c>
      <c r="D320" s="11">
        <v>139.15</v>
      </c>
      <c r="F320" s="21">
        <v>-7.4037222782581402E-3</v>
      </c>
      <c r="G320" s="18"/>
      <c r="H320" s="42">
        <f t="shared" si="16"/>
        <v>1.4566642388929906E-3</v>
      </c>
      <c r="I320" s="43">
        <f t="shared" si="17"/>
        <v>-2.4535576586049771E-2</v>
      </c>
      <c r="K320" s="42">
        <f t="shared" si="18"/>
        <v>1.4556043327005853E-3</v>
      </c>
      <c r="L320" s="42">
        <f t="shared" si="19"/>
        <v>-2.4841589687609213E-2</v>
      </c>
    </row>
    <row r="321" spans="1:12" x14ac:dyDescent="0.2">
      <c r="A321" s="25">
        <v>45708</v>
      </c>
      <c r="C321" s="11">
        <v>82.34</v>
      </c>
      <c r="D321" s="11">
        <v>138.35</v>
      </c>
      <c r="F321" s="21">
        <v>7.4721974558511397E-4</v>
      </c>
      <c r="G321" s="18"/>
      <c r="H321" s="42">
        <f t="shared" si="16"/>
        <v>-1.9393939393938981E-3</v>
      </c>
      <c r="I321" s="43">
        <f t="shared" si="17"/>
        <v>-5.7491915199425897E-3</v>
      </c>
      <c r="K321" s="42">
        <f t="shared" si="18"/>
        <v>-1.9412769988766403E-3</v>
      </c>
      <c r="L321" s="42">
        <f t="shared" si="19"/>
        <v>-5.7657817389649407E-3</v>
      </c>
    </row>
    <row r="322" spans="1:12" x14ac:dyDescent="0.2">
      <c r="A322" s="25">
        <v>45709</v>
      </c>
      <c r="C322" s="11">
        <v>85.1</v>
      </c>
      <c r="D322" s="11">
        <v>138.30000000000001</v>
      </c>
      <c r="F322" s="21">
        <v>1.0970922399052101E-2</v>
      </c>
      <c r="G322" s="18"/>
      <c r="H322" s="42">
        <f t="shared" si="16"/>
        <v>3.3519553072625587E-2</v>
      </c>
      <c r="I322" s="43">
        <f t="shared" si="17"/>
        <v>-3.6140224069376904E-4</v>
      </c>
      <c r="K322" s="42">
        <f t="shared" si="18"/>
        <v>3.2970019237569682E-2</v>
      </c>
      <c r="L322" s="42">
        <f t="shared" si="19"/>
        <v>-3.6146756222230341E-4</v>
      </c>
    </row>
    <row r="323" spans="1:12" x14ac:dyDescent="0.2">
      <c r="A323" s="25">
        <v>45712</v>
      </c>
      <c r="C323" s="11">
        <v>87.78</v>
      </c>
      <c r="D323" s="11">
        <v>138.55000000000001</v>
      </c>
      <c r="F323" s="21">
        <v>3.5253598178330798E-4</v>
      </c>
      <c r="G323" s="18"/>
      <c r="H323" s="42">
        <f t="shared" si="16"/>
        <v>3.1492361927144621E-2</v>
      </c>
      <c r="I323" s="43">
        <f t="shared" si="17"/>
        <v>1.8076644974692696E-3</v>
      </c>
      <c r="K323" s="42">
        <f t="shared" si="18"/>
        <v>3.1006648680759506E-2</v>
      </c>
      <c r="L323" s="42">
        <f t="shared" si="19"/>
        <v>1.8060326382747891E-3</v>
      </c>
    </row>
    <row r="324" spans="1:12" x14ac:dyDescent="0.2">
      <c r="A324" s="25">
        <v>45713</v>
      </c>
      <c r="C324" s="11">
        <v>89.02</v>
      </c>
      <c r="D324" s="11">
        <v>139.19999999999999</v>
      </c>
      <c r="F324" s="21">
        <v>5.5465268229428696E-3</v>
      </c>
      <c r="G324" s="18"/>
      <c r="H324" s="42">
        <f t="shared" si="16"/>
        <v>1.4126224652540384E-2</v>
      </c>
      <c r="I324" s="43">
        <f t="shared" si="17"/>
        <v>4.6914471309994748E-3</v>
      </c>
      <c r="K324" s="42">
        <f t="shared" si="18"/>
        <v>1.4027379327620311E-2</v>
      </c>
      <c r="L324" s="42">
        <f t="shared" si="19"/>
        <v>4.680476591331772E-3</v>
      </c>
    </row>
    <row r="325" spans="1:12" x14ac:dyDescent="0.2">
      <c r="A325" s="25">
        <v>45714</v>
      </c>
      <c r="C325" s="11">
        <v>87.6</v>
      </c>
      <c r="D325" s="11">
        <v>144.44999999999999</v>
      </c>
      <c r="F325" s="21">
        <v>1.3431934861147701E-3</v>
      </c>
      <c r="G325" s="18"/>
      <c r="H325" s="42">
        <f t="shared" si="16"/>
        <v>-1.5951471579420375E-2</v>
      </c>
      <c r="I325" s="43">
        <f t="shared" si="17"/>
        <v>3.7715517241379316E-2</v>
      </c>
      <c r="K325" s="42">
        <f t="shared" si="18"/>
        <v>-1.6080065645362494E-2</v>
      </c>
      <c r="L325" s="42">
        <f t="shared" si="19"/>
        <v>3.70216790119249E-2</v>
      </c>
    </row>
    <row r="326" spans="1:12" x14ac:dyDescent="0.2">
      <c r="A326" s="25">
        <v>45715</v>
      </c>
      <c r="C326" s="11">
        <v>87.04</v>
      </c>
      <c r="D326" s="11">
        <v>145.19999999999999</v>
      </c>
      <c r="F326" s="21">
        <v>-6.4529277894060898E-3</v>
      </c>
      <c r="G326" s="18"/>
      <c r="H326" s="42">
        <f t="shared" si="16"/>
        <v>-6.3926940639268048E-3</v>
      </c>
      <c r="I326" s="43">
        <f t="shared" si="17"/>
        <v>5.1921079958463139E-3</v>
      </c>
      <c r="K326" s="42">
        <f t="shared" si="18"/>
        <v>-6.4132148347131575E-3</v>
      </c>
      <c r="L326" s="42">
        <f t="shared" si="19"/>
        <v>5.1786754784514978E-3</v>
      </c>
    </row>
    <row r="327" spans="1:12" x14ac:dyDescent="0.2">
      <c r="A327" s="25">
        <v>45716</v>
      </c>
      <c r="C327" s="11">
        <v>87.12</v>
      </c>
      <c r="D327" s="11">
        <v>144.30000000000001</v>
      </c>
      <c r="F327" s="21">
        <v>3.5601150953179501E-3</v>
      </c>
      <c r="G327" s="18"/>
      <c r="H327" s="42">
        <f t="shared" si="16"/>
        <v>9.1911764705880389E-4</v>
      </c>
      <c r="I327" s="43">
        <f t="shared" si="17"/>
        <v>-6.1983471074378606E-3</v>
      </c>
      <c r="K327" s="42">
        <f t="shared" si="18"/>
        <v>9.1869551707258633E-4</v>
      </c>
      <c r="L327" s="42">
        <f t="shared" si="19"/>
        <v>-6.2176366108703382E-3</v>
      </c>
    </row>
    <row r="328" spans="1:12" x14ac:dyDescent="0.2">
      <c r="A328" s="25">
        <v>45719</v>
      </c>
      <c r="C328" s="11">
        <v>88.6</v>
      </c>
      <c r="D328" s="11">
        <v>147.05000000000001</v>
      </c>
      <c r="F328" s="21">
        <v>1.2472743651682201E-2</v>
      </c>
      <c r="G328" s="18"/>
      <c r="H328" s="42">
        <f t="shared" si="16"/>
        <v>1.6988062442607779E-2</v>
      </c>
      <c r="I328" s="43">
        <f t="shared" si="17"/>
        <v>1.9057519057519057E-2</v>
      </c>
      <c r="K328" s="42">
        <f t="shared" si="18"/>
        <v>1.6845378986330092E-2</v>
      </c>
      <c r="L328" s="42">
        <f t="shared" si="19"/>
        <v>1.8878199220178856E-2</v>
      </c>
    </row>
    <row r="329" spans="1:12" x14ac:dyDescent="0.2">
      <c r="A329" s="25">
        <v>45720</v>
      </c>
      <c r="C329" s="11">
        <v>89.76</v>
      </c>
      <c r="D329" s="11">
        <v>145.94999999999999</v>
      </c>
      <c r="F329" s="21">
        <v>-1.21474965570377E-2</v>
      </c>
      <c r="G329" s="18"/>
      <c r="H329" s="42">
        <f t="shared" ref="H329:H365" si="20">(C329-C328)/C328</f>
        <v>1.3092550790067842E-2</v>
      </c>
      <c r="I329" s="43">
        <f t="shared" ref="I329:I365" si="21">(D329-D328)/D328</f>
        <v>-7.4804488269297701E-3</v>
      </c>
      <c r="K329" s="42">
        <f t="shared" ref="K329:K365" si="22">LN(C329/C328)</f>
        <v>1.300758416335108E-2</v>
      </c>
      <c r="L329" s="42">
        <f t="shared" ref="L329:L365" si="23">LN(D329/D328)</f>
        <v>-7.5085676998804338E-3</v>
      </c>
    </row>
    <row r="330" spans="1:12" x14ac:dyDescent="0.2">
      <c r="A330" s="25">
        <v>45721</v>
      </c>
      <c r="C330" s="11">
        <v>88.12</v>
      </c>
      <c r="D330" s="11">
        <v>147.85</v>
      </c>
      <c r="F330" s="21">
        <v>8.1509241936545893E-3</v>
      </c>
      <c r="G330" s="18"/>
      <c r="H330" s="42">
        <f t="shared" si="20"/>
        <v>-1.8270944741532982E-2</v>
      </c>
      <c r="I330" s="43">
        <f t="shared" si="21"/>
        <v>1.3018156903049029E-2</v>
      </c>
      <c r="K330" s="42">
        <f t="shared" si="22"/>
        <v>-1.8439919840243849E-2</v>
      </c>
      <c r="L330" s="42">
        <f t="shared" si="23"/>
        <v>1.2934148998362446E-2</v>
      </c>
    </row>
    <row r="331" spans="1:12" x14ac:dyDescent="0.2">
      <c r="A331" s="25">
        <v>45722</v>
      </c>
      <c r="C331" s="11">
        <v>87.86</v>
      </c>
      <c r="D331" s="11">
        <v>144.80000000000001</v>
      </c>
      <c r="F331" s="21">
        <v>-6.3577250024565704E-3</v>
      </c>
      <c r="G331" s="18"/>
      <c r="H331" s="42">
        <f t="shared" si="20"/>
        <v>-2.9505220154335578E-3</v>
      </c>
      <c r="I331" s="43">
        <f t="shared" si="21"/>
        <v>-2.062901589448754E-2</v>
      </c>
      <c r="K331" s="42">
        <f t="shared" si="22"/>
        <v>-2.954883386508924E-3</v>
      </c>
      <c r="L331" s="42">
        <f t="shared" si="23"/>
        <v>-2.0844766346870085E-2</v>
      </c>
    </row>
    <row r="332" spans="1:12" x14ac:dyDescent="0.2">
      <c r="A332" s="25">
        <v>45723</v>
      </c>
      <c r="C332" s="11">
        <v>89.72</v>
      </c>
      <c r="D332" s="11">
        <v>145.25</v>
      </c>
      <c r="F332" s="21">
        <v>3.62975120663122E-3</v>
      </c>
      <c r="G332" s="18"/>
      <c r="H332" s="42">
        <f t="shared" si="20"/>
        <v>2.1170043250625988E-2</v>
      </c>
      <c r="I332" s="43">
        <f t="shared" si="21"/>
        <v>3.1077348066297556E-3</v>
      </c>
      <c r="K332" s="42">
        <f t="shared" si="22"/>
        <v>2.094907110437395E-2</v>
      </c>
      <c r="L332" s="42">
        <f t="shared" si="23"/>
        <v>3.1029157804045209E-3</v>
      </c>
    </row>
    <row r="333" spans="1:12" x14ac:dyDescent="0.2">
      <c r="A333" s="25">
        <v>45726</v>
      </c>
      <c r="C333" s="11">
        <v>90.5</v>
      </c>
      <c r="D333" s="11">
        <v>146.44999999999999</v>
      </c>
      <c r="F333" s="21">
        <v>-4.8353125925971706E-3</v>
      </c>
      <c r="G333" s="18"/>
      <c r="H333" s="42">
        <f t="shared" si="20"/>
        <v>8.6937137761926124E-3</v>
      </c>
      <c r="I333" s="43">
        <f t="shared" si="21"/>
        <v>8.2616179001720382E-3</v>
      </c>
      <c r="K333" s="42">
        <f t="shared" si="22"/>
        <v>8.6561410538729261E-3</v>
      </c>
      <c r="L333" s="42">
        <f t="shared" si="23"/>
        <v>8.22767754172175E-3</v>
      </c>
    </row>
    <row r="334" spans="1:12" x14ac:dyDescent="0.2">
      <c r="A334" s="25">
        <v>45727</v>
      </c>
      <c r="C334" s="11">
        <v>88.6</v>
      </c>
      <c r="D334" s="11">
        <v>144.15</v>
      </c>
      <c r="F334" s="21">
        <v>-2.4682415990178602E-2</v>
      </c>
      <c r="G334" s="18"/>
      <c r="H334" s="42">
        <f t="shared" si="20"/>
        <v>-2.099447513812161E-2</v>
      </c>
      <c r="I334" s="43">
        <f t="shared" si="21"/>
        <v>-1.5705018777739728E-2</v>
      </c>
      <c r="K334" s="42">
        <f t="shared" si="22"/>
        <v>-2.1217993094845209E-2</v>
      </c>
      <c r="L334" s="42">
        <f t="shared" si="23"/>
        <v>-1.5829649189331229E-2</v>
      </c>
    </row>
    <row r="335" spans="1:12" x14ac:dyDescent="0.2">
      <c r="A335" s="25">
        <v>45728</v>
      </c>
      <c r="C335" s="11">
        <v>89.04</v>
      </c>
      <c r="D335" s="11">
        <v>147.15</v>
      </c>
      <c r="F335" s="21">
        <v>1.3880982541734701E-2</v>
      </c>
      <c r="G335" s="18"/>
      <c r="H335" s="42">
        <f t="shared" si="20"/>
        <v>4.9661399548534078E-3</v>
      </c>
      <c r="I335" s="43">
        <f t="shared" si="21"/>
        <v>2.081165452653486E-2</v>
      </c>
      <c r="K335" s="42">
        <f t="shared" si="22"/>
        <v>4.9538493562543634E-3</v>
      </c>
      <c r="L335" s="42">
        <f t="shared" si="23"/>
        <v>2.0598050595070614E-2</v>
      </c>
    </row>
    <row r="336" spans="1:12" x14ac:dyDescent="0.2">
      <c r="A336" s="25">
        <v>45729</v>
      </c>
      <c r="C336" s="11">
        <v>89.24</v>
      </c>
      <c r="D336" s="11">
        <v>146.65</v>
      </c>
      <c r="F336" s="21">
        <v>-2.5054536708699598E-3</v>
      </c>
      <c r="G336" s="18"/>
      <c r="H336" s="42">
        <f t="shared" si="20"/>
        <v>2.2461814914643825E-3</v>
      </c>
      <c r="I336" s="43">
        <f t="shared" si="21"/>
        <v>-3.3978933061501867E-3</v>
      </c>
      <c r="K336" s="42">
        <f t="shared" si="22"/>
        <v>2.2436625970421349E-3</v>
      </c>
      <c r="L336" s="42">
        <f t="shared" si="23"/>
        <v>-3.4036792560216975E-3</v>
      </c>
    </row>
    <row r="337" spans="1:12" x14ac:dyDescent="0.2">
      <c r="A337" s="25">
        <v>45730</v>
      </c>
      <c r="C337" s="11">
        <v>89.18</v>
      </c>
      <c r="D337" s="11">
        <v>147.35</v>
      </c>
      <c r="F337" s="20">
        <v>6.2811629770933501E-4</v>
      </c>
      <c r="H337" s="42">
        <f t="shared" si="20"/>
        <v>-6.7234424025087482E-4</v>
      </c>
      <c r="I337" s="43">
        <f t="shared" si="21"/>
        <v>4.7732696897373923E-3</v>
      </c>
      <c r="K337" s="42">
        <f t="shared" si="22"/>
        <v>-6.7257036500102847E-4</v>
      </c>
      <c r="L337" s="42">
        <f t="shared" si="23"/>
        <v>4.7619137602435638E-3</v>
      </c>
    </row>
    <row r="338" spans="1:12" x14ac:dyDescent="0.2">
      <c r="A338" s="25">
        <v>45733</v>
      </c>
      <c r="C338" s="11">
        <v>90.24</v>
      </c>
      <c r="D338" s="11">
        <v>148.6</v>
      </c>
      <c r="F338" s="20">
        <v>1.0940065898833399E-3</v>
      </c>
      <c r="H338" s="42">
        <f t="shared" si="20"/>
        <v>1.1886073110562771E-2</v>
      </c>
      <c r="I338" s="43">
        <f t="shared" si="21"/>
        <v>8.4832032575500507E-3</v>
      </c>
      <c r="K338" s="42">
        <f t="shared" si="22"/>
        <v>1.1815988550418047E-2</v>
      </c>
      <c r="L338" s="42">
        <f t="shared" si="23"/>
        <v>8.4474230999551526E-3</v>
      </c>
    </row>
    <row r="339" spans="1:12" x14ac:dyDescent="0.2">
      <c r="A339" s="25">
        <v>45734</v>
      </c>
      <c r="C339" s="11">
        <v>90.5</v>
      </c>
      <c r="D339" s="11">
        <v>149.15</v>
      </c>
      <c r="F339" s="20">
        <v>3.0522553357337196E-5</v>
      </c>
      <c r="H339" s="42">
        <f t="shared" si="20"/>
        <v>2.8812056737589223E-3</v>
      </c>
      <c r="I339" s="43">
        <f t="shared" si="21"/>
        <v>3.7012113055182464E-3</v>
      </c>
      <c r="K339" s="42">
        <f t="shared" si="22"/>
        <v>2.8770629561316297E-3</v>
      </c>
      <c r="L339" s="42">
        <f t="shared" si="23"/>
        <v>3.6943786770987125E-3</v>
      </c>
    </row>
    <row r="340" spans="1:12" x14ac:dyDescent="0.2">
      <c r="A340" s="25">
        <v>45735</v>
      </c>
      <c r="C340" s="11">
        <v>89.76</v>
      </c>
      <c r="D340" s="11">
        <v>149.1</v>
      </c>
      <c r="F340" s="20">
        <v>-1.62212263074079E-4</v>
      </c>
      <c r="H340" s="42">
        <f t="shared" si="20"/>
        <v>-8.1767955801104412E-3</v>
      </c>
      <c r="I340" s="43">
        <f t="shared" si="21"/>
        <v>-3.3523298692598969E-4</v>
      </c>
      <c r="K340" s="42">
        <f t="shared" si="22"/>
        <v>-8.2104089314941724E-3</v>
      </c>
      <c r="L340" s="42">
        <f t="shared" si="23"/>
        <v>-3.3528919006482516E-4</v>
      </c>
    </row>
    <row r="341" spans="1:12" x14ac:dyDescent="0.2">
      <c r="A341" s="25">
        <v>45736</v>
      </c>
      <c r="C341" s="11">
        <v>91.22</v>
      </c>
      <c r="D341" s="11">
        <v>148.85</v>
      </c>
      <c r="F341" s="20">
        <v>4.30407634132645E-4</v>
      </c>
      <c r="H341" s="42">
        <f t="shared" si="20"/>
        <v>1.626559714795002E-2</v>
      </c>
      <c r="I341" s="43">
        <f t="shared" si="21"/>
        <v>-1.676727028839705E-3</v>
      </c>
      <c r="K341" s="42">
        <f t="shared" si="22"/>
        <v>1.6134729509168052E-2</v>
      </c>
      <c r="L341" s="42">
        <f t="shared" si="23"/>
        <v>-1.6781343089073352E-3</v>
      </c>
    </row>
    <row r="342" spans="1:12" x14ac:dyDescent="0.2">
      <c r="A342" s="25">
        <v>45737</v>
      </c>
      <c r="C342" s="11">
        <v>91.68</v>
      </c>
      <c r="D342" s="11">
        <v>148.44999999999999</v>
      </c>
      <c r="F342" s="20">
        <v>-1.6526018398317299E-4</v>
      </c>
      <c r="H342" s="42">
        <f t="shared" si="20"/>
        <v>5.0427537820654242E-3</v>
      </c>
      <c r="I342" s="43">
        <f t="shared" si="21"/>
        <v>-2.6872690628149528E-3</v>
      </c>
      <c r="K342" s="42">
        <f t="shared" si="22"/>
        <v>5.0300816828751467E-3</v>
      </c>
      <c r="L342" s="42">
        <f t="shared" si="23"/>
        <v>-2.6908862520165799E-3</v>
      </c>
    </row>
    <row r="343" spans="1:12" x14ac:dyDescent="0.2">
      <c r="A343" s="25">
        <v>45740</v>
      </c>
      <c r="C343" s="11">
        <v>89.6</v>
      </c>
      <c r="D343" s="11">
        <v>150.30000000000001</v>
      </c>
      <c r="F343" s="20">
        <v>-5.7488709704618299E-4</v>
      </c>
      <c r="H343" s="42">
        <f t="shared" si="20"/>
        <v>-2.2687609075043764E-2</v>
      </c>
      <c r="I343" s="43">
        <f t="shared" si="21"/>
        <v>1.2462108454025077E-2</v>
      </c>
      <c r="K343" s="42">
        <f t="shared" si="22"/>
        <v>-2.2948932985544766E-2</v>
      </c>
      <c r="L343" s="42">
        <f t="shared" si="23"/>
        <v>1.2385095549160138E-2</v>
      </c>
    </row>
    <row r="344" spans="1:12" x14ac:dyDescent="0.2">
      <c r="A344" s="25">
        <v>45741</v>
      </c>
      <c r="C344" s="11">
        <v>88.84</v>
      </c>
      <c r="D344" s="11">
        <v>152.1</v>
      </c>
      <c r="F344" s="20">
        <v>9.9367047062059991E-5</v>
      </c>
      <c r="H344" s="42">
        <f t="shared" si="20"/>
        <v>-8.4821428571427559E-3</v>
      </c>
      <c r="I344" s="43">
        <f t="shared" si="21"/>
        <v>1.1976047904191503E-2</v>
      </c>
      <c r="K344" s="42">
        <f t="shared" si="22"/>
        <v>-8.5183209546580065E-3</v>
      </c>
      <c r="L344" s="42">
        <f t="shared" si="23"/>
        <v>1.1904902506318239E-2</v>
      </c>
    </row>
    <row r="345" spans="1:12" x14ac:dyDescent="0.2">
      <c r="A345" s="25">
        <v>45742</v>
      </c>
      <c r="C345" s="11">
        <v>88.94</v>
      </c>
      <c r="D345" s="11">
        <v>152.6</v>
      </c>
      <c r="F345" s="20">
        <v>-4.5610936268586301E-4</v>
      </c>
      <c r="H345" s="42">
        <f t="shared" si="20"/>
        <v>1.1256190904997108E-3</v>
      </c>
      <c r="I345" s="43">
        <f t="shared" si="21"/>
        <v>3.2873109796186721E-3</v>
      </c>
      <c r="K345" s="42">
        <f t="shared" si="22"/>
        <v>1.1249860563237175E-3</v>
      </c>
      <c r="L345" s="42">
        <f t="shared" si="23"/>
        <v>3.2819195851095505E-3</v>
      </c>
    </row>
    <row r="346" spans="1:12" x14ac:dyDescent="0.2">
      <c r="A346" s="25">
        <v>45743</v>
      </c>
      <c r="C346" s="11">
        <v>89.54</v>
      </c>
      <c r="D346" s="11">
        <v>152.25</v>
      </c>
      <c r="F346" s="20">
        <v>-6.6829439006730294E-4</v>
      </c>
      <c r="H346" s="42">
        <f t="shared" si="20"/>
        <v>6.7461209804363454E-3</v>
      </c>
      <c r="I346" s="43">
        <f t="shared" si="21"/>
        <v>-2.293577981651339E-3</v>
      </c>
      <c r="K346" s="42">
        <f t="shared" si="22"/>
        <v>6.7234677302690895E-3</v>
      </c>
      <c r="L346" s="42">
        <f t="shared" si="23"/>
        <v>-2.2962122603501565E-3</v>
      </c>
    </row>
    <row r="347" spans="1:12" x14ac:dyDescent="0.2">
      <c r="A347" s="25">
        <v>45744</v>
      </c>
      <c r="C347" s="11">
        <v>90.24</v>
      </c>
      <c r="D347" s="11">
        <v>151.55000000000001</v>
      </c>
      <c r="F347" s="20">
        <v>-2.0825280749401301E-4</v>
      </c>
      <c r="H347" s="42">
        <f t="shared" si="20"/>
        <v>7.8177350904622359E-3</v>
      </c>
      <c r="I347" s="43">
        <f t="shared" si="21"/>
        <v>-4.5977011494252127E-3</v>
      </c>
      <c r="K347" s="42">
        <f t="shared" si="22"/>
        <v>7.7873349369291713E-3</v>
      </c>
      <c r="L347" s="42">
        <f t="shared" si="23"/>
        <v>-4.6083030861942187E-3</v>
      </c>
    </row>
    <row r="348" spans="1:12" x14ac:dyDescent="0.2">
      <c r="A348" s="25">
        <v>45747</v>
      </c>
      <c r="C348" s="11">
        <v>89.34</v>
      </c>
      <c r="D348" s="11">
        <v>150</v>
      </c>
      <c r="F348" s="20">
        <v>-1.88712690671397E-3</v>
      </c>
      <c r="H348" s="42">
        <f t="shared" si="20"/>
        <v>-9.9734042553190558E-3</v>
      </c>
      <c r="I348" s="43">
        <f t="shared" si="21"/>
        <v>-1.0227647641042635E-2</v>
      </c>
      <c r="K348" s="42">
        <f t="shared" si="22"/>
        <v>-1.0023471825776006E-2</v>
      </c>
      <c r="L348" s="42">
        <f t="shared" si="23"/>
        <v>-1.0280309407556519E-2</v>
      </c>
    </row>
    <row r="349" spans="1:12" x14ac:dyDescent="0.2">
      <c r="A349" s="25">
        <v>45748</v>
      </c>
      <c r="C349" s="11">
        <v>90.16</v>
      </c>
      <c r="D349" s="11">
        <v>152.1</v>
      </c>
      <c r="F349" s="20">
        <v>7.0250614896676296E-4</v>
      </c>
      <c r="H349" s="42">
        <f t="shared" si="20"/>
        <v>9.1784195209311976E-3</v>
      </c>
      <c r="I349" s="43">
        <f t="shared" si="21"/>
        <v>1.3999999999999962E-2</v>
      </c>
      <c r="K349" s="42">
        <f t="shared" si="22"/>
        <v>9.1365538075482058E-3</v>
      </c>
      <c r="L349" s="42">
        <f t="shared" si="23"/>
        <v>1.3902905168991434E-2</v>
      </c>
    </row>
    <row r="350" spans="1:12" x14ac:dyDescent="0.2">
      <c r="A350" s="25">
        <v>45749</v>
      </c>
      <c r="C350" s="11">
        <v>89.8</v>
      </c>
      <c r="D350" s="11">
        <v>152</v>
      </c>
      <c r="F350" s="20">
        <v>-7.7491754141497608E-4</v>
      </c>
      <c r="H350" s="42">
        <f t="shared" si="20"/>
        <v>-3.9929015084294523E-3</v>
      </c>
      <c r="I350" s="43">
        <f t="shared" si="21"/>
        <v>-6.5746219592369701E-4</v>
      </c>
      <c r="K350" s="42">
        <f t="shared" si="22"/>
        <v>-4.0008944233669418E-3</v>
      </c>
      <c r="L350" s="42">
        <f t="shared" si="23"/>
        <v>-6.5767841897071194E-4</v>
      </c>
    </row>
    <row r="351" spans="1:12" x14ac:dyDescent="0.2">
      <c r="A351" s="25">
        <v>45750</v>
      </c>
      <c r="C351" s="11">
        <v>90.66</v>
      </c>
      <c r="D351" s="11">
        <v>149.94999999999999</v>
      </c>
      <c r="F351" s="20">
        <v>-2.4533250198025599E-3</v>
      </c>
      <c r="H351" s="42">
        <f t="shared" si="20"/>
        <v>9.5768374164810627E-3</v>
      </c>
      <c r="I351" s="43">
        <f t="shared" si="21"/>
        <v>-1.3486842105263233E-2</v>
      </c>
      <c r="K351" s="42">
        <f t="shared" si="22"/>
        <v>9.5312702045492904E-3</v>
      </c>
      <c r="L351" s="42">
        <f t="shared" si="23"/>
        <v>-1.3578615651258322E-2</v>
      </c>
    </row>
    <row r="352" spans="1:12" x14ac:dyDescent="0.2">
      <c r="A352" s="25">
        <v>45751</v>
      </c>
      <c r="C352" s="11">
        <v>87.36</v>
      </c>
      <c r="D352" s="11">
        <v>138.69999999999999</v>
      </c>
      <c r="F352" s="20">
        <v>-5.1357646473176406E-3</v>
      </c>
      <c r="H352" s="42">
        <f t="shared" si="20"/>
        <v>-3.6399735274652519E-2</v>
      </c>
      <c r="I352" s="43">
        <f t="shared" si="21"/>
        <v>-7.5025008336112045E-2</v>
      </c>
      <c r="K352" s="42">
        <f t="shared" si="22"/>
        <v>-3.7078733516108311E-2</v>
      </c>
      <c r="L352" s="42">
        <f t="shared" si="23"/>
        <v>-7.798857787423219E-2</v>
      </c>
    </row>
    <row r="353" spans="1:16" x14ac:dyDescent="0.2">
      <c r="A353" s="25">
        <v>45754</v>
      </c>
      <c r="C353" s="11">
        <v>83.62</v>
      </c>
      <c r="D353" s="11">
        <v>129.80000000000001</v>
      </c>
      <c r="F353" s="20">
        <v>-5.1623698317589499E-3</v>
      </c>
      <c r="H353" s="42">
        <f t="shared" si="20"/>
        <v>-4.2811355311355256E-2</v>
      </c>
      <c r="I353" s="43">
        <f t="shared" si="21"/>
        <v>-6.4167267483777782E-2</v>
      </c>
      <c r="K353" s="42">
        <f t="shared" si="22"/>
        <v>-4.3754786068175913E-2</v>
      </c>
      <c r="L353" s="42">
        <f t="shared" si="23"/>
        <v>-6.6318523050796108E-2</v>
      </c>
    </row>
    <row r="354" spans="1:16" x14ac:dyDescent="0.2">
      <c r="A354" s="25">
        <v>45755</v>
      </c>
      <c r="C354" s="11">
        <v>85.27</v>
      </c>
      <c r="D354" s="11">
        <v>137.30000000000001</v>
      </c>
      <c r="F354" s="20">
        <v>2.8209249050352198E-3</v>
      </c>
      <c r="H354" s="42">
        <f t="shared" si="20"/>
        <v>1.9732121502032903E-2</v>
      </c>
      <c r="I354" s="43">
        <f t="shared" si="21"/>
        <v>5.7781201848998452E-2</v>
      </c>
      <c r="K354" s="42">
        <f t="shared" si="22"/>
        <v>1.9539966825539219E-2</v>
      </c>
      <c r="L354" s="42">
        <f t="shared" si="23"/>
        <v>5.6173508503935772E-2</v>
      </c>
    </row>
    <row r="355" spans="1:16" x14ac:dyDescent="0.2">
      <c r="A355" s="25">
        <v>45756</v>
      </c>
      <c r="C355" s="11">
        <v>83.25</v>
      </c>
      <c r="D355" s="11">
        <v>130.69999999999999</v>
      </c>
      <c r="F355" s="20">
        <v>-4.1498510656927797E-3</v>
      </c>
      <c r="H355" s="42">
        <f t="shared" si="20"/>
        <v>-2.3689457018881154E-2</v>
      </c>
      <c r="I355" s="43">
        <f t="shared" si="21"/>
        <v>-4.8069919883467024E-2</v>
      </c>
      <c r="K355" s="42">
        <f t="shared" si="22"/>
        <v>-2.3974563893404952E-2</v>
      </c>
      <c r="L355" s="42">
        <f t="shared" si="23"/>
        <v>-4.9263692143749233E-2</v>
      </c>
    </row>
    <row r="356" spans="1:16" x14ac:dyDescent="0.2">
      <c r="A356" s="25">
        <v>45757</v>
      </c>
      <c r="C356" s="11">
        <v>84.3</v>
      </c>
      <c r="D356" s="11">
        <v>139.19999999999999</v>
      </c>
      <c r="F356" s="20">
        <v>3.2776443617268097E-3</v>
      </c>
      <c r="H356" s="42">
        <f t="shared" si="20"/>
        <v>1.2612612612612579E-2</v>
      </c>
      <c r="I356" s="43">
        <f t="shared" si="21"/>
        <v>6.5034429992348902E-2</v>
      </c>
      <c r="K356" s="42">
        <f t="shared" si="22"/>
        <v>1.2533736147256436E-2</v>
      </c>
      <c r="L356" s="42">
        <f t="shared" si="23"/>
        <v>6.3007127270142987E-2</v>
      </c>
    </row>
    <row r="357" spans="1:16" x14ac:dyDescent="0.2">
      <c r="A357" s="25">
        <v>45758</v>
      </c>
      <c r="C357" s="11">
        <v>84.98</v>
      </c>
      <c r="D357" s="11">
        <v>138.05000000000001</v>
      </c>
      <c r="F357" s="20">
        <v>-4.2338165750577204E-5</v>
      </c>
      <c r="H357" s="42">
        <f t="shared" si="20"/>
        <v>8.0664294187426672E-3</v>
      </c>
      <c r="I357" s="43">
        <f t="shared" si="21"/>
        <v>-8.2614942528734005E-3</v>
      </c>
      <c r="K357" s="42">
        <f t="shared" si="22"/>
        <v>8.0340696788558427E-3</v>
      </c>
      <c r="L357" s="42">
        <f t="shared" si="23"/>
        <v>-8.2958095241556402E-3</v>
      </c>
    </row>
    <row r="358" spans="1:16" x14ac:dyDescent="0.2">
      <c r="A358" s="25">
        <v>45761</v>
      </c>
      <c r="C358" s="11">
        <v>86.05</v>
      </c>
      <c r="D358" s="11">
        <v>141.9</v>
      </c>
      <c r="F358" s="20">
        <v>2.3098655162413001E-3</v>
      </c>
      <c r="H358" s="42">
        <f t="shared" si="20"/>
        <v>1.2591197928924372E-2</v>
      </c>
      <c r="I358" s="43">
        <f t="shared" si="21"/>
        <v>2.78884462151394E-2</v>
      </c>
      <c r="K358" s="42">
        <f t="shared" si="22"/>
        <v>1.2512587970882845E-2</v>
      </c>
      <c r="L358" s="42">
        <f t="shared" si="23"/>
        <v>2.7506645789833514E-2</v>
      </c>
    </row>
    <row r="359" spans="1:16" x14ac:dyDescent="0.2">
      <c r="A359" s="25">
        <v>45762</v>
      </c>
      <c r="C359" s="11">
        <v>86.38</v>
      </c>
      <c r="D359" s="11">
        <v>139.80000000000001</v>
      </c>
      <c r="F359" s="20">
        <v>9.5991117067377701E-4</v>
      </c>
      <c r="H359" s="42">
        <f t="shared" si="20"/>
        <v>3.8349796629866158E-3</v>
      </c>
      <c r="I359" s="43">
        <f t="shared" si="21"/>
        <v>-1.4799154334038014E-2</v>
      </c>
      <c r="K359" s="42">
        <f t="shared" si="22"/>
        <v>3.827644875006626E-3</v>
      </c>
      <c r="L359" s="42">
        <f t="shared" si="23"/>
        <v>-1.4909754366287038E-2</v>
      </c>
    </row>
    <row r="360" spans="1:16" x14ac:dyDescent="0.2">
      <c r="A360" s="25">
        <v>45763</v>
      </c>
      <c r="C360" s="11">
        <v>86.8</v>
      </c>
      <c r="D360" s="11">
        <v>140.15</v>
      </c>
      <c r="F360" s="20">
        <v>-9.66365002101454E-5</v>
      </c>
      <c r="H360" s="42">
        <f t="shared" si="20"/>
        <v>4.862236628849291E-3</v>
      </c>
      <c r="I360" s="43">
        <f t="shared" si="21"/>
        <v>2.5035765379112611E-3</v>
      </c>
      <c r="K360" s="42">
        <f t="shared" si="22"/>
        <v>4.8504541337494799E-3</v>
      </c>
      <c r="L360" s="42">
        <f t="shared" si="23"/>
        <v>2.5004478110874353E-3</v>
      </c>
    </row>
    <row r="361" spans="1:16" x14ac:dyDescent="0.2">
      <c r="A361" s="25">
        <v>45764</v>
      </c>
      <c r="C361" s="11">
        <v>87.98</v>
      </c>
      <c r="D361" s="11">
        <v>141.80000000000001</v>
      </c>
      <c r="F361" s="20">
        <v>5.3749304103858301E-4</v>
      </c>
      <c r="H361" s="42">
        <f t="shared" si="20"/>
        <v>1.3594470046083029E-2</v>
      </c>
      <c r="I361" s="43">
        <f t="shared" si="21"/>
        <v>1.1773100249732469E-2</v>
      </c>
      <c r="K361" s="42">
        <f t="shared" si="22"/>
        <v>1.3502894254269314E-2</v>
      </c>
      <c r="L361" s="42">
        <f t="shared" si="23"/>
        <v>1.1704336487229957E-2</v>
      </c>
    </row>
    <row r="362" spans="1:16" x14ac:dyDescent="0.2">
      <c r="A362" s="25">
        <v>45769</v>
      </c>
      <c r="C362" s="11">
        <v>86.66</v>
      </c>
      <c r="D362" s="11">
        <v>143.6</v>
      </c>
      <c r="F362" s="20">
        <v>-1.2558773992091802E-4</v>
      </c>
      <c r="H362" s="42">
        <f t="shared" si="20"/>
        <v>-1.5003409865878692E-2</v>
      </c>
      <c r="I362" s="43">
        <f t="shared" si="21"/>
        <v>1.2693935119887043E-2</v>
      </c>
      <c r="K362" s="42">
        <f t="shared" si="22"/>
        <v>-1.5117099608810412E-2</v>
      </c>
      <c r="L362" s="42">
        <f t="shared" si="23"/>
        <v>1.2614042516096664E-2</v>
      </c>
    </row>
    <row r="363" spans="1:16" x14ac:dyDescent="0.2">
      <c r="A363" s="25">
        <v>45770</v>
      </c>
      <c r="C363" s="11">
        <v>87.4</v>
      </c>
      <c r="D363" s="11">
        <v>145.1</v>
      </c>
      <c r="F363" s="20">
        <v>1.3943472256540499E-3</v>
      </c>
      <c r="H363" s="42">
        <f t="shared" si="20"/>
        <v>8.5391183937226986E-3</v>
      </c>
      <c r="I363" s="43">
        <f t="shared" si="21"/>
        <v>1.0445682451253482E-2</v>
      </c>
      <c r="K363" s="42">
        <f t="shared" si="22"/>
        <v>8.5028663497265112E-3</v>
      </c>
      <c r="L363" s="42">
        <f t="shared" si="23"/>
        <v>1.0391503276018418E-2</v>
      </c>
      <c r="P363">
        <f xml:space="preserve"> E372 * -Option_Portfolio!B5* Option_Portfolio!I4 * Underlying_Assets!D365</f>
        <v>0</v>
      </c>
    </row>
    <row r="364" spans="1:16" x14ac:dyDescent="0.2">
      <c r="A364" s="25">
        <v>45771</v>
      </c>
      <c r="C364" s="11">
        <v>87.44</v>
      </c>
      <c r="D364" s="11">
        <v>144.75</v>
      </c>
      <c r="F364" s="20">
        <v>9.2201147434214307E-4</v>
      </c>
      <c r="H364" s="42">
        <f t="shared" si="20"/>
        <v>4.5766590389006908E-4</v>
      </c>
      <c r="I364" s="43">
        <f t="shared" si="21"/>
        <v>-2.412129565816639E-3</v>
      </c>
      <c r="K364" s="42">
        <f t="shared" si="22"/>
        <v>4.5756120679314342E-4</v>
      </c>
      <c r="L364" s="42">
        <f t="shared" si="23"/>
        <v>-2.4150434370374604E-3</v>
      </c>
    </row>
    <row r="365" spans="1:16" x14ac:dyDescent="0.2">
      <c r="A365" s="25">
        <v>45772</v>
      </c>
      <c r="C365" s="11">
        <v>85.74</v>
      </c>
      <c r="D365" s="11">
        <v>144.80000000000001</v>
      </c>
      <c r="F365" s="20">
        <v>2.0526308537858101E-4</v>
      </c>
      <c r="H365" s="42">
        <f t="shared" si="20"/>
        <v>-1.9441903019213207E-2</v>
      </c>
      <c r="I365" s="43">
        <f t="shared" si="21"/>
        <v>3.4542314335068302E-4</v>
      </c>
      <c r="K365" s="42">
        <f t="shared" si="22"/>
        <v>-1.9633382698452134E-2</v>
      </c>
      <c r="L365" s="42">
        <f t="shared" si="23"/>
        <v>3.4536349851138268E-4</v>
      </c>
    </row>
    <row r="366" spans="1:16" x14ac:dyDescent="0.2">
      <c r="H366" s="42" t="s">
        <v>79</v>
      </c>
      <c r="I366" s="43" t="s">
        <v>79</v>
      </c>
      <c r="J366" t="s">
        <v>73</v>
      </c>
      <c r="K366" t="s">
        <v>73</v>
      </c>
      <c r="L366"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E8BFB-EAD0-CF4E-9672-D5CA9D29109D}">
  <dimension ref="A3:U645"/>
  <sheetViews>
    <sheetView tabSelected="1" topLeftCell="A366" zoomScale="92" workbookViewId="0">
      <selection activeCell="D389" sqref="D389"/>
    </sheetView>
  </sheetViews>
  <sheetFormatPr baseColWidth="10" defaultColWidth="8.83203125" defaultRowHeight="15" x14ac:dyDescent="0.2"/>
  <cols>
    <col min="1" max="1" width="12.6640625" customWidth="1"/>
    <col min="2" max="2" width="17.83203125" customWidth="1"/>
    <col min="3" max="3" width="14.1640625" customWidth="1"/>
    <col min="4" max="4" width="21.83203125" customWidth="1"/>
    <col min="5" max="5" width="25.5" customWidth="1"/>
    <col min="6" max="6" width="21.83203125" customWidth="1"/>
    <col min="7" max="7" width="17.33203125" customWidth="1"/>
    <col min="8" max="8" width="19.6640625" customWidth="1"/>
    <col min="9" max="9" width="20.6640625" customWidth="1"/>
    <col min="10" max="10" width="13.83203125" customWidth="1"/>
    <col min="11" max="11" width="18.1640625" customWidth="1"/>
    <col min="12" max="12" width="22.33203125" customWidth="1"/>
    <col min="13" max="14" width="20.83203125" bestFit="1" customWidth="1"/>
    <col min="15" max="15" width="15.83203125" customWidth="1"/>
    <col min="16" max="16" width="17" customWidth="1"/>
    <col min="17" max="17" width="15.1640625" customWidth="1"/>
    <col min="18" max="18" width="33.6640625" customWidth="1"/>
    <col min="19" max="19" width="16.83203125" customWidth="1"/>
    <col min="20" max="20" width="17.6640625" customWidth="1"/>
    <col min="21" max="21" width="17.33203125" customWidth="1"/>
  </cols>
  <sheetData>
    <row r="3" spans="1:21" x14ac:dyDescent="0.2">
      <c r="B3" s="48" t="s">
        <v>122</v>
      </c>
    </row>
    <row r="5" spans="1:21" x14ac:dyDescent="0.2">
      <c r="O5" t="s">
        <v>31</v>
      </c>
      <c r="R5" t="s">
        <v>33</v>
      </c>
      <c r="S5" t="s">
        <v>35</v>
      </c>
      <c r="T5" t="s">
        <v>36</v>
      </c>
      <c r="U5" t="s">
        <v>38</v>
      </c>
    </row>
    <row r="6" spans="1:21" ht="16" x14ac:dyDescent="0.2">
      <c r="D6" s="4"/>
      <c r="E6" s="4"/>
      <c r="F6" s="4"/>
      <c r="O6" t="s">
        <v>32</v>
      </c>
      <c r="R6" t="s">
        <v>34</v>
      </c>
      <c r="S6">
        <v>2.33</v>
      </c>
      <c r="T6" t="s">
        <v>37</v>
      </c>
      <c r="U6">
        <f>_xlfn.VAR.S(Underlying_Assets!F8:F365)</f>
        <v>4.8388208721311859E-5</v>
      </c>
    </row>
    <row r="7" spans="1:21" x14ac:dyDescent="0.2">
      <c r="A7" s="14" t="s">
        <v>13</v>
      </c>
      <c r="B7" s="29"/>
      <c r="C7" s="29"/>
      <c r="G7" s="29"/>
      <c r="T7" t="s">
        <v>40</v>
      </c>
    </row>
    <row r="8" spans="1:21" x14ac:dyDescent="0.2">
      <c r="A8" s="25">
        <v>45232</v>
      </c>
      <c r="B8" s="25"/>
      <c r="C8" s="25"/>
    </row>
    <row r="9" spans="1:21" x14ac:dyDescent="0.2">
      <c r="A9" s="25">
        <v>45233</v>
      </c>
      <c r="B9" s="25"/>
      <c r="C9" s="25"/>
    </row>
    <row r="10" spans="1:21" x14ac:dyDescent="0.2">
      <c r="A10" s="25">
        <v>45236</v>
      </c>
      <c r="B10" s="25"/>
      <c r="C10" s="25"/>
    </row>
    <row r="11" spans="1:21" x14ac:dyDescent="0.2">
      <c r="A11" s="25">
        <v>45237</v>
      </c>
      <c r="B11" s="25"/>
      <c r="C11" s="25"/>
    </row>
    <row r="12" spans="1:21" x14ac:dyDescent="0.2">
      <c r="A12" s="25">
        <v>45238</v>
      </c>
      <c r="B12" s="25"/>
      <c r="C12" s="25"/>
    </row>
    <row r="13" spans="1:21" x14ac:dyDescent="0.2">
      <c r="A13" s="25">
        <v>45239</v>
      </c>
      <c r="B13" s="25"/>
      <c r="C13" s="25"/>
    </row>
    <row r="14" spans="1:21" x14ac:dyDescent="0.2">
      <c r="A14" s="25">
        <v>45240</v>
      </c>
      <c r="B14" s="25"/>
      <c r="C14" s="25"/>
    </row>
    <row r="15" spans="1:21" x14ac:dyDescent="0.2">
      <c r="A15" s="25">
        <v>45243</v>
      </c>
      <c r="B15" s="25"/>
      <c r="C15" s="25"/>
    </row>
    <row r="16" spans="1:21" x14ac:dyDescent="0.2">
      <c r="A16" s="25">
        <v>45244</v>
      </c>
      <c r="B16" s="25"/>
      <c r="C16" s="25"/>
    </row>
    <row r="17" spans="1:13" x14ac:dyDescent="0.2">
      <c r="A17" s="25">
        <v>45245</v>
      </c>
      <c r="B17" s="25"/>
      <c r="C17" s="25"/>
    </row>
    <row r="18" spans="1:13" x14ac:dyDescent="0.2">
      <c r="A18" s="25">
        <v>45246</v>
      </c>
      <c r="B18" s="25"/>
      <c r="C18" s="25"/>
    </row>
    <row r="19" spans="1:13" x14ac:dyDescent="0.2">
      <c r="A19" s="25">
        <v>45247</v>
      </c>
      <c r="B19" s="25"/>
      <c r="C19" s="25"/>
    </row>
    <row r="20" spans="1:13" x14ac:dyDescent="0.2">
      <c r="A20" s="25">
        <v>45250</v>
      </c>
      <c r="B20" s="25"/>
      <c r="C20" s="25"/>
    </row>
    <row r="21" spans="1:13" x14ac:dyDescent="0.2">
      <c r="A21" s="25">
        <v>45251</v>
      </c>
      <c r="B21" s="25"/>
      <c r="C21" s="25"/>
    </row>
    <row r="22" spans="1:13" x14ac:dyDescent="0.2">
      <c r="A22" s="25">
        <v>45252</v>
      </c>
      <c r="B22" s="25"/>
      <c r="C22" s="25"/>
      <c r="K22" s="31"/>
    </row>
    <row r="23" spans="1:13" x14ac:dyDescent="0.2">
      <c r="A23" s="25">
        <v>45254</v>
      </c>
      <c r="B23" s="25"/>
      <c r="C23" s="25"/>
    </row>
    <row r="24" spans="1:13" ht="16" x14ac:dyDescent="0.2">
      <c r="A24" s="25">
        <v>45257</v>
      </c>
      <c r="B24" s="25"/>
      <c r="C24" s="25"/>
      <c r="J24" s="4"/>
      <c r="K24" s="4"/>
      <c r="L24" s="4"/>
    </row>
    <row r="25" spans="1:13" x14ac:dyDescent="0.2">
      <c r="A25" s="25">
        <v>45258</v>
      </c>
      <c r="B25" s="25"/>
      <c r="C25" s="25"/>
      <c r="K25" s="29"/>
      <c r="M25" s="29"/>
    </row>
    <row r="26" spans="1:13" x14ac:dyDescent="0.2">
      <c r="A26" s="25">
        <v>45259</v>
      </c>
      <c r="B26" s="25"/>
      <c r="C26" s="25"/>
    </row>
    <row r="27" spans="1:13" x14ac:dyDescent="0.2">
      <c r="A27" s="25">
        <v>45260</v>
      </c>
      <c r="B27" s="25"/>
      <c r="C27" s="25"/>
    </row>
    <row r="28" spans="1:13" x14ac:dyDescent="0.2">
      <c r="A28" s="25">
        <v>45261</v>
      </c>
      <c r="B28" s="25"/>
      <c r="C28" s="25"/>
    </row>
    <row r="29" spans="1:13" x14ac:dyDescent="0.2">
      <c r="A29" s="25">
        <v>45264</v>
      </c>
      <c r="B29" s="25"/>
      <c r="C29" s="25"/>
    </row>
    <row r="30" spans="1:13" x14ac:dyDescent="0.2">
      <c r="A30" s="25">
        <v>45265</v>
      </c>
      <c r="B30" s="25"/>
      <c r="C30" s="25"/>
    </row>
    <row r="31" spans="1:13" x14ac:dyDescent="0.2">
      <c r="A31" s="25">
        <v>45266</v>
      </c>
      <c r="B31" s="25"/>
      <c r="C31" s="25"/>
    </row>
    <row r="32" spans="1:13" x14ac:dyDescent="0.2">
      <c r="A32" s="25">
        <v>45267</v>
      </c>
      <c r="B32" s="25"/>
      <c r="C32" s="25"/>
    </row>
    <row r="33" spans="1:3" x14ac:dyDescent="0.2">
      <c r="A33" s="25">
        <v>45268</v>
      </c>
      <c r="B33" s="25"/>
      <c r="C33" s="25"/>
    </row>
    <row r="34" spans="1:3" x14ac:dyDescent="0.2">
      <c r="A34" s="25">
        <v>45271</v>
      </c>
      <c r="B34" s="25"/>
      <c r="C34" s="25"/>
    </row>
    <row r="35" spans="1:3" x14ac:dyDescent="0.2">
      <c r="A35" s="25">
        <v>45272</v>
      </c>
      <c r="B35" s="25"/>
      <c r="C35" s="25"/>
    </row>
    <row r="36" spans="1:3" x14ac:dyDescent="0.2">
      <c r="A36" s="25">
        <v>45273</v>
      </c>
      <c r="B36" s="25"/>
      <c r="C36" s="25"/>
    </row>
    <row r="37" spans="1:3" x14ac:dyDescent="0.2">
      <c r="A37" s="25">
        <v>45274</v>
      </c>
      <c r="B37" s="25"/>
      <c r="C37" s="25"/>
    </row>
    <row r="38" spans="1:3" x14ac:dyDescent="0.2">
      <c r="A38" s="25">
        <v>45275</v>
      </c>
      <c r="B38" s="25"/>
      <c r="C38" s="25"/>
    </row>
    <row r="39" spans="1:3" x14ac:dyDescent="0.2">
      <c r="A39" s="25">
        <v>45278</v>
      </c>
      <c r="B39" s="25"/>
      <c r="C39" s="25"/>
    </row>
    <row r="40" spans="1:3" x14ac:dyDescent="0.2">
      <c r="A40" s="25">
        <v>45279</v>
      </c>
      <c r="B40" s="25"/>
      <c r="C40" s="25"/>
    </row>
    <row r="41" spans="1:3" x14ac:dyDescent="0.2">
      <c r="A41" s="25">
        <v>45280</v>
      </c>
      <c r="B41" s="25"/>
      <c r="C41" s="25"/>
    </row>
    <row r="42" spans="1:3" x14ac:dyDescent="0.2">
      <c r="A42" s="25">
        <v>45281</v>
      </c>
      <c r="B42" s="25"/>
      <c r="C42" s="25"/>
    </row>
    <row r="43" spans="1:3" x14ac:dyDescent="0.2">
      <c r="A43" s="25">
        <v>45282</v>
      </c>
      <c r="B43" s="25"/>
      <c r="C43" s="25"/>
    </row>
    <row r="44" spans="1:3" x14ac:dyDescent="0.2">
      <c r="A44" s="25">
        <v>45287</v>
      </c>
      <c r="B44" s="25"/>
      <c r="C44" s="25"/>
    </row>
    <row r="45" spans="1:3" x14ac:dyDescent="0.2">
      <c r="A45" s="25">
        <v>45288</v>
      </c>
      <c r="B45" s="25"/>
      <c r="C45" s="25"/>
    </row>
    <row r="46" spans="1:3" x14ac:dyDescent="0.2">
      <c r="A46" s="25">
        <v>45289</v>
      </c>
      <c r="B46" s="25"/>
      <c r="C46" s="25"/>
    </row>
    <row r="47" spans="1:3" x14ac:dyDescent="0.2">
      <c r="A47" s="25">
        <v>45294</v>
      </c>
      <c r="B47" s="25"/>
      <c r="C47" s="25"/>
    </row>
    <row r="48" spans="1:3" x14ac:dyDescent="0.2">
      <c r="A48" s="25">
        <v>45295</v>
      </c>
      <c r="B48" s="25"/>
      <c r="C48" s="25"/>
    </row>
    <row r="49" spans="1:3" x14ac:dyDescent="0.2">
      <c r="A49" s="25">
        <v>45296</v>
      </c>
      <c r="B49" s="25"/>
      <c r="C49" s="25"/>
    </row>
    <row r="50" spans="1:3" x14ac:dyDescent="0.2">
      <c r="A50" s="25">
        <v>45299</v>
      </c>
      <c r="B50" s="25"/>
      <c r="C50" s="25"/>
    </row>
    <row r="51" spans="1:3" x14ac:dyDescent="0.2">
      <c r="A51" s="25">
        <v>45300</v>
      </c>
      <c r="B51" s="25"/>
      <c r="C51" s="25"/>
    </row>
    <row r="52" spans="1:3" x14ac:dyDescent="0.2">
      <c r="A52" s="25">
        <v>45301</v>
      </c>
      <c r="B52" s="25"/>
      <c r="C52" s="25"/>
    </row>
    <row r="53" spans="1:3" x14ac:dyDescent="0.2">
      <c r="A53" s="25">
        <v>45302</v>
      </c>
      <c r="B53" s="25"/>
      <c r="C53" s="25"/>
    </row>
    <row r="54" spans="1:3" x14ac:dyDescent="0.2">
      <c r="A54" s="25">
        <v>45303</v>
      </c>
      <c r="B54" s="25"/>
      <c r="C54" s="25"/>
    </row>
    <row r="55" spans="1:3" x14ac:dyDescent="0.2">
      <c r="A55" s="25">
        <v>45307</v>
      </c>
      <c r="B55" s="25"/>
      <c r="C55" s="25"/>
    </row>
    <row r="56" spans="1:3" x14ac:dyDescent="0.2">
      <c r="A56" s="25">
        <v>45308</v>
      </c>
      <c r="B56" s="25"/>
      <c r="C56" s="25"/>
    </row>
    <row r="57" spans="1:3" x14ac:dyDescent="0.2">
      <c r="A57" s="25">
        <v>45309</v>
      </c>
      <c r="B57" s="25"/>
      <c r="C57" s="25"/>
    </row>
    <row r="58" spans="1:3" x14ac:dyDescent="0.2">
      <c r="A58" s="25">
        <v>45310</v>
      </c>
      <c r="B58" s="25"/>
      <c r="C58" s="25"/>
    </row>
    <row r="59" spans="1:3" x14ac:dyDescent="0.2">
      <c r="A59" s="25">
        <v>45313</v>
      </c>
      <c r="B59" s="25"/>
      <c r="C59" s="25"/>
    </row>
    <row r="60" spans="1:3" x14ac:dyDescent="0.2">
      <c r="A60" s="25">
        <v>45314</v>
      </c>
      <c r="B60" s="25"/>
      <c r="C60" s="25"/>
    </row>
    <row r="61" spans="1:3" x14ac:dyDescent="0.2">
      <c r="A61" s="25">
        <v>45315</v>
      </c>
      <c r="B61" s="25"/>
      <c r="C61" s="25"/>
    </row>
    <row r="62" spans="1:3" x14ac:dyDescent="0.2">
      <c r="A62" s="25">
        <v>45316</v>
      </c>
      <c r="B62" s="25"/>
      <c r="C62" s="25"/>
    </row>
    <row r="63" spans="1:3" x14ac:dyDescent="0.2">
      <c r="A63" s="25">
        <v>45317</v>
      </c>
      <c r="B63" s="25"/>
      <c r="C63" s="25"/>
    </row>
    <row r="64" spans="1:3" x14ac:dyDescent="0.2">
      <c r="A64" s="25">
        <v>45320</v>
      </c>
      <c r="B64" s="25"/>
      <c r="C64" s="25"/>
    </row>
    <row r="65" spans="1:3" x14ac:dyDescent="0.2">
      <c r="A65" s="25">
        <v>45321</v>
      </c>
      <c r="B65" s="25"/>
      <c r="C65" s="25"/>
    </row>
    <row r="66" spans="1:3" x14ac:dyDescent="0.2">
      <c r="A66" s="25">
        <v>45322</v>
      </c>
      <c r="B66" s="25"/>
      <c r="C66" s="25"/>
    </row>
    <row r="67" spans="1:3" x14ac:dyDescent="0.2">
      <c r="A67" s="25">
        <v>45323</v>
      </c>
      <c r="B67" s="25"/>
      <c r="C67" s="25"/>
    </row>
    <row r="68" spans="1:3" x14ac:dyDescent="0.2">
      <c r="A68" s="25">
        <v>45324</v>
      </c>
      <c r="B68" s="25"/>
      <c r="C68" s="25"/>
    </row>
    <row r="69" spans="1:3" x14ac:dyDescent="0.2">
      <c r="A69" s="25">
        <v>45327</v>
      </c>
      <c r="B69" s="25"/>
      <c r="C69" s="25"/>
    </row>
    <row r="70" spans="1:3" x14ac:dyDescent="0.2">
      <c r="A70" s="25">
        <v>45328</v>
      </c>
      <c r="B70" s="25"/>
      <c r="C70" s="25"/>
    </row>
    <row r="71" spans="1:3" x14ac:dyDescent="0.2">
      <c r="A71" s="25">
        <v>45329</v>
      </c>
      <c r="B71" s="25"/>
      <c r="C71" s="25"/>
    </row>
    <row r="72" spans="1:3" x14ac:dyDescent="0.2">
      <c r="A72" s="25">
        <v>45330</v>
      </c>
      <c r="B72" s="25"/>
      <c r="C72" s="25"/>
    </row>
    <row r="73" spans="1:3" x14ac:dyDescent="0.2">
      <c r="A73" s="25">
        <v>45331</v>
      </c>
      <c r="B73" s="25"/>
      <c r="C73" s="25"/>
    </row>
    <row r="74" spans="1:3" x14ac:dyDescent="0.2">
      <c r="A74" s="25">
        <v>45334</v>
      </c>
      <c r="B74" s="25"/>
      <c r="C74" s="25"/>
    </row>
    <row r="75" spans="1:3" x14ac:dyDescent="0.2">
      <c r="A75" s="25">
        <v>45335</v>
      </c>
      <c r="B75" s="25"/>
      <c r="C75" s="25"/>
    </row>
    <row r="76" spans="1:3" x14ac:dyDescent="0.2">
      <c r="A76" s="25">
        <v>45336</v>
      </c>
      <c r="B76" s="25"/>
      <c r="C76" s="25"/>
    </row>
    <row r="77" spans="1:3" x14ac:dyDescent="0.2">
      <c r="A77" s="25">
        <v>45337</v>
      </c>
      <c r="B77" s="25"/>
      <c r="C77" s="25"/>
    </row>
    <row r="78" spans="1:3" x14ac:dyDescent="0.2">
      <c r="A78" s="25">
        <v>45338</v>
      </c>
      <c r="B78" s="25"/>
      <c r="C78" s="25"/>
    </row>
    <row r="79" spans="1:3" x14ac:dyDescent="0.2">
      <c r="A79" s="25">
        <v>45342</v>
      </c>
      <c r="B79" s="25"/>
      <c r="C79" s="25"/>
    </row>
    <row r="80" spans="1:3" x14ac:dyDescent="0.2">
      <c r="A80" s="25">
        <v>45343</v>
      </c>
      <c r="B80" s="25"/>
      <c r="C80" s="25"/>
    </row>
    <row r="81" spans="1:3" x14ac:dyDescent="0.2">
      <c r="A81" s="25">
        <v>45344</v>
      </c>
      <c r="B81" s="25"/>
      <c r="C81" s="25"/>
    </row>
    <row r="82" spans="1:3" x14ac:dyDescent="0.2">
      <c r="A82" s="25">
        <v>45345</v>
      </c>
      <c r="B82" s="25"/>
      <c r="C82" s="25"/>
    </row>
    <row r="83" spans="1:3" x14ac:dyDescent="0.2">
      <c r="A83" s="25">
        <v>45348</v>
      </c>
      <c r="B83" s="25"/>
      <c r="C83" s="25"/>
    </row>
    <row r="84" spans="1:3" x14ac:dyDescent="0.2">
      <c r="A84" s="25">
        <v>45349</v>
      </c>
      <c r="B84" s="25"/>
      <c r="C84" s="25"/>
    </row>
    <row r="85" spans="1:3" x14ac:dyDescent="0.2">
      <c r="A85" s="25">
        <v>45350</v>
      </c>
      <c r="B85" s="25"/>
      <c r="C85" s="25"/>
    </row>
    <row r="86" spans="1:3" x14ac:dyDescent="0.2">
      <c r="A86" s="25">
        <v>45351</v>
      </c>
      <c r="B86" s="25"/>
      <c r="C86" s="25"/>
    </row>
    <row r="87" spans="1:3" x14ac:dyDescent="0.2">
      <c r="A87" s="25">
        <v>45352</v>
      </c>
      <c r="B87" s="25"/>
      <c r="C87" s="25"/>
    </row>
    <row r="88" spans="1:3" x14ac:dyDescent="0.2">
      <c r="A88" s="25">
        <v>45355</v>
      </c>
      <c r="B88" s="25"/>
      <c r="C88" s="25"/>
    </row>
    <row r="89" spans="1:3" x14ac:dyDescent="0.2">
      <c r="A89" s="25">
        <v>45356</v>
      </c>
      <c r="B89" s="25"/>
      <c r="C89" s="25"/>
    </row>
    <row r="90" spans="1:3" x14ac:dyDescent="0.2">
      <c r="A90" s="25">
        <v>45357</v>
      </c>
      <c r="B90" s="25"/>
      <c r="C90" s="25"/>
    </row>
    <row r="91" spans="1:3" x14ac:dyDescent="0.2">
      <c r="A91" s="25">
        <v>45358</v>
      </c>
      <c r="B91" s="25"/>
      <c r="C91" s="25"/>
    </row>
    <row r="92" spans="1:3" x14ac:dyDescent="0.2">
      <c r="A92" s="25">
        <v>45359</v>
      </c>
      <c r="B92" s="25"/>
      <c r="C92" s="25"/>
    </row>
    <row r="93" spans="1:3" x14ac:dyDescent="0.2">
      <c r="A93" s="25">
        <v>45362</v>
      </c>
      <c r="B93" s="25"/>
      <c r="C93" s="25"/>
    </row>
    <row r="94" spans="1:3" x14ac:dyDescent="0.2">
      <c r="A94" s="25">
        <v>45363</v>
      </c>
      <c r="B94" s="25"/>
      <c r="C94" s="25"/>
    </row>
    <row r="95" spans="1:3" x14ac:dyDescent="0.2">
      <c r="A95" s="25">
        <v>45364</v>
      </c>
      <c r="B95" s="25"/>
      <c r="C95" s="25"/>
    </row>
    <row r="96" spans="1:3" x14ac:dyDescent="0.2">
      <c r="A96" s="25">
        <v>45365</v>
      </c>
      <c r="B96" s="25"/>
      <c r="C96" s="25"/>
    </row>
    <row r="97" spans="1:3" x14ac:dyDescent="0.2">
      <c r="A97" s="25">
        <v>45366</v>
      </c>
      <c r="B97" s="25"/>
      <c r="C97" s="25"/>
    </row>
    <row r="98" spans="1:3" x14ac:dyDescent="0.2">
      <c r="A98" s="25">
        <v>45369</v>
      </c>
      <c r="B98" s="25"/>
      <c r="C98" s="25"/>
    </row>
    <row r="99" spans="1:3" x14ac:dyDescent="0.2">
      <c r="A99" s="25">
        <v>45370</v>
      </c>
      <c r="B99" s="25"/>
      <c r="C99" s="25"/>
    </row>
    <row r="100" spans="1:3" x14ac:dyDescent="0.2">
      <c r="A100" s="25">
        <v>45371</v>
      </c>
      <c r="B100" s="25"/>
      <c r="C100" s="25"/>
    </row>
    <row r="101" spans="1:3" x14ac:dyDescent="0.2">
      <c r="A101" s="25">
        <v>45372</v>
      </c>
      <c r="B101" s="25"/>
      <c r="C101" s="25"/>
    </row>
    <row r="102" spans="1:3" x14ac:dyDescent="0.2">
      <c r="A102" s="25">
        <v>45373</v>
      </c>
      <c r="B102" s="25"/>
      <c r="C102" s="25"/>
    </row>
    <row r="103" spans="1:3" x14ac:dyDescent="0.2">
      <c r="A103" s="25">
        <v>45376</v>
      </c>
      <c r="B103" s="25"/>
      <c r="C103" s="25"/>
    </row>
    <row r="104" spans="1:3" x14ac:dyDescent="0.2">
      <c r="A104" s="25">
        <v>45377</v>
      </c>
      <c r="B104" s="25"/>
      <c r="C104" s="25"/>
    </row>
    <row r="105" spans="1:3" x14ac:dyDescent="0.2">
      <c r="A105" s="25">
        <v>45378</v>
      </c>
      <c r="B105" s="25"/>
      <c r="C105" s="25"/>
    </row>
    <row r="106" spans="1:3" x14ac:dyDescent="0.2">
      <c r="A106" s="25">
        <v>45379</v>
      </c>
      <c r="B106" s="25"/>
      <c r="C106" s="25"/>
    </row>
    <row r="107" spans="1:3" x14ac:dyDescent="0.2">
      <c r="A107" s="25">
        <v>45384</v>
      </c>
      <c r="B107" s="25"/>
      <c r="C107" s="25"/>
    </row>
    <row r="108" spans="1:3" x14ac:dyDescent="0.2">
      <c r="A108" s="25">
        <v>45385</v>
      </c>
      <c r="B108" s="25"/>
      <c r="C108" s="25"/>
    </row>
    <row r="109" spans="1:3" x14ac:dyDescent="0.2">
      <c r="A109" s="25">
        <v>45386</v>
      </c>
      <c r="B109" s="25"/>
      <c r="C109" s="25"/>
    </row>
    <row r="110" spans="1:3" x14ac:dyDescent="0.2">
      <c r="A110" s="25">
        <v>45387</v>
      </c>
      <c r="B110" s="25"/>
      <c r="C110" s="25"/>
    </row>
    <row r="111" spans="1:3" x14ac:dyDescent="0.2">
      <c r="A111" s="25">
        <v>45390</v>
      </c>
      <c r="B111" s="25"/>
      <c r="C111" s="25"/>
    </row>
    <row r="112" spans="1:3" x14ac:dyDescent="0.2">
      <c r="A112" s="25">
        <v>45391</v>
      </c>
      <c r="B112" s="25"/>
      <c r="C112" s="25"/>
    </row>
    <row r="113" spans="1:3" x14ac:dyDescent="0.2">
      <c r="A113" s="25">
        <v>45392</v>
      </c>
      <c r="B113" s="25"/>
      <c r="C113" s="25"/>
    </row>
    <row r="114" spans="1:3" x14ac:dyDescent="0.2">
      <c r="A114" s="25">
        <v>45393</v>
      </c>
      <c r="B114" s="25"/>
      <c r="C114" s="25"/>
    </row>
    <row r="115" spans="1:3" x14ac:dyDescent="0.2">
      <c r="A115" s="25">
        <v>45394</v>
      </c>
      <c r="B115" s="25"/>
      <c r="C115" s="25"/>
    </row>
    <row r="116" spans="1:3" x14ac:dyDescent="0.2">
      <c r="A116" s="25">
        <v>45397</v>
      </c>
      <c r="B116" s="25"/>
      <c r="C116" s="25"/>
    </row>
    <row r="117" spans="1:3" x14ac:dyDescent="0.2">
      <c r="A117" s="25">
        <v>45398</v>
      </c>
      <c r="B117" s="25"/>
      <c r="C117" s="25"/>
    </row>
    <row r="118" spans="1:3" x14ac:dyDescent="0.2">
      <c r="A118" s="25">
        <v>45399</v>
      </c>
      <c r="B118" s="25"/>
      <c r="C118" s="25"/>
    </row>
    <row r="119" spans="1:3" x14ac:dyDescent="0.2">
      <c r="A119" s="25">
        <v>45400</v>
      </c>
      <c r="B119" s="25"/>
      <c r="C119" s="25"/>
    </row>
    <row r="120" spans="1:3" x14ac:dyDescent="0.2">
      <c r="A120" s="25">
        <v>45401</v>
      </c>
      <c r="B120" s="25"/>
      <c r="C120" s="25"/>
    </row>
    <row r="121" spans="1:3" x14ac:dyDescent="0.2">
      <c r="A121" s="25">
        <v>45404</v>
      </c>
      <c r="B121" s="25"/>
      <c r="C121" s="25"/>
    </row>
    <row r="122" spans="1:3" x14ac:dyDescent="0.2">
      <c r="A122" s="25">
        <v>45405</v>
      </c>
      <c r="B122" s="25"/>
      <c r="C122" s="25"/>
    </row>
    <row r="123" spans="1:3" x14ac:dyDescent="0.2">
      <c r="A123" s="25">
        <v>45406</v>
      </c>
      <c r="B123" s="25"/>
      <c r="C123" s="25"/>
    </row>
    <row r="124" spans="1:3" x14ac:dyDescent="0.2">
      <c r="A124" s="25">
        <v>45407</v>
      </c>
      <c r="B124" s="25"/>
      <c r="C124" s="25"/>
    </row>
    <row r="125" spans="1:3" x14ac:dyDescent="0.2">
      <c r="A125" s="25">
        <v>45408</v>
      </c>
      <c r="B125" s="25"/>
      <c r="C125" s="25"/>
    </row>
    <row r="126" spans="1:3" x14ac:dyDescent="0.2">
      <c r="A126" s="25">
        <v>45411</v>
      </c>
      <c r="B126" s="25"/>
      <c r="C126" s="25"/>
    </row>
    <row r="127" spans="1:3" x14ac:dyDescent="0.2">
      <c r="A127" s="25">
        <v>45412</v>
      </c>
      <c r="B127" s="25"/>
      <c r="C127" s="25"/>
    </row>
    <row r="128" spans="1:3" x14ac:dyDescent="0.2">
      <c r="A128" s="25">
        <v>45414</v>
      </c>
      <c r="B128" s="25"/>
      <c r="C128" s="25"/>
    </row>
    <row r="129" spans="1:3" x14ac:dyDescent="0.2">
      <c r="A129" s="25">
        <v>45415</v>
      </c>
      <c r="B129" s="25"/>
      <c r="C129" s="25"/>
    </row>
    <row r="130" spans="1:3" x14ac:dyDescent="0.2">
      <c r="A130" s="25">
        <v>45418</v>
      </c>
      <c r="B130" s="25"/>
      <c r="C130" s="25"/>
    </row>
    <row r="131" spans="1:3" x14ac:dyDescent="0.2">
      <c r="A131" s="25">
        <v>45419</v>
      </c>
      <c r="B131" s="25"/>
      <c r="C131" s="25"/>
    </row>
    <row r="132" spans="1:3" x14ac:dyDescent="0.2">
      <c r="A132" s="25">
        <v>45420</v>
      </c>
      <c r="B132" s="25"/>
      <c r="C132" s="25"/>
    </row>
    <row r="133" spans="1:3" x14ac:dyDescent="0.2">
      <c r="A133" s="25">
        <v>45422</v>
      </c>
      <c r="B133" s="25"/>
      <c r="C133" s="25"/>
    </row>
    <row r="134" spans="1:3" x14ac:dyDescent="0.2">
      <c r="A134" s="25">
        <v>45425</v>
      </c>
      <c r="B134" s="25"/>
      <c r="C134" s="25"/>
    </row>
    <row r="135" spans="1:3" x14ac:dyDescent="0.2">
      <c r="A135" s="25">
        <v>45426</v>
      </c>
      <c r="B135" s="25"/>
      <c r="C135" s="25"/>
    </row>
    <row r="136" spans="1:3" x14ac:dyDescent="0.2">
      <c r="A136" s="25">
        <v>45427</v>
      </c>
      <c r="B136" s="25"/>
      <c r="C136" s="25"/>
    </row>
    <row r="137" spans="1:3" x14ac:dyDescent="0.2">
      <c r="A137" s="25">
        <v>45428</v>
      </c>
      <c r="B137" s="25"/>
      <c r="C137" s="25"/>
    </row>
    <row r="138" spans="1:3" x14ac:dyDescent="0.2">
      <c r="A138" s="25">
        <v>45429</v>
      </c>
      <c r="B138" s="25"/>
      <c r="C138" s="25"/>
    </row>
    <row r="139" spans="1:3" x14ac:dyDescent="0.2">
      <c r="A139" s="25">
        <v>45433</v>
      </c>
      <c r="B139" s="25"/>
      <c r="C139" s="25"/>
    </row>
    <row r="140" spans="1:3" x14ac:dyDescent="0.2">
      <c r="A140" s="25">
        <v>45434</v>
      </c>
      <c r="B140" s="25"/>
      <c r="C140" s="25"/>
    </row>
    <row r="141" spans="1:3" x14ac:dyDescent="0.2">
      <c r="A141" s="25">
        <v>45435</v>
      </c>
      <c r="B141" s="25"/>
      <c r="C141" s="25"/>
    </row>
    <row r="142" spans="1:3" x14ac:dyDescent="0.2">
      <c r="A142" s="25">
        <v>45436</v>
      </c>
      <c r="B142" s="25"/>
      <c r="C142" s="25"/>
    </row>
    <row r="143" spans="1:3" x14ac:dyDescent="0.2">
      <c r="A143" s="25">
        <v>45440</v>
      </c>
      <c r="B143" s="25"/>
      <c r="C143" s="25"/>
    </row>
    <row r="144" spans="1:3" x14ac:dyDescent="0.2">
      <c r="A144" s="25">
        <v>45441</v>
      </c>
      <c r="B144" s="25"/>
      <c r="C144" s="25"/>
    </row>
    <row r="145" spans="1:3" x14ac:dyDescent="0.2">
      <c r="A145" s="25">
        <v>45442</v>
      </c>
      <c r="B145" s="25"/>
      <c r="C145" s="25"/>
    </row>
    <row r="146" spans="1:3" x14ac:dyDescent="0.2">
      <c r="A146" s="25">
        <v>45443</v>
      </c>
      <c r="B146" s="25"/>
      <c r="C146" s="25"/>
    </row>
    <row r="147" spans="1:3" x14ac:dyDescent="0.2">
      <c r="A147" s="25">
        <v>45446</v>
      </c>
      <c r="B147" s="25"/>
      <c r="C147" s="25"/>
    </row>
    <row r="148" spans="1:3" x14ac:dyDescent="0.2">
      <c r="A148" s="25">
        <v>45447</v>
      </c>
      <c r="B148" s="25"/>
      <c r="C148" s="25"/>
    </row>
    <row r="149" spans="1:3" x14ac:dyDescent="0.2">
      <c r="A149" s="25">
        <v>45448</v>
      </c>
      <c r="B149" s="25"/>
      <c r="C149" s="25"/>
    </row>
    <row r="150" spans="1:3" x14ac:dyDescent="0.2">
      <c r="A150" s="25">
        <v>45449</v>
      </c>
      <c r="B150" s="25"/>
      <c r="C150" s="25"/>
    </row>
    <row r="151" spans="1:3" x14ac:dyDescent="0.2">
      <c r="A151" s="25">
        <v>45450</v>
      </c>
      <c r="B151" s="25"/>
      <c r="C151" s="25"/>
    </row>
    <row r="152" spans="1:3" x14ac:dyDescent="0.2">
      <c r="A152" s="25">
        <v>45453</v>
      </c>
      <c r="B152" s="25"/>
      <c r="C152" s="25"/>
    </row>
    <row r="153" spans="1:3" x14ac:dyDescent="0.2">
      <c r="A153" s="25">
        <v>45454</v>
      </c>
      <c r="B153" s="25"/>
      <c r="C153" s="25"/>
    </row>
    <row r="154" spans="1:3" x14ac:dyDescent="0.2">
      <c r="A154" s="25">
        <v>45455</v>
      </c>
      <c r="B154" s="25"/>
      <c r="C154" s="25"/>
    </row>
    <row r="155" spans="1:3" x14ac:dyDescent="0.2">
      <c r="A155" s="25">
        <v>45456</v>
      </c>
      <c r="B155" s="25"/>
      <c r="C155" s="25"/>
    </row>
    <row r="156" spans="1:3" x14ac:dyDescent="0.2">
      <c r="A156" s="25">
        <v>45457</v>
      </c>
      <c r="B156" s="25"/>
      <c r="C156" s="25"/>
    </row>
    <row r="157" spans="1:3" x14ac:dyDescent="0.2">
      <c r="A157" s="25">
        <v>45460</v>
      </c>
      <c r="B157" s="25"/>
      <c r="C157" s="25"/>
    </row>
    <row r="158" spans="1:3" x14ac:dyDescent="0.2">
      <c r="A158" s="25">
        <v>45461</v>
      </c>
      <c r="B158" s="25"/>
      <c r="C158" s="25"/>
    </row>
    <row r="159" spans="1:3" x14ac:dyDescent="0.2">
      <c r="A159" s="25">
        <v>45463</v>
      </c>
      <c r="B159" s="25"/>
      <c r="C159" s="25"/>
    </row>
    <row r="160" spans="1:3" x14ac:dyDescent="0.2">
      <c r="A160" s="25">
        <v>45464</v>
      </c>
      <c r="B160" s="25"/>
      <c r="C160" s="25"/>
    </row>
    <row r="161" spans="1:3" x14ac:dyDescent="0.2">
      <c r="A161" s="25">
        <v>45467</v>
      </c>
      <c r="B161" s="25"/>
      <c r="C161" s="25"/>
    </row>
    <row r="162" spans="1:3" x14ac:dyDescent="0.2">
      <c r="A162" s="25">
        <v>45468</v>
      </c>
      <c r="B162" s="25"/>
      <c r="C162" s="25"/>
    </row>
    <row r="163" spans="1:3" x14ac:dyDescent="0.2">
      <c r="A163" s="25">
        <v>45469</v>
      </c>
      <c r="B163" s="25"/>
      <c r="C163" s="25"/>
    </row>
    <row r="164" spans="1:3" x14ac:dyDescent="0.2">
      <c r="A164" s="25">
        <v>45470</v>
      </c>
      <c r="B164" s="25"/>
      <c r="C164" s="25"/>
    </row>
    <row r="165" spans="1:3" x14ac:dyDescent="0.2">
      <c r="A165" s="25">
        <v>45471</v>
      </c>
      <c r="B165" s="25"/>
      <c r="C165" s="25"/>
    </row>
    <row r="166" spans="1:3" x14ac:dyDescent="0.2">
      <c r="A166" s="25">
        <v>45474</v>
      </c>
      <c r="B166" s="25"/>
      <c r="C166" s="25"/>
    </row>
    <row r="167" spans="1:3" x14ac:dyDescent="0.2">
      <c r="A167" s="25">
        <v>45475</v>
      </c>
      <c r="B167" s="25"/>
      <c r="C167" s="25"/>
    </row>
    <row r="168" spans="1:3" x14ac:dyDescent="0.2">
      <c r="A168" s="25">
        <v>45476</v>
      </c>
      <c r="B168" s="25"/>
      <c r="C168" s="25"/>
    </row>
    <row r="169" spans="1:3" x14ac:dyDescent="0.2">
      <c r="A169" s="25">
        <v>45478</v>
      </c>
      <c r="B169" s="25"/>
      <c r="C169" s="25"/>
    </row>
    <row r="170" spans="1:3" x14ac:dyDescent="0.2">
      <c r="A170" s="25">
        <v>45481</v>
      </c>
      <c r="B170" s="25"/>
      <c r="C170" s="25"/>
    </row>
    <row r="171" spans="1:3" x14ac:dyDescent="0.2">
      <c r="A171" s="25">
        <v>45482</v>
      </c>
      <c r="B171" s="25"/>
      <c r="C171" s="25"/>
    </row>
    <row r="172" spans="1:3" x14ac:dyDescent="0.2">
      <c r="A172" s="25">
        <v>45483</v>
      </c>
      <c r="B172" s="25"/>
      <c r="C172" s="25"/>
    </row>
    <row r="173" spans="1:3" x14ac:dyDescent="0.2">
      <c r="A173" s="25">
        <v>45484</v>
      </c>
      <c r="B173" s="25"/>
      <c r="C173" s="25"/>
    </row>
    <row r="174" spans="1:3" x14ac:dyDescent="0.2">
      <c r="A174" s="25">
        <v>45485</v>
      </c>
      <c r="B174" s="25"/>
      <c r="C174" s="25"/>
    </row>
    <row r="175" spans="1:3" x14ac:dyDescent="0.2">
      <c r="A175" s="25">
        <v>45488</v>
      </c>
      <c r="B175" s="25"/>
      <c r="C175" s="25"/>
    </row>
    <row r="176" spans="1:3" x14ac:dyDescent="0.2">
      <c r="A176" s="25">
        <v>45489</v>
      </c>
      <c r="B176" s="25"/>
      <c r="C176" s="25"/>
    </row>
    <row r="177" spans="1:3" x14ac:dyDescent="0.2">
      <c r="A177" s="25">
        <v>45490</v>
      </c>
      <c r="B177" s="25"/>
      <c r="C177" s="25"/>
    </row>
    <row r="178" spans="1:3" x14ac:dyDescent="0.2">
      <c r="A178" s="25">
        <v>45491</v>
      </c>
      <c r="B178" s="25"/>
      <c r="C178" s="25"/>
    </row>
    <row r="179" spans="1:3" x14ac:dyDescent="0.2">
      <c r="A179" s="25">
        <v>45492</v>
      </c>
      <c r="B179" s="25"/>
      <c r="C179" s="25"/>
    </row>
    <row r="180" spans="1:3" x14ac:dyDescent="0.2">
      <c r="A180" s="25">
        <v>45495</v>
      </c>
      <c r="B180" s="25"/>
      <c r="C180" s="25"/>
    </row>
    <row r="181" spans="1:3" x14ac:dyDescent="0.2">
      <c r="A181" s="25">
        <v>45496</v>
      </c>
      <c r="B181" s="25"/>
      <c r="C181" s="25"/>
    </row>
    <row r="182" spans="1:3" x14ac:dyDescent="0.2">
      <c r="A182" s="25">
        <v>45497</v>
      </c>
      <c r="B182" s="25"/>
      <c r="C182" s="25"/>
    </row>
    <row r="183" spans="1:3" x14ac:dyDescent="0.2">
      <c r="A183" s="25">
        <v>45498</v>
      </c>
      <c r="B183" s="25"/>
      <c r="C183" s="25"/>
    </row>
    <row r="184" spans="1:3" x14ac:dyDescent="0.2">
      <c r="A184" s="25">
        <v>45499</v>
      </c>
      <c r="B184" s="25"/>
      <c r="C184" s="25"/>
    </row>
    <row r="185" spans="1:3" x14ac:dyDescent="0.2">
      <c r="A185" s="25">
        <v>45502</v>
      </c>
      <c r="B185" s="25"/>
      <c r="C185" s="25"/>
    </row>
    <row r="186" spans="1:3" x14ac:dyDescent="0.2">
      <c r="A186" s="25">
        <v>45503</v>
      </c>
      <c r="B186" s="25"/>
      <c r="C186" s="25"/>
    </row>
    <row r="187" spans="1:3" x14ac:dyDescent="0.2">
      <c r="A187" s="25">
        <v>45504</v>
      </c>
      <c r="B187" s="25"/>
      <c r="C187" s="25"/>
    </row>
    <row r="188" spans="1:3" x14ac:dyDescent="0.2">
      <c r="A188" s="25">
        <v>45506</v>
      </c>
      <c r="B188" s="25"/>
      <c r="C188" s="25"/>
    </row>
    <row r="189" spans="1:3" x14ac:dyDescent="0.2">
      <c r="A189" s="25">
        <v>45509</v>
      </c>
      <c r="B189" s="25"/>
      <c r="C189" s="25"/>
    </row>
    <row r="190" spans="1:3" x14ac:dyDescent="0.2">
      <c r="A190" s="25">
        <v>45510</v>
      </c>
      <c r="B190" s="25"/>
      <c r="C190" s="25"/>
    </row>
    <row r="191" spans="1:3" x14ac:dyDescent="0.2">
      <c r="A191" s="25">
        <v>45511</v>
      </c>
      <c r="B191" s="25"/>
      <c r="C191" s="25"/>
    </row>
    <row r="192" spans="1:3" x14ac:dyDescent="0.2">
      <c r="A192" s="25">
        <v>45512</v>
      </c>
      <c r="B192" s="25"/>
      <c r="C192" s="25"/>
    </row>
    <row r="193" spans="1:3" x14ac:dyDescent="0.2">
      <c r="A193" s="25">
        <v>45513</v>
      </c>
      <c r="B193" s="25"/>
      <c r="C193" s="25"/>
    </row>
    <row r="194" spans="1:3" x14ac:dyDescent="0.2">
      <c r="A194" s="25">
        <v>45516</v>
      </c>
      <c r="B194" s="25"/>
      <c r="C194" s="25"/>
    </row>
    <row r="195" spans="1:3" x14ac:dyDescent="0.2">
      <c r="A195" s="25">
        <v>45517</v>
      </c>
      <c r="B195" s="25"/>
      <c r="C195" s="25"/>
    </row>
    <row r="196" spans="1:3" x14ac:dyDescent="0.2">
      <c r="A196" s="25">
        <v>45518</v>
      </c>
      <c r="B196" s="25"/>
      <c r="C196" s="25"/>
    </row>
    <row r="197" spans="1:3" x14ac:dyDescent="0.2">
      <c r="A197" s="25">
        <v>45519</v>
      </c>
      <c r="B197" s="25"/>
      <c r="C197" s="25"/>
    </row>
    <row r="198" spans="1:3" x14ac:dyDescent="0.2">
      <c r="A198" s="25">
        <v>45520</v>
      </c>
      <c r="B198" s="25"/>
      <c r="C198" s="25"/>
    </row>
    <row r="199" spans="1:3" x14ac:dyDescent="0.2">
      <c r="A199" s="25">
        <v>45523</v>
      </c>
      <c r="B199" s="25"/>
      <c r="C199" s="25"/>
    </row>
    <row r="200" spans="1:3" x14ac:dyDescent="0.2">
      <c r="A200" s="25">
        <v>45524</v>
      </c>
      <c r="B200" s="25"/>
      <c r="C200" s="25"/>
    </row>
    <row r="201" spans="1:3" x14ac:dyDescent="0.2">
      <c r="A201" s="25">
        <v>45525</v>
      </c>
      <c r="B201" s="25"/>
      <c r="C201" s="25"/>
    </row>
    <row r="202" spans="1:3" x14ac:dyDescent="0.2">
      <c r="A202" s="25">
        <v>45526</v>
      </c>
      <c r="B202" s="25"/>
      <c r="C202" s="25"/>
    </row>
    <row r="203" spans="1:3" x14ac:dyDescent="0.2">
      <c r="A203" s="25">
        <v>45527</v>
      </c>
      <c r="B203" s="25"/>
      <c r="C203" s="25"/>
    </row>
    <row r="204" spans="1:3" x14ac:dyDescent="0.2">
      <c r="A204" s="25">
        <v>45530</v>
      </c>
      <c r="B204" s="25"/>
      <c r="C204" s="25"/>
    </row>
    <row r="205" spans="1:3" x14ac:dyDescent="0.2">
      <c r="A205" s="25">
        <v>45531</v>
      </c>
      <c r="B205" s="25"/>
      <c r="C205" s="25"/>
    </row>
    <row r="206" spans="1:3" x14ac:dyDescent="0.2">
      <c r="A206" s="25">
        <v>45532</v>
      </c>
      <c r="B206" s="25"/>
      <c r="C206" s="25"/>
    </row>
    <row r="207" spans="1:3" x14ac:dyDescent="0.2">
      <c r="A207" s="25">
        <v>45533</v>
      </c>
      <c r="B207" s="25"/>
      <c r="C207" s="25"/>
    </row>
    <row r="208" spans="1:3" x14ac:dyDescent="0.2">
      <c r="A208" s="25">
        <v>45534</v>
      </c>
      <c r="B208" s="25"/>
      <c r="C208" s="25"/>
    </row>
    <row r="209" spans="1:3" x14ac:dyDescent="0.2">
      <c r="A209" s="25">
        <v>45538</v>
      </c>
      <c r="B209" s="25"/>
      <c r="C209" s="25"/>
    </row>
    <row r="210" spans="1:3" x14ac:dyDescent="0.2">
      <c r="A210" s="25">
        <v>45539</v>
      </c>
      <c r="B210" s="25"/>
      <c r="C210" s="25"/>
    </row>
    <row r="211" spans="1:3" x14ac:dyDescent="0.2">
      <c r="A211" s="25">
        <v>45540</v>
      </c>
      <c r="B211" s="25"/>
      <c r="C211" s="25"/>
    </row>
    <row r="212" spans="1:3" x14ac:dyDescent="0.2">
      <c r="A212" s="25">
        <v>45541</v>
      </c>
      <c r="B212" s="25"/>
      <c r="C212" s="25"/>
    </row>
    <row r="213" spans="1:3" x14ac:dyDescent="0.2">
      <c r="A213" s="25">
        <v>45544</v>
      </c>
      <c r="B213" s="25"/>
      <c r="C213" s="25"/>
    </row>
    <row r="214" spans="1:3" x14ac:dyDescent="0.2">
      <c r="A214" s="25">
        <v>45545</v>
      </c>
      <c r="B214" s="25"/>
      <c r="C214" s="25"/>
    </row>
    <row r="215" spans="1:3" x14ac:dyDescent="0.2">
      <c r="A215" s="25">
        <v>45546</v>
      </c>
      <c r="B215" s="25"/>
      <c r="C215" s="25"/>
    </row>
    <row r="216" spans="1:3" x14ac:dyDescent="0.2">
      <c r="A216" s="25">
        <v>45547</v>
      </c>
      <c r="B216" s="25"/>
      <c r="C216" s="25"/>
    </row>
    <row r="217" spans="1:3" x14ac:dyDescent="0.2">
      <c r="A217" s="25">
        <v>45548</v>
      </c>
      <c r="B217" s="25"/>
      <c r="C217" s="25"/>
    </row>
    <row r="218" spans="1:3" x14ac:dyDescent="0.2">
      <c r="A218" s="25">
        <v>45551</v>
      </c>
      <c r="B218" s="25"/>
      <c r="C218" s="25"/>
    </row>
    <row r="219" spans="1:3" x14ac:dyDescent="0.2">
      <c r="A219" s="25">
        <v>45552</v>
      </c>
      <c r="B219" s="25"/>
      <c r="C219" s="25"/>
    </row>
    <row r="220" spans="1:3" x14ac:dyDescent="0.2">
      <c r="A220" s="25">
        <v>45553</v>
      </c>
      <c r="B220" s="25"/>
      <c r="C220" s="25"/>
    </row>
    <row r="221" spans="1:3" x14ac:dyDescent="0.2">
      <c r="A221" s="25">
        <v>45554</v>
      </c>
      <c r="B221" s="25"/>
      <c r="C221" s="25"/>
    </row>
    <row r="222" spans="1:3" x14ac:dyDescent="0.2">
      <c r="A222" s="25">
        <v>45555</v>
      </c>
      <c r="B222" s="25"/>
      <c r="C222" s="25"/>
    </row>
    <row r="223" spans="1:3" x14ac:dyDescent="0.2">
      <c r="A223" s="25">
        <v>45558</v>
      </c>
      <c r="B223" s="25"/>
      <c r="C223" s="25"/>
    </row>
    <row r="224" spans="1:3" x14ac:dyDescent="0.2">
      <c r="A224" s="25">
        <v>45559</v>
      </c>
      <c r="B224" s="25"/>
      <c r="C224" s="25"/>
    </row>
    <row r="225" spans="1:3" x14ac:dyDescent="0.2">
      <c r="A225" s="25">
        <v>45560</v>
      </c>
      <c r="B225" s="25"/>
      <c r="C225" s="25"/>
    </row>
    <row r="226" spans="1:3" x14ac:dyDescent="0.2">
      <c r="A226" s="25">
        <v>45561</v>
      </c>
      <c r="B226" s="25"/>
      <c r="C226" s="25"/>
    </row>
    <row r="227" spans="1:3" x14ac:dyDescent="0.2">
      <c r="A227" s="25">
        <v>45562</v>
      </c>
      <c r="B227" s="25"/>
      <c r="C227" s="25"/>
    </row>
    <row r="228" spans="1:3" x14ac:dyDescent="0.2">
      <c r="A228" s="25">
        <v>45565</v>
      </c>
      <c r="B228" s="25"/>
      <c r="C228" s="25"/>
    </row>
    <row r="229" spans="1:3" x14ac:dyDescent="0.2">
      <c r="A229" s="25">
        <v>45566</v>
      </c>
      <c r="B229" s="25"/>
      <c r="C229" s="25"/>
    </row>
    <row r="230" spans="1:3" x14ac:dyDescent="0.2">
      <c r="A230" s="25">
        <v>45567</v>
      </c>
      <c r="B230" s="25"/>
      <c r="C230" s="25"/>
    </row>
    <row r="231" spans="1:3" x14ac:dyDescent="0.2">
      <c r="A231" s="25">
        <v>45568</v>
      </c>
      <c r="B231" s="25"/>
      <c r="C231" s="25"/>
    </row>
    <row r="232" spans="1:3" x14ac:dyDescent="0.2">
      <c r="A232" s="25">
        <v>45569</v>
      </c>
      <c r="B232" s="25"/>
      <c r="C232" s="25"/>
    </row>
    <row r="233" spans="1:3" x14ac:dyDescent="0.2">
      <c r="A233" s="25">
        <v>45572</v>
      </c>
      <c r="B233" s="25"/>
      <c r="C233" s="25"/>
    </row>
    <row r="234" spans="1:3" x14ac:dyDescent="0.2">
      <c r="A234" s="25">
        <v>45573</v>
      </c>
      <c r="B234" s="25"/>
      <c r="C234" s="25"/>
    </row>
    <row r="235" spans="1:3" x14ac:dyDescent="0.2">
      <c r="A235" s="25">
        <v>45574</v>
      </c>
      <c r="B235" s="25"/>
      <c r="C235" s="25"/>
    </row>
    <row r="236" spans="1:3" x14ac:dyDescent="0.2">
      <c r="A236" s="25">
        <v>45575</v>
      </c>
      <c r="B236" s="25"/>
      <c r="C236" s="25"/>
    </row>
    <row r="237" spans="1:3" x14ac:dyDescent="0.2">
      <c r="A237" s="25">
        <v>45576</v>
      </c>
      <c r="B237" s="25"/>
      <c r="C237" s="25"/>
    </row>
    <row r="238" spans="1:3" x14ac:dyDescent="0.2">
      <c r="A238" s="25">
        <v>45579</v>
      </c>
      <c r="B238" s="25"/>
      <c r="C238" s="25"/>
    </row>
    <row r="239" spans="1:3" x14ac:dyDescent="0.2">
      <c r="A239" s="25">
        <v>45580</v>
      </c>
      <c r="B239" s="25"/>
      <c r="C239" s="25"/>
    </row>
    <row r="240" spans="1:3" x14ac:dyDescent="0.2">
      <c r="A240" s="25">
        <v>45581</v>
      </c>
      <c r="B240" s="25"/>
      <c r="C240" s="25"/>
    </row>
    <row r="241" spans="1:3" x14ac:dyDescent="0.2">
      <c r="A241" s="25">
        <v>45582</v>
      </c>
      <c r="B241" s="25"/>
      <c r="C241" s="25"/>
    </row>
    <row r="242" spans="1:3" x14ac:dyDescent="0.2">
      <c r="A242" s="25">
        <v>45583</v>
      </c>
      <c r="B242" s="25"/>
      <c r="C242" s="25"/>
    </row>
    <row r="243" spans="1:3" x14ac:dyDescent="0.2">
      <c r="A243" s="25">
        <v>45586</v>
      </c>
      <c r="B243" s="25"/>
      <c r="C243" s="25"/>
    </row>
    <row r="244" spans="1:3" x14ac:dyDescent="0.2">
      <c r="A244" s="25">
        <v>45587</v>
      </c>
      <c r="B244" s="25"/>
      <c r="C244" s="25"/>
    </row>
    <row r="245" spans="1:3" x14ac:dyDescent="0.2">
      <c r="A245" s="25">
        <v>45588</v>
      </c>
      <c r="B245" s="25"/>
      <c r="C245" s="25"/>
    </row>
    <row r="246" spans="1:3" x14ac:dyDescent="0.2">
      <c r="A246" s="25">
        <v>45589</v>
      </c>
      <c r="B246" s="25"/>
      <c r="C246" s="25"/>
    </row>
    <row r="247" spans="1:3" x14ac:dyDescent="0.2">
      <c r="A247" s="25">
        <v>45590</v>
      </c>
      <c r="B247" s="25"/>
      <c r="C247" s="25"/>
    </row>
    <row r="248" spans="1:3" x14ac:dyDescent="0.2">
      <c r="A248" s="25">
        <v>45593</v>
      </c>
      <c r="B248" s="25"/>
      <c r="C248" s="25"/>
    </row>
    <row r="249" spans="1:3" x14ac:dyDescent="0.2">
      <c r="A249" s="25">
        <v>45594</v>
      </c>
      <c r="B249" s="25"/>
      <c r="C249" s="25"/>
    </row>
    <row r="250" spans="1:3" x14ac:dyDescent="0.2">
      <c r="A250" s="25">
        <v>45595</v>
      </c>
      <c r="B250" s="25"/>
      <c r="C250" s="25"/>
    </row>
    <row r="251" spans="1:3" x14ac:dyDescent="0.2">
      <c r="A251" s="25">
        <v>45596</v>
      </c>
      <c r="B251" s="25"/>
      <c r="C251" s="25"/>
    </row>
    <row r="252" spans="1:3" x14ac:dyDescent="0.2">
      <c r="A252" s="25">
        <v>45597</v>
      </c>
      <c r="B252" s="25"/>
      <c r="C252" s="25"/>
    </row>
    <row r="253" spans="1:3" x14ac:dyDescent="0.2">
      <c r="A253" s="25">
        <v>45600</v>
      </c>
      <c r="B253" s="25"/>
      <c r="C253" s="25"/>
    </row>
    <row r="254" spans="1:3" x14ac:dyDescent="0.2">
      <c r="A254" s="25">
        <v>45601</v>
      </c>
      <c r="B254" s="25"/>
      <c r="C254" s="25"/>
    </row>
    <row r="255" spans="1:3" x14ac:dyDescent="0.2">
      <c r="A255" s="25">
        <v>45602</v>
      </c>
      <c r="B255" s="25"/>
      <c r="C255" s="25"/>
    </row>
    <row r="256" spans="1:3" x14ac:dyDescent="0.2">
      <c r="A256" s="25">
        <v>45603</v>
      </c>
      <c r="B256" s="25"/>
      <c r="C256" s="25"/>
    </row>
    <row r="257" spans="1:3" x14ac:dyDescent="0.2">
      <c r="A257" s="25">
        <v>45604</v>
      </c>
      <c r="B257" s="25"/>
      <c r="C257" s="25"/>
    </row>
    <row r="258" spans="1:3" x14ac:dyDescent="0.2">
      <c r="A258" s="25">
        <v>45607</v>
      </c>
      <c r="B258" s="25"/>
      <c r="C258" s="25"/>
    </row>
    <row r="259" spans="1:3" x14ac:dyDescent="0.2">
      <c r="A259" s="25">
        <v>45608</v>
      </c>
      <c r="B259" s="25"/>
      <c r="C259" s="25"/>
    </row>
    <row r="260" spans="1:3" x14ac:dyDescent="0.2">
      <c r="A260" s="25">
        <v>45609</v>
      </c>
      <c r="B260" s="25"/>
      <c r="C260" s="25"/>
    </row>
    <row r="261" spans="1:3" x14ac:dyDescent="0.2">
      <c r="A261" s="25">
        <v>45610</v>
      </c>
      <c r="B261" s="25"/>
      <c r="C261" s="25"/>
    </row>
    <row r="262" spans="1:3" x14ac:dyDescent="0.2">
      <c r="A262" s="25">
        <v>45611</v>
      </c>
      <c r="B262" s="25"/>
      <c r="C262" s="25"/>
    </row>
    <row r="263" spans="1:3" x14ac:dyDescent="0.2">
      <c r="A263" s="25">
        <v>45614</v>
      </c>
      <c r="B263" s="25"/>
      <c r="C263" s="25"/>
    </row>
    <row r="264" spans="1:3" x14ac:dyDescent="0.2">
      <c r="A264" s="25">
        <v>45615</v>
      </c>
      <c r="B264" s="25"/>
      <c r="C264" s="25"/>
    </row>
    <row r="265" spans="1:3" x14ac:dyDescent="0.2">
      <c r="A265" s="25">
        <v>45616</v>
      </c>
      <c r="B265" s="25"/>
      <c r="C265" s="25"/>
    </row>
    <row r="266" spans="1:3" x14ac:dyDescent="0.2">
      <c r="A266" s="25">
        <v>45617</v>
      </c>
      <c r="B266" s="25"/>
      <c r="C266" s="25"/>
    </row>
    <row r="267" spans="1:3" x14ac:dyDescent="0.2">
      <c r="A267" s="25">
        <v>45618</v>
      </c>
      <c r="B267" s="25"/>
      <c r="C267" s="25"/>
    </row>
    <row r="268" spans="1:3" x14ac:dyDescent="0.2">
      <c r="A268" s="25">
        <v>45621</v>
      </c>
      <c r="B268" s="25"/>
      <c r="C268" s="25"/>
    </row>
    <row r="269" spans="1:3" x14ac:dyDescent="0.2">
      <c r="A269" s="25">
        <v>45622</v>
      </c>
      <c r="B269" s="25"/>
      <c r="C269" s="25"/>
    </row>
    <row r="270" spans="1:3" x14ac:dyDescent="0.2">
      <c r="A270" s="25">
        <v>45623</v>
      </c>
      <c r="B270" s="25"/>
      <c r="C270" s="25"/>
    </row>
    <row r="271" spans="1:3" x14ac:dyDescent="0.2">
      <c r="A271" s="25">
        <v>45625</v>
      </c>
      <c r="B271" s="25"/>
      <c r="C271" s="25"/>
    </row>
    <row r="272" spans="1:3" x14ac:dyDescent="0.2">
      <c r="A272" s="25">
        <v>45628</v>
      </c>
      <c r="B272" s="25"/>
      <c r="C272" s="25"/>
    </row>
    <row r="273" spans="1:3" x14ac:dyDescent="0.2">
      <c r="A273" s="25">
        <v>45629</v>
      </c>
      <c r="B273" s="25"/>
      <c r="C273" s="25"/>
    </row>
    <row r="274" spans="1:3" x14ac:dyDescent="0.2">
      <c r="A274" s="25">
        <v>45630</v>
      </c>
      <c r="B274" s="25"/>
      <c r="C274" s="25"/>
    </row>
    <row r="275" spans="1:3" x14ac:dyDescent="0.2">
      <c r="A275" s="25">
        <v>45631</v>
      </c>
      <c r="B275" s="25"/>
      <c r="C275" s="25"/>
    </row>
    <row r="276" spans="1:3" x14ac:dyDescent="0.2">
      <c r="A276" s="25">
        <v>45632</v>
      </c>
      <c r="B276" s="25"/>
      <c r="C276" s="25"/>
    </row>
    <row r="277" spans="1:3" x14ac:dyDescent="0.2">
      <c r="A277" s="25">
        <v>45635</v>
      </c>
      <c r="B277" s="25"/>
      <c r="C277" s="25"/>
    </row>
    <row r="278" spans="1:3" x14ac:dyDescent="0.2">
      <c r="A278" s="25">
        <v>45636</v>
      </c>
      <c r="B278" s="25"/>
      <c r="C278" s="25"/>
    </row>
    <row r="279" spans="1:3" x14ac:dyDescent="0.2">
      <c r="A279" s="25">
        <v>45637</v>
      </c>
      <c r="B279" s="25"/>
      <c r="C279" s="25"/>
    </row>
    <row r="280" spans="1:3" x14ac:dyDescent="0.2">
      <c r="A280" s="25">
        <v>45638</v>
      </c>
      <c r="B280" s="25"/>
      <c r="C280" s="25"/>
    </row>
    <row r="281" spans="1:3" x14ac:dyDescent="0.2">
      <c r="A281" s="25">
        <v>45639</v>
      </c>
      <c r="B281" s="25"/>
      <c r="C281" s="25"/>
    </row>
    <row r="282" spans="1:3" x14ac:dyDescent="0.2">
      <c r="A282" s="25">
        <v>45642</v>
      </c>
      <c r="B282" s="25"/>
      <c r="C282" s="25"/>
    </row>
    <row r="283" spans="1:3" x14ac:dyDescent="0.2">
      <c r="A283" s="25">
        <v>45643</v>
      </c>
      <c r="B283" s="25"/>
      <c r="C283" s="25"/>
    </row>
    <row r="284" spans="1:3" x14ac:dyDescent="0.2">
      <c r="A284" s="25">
        <v>45644</v>
      </c>
      <c r="B284" s="25"/>
      <c r="C284" s="25"/>
    </row>
    <row r="285" spans="1:3" x14ac:dyDescent="0.2">
      <c r="A285" s="25">
        <v>45645</v>
      </c>
      <c r="B285" s="25"/>
      <c r="C285" s="25"/>
    </row>
    <row r="286" spans="1:3" x14ac:dyDescent="0.2">
      <c r="A286" s="25">
        <v>45646</v>
      </c>
      <c r="B286" s="25"/>
      <c r="C286" s="25"/>
    </row>
    <row r="287" spans="1:3" x14ac:dyDescent="0.2">
      <c r="A287" s="25">
        <v>45649</v>
      </c>
      <c r="B287" s="25"/>
      <c r="C287" s="25"/>
    </row>
    <row r="288" spans="1:3" x14ac:dyDescent="0.2">
      <c r="A288" s="25">
        <v>45653</v>
      </c>
      <c r="B288" s="25"/>
      <c r="C288" s="25"/>
    </row>
    <row r="289" spans="1:3" x14ac:dyDescent="0.2">
      <c r="A289" s="25">
        <v>45656</v>
      </c>
      <c r="B289" s="25"/>
      <c r="C289" s="25"/>
    </row>
    <row r="290" spans="1:3" x14ac:dyDescent="0.2">
      <c r="A290" s="25">
        <v>45660</v>
      </c>
      <c r="B290" s="25"/>
      <c r="C290" s="25"/>
    </row>
    <row r="291" spans="1:3" x14ac:dyDescent="0.2">
      <c r="A291" s="25">
        <v>45663</v>
      </c>
      <c r="B291" s="25"/>
      <c r="C291" s="25"/>
    </row>
    <row r="292" spans="1:3" x14ac:dyDescent="0.2">
      <c r="A292" s="25">
        <v>45664</v>
      </c>
      <c r="B292" s="25"/>
      <c r="C292" s="25"/>
    </row>
    <row r="293" spans="1:3" x14ac:dyDescent="0.2">
      <c r="A293" s="25">
        <v>45665</v>
      </c>
      <c r="B293" s="25"/>
      <c r="C293" s="25"/>
    </row>
    <row r="294" spans="1:3" x14ac:dyDescent="0.2">
      <c r="A294" s="25">
        <v>45667</v>
      </c>
      <c r="B294" s="25"/>
      <c r="C294" s="25"/>
    </row>
    <row r="295" spans="1:3" x14ac:dyDescent="0.2">
      <c r="A295" s="25">
        <v>45670</v>
      </c>
      <c r="B295" s="25"/>
      <c r="C295" s="25"/>
    </row>
    <row r="296" spans="1:3" x14ac:dyDescent="0.2">
      <c r="A296" s="25">
        <v>45671</v>
      </c>
      <c r="B296" s="25"/>
      <c r="C296" s="25"/>
    </row>
    <row r="297" spans="1:3" x14ac:dyDescent="0.2">
      <c r="A297" s="25">
        <v>45672</v>
      </c>
      <c r="B297" s="25"/>
      <c r="C297" s="25"/>
    </row>
    <row r="298" spans="1:3" x14ac:dyDescent="0.2">
      <c r="A298" s="25">
        <v>45673</v>
      </c>
      <c r="B298" s="25"/>
      <c r="C298" s="25"/>
    </row>
    <row r="299" spans="1:3" x14ac:dyDescent="0.2">
      <c r="A299" s="25">
        <v>45674</v>
      </c>
      <c r="B299" s="25"/>
      <c r="C299" s="25"/>
    </row>
    <row r="300" spans="1:3" x14ac:dyDescent="0.2">
      <c r="A300" s="25">
        <v>45678</v>
      </c>
      <c r="B300" s="25"/>
      <c r="C300" s="25"/>
    </row>
    <row r="301" spans="1:3" x14ac:dyDescent="0.2">
      <c r="A301" s="25">
        <v>45679</v>
      </c>
      <c r="B301" s="25"/>
      <c r="C301" s="25"/>
    </row>
    <row r="302" spans="1:3" x14ac:dyDescent="0.2">
      <c r="A302" s="25">
        <v>45680</v>
      </c>
      <c r="B302" s="25"/>
      <c r="C302" s="25"/>
    </row>
    <row r="303" spans="1:3" x14ac:dyDescent="0.2">
      <c r="A303" s="25">
        <v>45681</v>
      </c>
      <c r="B303" s="25"/>
      <c r="C303" s="25"/>
    </row>
    <row r="304" spans="1:3" x14ac:dyDescent="0.2">
      <c r="A304" s="25">
        <v>45684</v>
      </c>
      <c r="B304" s="25"/>
      <c r="C304" s="25"/>
    </row>
    <row r="305" spans="1:3" x14ac:dyDescent="0.2">
      <c r="A305" s="25">
        <v>45685</v>
      </c>
      <c r="B305" s="25"/>
      <c r="C305" s="25"/>
    </row>
    <row r="306" spans="1:3" x14ac:dyDescent="0.2">
      <c r="A306" s="25">
        <v>45686</v>
      </c>
      <c r="B306" s="25"/>
      <c r="C306" s="25"/>
    </row>
    <row r="307" spans="1:3" x14ac:dyDescent="0.2">
      <c r="A307" s="25">
        <v>45687</v>
      </c>
      <c r="B307" s="25"/>
      <c r="C307" s="25"/>
    </row>
    <row r="308" spans="1:3" x14ac:dyDescent="0.2">
      <c r="A308" s="25">
        <v>45688</v>
      </c>
      <c r="B308" s="25"/>
      <c r="C308" s="25"/>
    </row>
    <row r="309" spans="1:3" x14ac:dyDescent="0.2">
      <c r="A309" s="25">
        <v>45691</v>
      </c>
      <c r="B309" s="25"/>
      <c r="C309" s="25"/>
    </row>
    <row r="310" spans="1:3" x14ac:dyDescent="0.2">
      <c r="A310" s="25">
        <v>45692</v>
      </c>
      <c r="B310" s="25"/>
      <c r="C310" s="25"/>
    </row>
    <row r="311" spans="1:3" x14ac:dyDescent="0.2">
      <c r="A311" s="25">
        <v>45693</v>
      </c>
      <c r="B311" s="25"/>
      <c r="C311" s="25"/>
    </row>
    <row r="312" spans="1:3" x14ac:dyDescent="0.2">
      <c r="A312" s="25">
        <v>45694</v>
      </c>
      <c r="B312" s="25"/>
      <c r="C312" s="25"/>
    </row>
    <row r="313" spans="1:3" x14ac:dyDescent="0.2">
      <c r="A313" s="25">
        <v>45695</v>
      </c>
      <c r="B313" s="25"/>
      <c r="C313" s="25"/>
    </row>
    <row r="314" spans="1:3" x14ac:dyDescent="0.2">
      <c r="A314" s="25">
        <v>45698</v>
      </c>
      <c r="B314" s="25"/>
      <c r="C314" s="25"/>
    </row>
    <row r="315" spans="1:3" x14ac:dyDescent="0.2">
      <c r="A315" s="25">
        <v>45699</v>
      </c>
      <c r="B315" s="25"/>
      <c r="C315" s="25"/>
    </row>
    <row r="316" spans="1:3" x14ac:dyDescent="0.2">
      <c r="A316" s="25">
        <v>45700</v>
      </c>
      <c r="B316" s="25"/>
      <c r="C316" s="25"/>
    </row>
    <row r="317" spans="1:3" x14ac:dyDescent="0.2">
      <c r="A317" s="25">
        <v>45701</v>
      </c>
      <c r="B317" s="25"/>
      <c r="C317" s="25"/>
    </row>
    <row r="318" spans="1:3" x14ac:dyDescent="0.2">
      <c r="A318" s="25">
        <v>45702</v>
      </c>
      <c r="B318" s="25"/>
      <c r="C318" s="25"/>
    </row>
    <row r="319" spans="1:3" x14ac:dyDescent="0.2">
      <c r="A319" s="25">
        <v>45706</v>
      </c>
      <c r="B319" s="25"/>
      <c r="C319" s="25"/>
    </row>
    <row r="320" spans="1:3" x14ac:dyDescent="0.2">
      <c r="A320" s="25">
        <v>45707</v>
      </c>
      <c r="B320" s="25"/>
      <c r="C320" s="25"/>
    </row>
    <row r="321" spans="1:3" x14ac:dyDescent="0.2">
      <c r="A321" s="25">
        <v>45708</v>
      </c>
      <c r="B321" s="25"/>
      <c r="C321" s="25"/>
    </row>
    <row r="322" spans="1:3" x14ac:dyDescent="0.2">
      <c r="A322" s="25">
        <v>45709</v>
      </c>
      <c r="B322" s="25"/>
      <c r="C322" s="25"/>
    </row>
    <row r="323" spans="1:3" x14ac:dyDescent="0.2">
      <c r="A323" s="25">
        <v>45712</v>
      </c>
      <c r="B323" s="25"/>
      <c r="C323" s="25"/>
    </row>
    <row r="324" spans="1:3" x14ac:dyDescent="0.2">
      <c r="A324" s="25">
        <v>45713</v>
      </c>
      <c r="B324" s="25"/>
      <c r="C324" s="25"/>
    </row>
    <row r="325" spans="1:3" x14ac:dyDescent="0.2">
      <c r="A325" s="25">
        <v>45714</v>
      </c>
      <c r="B325" s="25"/>
      <c r="C325" s="25"/>
    </row>
    <row r="326" spans="1:3" x14ac:dyDescent="0.2">
      <c r="A326" s="25">
        <v>45715</v>
      </c>
      <c r="B326" s="25"/>
      <c r="C326" s="25"/>
    </row>
    <row r="327" spans="1:3" x14ac:dyDescent="0.2">
      <c r="A327" s="25">
        <v>45716</v>
      </c>
      <c r="B327" s="25"/>
      <c r="C327" s="25"/>
    </row>
    <row r="328" spans="1:3" x14ac:dyDescent="0.2">
      <c r="A328" s="25">
        <v>45719</v>
      </c>
      <c r="B328" s="25"/>
      <c r="C328" s="25"/>
    </row>
    <row r="329" spans="1:3" x14ac:dyDescent="0.2">
      <c r="A329" s="25">
        <v>45720</v>
      </c>
      <c r="B329" s="25"/>
      <c r="C329" s="25"/>
    </row>
    <row r="330" spans="1:3" x14ac:dyDescent="0.2">
      <c r="A330" s="25">
        <v>45721</v>
      </c>
      <c r="B330" s="25"/>
      <c r="C330" s="25"/>
    </row>
    <row r="331" spans="1:3" x14ac:dyDescent="0.2">
      <c r="A331" s="25">
        <v>45722</v>
      </c>
      <c r="B331" s="25"/>
      <c r="C331" s="25"/>
    </row>
    <row r="332" spans="1:3" x14ac:dyDescent="0.2">
      <c r="A332" s="25">
        <v>45723</v>
      </c>
      <c r="B332" s="25"/>
      <c r="C332" s="25"/>
    </row>
    <row r="333" spans="1:3" x14ac:dyDescent="0.2">
      <c r="A333" s="25">
        <v>45726</v>
      </c>
      <c r="B333" s="25"/>
      <c r="C333" s="25"/>
    </row>
    <row r="334" spans="1:3" x14ac:dyDescent="0.2">
      <c r="A334" s="25">
        <v>45727</v>
      </c>
      <c r="B334" s="25"/>
      <c r="C334" s="25"/>
    </row>
    <row r="335" spans="1:3" x14ac:dyDescent="0.2">
      <c r="A335" s="25">
        <v>45728</v>
      </c>
      <c r="B335" s="25"/>
      <c r="C335" s="25"/>
    </row>
    <row r="336" spans="1:3" x14ac:dyDescent="0.2">
      <c r="A336" s="25">
        <v>45729</v>
      </c>
      <c r="B336" s="25"/>
      <c r="C336" s="25"/>
    </row>
    <row r="337" spans="1:3" x14ac:dyDescent="0.2">
      <c r="A337" s="25">
        <v>45730</v>
      </c>
      <c r="B337" s="25"/>
      <c r="C337" s="25"/>
    </row>
    <row r="338" spans="1:3" x14ac:dyDescent="0.2">
      <c r="A338" s="25">
        <v>45733</v>
      </c>
      <c r="B338" s="25"/>
      <c r="C338" s="25"/>
    </row>
    <row r="339" spans="1:3" x14ac:dyDescent="0.2">
      <c r="A339" s="25">
        <v>45734</v>
      </c>
      <c r="B339" s="25"/>
      <c r="C339" s="25"/>
    </row>
    <row r="340" spans="1:3" x14ac:dyDescent="0.2">
      <c r="A340" s="25">
        <v>45735</v>
      </c>
      <c r="B340" s="25"/>
      <c r="C340" s="25"/>
    </row>
    <row r="341" spans="1:3" x14ac:dyDescent="0.2">
      <c r="A341" s="25">
        <v>45736</v>
      </c>
      <c r="B341" s="25"/>
      <c r="C341" s="25"/>
    </row>
    <row r="342" spans="1:3" x14ac:dyDescent="0.2">
      <c r="A342" s="25">
        <v>45737</v>
      </c>
      <c r="B342" s="25"/>
      <c r="C342" s="25"/>
    </row>
    <row r="343" spans="1:3" x14ac:dyDescent="0.2">
      <c r="A343" s="25">
        <v>45740</v>
      </c>
      <c r="B343" s="25"/>
      <c r="C343" s="25"/>
    </row>
    <row r="344" spans="1:3" x14ac:dyDescent="0.2">
      <c r="A344" s="25">
        <v>45741</v>
      </c>
      <c r="B344" s="25"/>
      <c r="C344" s="25"/>
    </row>
    <row r="345" spans="1:3" x14ac:dyDescent="0.2">
      <c r="A345" s="25">
        <v>45742</v>
      </c>
      <c r="B345" s="25"/>
      <c r="C345" s="25"/>
    </row>
    <row r="346" spans="1:3" x14ac:dyDescent="0.2">
      <c r="A346" s="25">
        <v>45743</v>
      </c>
      <c r="B346" s="25"/>
      <c r="C346" s="25"/>
    </row>
    <row r="347" spans="1:3" x14ac:dyDescent="0.2">
      <c r="A347" s="25">
        <v>45744</v>
      </c>
      <c r="B347" s="25"/>
      <c r="C347" s="25"/>
    </row>
    <row r="348" spans="1:3" x14ac:dyDescent="0.2">
      <c r="A348" s="25">
        <v>45747</v>
      </c>
      <c r="B348" s="25"/>
      <c r="C348" s="25"/>
    </row>
    <row r="349" spans="1:3" x14ac:dyDescent="0.2">
      <c r="A349" s="25">
        <v>45748</v>
      </c>
      <c r="B349" s="25"/>
      <c r="C349" s="25"/>
    </row>
    <row r="350" spans="1:3" x14ac:dyDescent="0.2">
      <c r="A350" s="25">
        <v>45749</v>
      </c>
      <c r="B350" s="25"/>
      <c r="C350" s="25"/>
    </row>
    <row r="351" spans="1:3" x14ac:dyDescent="0.2">
      <c r="A351" s="25">
        <v>45750</v>
      </c>
      <c r="B351" s="25"/>
      <c r="C351" s="25"/>
    </row>
    <row r="352" spans="1:3" x14ac:dyDescent="0.2">
      <c r="A352" s="25">
        <v>45751</v>
      </c>
      <c r="B352" s="25"/>
      <c r="C352" s="25"/>
    </row>
    <row r="353" spans="1:14" x14ac:dyDescent="0.2">
      <c r="A353" s="25">
        <v>45754</v>
      </c>
      <c r="B353" s="25"/>
      <c r="C353" s="25"/>
    </row>
    <row r="354" spans="1:14" x14ac:dyDescent="0.2">
      <c r="A354" s="25">
        <v>45755</v>
      </c>
      <c r="B354" s="25"/>
      <c r="C354" s="25"/>
    </row>
    <row r="355" spans="1:14" x14ac:dyDescent="0.2">
      <c r="A355" s="25">
        <v>45756</v>
      </c>
      <c r="B355" s="25"/>
      <c r="C355" s="25"/>
    </row>
    <row r="356" spans="1:14" x14ac:dyDescent="0.2">
      <c r="A356" s="25">
        <v>45757</v>
      </c>
      <c r="B356" s="25"/>
      <c r="C356" s="25"/>
    </row>
    <row r="357" spans="1:14" x14ac:dyDescent="0.2">
      <c r="A357" s="25">
        <v>45758</v>
      </c>
      <c r="B357" s="25"/>
      <c r="C357" s="25"/>
    </row>
    <row r="358" spans="1:14" x14ac:dyDescent="0.2">
      <c r="A358" s="25">
        <v>45761</v>
      </c>
      <c r="B358" s="25"/>
      <c r="C358" s="25"/>
    </row>
    <row r="359" spans="1:14" x14ac:dyDescent="0.2">
      <c r="A359" s="25">
        <v>45762</v>
      </c>
      <c r="B359" s="25"/>
      <c r="C359" s="25"/>
    </row>
    <row r="360" spans="1:14" x14ac:dyDescent="0.2">
      <c r="A360" s="25">
        <v>45763</v>
      </c>
      <c r="B360" s="25"/>
      <c r="C360" s="25"/>
    </row>
    <row r="361" spans="1:14" x14ac:dyDescent="0.2">
      <c r="A361" s="25">
        <v>45764</v>
      </c>
      <c r="B361" s="25"/>
      <c r="C361" s="25"/>
    </row>
    <row r="362" spans="1:14" x14ac:dyDescent="0.2">
      <c r="A362" s="25">
        <v>45769</v>
      </c>
      <c r="B362" s="25"/>
      <c r="C362" s="25"/>
    </row>
    <row r="363" spans="1:14" x14ac:dyDescent="0.2">
      <c r="A363" s="25">
        <v>45770</v>
      </c>
      <c r="B363" s="25"/>
      <c r="C363" s="25"/>
    </row>
    <row r="364" spans="1:14" x14ac:dyDescent="0.2">
      <c r="A364" s="25">
        <v>45771</v>
      </c>
      <c r="B364" s="25"/>
      <c r="C364" s="25"/>
    </row>
    <row r="365" spans="1:14" x14ac:dyDescent="0.2">
      <c r="A365" s="37">
        <v>45772</v>
      </c>
      <c r="B365" s="25"/>
      <c r="C365" s="25"/>
    </row>
    <row r="366" spans="1:14" x14ac:dyDescent="0.2">
      <c r="C366" s="41" t="s">
        <v>68</v>
      </c>
      <c r="N366" s="54"/>
    </row>
    <row r="367" spans="1:14" x14ac:dyDescent="0.2">
      <c r="D367" s="31" t="s">
        <v>59</v>
      </c>
      <c r="E367" s="31" t="s">
        <v>54</v>
      </c>
      <c r="F367" s="38" t="s">
        <v>41</v>
      </c>
      <c r="G367" s="38"/>
    </row>
    <row r="369" spans="1:14" ht="16" x14ac:dyDescent="0.2">
      <c r="D369" s="35" t="s">
        <v>57</v>
      </c>
      <c r="E369" s="35" t="s">
        <v>56</v>
      </c>
      <c r="F369" s="35"/>
    </row>
    <row r="370" spans="1:14" x14ac:dyDescent="0.2">
      <c r="G370" s="29"/>
    </row>
    <row r="371" spans="1:14" x14ac:dyDescent="0.2">
      <c r="A371" s="25">
        <v>45772</v>
      </c>
      <c r="B371" s="25"/>
      <c r="C371" s="44" t="s">
        <v>29</v>
      </c>
      <c r="D371">
        <f>(LN(Underlying_Assets!C365/Option_Portfolio!$E$4) + (Option_Portfolio!$H$4 + (Option_Portfolio!$G$4^2)/2) * (Option_Portfolio!$F$4)) / (Option_Portfolio!$G$4 * SQRT(Option_Portfolio!$F$4))</f>
        <v>0.17380854952474384</v>
      </c>
      <c r="E371">
        <f>(LN(Underlying_Assets!D365/Option_Portfolio!$E$5) + (Option_Portfolio!$H$5 + (Option_Portfolio!$G$5^2)/2) * (Option_Portfolio!$F$5)) / (Option_Portfolio!$G$5 * SQRT(Option_Portfolio!$F$5))</f>
        <v>1.317543947603435</v>
      </c>
      <c r="H371" t="s">
        <v>82</v>
      </c>
    </row>
    <row r="372" spans="1:14" x14ac:dyDescent="0.2">
      <c r="A372" s="25"/>
      <c r="B372" s="25"/>
      <c r="C372" t="s">
        <v>96</v>
      </c>
      <c r="D372">
        <f>_xlfn.NORM.S.DIST(D371, TRUE) - 1</f>
        <v>-0.43100796255894447</v>
      </c>
      <c r="E372">
        <f>_xlfn.NORM.S.DIST(E371, TRUE)</f>
        <v>0.90617181996178064</v>
      </c>
      <c r="H372" t="s">
        <v>81</v>
      </c>
      <c r="I372">
        <f>CORREL(Underlying_Assets!H114:H365, Underlying_Assets!I114:I365)</f>
        <v>0.28291698825864853</v>
      </c>
    </row>
    <row r="373" spans="1:14" x14ac:dyDescent="0.2">
      <c r="C373" t="s">
        <v>103</v>
      </c>
      <c r="D373" s="36">
        <f xml:space="preserve"> D372 * Option_Portfolio!B4* Option_Portfolio!I4 * Underlying_Assets!C365</f>
        <v>-258682358.96862727</v>
      </c>
      <c r="E373" s="36">
        <f xml:space="preserve"> E372 * -Option_Portfolio!B5* Option_Portfolio!I4 * Underlying_Assets!D365</f>
        <v>-262427359.06093171</v>
      </c>
      <c r="F373" s="39"/>
      <c r="H373" t="s">
        <v>142</v>
      </c>
    </row>
    <row r="374" spans="1:14" x14ac:dyDescent="0.2">
      <c r="C374" t="s">
        <v>66</v>
      </c>
      <c r="D374">
        <v>2.33</v>
      </c>
      <c r="E374" s="30">
        <v>2.33</v>
      </c>
      <c r="H374" t="s">
        <v>10</v>
      </c>
      <c r="I374" t="s">
        <v>8</v>
      </c>
    </row>
    <row r="375" spans="1:14" x14ac:dyDescent="0.2">
      <c r="D375" s="40"/>
      <c r="E375" s="40"/>
      <c r="F375" s="40"/>
      <c r="H375" s="40">
        <f>_xlfn.STDEV.S(Underlying_Assets!I114:I365)</f>
        <v>1.7050205112247505E-2</v>
      </c>
      <c r="I375" s="40">
        <f>_xlfn.STDEV.S(Underlying_Assets!H114:H365)</f>
        <v>1.2067291218714173E-2</v>
      </c>
    </row>
    <row r="376" spans="1:14" ht="16" x14ac:dyDescent="0.2">
      <c r="B376" t="s">
        <v>69</v>
      </c>
      <c r="C376" s="33" t="s">
        <v>55</v>
      </c>
      <c r="D376" s="36">
        <f>D374 * ABS(D373) * I375</f>
        <v>7273317.1860468341</v>
      </c>
      <c r="E376" s="36">
        <f>E374 * ABS(E373) * H375</f>
        <v>10425445.896796541</v>
      </c>
      <c r="F376" s="36"/>
    </row>
    <row r="377" spans="1:14" ht="16" x14ac:dyDescent="0.2">
      <c r="B377" t="s">
        <v>69</v>
      </c>
      <c r="C377" s="33" t="s">
        <v>53</v>
      </c>
      <c r="D377" s="36">
        <f>2.665 * D376</f>
        <v>19383390.300814815</v>
      </c>
      <c r="E377" s="36">
        <f>2.665 * E376</f>
        <v>27783813.314962782</v>
      </c>
      <c r="F377" s="36"/>
    </row>
    <row r="378" spans="1:14" ht="16" x14ac:dyDescent="0.2">
      <c r="C378" s="33"/>
      <c r="D378" s="36" t="s">
        <v>84</v>
      </c>
      <c r="E378" s="36" t="s">
        <v>85</v>
      </c>
      <c r="F378" s="36" t="s">
        <v>86</v>
      </c>
    </row>
    <row r="379" spans="1:14" ht="16" x14ac:dyDescent="0.2">
      <c r="B379" t="s">
        <v>70</v>
      </c>
      <c r="C379" s="33" t="s">
        <v>55</v>
      </c>
      <c r="D379" s="76" cm="1">
        <f t="array" ref="D379">E374*SQRT(MMULT((D373:E373), MMULT(M380:N381, TRANSPOSE(D373:E373))))</f>
        <v>14300240.670079265</v>
      </c>
      <c r="E379" s="36">
        <f>D376+E376</f>
        <v>17698763.082843374</v>
      </c>
      <c r="F379" s="36">
        <f>E379-D379</f>
        <v>3398522.4127641097</v>
      </c>
      <c r="H379" s="31"/>
      <c r="I379" s="31"/>
      <c r="J379" s="31"/>
      <c r="L379" s="31" t="s">
        <v>83</v>
      </c>
      <c r="M379" s="31" t="s">
        <v>8</v>
      </c>
      <c r="N379" s="31" t="s">
        <v>10</v>
      </c>
    </row>
    <row r="380" spans="1:14" ht="17" x14ac:dyDescent="0.25">
      <c r="A380" s="33"/>
      <c r="B380" t="s">
        <v>70</v>
      </c>
      <c r="C380" s="33" t="s">
        <v>53</v>
      </c>
      <c r="D380" s="77">
        <f>2.665 * D381</f>
        <v>16356283.856549887</v>
      </c>
      <c r="E380" s="36">
        <f>D377+E377</f>
        <v>47167203.615777597</v>
      </c>
      <c r="F380" s="36">
        <f>E380-D380</f>
        <v>30810919.759227708</v>
      </c>
      <c r="H380" s="31"/>
      <c r="I380" s="45"/>
      <c r="J380" s="45"/>
      <c r="L380" s="31" t="s">
        <v>8</v>
      </c>
      <c r="M380" s="75">
        <f>I375^2</f>
        <v>1.4561951735725617E-4</v>
      </c>
      <c r="N380" s="75">
        <f>I372 * H375 * I375</f>
        <v>5.8210111042822696E-5</v>
      </c>
    </row>
    <row r="381" spans="1:14" ht="17" x14ac:dyDescent="0.25">
      <c r="C381" s="33" t="s">
        <v>67</v>
      </c>
      <c r="D381" s="36" cm="1">
        <f t="array" ref="D381">SQRT(MMULT((D373:E373),MMULT(M380:N381,TRANSPOSE(D373:E373))))</f>
        <v>6137442.3476735037</v>
      </c>
      <c r="H381" s="31"/>
      <c r="I381" s="45"/>
      <c r="J381" s="45"/>
      <c r="L381" s="31" t="s">
        <v>10</v>
      </c>
      <c r="M381">
        <f>I372 * H375 * I375</f>
        <v>5.8210111042822696E-5</v>
      </c>
      <c r="N381">
        <f>H375^2</f>
        <v>2.9070949436971096E-4</v>
      </c>
    </row>
    <row r="384" spans="1:14" x14ac:dyDescent="0.2">
      <c r="C384" s="55" t="s">
        <v>87</v>
      </c>
    </row>
    <row r="385" spans="1:21" x14ac:dyDescent="0.2">
      <c r="C385" t="s">
        <v>88</v>
      </c>
      <c r="D385">
        <f>Underlying_Assets!C3*'Part 1'!D373</f>
        <v>-194011769.22647047</v>
      </c>
      <c r="E385">
        <f>Underlying_Assets!C4*'Part 1'!E373</f>
        <v>-288670094.96702492</v>
      </c>
    </row>
    <row r="386" spans="1:21" x14ac:dyDescent="0.2">
      <c r="C386" t="s">
        <v>89</v>
      </c>
      <c r="D386">
        <f>D385+E385</f>
        <v>-482681864.19349539</v>
      </c>
    </row>
    <row r="388" spans="1:21" ht="16" x14ac:dyDescent="0.2">
      <c r="B388" t="s">
        <v>70</v>
      </c>
      <c r="C388" s="33" t="s">
        <v>55</v>
      </c>
      <c r="D388" s="76">
        <f>D374*ABS(D386)*_xlfn.STDEV.S(Underlying_Assets!F115:F365)</f>
        <v>8414917.0326934997</v>
      </c>
    </row>
    <row r="389" spans="1:21" ht="16" x14ac:dyDescent="0.2">
      <c r="B389" t="s">
        <v>70</v>
      </c>
      <c r="C389" s="33" t="s">
        <v>53</v>
      </c>
      <c r="D389" s="76">
        <f>ABS(2.665 * D390 * (D373+E373))</f>
        <v>10391047.297329821</v>
      </c>
    </row>
    <row r="390" spans="1:21" x14ac:dyDescent="0.2">
      <c r="C390" t="s">
        <v>130</v>
      </c>
      <c r="D390">
        <f>_xlfn.STDEV.S(Underlying_Assets!F115:F365)</f>
        <v>7.4822624226436292E-3</v>
      </c>
      <c r="M390" t="e" cm="1" vm="1">
        <f t="array" aca="1" ref="M390" ca="1">SQRT(BR2^2+Q396:Q645^2+2*BT2*BR2*O390)</f>
        <v>#VALUE!</v>
      </c>
    </row>
    <row r="391" spans="1:21" x14ac:dyDescent="0.2">
      <c r="D391" t="s">
        <v>107</v>
      </c>
      <c r="E391">
        <v>0.5</v>
      </c>
      <c r="M391" s="92" t="e" cm="1" vm="1">
        <f t="array" aca="1" ref="M391" ca="1">SQRT(BQ391^2+Q396:Q645^2+2*BS391*BQ391*Q396:Q645)</f>
        <v>#VALUE!</v>
      </c>
    </row>
    <row r="392" spans="1:21" x14ac:dyDescent="0.2">
      <c r="C392" s="55" t="s">
        <v>90</v>
      </c>
      <c r="D392" t="s">
        <v>92</v>
      </c>
      <c r="E392" s="56">
        <f>0.5-1/250</f>
        <v>0.496</v>
      </c>
      <c r="F392" t="s">
        <v>102</v>
      </c>
      <c r="G392" s="36">
        <f>L395</f>
        <v>-28226585.200994913</v>
      </c>
    </row>
    <row r="393" spans="1:21" x14ac:dyDescent="0.2">
      <c r="P393" t="s">
        <v>133</v>
      </c>
    </row>
    <row r="394" spans="1:21" x14ac:dyDescent="0.2">
      <c r="A394" t="s">
        <v>104</v>
      </c>
      <c r="B394" t="s">
        <v>106</v>
      </c>
      <c r="C394" t="s">
        <v>105</v>
      </c>
      <c r="D394" t="s">
        <v>93</v>
      </c>
      <c r="E394" t="s">
        <v>91</v>
      </c>
      <c r="F394" t="s">
        <v>94</v>
      </c>
      <c r="G394" t="s">
        <v>95</v>
      </c>
      <c r="H394" t="s">
        <v>97</v>
      </c>
      <c r="I394" t="s">
        <v>98</v>
      </c>
      <c r="J394" t="s">
        <v>99</v>
      </c>
      <c r="K394" t="s">
        <v>100</v>
      </c>
      <c r="L394" t="s">
        <v>101</v>
      </c>
      <c r="O394" t="s">
        <v>131</v>
      </c>
      <c r="P394" t="s">
        <v>132</v>
      </c>
      <c r="Q394" t="s">
        <v>172</v>
      </c>
      <c r="R394" t="s">
        <v>134</v>
      </c>
      <c r="S394" t="s">
        <v>55</v>
      </c>
      <c r="T394" t="s">
        <v>135</v>
      </c>
    </row>
    <row r="395" spans="1:21" x14ac:dyDescent="0.2">
      <c r="A395">
        <v>0</v>
      </c>
      <c r="B395" s="36">
        <f>Underlying_Assets!C365</f>
        <v>85.74</v>
      </c>
      <c r="C395" s="36">
        <f>Underlying_Assets!D365</f>
        <v>144.80000000000001</v>
      </c>
      <c r="D395">
        <f>(LN(B395/Option_Portfolio!$E$4) + (Option_Portfolio!$H$4 + (Option_Portfolio!$G$4^2)/2) * ($E$391)) / (Option_Portfolio!$G$4 * SQRT($E$391))</f>
        <v>0.17380854952474384</v>
      </c>
      <c r="E395">
        <f>(LN(C395/Option_Portfolio!$E$5) + (Option_Portfolio!$H$5 + (Option_Portfolio!$G$5^2)/2) * ($E$391)) / (Option_Portfolio!$G$5 * SQRT($E$391))</f>
        <v>1.317543947603435</v>
      </c>
      <c r="F395">
        <f>D395-Option_Portfolio!$G$4*SQRT('Part 1'!$E$391)</f>
        <v>5.3600396723030741E-2</v>
      </c>
      <c r="G395">
        <f>E395-Option_Portfolio!$G$5*SQRT('Part 1'!$E$391)</f>
        <v>1.1619804557423945</v>
      </c>
      <c r="H395">
        <f t="shared" ref="H395:H458" si="0">_xlfn.NORM.S.DIST(D395, TRUE) - 1</f>
        <v>-0.43100796255894447</v>
      </c>
      <c r="I395">
        <f t="shared" ref="I395:I458" si="1">_xlfn.NORM.S.DIST(E395, TRUE)</f>
        <v>0.90617181996178064</v>
      </c>
      <c r="J395" s="36">
        <f>Option_Portfolio!$E$4 * EXP(-Option_Portfolio!$H$4* $E$391) * _xlfn.NORM.S.DIST(-F395, TRUE) - B395 * _xlfn.NORM.S.DIST(-D395, TRUE)</f>
        <v>3.5257440755161937</v>
      </c>
      <c r="K395" s="36">
        <f>C395 * _xlfn.NORM.S.DIST(E395, TRUE) - Option_Portfolio!$E$5 * EXP(-Option_Portfolio!H5*'Part 1'!$E$391) * _xlfn.NORM.S.DIST(G395, TRUE)</f>
        <v>26.453396864804134</v>
      </c>
      <c r="L395" s="36">
        <f>(K395 * -2000 * 1000) + (J395 * 7000 * 1000)</f>
        <v>-28226585.200994913</v>
      </c>
      <c r="M395" s="48" t="s">
        <v>108</v>
      </c>
    </row>
    <row r="396" spans="1:21" x14ac:dyDescent="0.2">
      <c r="A396" cm="1">
        <f t="array" ref="A396:A645">_xlfn.SEQUENCE(250, 1, 1, 1)</f>
        <v>1</v>
      </c>
      <c r="B396" s="36">
        <f>Underlying_Assets!$C$365*(1+Underlying_Assets!H114)</f>
        <v>86.070263214209277</v>
      </c>
      <c r="C396" s="36">
        <f>Underlying_Assets!$D$365 * (1 + Underlying_Assets!I114)</f>
        <v>143.23716564992964</v>
      </c>
      <c r="D396" s="57">
        <f>(LN(B396/Option_Portfolio!$E$4) + (Option_Portfolio!$H$4 + (Option_Portfolio!$G$4^2)/2) * ($E$392)) / (Option_Portfolio!$G$4 * SQRT($E$392))</f>
        <v>0.20580197549375701</v>
      </c>
      <c r="E396">
        <f>(LN(C396/Option_Portfolio!$E$5) + (Option_Portfolio!$H$5 + (Option_Portfolio!$G$5^2)/2) * ($E$392)) / (Option_Portfolio!$G$5 * SQRT($E$392))</f>
        <v>1.2519248049329945</v>
      </c>
      <c r="F396">
        <f>D396-Option_Portfolio!$G$4*SQRT('Part 1'!$E$392)</f>
        <v>8.6075620834475744E-2</v>
      </c>
      <c r="G396">
        <f>E396-Option_Portfolio!$G$5*SQRT('Part 1'!$E$392)</f>
        <v>1.0969848165503953</v>
      </c>
      <c r="H396" s="57">
        <f t="shared" si="0"/>
        <v>-0.4184727990063446</v>
      </c>
      <c r="I396">
        <f t="shared" si="1"/>
        <v>0.89470136738359718</v>
      </c>
      <c r="J396" s="36">
        <f>Option_Portfolio!$E$4 * EXP(-Option_Portfolio!$H$4* $E$392) * _xlfn.NORM.S.DIST(-F396, TRUE) - B396 * _xlfn.NORM.S.DIST(-D396, TRUE)</f>
        <v>3.3708496092147726</v>
      </c>
      <c r="K396" s="36">
        <f>C396 * _xlfn.NORM.S.DIST(E396, TRUE) - Option_Portfolio!$E$5 * EXP(-'Part 1'!$H$5*'Part 1'!$E$392) * _xlfn.NORM.S.DIST(G396, TRUE)</f>
        <v>24.513369736426597</v>
      </c>
      <c r="L396" s="36">
        <f>(K396 * -2000 * 1000) + (J396 * 7000 * 1000)</f>
        <v>-25430792.208349783</v>
      </c>
      <c r="M396" t="s">
        <v>109</v>
      </c>
      <c r="O396" s="36" cm="1">
        <f t="array" ref="O396:O645">_xlfn._xlws.SORT(L396:L645)</f>
        <v>-47896218.937878892</v>
      </c>
      <c r="P396" s="36">
        <f>$L$395-O396</f>
        <v>19669633.736883979</v>
      </c>
      <c r="Q396" s="36">
        <f>-L396+L$395</f>
        <v>-2795792.9926451296</v>
      </c>
      <c r="R396" s="36">
        <f>_xlfn.PERCENTILE.INC(_xlfn.ANCHORARRAY(O396), 0.01)</f>
        <v>-43765728.659834631</v>
      </c>
      <c r="S396" s="76">
        <f>ABS(R396-L395)</f>
        <v>15539143.458839718</v>
      </c>
      <c r="T396" s="76">
        <f>ABS(AVERAGEIF(_xlfn.ANCHORARRAY(O396),"&lt;"&amp;R396)-L395)</f>
        <v>19296856.754936334</v>
      </c>
      <c r="U396" t="s">
        <v>90</v>
      </c>
    </row>
    <row r="397" spans="1:21" x14ac:dyDescent="0.2">
      <c r="A397">
        <v>2</v>
      </c>
      <c r="B397" s="36">
        <f>Underlying_Assets!$C$365*(1+Underlying_Assets!H115)</f>
        <v>85.0271754423364</v>
      </c>
      <c r="C397" s="36">
        <f>Underlying_Assets!$D$365 * (1 + Underlying_Assets!I115)</f>
        <v>145.62428842504744</v>
      </c>
      <c r="D397">
        <f>(LN(B397/Option_Portfolio!$E$4) + (Option_Portfolio!$H$4 + (Option_Portfolio!$G$4^2)/2) * ($E$392)) / (Option_Portfolio!$G$4 * SQRT($E$392))</f>
        <v>0.10396090338700491</v>
      </c>
      <c r="E397">
        <f>(LN(C397/Option_Portfolio!$E$5) + (Option_Portfolio!$H$5 + (Option_Portfolio!$G$5^2)/2) * ($E$392)) / (Option_Portfolio!$G$5 * SQRT($E$392))</f>
        <v>1.3585995285773229</v>
      </c>
      <c r="F397">
        <f>D397-Option_Portfolio!$G$4*SQRT('Part 1'!$E$392)</f>
        <v>-1.5765451272276354E-2</v>
      </c>
      <c r="G397">
        <f>E397-Option_Portfolio!$G$5*SQRT('Part 1'!$E$392)</f>
        <v>1.2036595401947237</v>
      </c>
      <c r="H397">
        <f t="shared" si="0"/>
        <v>-0.45860018748664022</v>
      </c>
      <c r="I397">
        <f t="shared" si="1"/>
        <v>0.91286323767009614</v>
      </c>
      <c r="J397" s="36">
        <f>Option_Portfolio!$E$4 * EXP(-Option_Portfolio!$H$4* $E$392) * _xlfn.NORM.S.DIST(-F397, TRUE) - B397 * _xlfn.NORM.S.DIST(-D397, TRUE)</f>
        <v>3.8281841276125874</v>
      </c>
      <c r="K397" s="36">
        <f>C397 * _xlfn.NORM.S.DIST(E397, TRUE) - Option_Portfolio!$E$5 * EXP(-'Part 1'!$H$5*'Part 1'!$E$392) * _xlfn.NORM.S.DIST(G397, TRUE)</f>
        <v>26.658331198939578</v>
      </c>
      <c r="L397" s="36">
        <f t="shared" ref="L397:L458" si="2">(K397 * -2000 * 1000) + (J397 * 7000 * 1000)</f>
        <v>-26519373.504591044</v>
      </c>
      <c r="O397" s="36">
        <v>-47514541.61954318</v>
      </c>
      <c r="P397" s="36">
        <f>$L$395-O397</f>
        <v>19287956.418548267</v>
      </c>
      <c r="Q397" s="36">
        <f>-L397+L$395</f>
        <v>-1707211.6964038685</v>
      </c>
    </row>
    <row r="398" spans="1:21" x14ac:dyDescent="0.2">
      <c r="A398">
        <v>3</v>
      </c>
      <c r="B398" s="36">
        <f>Underlying_Assets!$C$365*(1+Underlying_Assets!H116)</f>
        <v>85.242368873602743</v>
      </c>
      <c r="C398" s="36">
        <f>Underlying_Assets!$D$365 * (1 + Underlying_Assets!I116)</f>
        <v>146.71245283018871</v>
      </c>
      <c r="D398">
        <f>(LN(B398/Option_Portfolio!$E$4) + (Option_Portfolio!$H$4 + (Option_Portfolio!$G$4^2)/2) * ($E$392)) / (Option_Portfolio!$G$4 * SQRT($E$392))</f>
        <v>0.12507305538617411</v>
      </c>
      <c r="E398">
        <f>(LN(C398/Option_Portfolio!$E$5) + (Option_Portfolio!$H$5 + (Option_Portfolio!$G$5^2)/2) * ($E$392)) / (Option_Portfolio!$G$5 * SQRT($E$392))</f>
        <v>1.4066480022838581</v>
      </c>
      <c r="F398">
        <f>D398-Option_Portfolio!$G$4*SQRT('Part 1'!$E$392)</f>
        <v>5.3467007268928474E-3</v>
      </c>
      <c r="G398">
        <f>E398-Option_Portfolio!$G$5*SQRT('Part 1'!$E$392)</f>
        <v>1.2517080139012589</v>
      </c>
      <c r="H398">
        <f t="shared" si="0"/>
        <v>-0.45023285722686923</v>
      </c>
      <c r="I398">
        <f t="shared" si="1"/>
        <v>0.92023410421446394</v>
      </c>
      <c r="J398" s="36">
        <f>Option_Portfolio!$E$4 * EXP(-Option_Portfolio!$H$4* $E$392) * _xlfn.NORM.S.DIST(-F398, TRUE) - B398 * _xlfn.NORM.S.DIST(-D398, TRUE)</f>
        <v>3.7303974189919344</v>
      </c>
      <c r="K398" s="36">
        <f>C398 * _xlfn.NORM.S.DIST(E398, TRUE) - Option_Portfolio!$E$5 * EXP(-'Part 1'!$H$5*'Part 1'!$E$392) * _xlfn.NORM.S.DIST(G398, TRUE)</f>
        <v>27.650379339158519</v>
      </c>
      <c r="L398" s="36">
        <f t="shared" si="2"/>
        <v>-29187976.745373499</v>
      </c>
      <c r="O398" s="36">
        <v>-47159565.310371667</v>
      </c>
      <c r="P398" s="36">
        <f>$L$395-O398</f>
        <v>18932980.109376755</v>
      </c>
      <c r="Q398" s="36">
        <f>-L398+L$395</f>
        <v>961391.54437858611</v>
      </c>
    </row>
    <row r="399" spans="1:21" x14ac:dyDescent="0.2">
      <c r="A399">
        <v>4</v>
      </c>
      <c r="B399" s="36">
        <f>Underlying_Assets!$C$365*(1+Underlying_Assets!H117)</f>
        <v>85.202387027027015</v>
      </c>
      <c r="C399" s="36">
        <f>Underlying_Assets!$D$365 * (1 + Underlying_Assets!I117)</f>
        <v>131.91091247672256</v>
      </c>
      <c r="D399">
        <f>(LN(B399/Option_Portfolio!$E$4) + (Option_Portfolio!$H$4 + (Option_Portfolio!$G$4^2)/2) * ($E$392)) / (Option_Portfolio!$G$4 * SQRT($E$392))</f>
        <v>0.12115455901847896</v>
      </c>
      <c r="E399">
        <f>(LN(C399/Option_Portfolio!$E$5) + (Option_Portfolio!$H$5 + (Option_Portfolio!$G$5^2)/2) * ($E$392)) / (Option_Portfolio!$G$5 * SQRT($E$392))</f>
        <v>0.72026755415876864</v>
      </c>
      <c r="F399">
        <f>D399-Option_Portfolio!$G$4*SQRT('Part 1'!$E$392)</f>
        <v>1.4282043591977017E-3</v>
      </c>
      <c r="G399">
        <f>E399-Option_Portfolio!$G$5*SQRT('Part 1'!$E$392)</f>
        <v>0.56532756577616938</v>
      </c>
      <c r="H399">
        <f t="shared" si="0"/>
        <v>-0.45178430777762246</v>
      </c>
      <c r="I399">
        <f t="shared" si="1"/>
        <v>0.76431986117175965</v>
      </c>
      <c r="J399" s="36">
        <f>Option_Portfolio!$E$4 * EXP(-Option_Portfolio!$H$4* $E$392) * _xlfn.NORM.S.DIST(-F399, TRUE) - B399 * _xlfn.NORM.S.DIST(-D399, TRUE)</f>
        <v>3.7484295700230774</v>
      </c>
      <c r="K399" s="36">
        <f>C399 * _xlfn.NORM.S.DIST(E399, TRUE) - Option_Portfolio!$E$5 * EXP(-'Part 1'!$H$5*'Part 1'!$E$392) * _xlfn.NORM.S.DIST(G399, TRUE)</f>
        <v>15.133189258662583</v>
      </c>
      <c r="L399" s="36">
        <f t="shared" si="2"/>
        <v>-4027371.5271636248</v>
      </c>
      <c r="O399" s="36">
        <v>-40233368.064377718</v>
      </c>
      <c r="P399" s="36">
        <f t="shared" ref="P399:P460" si="3">$L$395-O399</f>
        <v>12006782.863382805</v>
      </c>
      <c r="Q399" s="36">
        <f t="shared" ref="Q399:Q460" si="4">-L399+L$395</f>
        <v>-24199213.673831288</v>
      </c>
    </row>
    <row r="400" spans="1:21" x14ac:dyDescent="0.2">
      <c r="A400">
        <v>5</v>
      </c>
      <c r="B400" s="36">
        <f>Underlying_Assets!$C$365*(1+Underlying_Assets!H118)</f>
        <v>87.083185378590073</v>
      </c>
      <c r="C400" s="36">
        <f>Underlying_Assets!$D$365 * (1 + Underlying_Assets!I118)</f>
        <v>145.09599345870811</v>
      </c>
      <c r="D400">
        <f>(LN(B400/Option_Portfolio!$E$4) + (Option_Portfolio!$H$4 + (Option_Portfolio!$G$4^2)/2) * ($E$392)) / (Option_Portfolio!$G$4 * SQRT($E$392))</f>
        <v>0.30352347418186243</v>
      </c>
      <c r="E400">
        <f>(LN(C400/Option_Portfolio!$E$5) + (Option_Portfolio!$H$5 + (Option_Portfolio!$G$5^2)/2) * ($E$392)) / (Option_Portfolio!$G$5 * SQRT($E$392))</f>
        <v>1.3351427646924838</v>
      </c>
      <c r="F400">
        <f>D400-Option_Portfolio!$G$4*SQRT('Part 1'!$E$392)</f>
        <v>0.18379711952258115</v>
      </c>
      <c r="G400">
        <f>E400-Option_Portfolio!$G$5*SQRT('Part 1'!$E$392)</f>
        <v>1.1802027763098846</v>
      </c>
      <c r="H400">
        <f t="shared" si="0"/>
        <v>-0.38074548045018242</v>
      </c>
      <c r="I400">
        <f t="shared" si="1"/>
        <v>0.90908518738863942</v>
      </c>
      <c r="J400" s="36">
        <f>Option_Portfolio!$E$4 * EXP(-Option_Portfolio!$H$4* $E$392) * _xlfn.NORM.S.DIST(-F400, TRUE) - B400 * _xlfn.NORM.S.DIST(-D400, TRUE)</f>
        <v>2.9661931439623217</v>
      </c>
      <c r="K400" s="36">
        <f>C400 * _xlfn.NORM.S.DIST(E400, TRUE) - Option_Portfolio!$E$5 * EXP(-'Part 1'!$H$5*'Part 1'!$E$392) * _xlfn.NORM.S.DIST(G400, TRUE)</f>
        <v>26.179792908743451</v>
      </c>
      <c r="L400" s="36">
        <f t="shared" si="2"/>
        <v>-31596233.809750646</v>
      </c>
      <c r="O400" s="36">
        <v>-39305463.306156278</v>
      </c>
      <c r="P400" s="36">
        <f t="shared" si="3"/>
        <v>11078878.105161365</v>
      </c>
      <c r="Q400" s="36">
        <f t="shared" si="4"/>
        <v>3369648.6087557338</v>
      </c>
    </row>
    <row r="401" spans="1:17" x14ac:dyDescent="0.2">
      <c r="A401">
        <v>6</v>
      </c>
      <c r="B401" s="36">
        <f>Underlying_Assets!$C$365*(1+Underlying_Assets!H119)</f>
        <v>85.629794344472998</v>
      </c>
      <c r="C401" s="36">
        <f>Underlying_Assets!$D$365 * (1 + Underlying_Assets!I119)</f>
        <v>144.74092207262342</v>
      </c>
      <c r="D401">
        <f>(LN(B401/Option_Portfolio!$E$4) + (Option_Portfolio!$H$4 + (Option_Portfolio!$G$4^2)/2) * ($E$392)) / (Option_Portfolio!$G$4 * SQRT($E$392))</f>
        <v>0.16294850807318093</v>
      </c>
      <c r="E401">
        <f>(LN(C401/Option_Portfolio!$E$5) + (Option_Portfolio!$H$5 + (Option_Portfolio!$G$5^2)/2) * ($E$392)) / (Option_Portfolio!$G$5 * SQRT($E$392))</f>
        <v>1.3193292403989065</v>
      </c>
      <c r="F401">
        <f>D401-Option_Portfolio!$G$4*SQRT('Part 1'!$E$392)</f>
        <v>4.3222153413899664E-2</v>
      </c>
      <c r="G401">
        <f>E401-Option_Portfolio!$G$5*SQRT('Part 1'!$E$392)</f>
        <v>1.1643892520163073</v>
      </c>
      <c r="H401">
        <f t="shared" si="0"/>
        <v>-0.43527948863760824</v>
      </c>
      <c r="I401">
        <f t="shared" si="1"/>
        <v>0.90647046680545507</v>
      </c>
      <c r="J401" s="36">
        <f>Option_Portfolio!$E$4 * EXP(-Option_Portfolio!$H$4* $E$392) * _xlfn.NORM.S.DIST(-F401, TRUE) - B401 * _xlfn.NORM.S.DIST(-D401, TRUE)</f>
        <v>3.5588672226669189</v>
      </c>
      <c r="K401" s="36">
        <f>C401 * _xlfn.NORM.S.DIST(E401, TRUE) - Option_Portfolio!$E$5 * EXP(-'Part 1'!$H$5*'Part 1'!$E$392) * _xlfn.NORM.S.DIST(G401, TRUE)</f>
        <v>25.859349273323261</v>
      </c>
      <c r="L401" s="36">
        <f t="shared" si="2"/>
        <v>-26806627.98797809</v>
      </c>
      <c r="O401" s="36">
        <v>-39246531.465474501</v>
      </c>
      <c r="P401" s="36">
        <f t="shared" si="3"/>
        <v>11019946.264479589</v>
      </c>
      <c r="Q401" s="36">
        <f t="shared" si="4"/>
        <v>-1419957.2130168229</v>
      </c>
    </row>
    <row r="402" spans="1:17" x14ac:dyDescent="0.2">
      <c r="A402">
        <v>7</v>
      </c>
      <c r="B402" s="36">
        <f>Underlying_Assets!$C$365*(1+Underlying_Assets!H120)</f>
        <v>87.579124839124844</v>
      </c>
      <c r="C402" s="36">
        <f>Underlying_Assets!$D$365 * (1 + Underlying_Assets!I120)</f>
        <v>144.97730612244899</v>
      </c>
      <c r="D402">
        <f>(LN(B402/Option_Portfolio!$E$4) + (Option_Portfolio!$H$4 + (Option_Portfolio!$G$4^2)/2) * ($E$392)) / (Option_Portfolio!$G$4 * SQRT($E$392))</f>
        <v>0.3509554120326917</v>
      </c>
      <c r="E402">
        <f>(LN(C402/Option_Portfolio!$E$5) + (Option_Portfolio!$H$5 + (Option_Portfolio!$G$5^2)/2) * ($E$392)) / (Option_Portfolio!$G$5 * SQRT($E$392))</f>
        <v>1.3298611936157034</v>
      </c>
      <c r="F402">
        <f>D402-Option_Portfolio!$G$4*SQRT('Part 1'!$E$392)</f>
        <v>0.23122905737341043</v>
      </c>
      <c r="G402">
        <f>E402-Option_Portfolio!$G$5*SQRT('Part 1'!$E$392)</f>
        <v>1.1749212052331042</v>
      </c>
      <c r="H402">
        <f t="shared" si="0"/>
        <v>-0.36281089967132352</v>
      </c>
      <c r="I402">
        <f t="shared" si="1"/>
        <v>0.90821799531466185</v>
      </c>
      <c r="J402" s="36">
        <f>Option_Portfolio!$E$4 * EXP(-Option_Portfolio!$H$4* $E$392) * _xlfn.NORM.S.DIST(-F402, TRUE) - B402 * _xlfn.NORM.S.DIST(-D402, TRUE)</f>
        <v>2.7818293820621705</v>
      </c>
      <c r="K402" s="36">
        <f>C402 * _xlfn.NORM.S.DIST(E402, TRUE) - Option_Portfolio!$E$5 * EXP(-'Part 1'!$H$5*'Part 1'!$E$392) * _xlfn.NORM.S.DIST(G402, TRUE)</f>
        <v>26.072572795931791</v>
      </c>
      <c r="L402" s="36">
        <f t="shared" si="2"/>
        <v>-32672339.917428397</v>
      </c>
      <c r="O402" s="36">
        <v>-38814188.130773976</v>
      </c>
      <c r="P402" s="36">
        <f t="shared" si="3"/>
        <v>10587602.929779064</v>
      </c>
      <c r="Q402" s="36">
        <f t="shared" si="4"/>
        <v>4445754.7164334841</v>
      </c>
    </row>
    <row r="403" spans="1:17" x14ac:dyDescent="0.2">
      <c r="A403">
        <v>8</v>
      </c>
      <c r="B403" s="36">
        <f>Underlying_Assets!$C$365*(1+Underlying_Assets!H121)</f>
        <v>84.479647207055862</v>
      </c>
      <c r="C403" s="36">
        <f>Underlying_Assets!$D$365 * (1 + Underlying_Assets!I121)</f>
        <v>146.54137790460661</v>
      </c>
      <c r="D403">
        <f>(LN(B403/Option_Portfolio!$E$4) + (Option_Portfolio!$H$4 + (Option_Portfolio!$G$4^2)/2) * ($E$392)) / (Option_Portfolio!$G$4 * SQRT($E$392))</f>
        <v>5.000225241225606E-2</v>
      </c>
      <c r="E403">
        <f>(LN(C403/Option_Portfolio!$E$5) + (Option_Portfolio!$H$5 + (Option_Portfolio!$G$5^2)/2) * ($E$392)) / (Option_Portfolio!$G$5 * SQRT($E$392))</f>
        <v>1.3991177558056023</v>
      </c>
      <c r="F403">
        <f>D403-Option_Portfolio!$G$4*SQRT('Part 1'!$E$392)</f>
        <v>-6.9724102247025202E-2</v>
      </c>
      <c r="G403">
        <f>E403-Option_Portfolio!$G$5*SQRT('Part 1'!$E$392)</f>
        <v>1.244177767423003</v>
      </c>
      <c r="H403">
        <f t="shared" si="0"/>
        <v>-0.48006029670172268</v>
      </c>
      <c r="I403">
        <f t="shared" si="1"/>
        <v>0.91911116298371853</v>
      </c>
      <c r="J403" s="36">
        <f>Option_Portfolio!$E$4 * EXP(-Option_Portfolio!$H$4* $E$392) * _xlfn.NORM.S.DIST(-F403, TRUE) - B403 * _xlfn.NORM.S.DIST(-D403, TRUE)</f>
        <v>4.0851452939465815</v>
      </c>
      <c r="K403" s="36">
        <f>C403 * _xlfn.NORM.S.DIST(E403, TRUE) - Option_Portfolio!$E$5 * EXP(-'Part 1'!$H$5*'Part 1'!$E$392) * _xlfn.NORM.S.DIST(G403, TRUE)</f>
        <v>27.49386493270427</v>
      </c>
      <c r="L403" s="36">
        <f t="shared" si="2"/>
        <v>-26391712.807782467</v>
      </c>
      <c r="O403" s="36">
        <v>-38591465.95180656</v>
      </c>
      <c r="P403" s="36">
        <f>$L$395-O403</f>
        <v>10364880.750811648</v>
      </c>
      <c r="Q403" s="36">
        <f t="shared" si="4"/>
        <v>-1834872.3932124451</v>
      </c>
    </row>
    <row r="404" spans="1:17" x14ac:dyDescent="0.2">
      <c r="A404">
        <v>9</v>
      </c>
      <c r="B404" s="36">
        <f>Underlying_Assets!$C$365*(1+Underlying_Assets!H122)</f>
        <v>86.123746803069054</v>
      </c>
      <c r="C404" s="36">
        <f>Underlying_Assets!$D$365 * (1 + Underlying_Assets!I122)</f>
        <v>148.51842900302117</v>
      </c>
      <c r="D404">
        <f>(LN(B404/Option_Portfolio!$E$4) + (Option_Portfolio!$H$4 + (Option_Portfolio!$G$4^2)/2) * ($E$392)) / (Option_Portfolio!$G$4 * SQRT($E$392))</f>
        <v>0.21099048661230743</v>
      </c>
      <c r="E404">
        <f>(LN(C404/Option_Portfolio!$E$5) + (Option_Portfolio!$H$5 + (Option_Portfolio!$G$5^2)/2) * ($E$392)) / (Option_Portfolio!$G$5 * SQRT($E$392))</f>
        <v>1.4856107270568817</v>
      </c>
      <c r="F404">
        <f>D404-Option_Portfolio!$G$4*SQRT('Part 1'!$E$392)</f>
        <v>9.126413195302617E-2</v>
      </c>
      <c r="G404">
        <f>E404-Option_Portfolio!$G$5*SQRT('Part 1'!$E$392)</f>
        <v>1.3306707386742824</v>
      </c>
      <c r="H404">
        <f t="shared" si="0"/>
        <v>-0.41644734742214351</v>
      </c>
      <c r="I404">
        <f t="shared" si="1"/>
        <v>0.93130894199182945</v>
      </c>
      <c r="J404" s="36">
        <f>Option_Portfolio!$E$4 * EXP(-Option_Portfolio!$H$4* $E$392) * _xlfn.NORM.S.DIST(-F404, TRUE) - B404 * _xlfn.NORM.S.DIST(-D404, TRUE)</f>
        <v>3.348522361662404</v>
      </c>
      <c r="K404" s="36">
        <f>C404 * _xlfn.NORM.S.DIST(E404, TRUE) - Option_Portfolio!$E$5 * EXP(-'Part 1'!$H$5*'Part 1'!$E$392) * _xlfn.NORM.S.DIST(G404, TRUE)</f>
        <v>29.314383496928272</v>
      </c>
      <c r="L404" s="36">
        <f t="shared" si="2"/>
        <v>-35189110.462219715</v>
      </c>
      <c r="O404" s="36">
        <v>-37747495.542818874</v>
      </c>
      <c r="P404" s="36">
        <f t="shared" si="3"/>
        <v>9520910.3418239616</v>
      </c>
      <c r="Q404" s="36">
        <f t="shared" si="4"/>
        <v>6962525.2612248026</v>
      </c>
    </row>
    <row r="405" spans="1:17" x14ac:dyDescent="0.2">
      <c r="A405">
        <v>10</v>
      </c>
      <c r="B405" s="36">
        <f>Underlying_Assets!$C$365*(1+Underlying_Assets!H123)</f>
        <v>85.485308720560141</v>
      </c>
      <c r="C405" s="36">
        <f>Underlying_Assets!$D$365 * (1 + Underlying_Assets!I123)</f>
        <v>143.23613156602849</v>
      </c>
      <c r="D405">
        <f>(LN(B405/Option_Portfolio!$E$4) + (Option_Portfolio!$H$4 + (Option_Portfolio!$G$4^2)/2) * ($E$392)) / (Option_Portfolio!$G$4 * SQRT($E$392))</f>
        <v>0.1488433929965807</v>
      </c>
      <c r="E405">
        <f>(LN(C405/Option_Portfolio!$E$5) + (Option_Portfolio!$H$5 + (Option_Portfolio!$G$5^2)/2) * ($E$392)) / (Option_Portfolio!$G$5 * SQRT($E$392))</f>
        <v>1.2518782100627244</v>
      </c>
      <c r="F405">
        <f>D405-Option_Portfolio!$G$4*SQRT('Part 1'!$E$392)</f>
        <v>2.9117038337299436E-2</v>
      </c>
      <c r="G405">
        <f>E405-Option_Portfolio!$G$5*SQRT('Part 1'!$E$392)</f>
        <v>1.0969382216801251</v>
      </c>
      <c r="H405">
        <f t="shared" si="0"/>
        <v>-0.44083860466544111</v>
      </c>
      <c r="I405">
        <f t="shared" si="1"/>
        <v>0.89469287709298539</v>
      </c>
      <c r="J405" s="36">
        <f>Option_Portfolio!$E$4 * EXP(-Option_Portfolio!$H$4* $E$392) * _xlfn.NORM.S.DIST(-F405, TRUE) - B405 * _xlfn.NORM.S.DIST(-D405, TRUE)</f>
        <v>3.6221601971139989</v>
      </c>
      <c r="K405" s="36">
        <f>C405 * _xlfn.NORM.S.DIST(E405, TRUE) - Option_Portfolio!$E$5 * EXP(-'Part 1'!$H$5*'Part 1'!$E$392) * _xlfn.NORM.S.DIST(G405, TRUE)</f>
        <v>24.512450591479066</v>
      </c>
      <c r="L405" s="36">
        <f t="shared" si="2"/>
        <v>-23669779.803160131</v>
      </c>
      <c r="O405" s="36">
        <v>-37075058.294688851</v>
      </c>
      <c r="P405" s="36">
        <f t="shared" si="3"/>
        <v>8848473.0936939381</v>
      </c>
      <c r="Q405" s="36">
        <f t="shared" si="4"/>
        <v>-4556805.3978347816</v>
      </c>
    </row>
    <row r="406" spans="1:17" x14ac:dyDescent="0.2">
      <c r="A406">
        <v>11</v>
      </c>
      <c r="B406" s="36">
        <f>Underlying_Assets!$C$365*(1+Underlying_Assets!H124)</f>
        <v>84.006588635879964</v>
      </c>
      <c r="C406" s="36">
        <f>Underlying_Assets!$D$365 * (1 + Underlying_Assets!I124)</f>
        <v>143.00347394540944</v>
      </c>
      <c r="D406">
        <f>(LN(B406/Option_Portfolio!$E$4) + (Option_Portfolio!$H$4 + (Option_Portfolio!$G$4^2)/2) * ($E$392)) / (Option_Portfolio!$G$4 * SQRT($E$392))</f>
        <v>3.1001981103349827E-3</v>
      </c>
      <c r="E406">
        <f>(LN(C406/Option_Portfolio!$E$5) + (Option_Portfolio!$H$5 + (Option_Portfolio!$G$5^2)/2) * ($E$392)) / (Option_Portfolio!$G$5 * SQRT($E$392))</f>
        <v>1.2413863103718021</v>
      </c>
      <c r="F406">
        <f>D406-Option_Portfolio!$G$4*SQRT('Part 1'!$E$392)</f>
        <v>-0.11662615654894629</v>
      </c>
      <c r="G406">
        <f>E406-Option_Portfolio!$G$5*SQRT('Part 1'!$E$392)</f>
        <v>1.0864463219892029</v>
      </c>
      <c r="H406">
        <f t="shared" si="0"/>
        <v>-0.49876320187735856</v>
      </c>
      <c r="I406">
        <f t="shared" si="1"/>
        <v>0.89276846307814373</v>
      </c>
      <c r="J406" s="36">
        <f>Option_Portfolio!$E$4 * EXP(-Option_Portfolio!$H$4* $E$392) * _xlfn.NORM.S.DIST(-F406, TRUE) - B406 * _xlfn.NORM.S.DIST(-D406, TRUE)</f>
        <v>4.3166606583097789</v>
      </c>
      <c r="K406" s="36">
        <f>C406 * _xlfn.NORM.S.DIST(E406, TRUE) - Option_Portfolio!$E$5 * EXP(-'Part 1'!$H$5*'Part 1'!$E$392) * _xlfn.NORM.S.DIST(G406, TRUE)</f>
        <v>24.305886274333929</v>
      </c>
      <c r="L406" s="36">
        <f t="shared" si="2"/>
        <v>-18395147.94049941</v>
      </c>
      <c r="O406" s="36">
        <v>-36943277.710178427</v>
      </c>
      <c r="P406" s="36">
        <f t="shared" si="3"/>
        <v>8716692.5091835149</v>
      </c>
      <c r="Q406" s="36">
        <f t="shared" si="4"/>
        <v>-9831437.2604955025</v>
      </c>
    </row>
    <row r="407" spans="1:17" x14ac:dyDescent="0.2">
      <c r="A407">
        <v>12</v>
      </c>
      <c r="B407" s="36">
        <f>Underlying_Assets!$C$365*(1+Underlying_Assets!H125)</f>
        <v>86.317311033883584</v>
      </c>
      <c r="C407" s="36">
        <f>Underlying_Assets!$D$365 * (1 + Underlying_Assets!I125)</f>
        <v>144.80000000000001</v>
      </c>
      <c r="D407">
        <f>(LN(B407/Option_Portfolio!$E$4) + (Option_Portfolio!$H$4 + (Option_Portfolio!$G$4^2)/2) * ($E$392)) / (Option_Portfolio!$G$4 * SQRT($E$392))</f>
        <v>0.22974150441625077</v>
      </c>
      <c r="E407">
        <f>(LN(C407/Option_Portfolio!$E$5) + (Option_Portfolio!$H$5 + (Option_Portfolio!$G$5^2)/2) * ($E$392)) / (Option_Portfolio!$G$5 * SQRT($E$392))</f>
        <v>1.3219630342541913</v>
      </c>
      <c r="F407">
        <f>D407-Option_Portfolio!$G$4*SQRT('Part 1'!$E$392)</f>
        <v>0.11001514975696951</v>
      </c>
      <c r="G407">
        <f>E407-Option_Portfolio!$G$5*SQRT('Part 1'!$E$392)</f>
        <v>1.167023045871592</v>
      </c>
      <c r="H407">
        <f t="shared" si="0"/>
        <v>-0.40914632076596802</v>
      </c>
      <c r="I407">
        <f t="shared" si="1"/>
        <v>0.90690976972115156</v>
      </c>
      <c r="J407" s="36">
        <f>Option_Portfolio!$E$4 * EXP(-Option_Portfolio!$H$4* $E$392) * _xlfn.NORM.S.DIST(-F407, TRUE) - B407 * _xlfn.NORM.S.DIST(-D407, TRUE)</f>
        <v>3.2686204110004269</v>
      </c>
      <c r="K407" s="36">
        <f>C407 * _xlfn.NORM.S.DIST(E407, TRUE) - Option_Portfolio!$E$5 * EXP(-'Part 1'!$H$5*'Part 1'!$E$392) * _xlfn.NORM.S.DIST(G407, TRUE)</f>
        <v>25.912598424623098</v>
      </c>
      <c r="L407" s="36">
        <f t="shared" si="2"/>
        <v>-28944853.972243208</v>
      </c>
      <c r="O407" s="36">
        <v>-36826666.104785711</v>
      </c>
      <c r="P407" s="36">
        <f t="shared" si="3"/>
        <v>8600080.903790798</v>
      </c>
      <c r="Q407" s="36">
        <f t="shared" si="4"/>
        <v>718268.7712482959</v>
      </c>
    </row>
    <row r="408" spans="1:17" x14ac:dyDescent="0.2">
      <c r="A408">
        <v>13</v>
      </c>
      <c r="B408" s="36">
        <f>Underlying_Assets!$C$365*(1+Underlying_Assets!H126)</f>
        <v>85.166550161812296</v>
      </c>
      <c r="C408" s="36">
        <f>Underlying_Assets!$D$365 * (1 + Underlying_Assets!I126)</f>
        <v>145.96422110552766</v>
      </c>
      <c r="D408">
        <f>(LN(B408/Option_Portfolio!$E$4) + (Option_Portfolio!$H$4 + (Option_Portfolio!$G$4^2)/2) * ($E$392)) / (Option_Portfolio!$G$4 * SQRT($E$392))</f>
        <v>0.11764073633925287</v>
      </c>
      <c r="E408">
        <f>(LN(C408/Option_Portfolio!$E$5) + (Option_Portfolio!$H$5 + (Option_Portfolio!$G$5^2)/2) * ($E$392)) / (Option_Portfolio!$G$5 * SQRT($E$392))</f>
        <v>1.3736478890611263</v>
      </c>
      <c r="F408">
        <f>D408-Option_Portfolio!$G$4*SQRT('Part 1'!$E$392)</f>
        <v>-2.0856183200283901E-3</v>
      </c>
      <c r="G408">
        <f>E408-Option_Portfolio!$G$5*SQRT('Part 1'!$E$392)</f>
        <v>1.2187079006785271</v>
      </c>
      <c r="H408">
        <f t="shared" si="0"/>
        <v>-0.45317616305317654</v>
      </c>
      <c r="I408">
        <f t="shared" si="1"/>
        <v>0.91522448897862907</v>
      </c>
      <c r="J408" s="36">
        <f>Option_Portfolio!$E$4 * EXP(-Option_Portfolio!$H$4* $E$392) * _xlfn.NORM.S.DIST(-F408, TRUE) - B408 * _xlfn.NORM.S.DIST(-D408, TRUE)</f>
        <v>3.7646450397394062</v>
      </c>
      <c r="K408" s="36">
        <f>C408 * _xlfn.NORM.S.DIST(E408, TRUE) - Option_Portfolio!$E$5 * EXP(-'Part 1'!$H$5*'Part 1'!$E$392) * _xlfn.NORM.S.DIST(G408, TRUE)</f>
        <v>26.967334362377713</v>
      </c>
      <c r="L408" s="36">
        <f t="shared" si="2"/>
        <v>-27582153.446579583</v>
      </c>
      <c r="O408" s="36">
        <v>-36393677.112270042</v>
      </c>
      <c r="P408" s="36">
        <f t="shared" si="3"/>
        <v>8167091.9112751298</v>
      </c>
      <c r="Q408" s="36">
        <f t="shared" si="4"/>
        <v>-644431.75441532955</v>
      </c>
    </row>
    <row r="409" spans="1:17" x14ac:dyDescent="0.2">
      <c r="A409">
        <v>14</v>
      </c>
      <c r="B409" s="36">
        <f>Underlying_Assets!$C$365*(1+Underlying_Assets!H127)</f>
        <v>85.851737619461332</v>
      </c>
      <c r="C409" s="36">
        <f>Underlying_Assets!$D$365 * (1 + Underlying_Assets!I127)</f>
        <v>144.10703888334996</v>
      </c>
      <c r="D409">
        <f>(LN(B409/Option_Portfolio!$E$4) + (Option_Portfolio!$H$4 + (Option_Portfolio!$G$4^2)/2) * ($E$392)) / (Option_Portfolio!$G$4 * SQRT($E$392))</f>
        <v>0.18456897724249169</v>
      </c>
      <c r="E409">
        <f>(LN(C409/Option_Portfolio!$E$5) + (Option_Portfolio!$H$5 + (Option_Portfolio!$G$5^2)/2) * ($E$392)) / (Option_Portfolio!$G$5 * SQRT($E$392))</f>
        <v>1.291001815162184</v>
      </c>
      <c r="F409">
        <f>D409-Option_Portfolio!$G$4*SQRT('Part 1'!$E$392)</f>
        <v>6.4842622583210427E-2</v>
      </c>
      <c r="G409">
        <f>E409-Option_Portfolio!$G$5*SQRT('Part 1'!$E$392)</f>
        <v>1.1360618267795848</v>
      </c>
      <c r="H409">
        <f t="shared" si="0"/>
        <v>-0.42678356020776009</v>
      </c>
      <c r="I409">
        <f t="shared" si="1"/>
        <v>0.90164847595251507</v>
      </c>
      <c r="J409" s="36">
        <f>Option_Portfolio!$E$4 * EXP(-Option_Portfolio!$H$4* $E$392) * _xlfn.NORM.S.DIST(-F409, TRUE) - B409 * _xlfn.NORM.S.DIST(-D409, TRUE)</f>
        <v>3.4632036715703123</v>
      </c>
      <c r="K409" s="36">
        <f>C409 * _xlfn.NORM.S.DIST(E409, TRUE) - Option_Portfolio!$E$5 * EXP(-'Part 1'!$H$5*'Part 1'!$E$392) * _xlfn.NORM.S.DIST(G409, TRUE)</f>
        <v>25.289733364853646</v>
      </c>
      <c r="L409" s="36">
        <f t="shared" si="2"/>
        <v>-26337041.0287151</v>
      </c>
      <c r="O409" s="36">
        <v>-36367250.711979598</v>
      </c>
      <c r="P409" s="36">
        <f t="shared" si="3"/>
        <v>8140665.5109846853</v>
      </c>
      <c r="Q409" s="36">
        <f t="shared" si="4"/>
        <v>-1889544.1722798124</v>
      </c>
    </row>
    <row r="410" spans="1:17" x14ac:dyDescent="0.2">
      <c r="A410">
        <v>15</v>
      </c>
      <c r="B410" s="36">
        <f>Underlying_Assets!$C$365*(1+Underlying_Assets!H128)</f>
        <v>85.386624728850322</v>
      </c>
      <c r="C410" s="36">
        <f>Underlying_Assets!$D$365 * (1 + Underlying_Assets!I128)</f>
        <v>143.90062111801245</v>
      </c>
      <c r="D410">
        <f>(LN(B410/Option_Portfolio!$E$4) + (Option_Portfolio!$H$4 + (Option_Portfolio!$G$4^2)/2) * ($E$392)) / (Option_Portfolio!$G$4 * SQRT($E$392))</f>
        <v>0.13919586030552031</v>
      </c>
      <c r="E410">
        <f>(LN(C410/Option_Portfolio!$E$5) + (Option_Portfolio!$H$5 + (Option_Portfolio!$G$5^2)/2) * ($E$392)) / (Option_Portfolio!$G$5 * SQRT($E$392))</f>
        <v>1.2817503698821591</v>
      </c>
      <c r="F410">
        <f>D410-Option_Portfolio!$G$4*SQRT('Part 1'!$E$392)</f>
        <v>1.9469505646239046E-2</v>
      </c>
      <c r="G410">
        <f>E410-Option_Portfolio!$G$5*SQRT('Part 1'!$E$392)</f>
        <v>1.1268103814995598</v>
      </c>
      <c r="H410">
        <f t="shared" si="0"/>
        <v>-0.44464768982865899</v>
      </c>
      <c r="I410">
        <f t="shared" si="1"/>
        <v>0.9000348853851895</v>
      </c>
      <c r="J410" s="36">
        <f>Option_Portfolio!$E$4 * EXP(-Option_Portfolio!$H$4* $E$392) * _xlfn.NORM.S.DIST(-F410, TRUE) - B410 * _xlfn.NORM.S.DIST(-D410, TRUE)</f>
        <v>3.6658517784810911</v>
      </c>
      <c r="K410" s="36">
        <f>C410 * _xlfn.NORM.S.DIST(E410, TRUE) - Option_Portfolio!$E$5 * EXP(-'Part 1'!$H$5*'Part 1'!$E$392) * _xlfn.NORM.S.DIST(G410, TRUE)</f>
        <v>25.1049386508259</v>
      </c>
      <c r="L410" s="36">
        <f t="shared" si="2"/>
        <v>-24548914.852284167</v>
      </c>
      <c r="O410" s="36">
        <v>-36357044.81797336</v>
      </c>
      <c r="P410" s="36">
        <f t="shared" si="3"/>
        <v>8130459.6169784479</v>
      </c>
      <c r="Q410" s="36">
        <f t="shared" si="4"/>
        <v>-3677670.3487107456</v>
      </c>
    </row>
    <row r="411" spans="1:17" x14ac:dyDescent="0.2">
      <c r="A411">
        <v>16</v>
      </c>
      <c r="B411" s="36">
        <f>Underlying_Assets!$C$365*(1+Underlying_Assets!H129)</f>
        <v>85.646621651056421</v>
      </c>
      <c r="C411" s="36">
        <f>Underlying_Assets!$D$365 * (1 + Underlying_Assets!I129)</f>
        <v>145.35467741935483</v>
      </c>
      <c r="D411">
        <f>(LN(B411/Option_Portfolio!$E$4) + (Option_Portfolio!$H$4 + (Option_Portfolio!$G$4^2)/2) * ($E$392)) / (Option_Portfolio!$G$4 * SQRT($E$392))</f>
        <v>0.16458969208760338</v>
      </c>
      <c r="E411">
        <f>(LN(C411/Option_Portfolio!$E$5) + (Option_Portfolio!$H$5 + (Option_Portfolio!$G$5^2)/2) * ($E$392)) / (Option_Portfolio!$G$5 * SQRT($E$392))</f>
        <v>1.3466392134841021</v>
      </c>
      <c r="F411">
        <f>D411-Option_Portfolio!$G$4*SQRT('Part 1'!$E$392)</f>
        <v>4.4863337428322117E-2</v>
      </c>
      <c r="G411">
        <f>E411-Option_Portfolio!$G$5*SQRT('Part 1'!$E$392)</f>
        <v>1.1916992251015028</v>
      </c>
      <c r="H411">
        <f t="shared" si="0"/>
        <v>-0.43463347254227391</v>
      </c>
      <c r="I411">
        <f t="shared" si="1"/>
        <v>0.91095177083527812</v>
      </c>
      <c r="J411" s="36">
        <f>Option_Portfolio!$E$4 * EXP(-Option_Portfolio!$H$4* $E$392) * _xlfn.NORM.S.DIST(-F411, TRUE) - B411 * _xlfn.NORM.S.DIST(-D411, TRUE)</f>
        <v>3.5515480770390653</v>
      </c>
      <c r="K411" s="36">
        <f>C411 * _xlfn.NORM.S.DIST(E411, TRUE) - Option_Portfolio!$E$5 * EXP(-'Part 1'!$H$5*'Part 1'!$E$392) * _xlfn.NORM.S.DIST(G411, TRUE)</f>
        <v>26.413852915589331</v>
      </c>
      <c r="L411" s="36">
        <f t="shared" si="2"/>
        <v>-27966869.291905202</v>
      </c>
      <c r="O411" s="36">
        <v>-35189110.462219715</v>
      </c>
      <c r="P411" s="36">
        <f t="shared" si="3"/>
        <v>6962525.2612248026</v>
      </c>
      <c r="Q411" s="36">
        <f t="shared" si="4"/>
        <v>-259715.90908971056</v>
      </c>
    </row>
    <row r="412" spans="1:17" x14ac:dyDescent="0.2">
      <c r="A412">
        <v>17</v>
      </c>
      <c r="B412" s="36">
        <f>Underlying_Assets!$C$365*(1+Underlying_Assets!H130)</f>
        <v>85.403471434801574</v>
      </c>
      <c r="C412" s="36">
        <f>Underlying_Assets!$D$365 * (1 + Underlying_Assets!I130)</f>
        <v>147.66459128339025</v>
      </c>
      <c r="D412">
        <f>(LN(B412/Option_Portfolio!$E$4) + (Option_Portfolio!$H$4 + (Option_Portfolio!$G$4^2)/2) * ($E$392)) / (Option_Portfolio!$G$4 * SQRT($E$392))</f>
        <v>0.14084361497098155</v>
      </c>
      <c r="E412">
        <f>(LN(C412/Option_Portfolio!$E$5) + (Option_Portfolio!$H$5 + (Option_Portfolio!$G$5^2)/2) * ($E$392)) / (Option_Portfolio!$G$5 * SQRT($E$392))</f>
        <v>1.4483987402126992</v>
      </c>
      <c r="F412">
        <f>D412-Option_Portfolio!$G$4*SQRT('Part 1'!$E$392)</f>
        <v>2.1117260311700289E-2</v>
      </c>
      <c r="G412">
        <f>E412-Option_Portfolio!$G$5*SQRT('Part 1'!$E$392)</f>
        <v>1.2934587518301</v>
      </c>
      <c r="H412">
        <f t="shared" si="0"/>
        <v>-0.4439967433506673</v>
      </c>
      <c r="I412">
        <f t="shared" si="1"/>
        <v>0.92624721653523645</v>
      </c>
      <c r="J412" s="36">
        <f>Option_Portfolio!$E$4 * EXP(-Option_Portfolio!$H$4* $E$392) * _xlfn.NORM.S.DIST(-F412, TRUE) - B412 * _xlfn.NORM.S.DIST(-D412, TRUE)</f>
        <v>3.6583664131417279</v>
      </c>
      <c r="K412" s="36">
        <f>C412 * _xlfn.NORM.S.DIST(E412, TRUE) - Option_Portfolio!$E$5 * EXP(-'Part 1'!$H$5*'Part 1'!$E$392) * _xlfn.NORM.S.DIST(G412, TRUE)</f>
        <v>28.525063140778727</v>
      </c>
      <c r="L412" s="36">
        <f t="shared" si="2"/>
        <v>-31441561.389565352</v>
      </c>
      <c r="O412" s="36">
        <v>-35105257.466966316</v>
      </c>
      <c r="P412" s="36">
        <f t="shared" si="3"/>
        <v>6878672.2659714036</v>
      </c>
      <c r="Q412" s="36">
        <f t="shared" si="4"/>
        <v>3214976.1885704398</v>
      </c>
    </row>
    <row r="413" spans="1:17" x14ac:dyDescent="0.2">
      <c r="A413">
        <v>18</v>
      </c>
      <c r="B413" s="36">
        <f>Underlying_Assets!$C$365*(1+Underlying_Assets!H131)</f>
        <v>86.490788091068296</v>
      </c>
      <c r="C413" s="36">
        <f>Underlying_Assets!$D$365 * (1 + Underlying_Assets!I131)</f>
        <v>146.15460364352538</v>
      </c>
      <c r="D413">
        <f>(LN(B413/Option_Portfolio!$E$4) + (Option_Portfolio!$H$4 + (Option_Portfolio!$G$4^2)/2) * ($E$392)) / (Option_Portfolio!$G$4 * SQRT($E$392))</f>
        <v>0.24651093573663466</v>
      </c>
      <c r="E413">
        <f>(LN(C413/Option_Portfolio!$E$5) + (Option_Portfolio!$H$5 + (Option_Portfolio!$G$5^2)/2) * ($E$392)) / (Option_Portfolio!$G$5 * SQRT($E$392))</f>
        <v>1.3820605639446932</v>
      </c>
      <c r="F413">
        <f>D413-Option_Portfolio!$G$4*SQRT('Part 1'!$E$392)</f>
        <v>0.12678458107735341</v>
      </c>
      <c r="G413">
        <f>E413-Option_Portfolio!$G$5*SQRT('Part 1'!$E$392)</f>
        <v>1.227120575562094</v>
      </c>
      <c r="H413">
        <f t="shared" si="0"/>
        <v>-0.40264337004867357</v>
      </c>
      <c r="I413">
        <f t="shared" si="1"/>
        <v>0.91652344705687616</v>
      </c>
      <c r="J413" s="36">
        <f>Option_Portfolio!$E$4 * EXP(-Option_Portfolio!$H$4* $E$392) * _xlfn.NORM.S.DIST(-F413, TRUE) - B413 * _xlfn.NORM.S.DIST(-D413, TRUE)</f>
        <v>3.198207531838797</v>
      </c>
      <c r="K413" s="36">
        <f>C413 * _xlfn.NORM.S.DIST(E413, TRUE) - Option_Portfolio!$E$5 * EXP(-'Part 1'!$H$5*'Part 1'!$E$392) * _xlfn.NORM.S.DIST(G413, TRUE)</f>
        <v>27.140757666057311</v>
      </c>
      <c r="L413" s="36">
        <f t="shared" si="2"/>
        <v>-31894062.609243043</v>
      </c>
      <c r="O413" s="36">
        <v>-35063437.357080936</v>
      </c>
      <c r="P413" s="36">
        <f t="shared" si="3"/>
        <v>6836852.1560860239</v>
      </c>
      <c r="Q413" s="36">
        <f t="shared" si="4"/>
        <v>3667477.4082481302</v>
      </c>
    </row>
    <row r="414" spans="1:17" x14ac:dyDescent="0.2">
      <c r="A414">
        <v>19</v>
      </c>
      <c r="B414" s="36">
        <f>Underlying_Assets!$C$365*(1+Underlying_Assets!H132)</f>
        <v>87.637890624999997</v>
      </c>
      <c r="C414" s="36">
        <f>Underlying_Assets!$D$365 * (1 + Underlying_Assets!I132)</f>
        <v>146.21268292682927</v>
      </c>
      <c r="D414">
        <f>(LN(B414/Option_Portfolio!$E$4) + (Option_Portfolio!$H$4 + (Option_Portfolio!$G$4^2)/2) * ($E$392)) / (Option_Portfolio!$G$4 * SQRT($E$392))</f>
        <v>0.35655799790895515</v>
      </c>
      <c r="E414">
        <f>(LN(C414/Option_Portfolio!$E$5) + (Option_Portfolio!$H$5 + (Option_Portfolio!$G$5^2)/2) * ($E$392)) / (Option_Portfolio!$G$5 * SQRT($E$392))</f>
        <v>1.3846248056168329</v>
      </c>
      <c r="F414">
        <f>D414-Option_Portfolio!$G$4*SQRT('Part 1'!$E$392)</f>
        <v>0.23683164324967387</v>
      </c>
      <c r="G414">
        <f>E414-Option_Portfolio!$G$5*SQRT('Part 1'!$E$392)</f>
        <v>1.2296848172342336</v>
      </c>
      <c r="H414">
        <f t="shared" si="0"/>
        <v>-0.36071136302827067</v>
      </c>
      <c r="I414">
        <f t="shared" si="1"/>
        <v>0.91691638877260673</v>
      </c>
      <c r="J414" s="36">
        <f>Option_Portfolio!$E$4 * EXP(-Option_Portfolio!$H$4* $E$392) * _xlfn.NORM.S.DIST(-F414, TRUE) - B414 * _xlfn.NORM.S.DIST(-D414, TRUE)</f>
        <v>2.7605702321539773</v>
      </c>
      <c r="K414" s="36">
        <f>C414 * _xlfn.NORM.S.DIST(E414, TRUE) - Option_Portfolio!$E$5 * EXP(-'Part 1'!$H$5*'Part 1'!$E$392) * _xlfn.NORM.S.DIST(G414, TRUE)</f>
        <v>27.19371449107939</v>
      </c>
      <c r="L414" s="36">
        <f t="shared" si="2"/>
        <v>-35063437.357080936</v>
      </c>
      <c r="O414" s="36">
        <v>-34929476.832605481</v>
      </c>
      <c r="P414" s="36">
        <f t="shared" si="3"/>
        <v>6702891.6316105686</v>
      </c>
      <c r="Q414" s="36">
        <f t="shared" si="4"/>
        <v>6836852.1560860239</v>
      </c>
    </row>
    <row r="415" spans="1:17" x14ac:dyDescent="0.2">
      <c r="A415">
        <v>20</v>
      </c>
      <c r="B415" s="36">
        <f>Underlying_Assets!$C$365*(1+Underlying_Assets!H133)</f>
        <v>86.631987261146506</v>
      </c>
      <c r="C415" s="36">
        <f>Underlying_Assets!$D$365 * (1 + Underlying_Assets!I133)</f>
        <v>148.36753623188406</v>
      </c>
      <c r="D415">
        <f>(LN(B415/Option_Portfolio!$E$4) + (Option_Portfolio!$H$4 + (Option_Portfolio!$G$4^2)/2) * ($E$392)) / (Option_Portfolio!$G$4 * SQRT($E$392))</f>
        <v>0.26013536350283778</v>
      </c>
      <c r="E415">
        <f>(LN(C415/Option_Portfolio!$E$5) + (Option_Portfolio!$H$5 + (Option_Portfolio!$G$5^2)/2) * ($E$392)) / (Option_Portfolio!$G$5 * SQRT($E$392))</f>
        <v>1.4790501010556045</v>
      </c>
      <c r="F415">
        <f>D415-Option_Portfolio!$G$4*SQRT('Part 1'!$E$392)</f>
        <v>0.1404090088435565</v>
      </c>
      <c r="G415">
        <f>E415-Option_Portfolio!$G$5*SQRT('Part 1'!$E$392)</f>
        <v>1.3241101126730053</v>
      </c>
      <c r="H415">
        <f t="shared" si="0"/>
        <v>-0.39737968026525583</v>
      </c>
      <c r="I415">
        <f t="shared" si="1"/>
        <v>0.93043653749380539</v>
      </c>
      <c r="J415" s="36">
        <f>Option_Portfolio!$E$4 * EXP(-Option_Portfolio!$H$4* $E$392) * _xlfn.NORM.S.DIST(-F415, TRUE) - B415 * _xlfn.NORM.S.DIST(-D415, TRUE)</f>
        <v>3.1417265512574488</v>
      </c>
      <c r="K415" s="36">
        <f>C415 * _xlfn.NORM.S.DIST(E415, TRUE) - Option_Portfolio!$E$5 * EXP(-'Part 1'!$H$5*'Part 1'!$E$392) * _xlfn.NORM.S.DIST(G415, TRUE)</f>
        <v>29.174565338387751</v>
      </c>
      <c r="L415" s="36">
        <f t="shared" si="2"/>
        <v>-36357044.81797336</v>
      </c>
      <c r="O415" s="36">
        <v>-34920030.398359522</v>
      </c>
      <c r="P415" s="36">
        <f t="shared" si="3"/>
        <v>6693445.1973646097</v>
      </c>
      <c r="Q415" s="36">
        <f t="shared" si="4"/>
        <v>8130459.6169784479</v>
      </c>
    </row>
    <row r="416" spans="1:17" x14ac:dyDescent="0.2">
      <c r="A416">
        <v>21</v>
      </c>
      <c r="B416" s="36">
        <f>Underlying_Assets!$C$365*(1+Underlying_Assets!H134)</f>
        <v>85.577852490018898</v>
      </c>
      <c r="C416" s="36">
        <f>Underlying_Assets!$D$365 * (1 + Underlying_Assets!I134)</f>
        <v>143.16152758132955</v>
      </c>
      <c r="D416">
        <f>(LN(B416/Option_Portfolio!$E$4) + (Option_Portfolio!$H$4 + (Option_Portfolio!$G$4^2)/2) * ($E$392)) / (Option_Portfolio!$G$4 * SQRT($E$392))</f>
        <v>0.1578805321592206</v>
      </c>
      <c r="E416">
        <f>(LN(C416/Option_Portfolio!$E$5) + (Option_Portfolio!$H$5 + (Option_Portfolio!$G$5^2)/2) * ($E$392)) / (Option_Portfolio!$G$5 * SQRT($E$392))</f>
        <v>1.2485157351963017</v>
      </c>
      <c r="F416">
        <f>D416-Option_Portfolio!$G$4*SQRT('Part 1'!$E$392)</f>
        <v>3.8154177499939337E-2</v>
      </c>
      <c r="G416">
        <f>E416-Option_Portfolio!$G$5*SQRT('Part 1'!$E$392)</f>
        <v>1.0935757468137024</v>
      </c>
      <c r="H416">
        <f t="shared" si="0"/>
        <v>-0.43727546937032402</v>
      </c>
      <c r="I416">
        <f t="shared" si="1"/>
        <v>0.89407887517859408</v>
      </c>
      <c r="J416" s="36">
        <f>Option_Portfolio!$E$4 * EXP(-Option_Portfolio!$H$4* $E$392) * _xlfn.NORM.S.DIST(-F416, TRUE) - B416 * _xlfn.NORM.S.DIST(-D416, TRUE)</f>
        <v>3.5815282717169268</v>
      </c>
      <c r="K416" s="36">
        <f>C416 * _xlfn.NORM.S.DIST(E416, TRUE) - Option_Portfolio!$E$5 * EXP(-'Part 1'!$H$5*'Part 1'!$E$392) * _xlfn.NORM.S.DIST(G416, TRUE)</f>
        <v>24.446163011269263</v>
      </c>
      <c r="L416" s="36">
        <f t="shared" si="2"/>
        <v>-23821628.120520033</v>
      </c>
      <c r="O416" s="36">
        <v>-34786937.878351986</v>
      </c>
      <c r="P416" s="36">
        <f t="shared" si="3"/>
        <v>6560352.6773570739</v>
      </c>
      <c r="Q416" s="36">
        <f t="shared" si="4"/>
        <v>-4404957.0804748796</v>
      </c>
    </row>
    <row r="417" spans="1:17" x14ac:dyDescent="0.2">
      <c r="A417">
        <v>22</v>
      </c>
      <c r="B417" s="36">
        <f>Underlying_Assets!$C$365*(1+Underlying_Assets!H135)</f>
        <v>85.41509052631578</v>
      </c>
      <c r="C417" s="36">
        <f>Underlying_Assets!$D$365 * (1 + Underlying_Assets!I135)</f>
        <v>142.79752026704818</v>
      </c>
      <c r="D417">
        <f>(LN(B417/Option_Portfolio!$E$4) + (Option_Portfolio!$H$4 + (Option_Portfolio!$G$4^2)/2) * ($E$392)) / (Option_Portfolio!$G$4 * SQRT($E$392))</f>
        <v>0.14197987400084208</v>
      </c>
      <c r="E417">
        <f>(LN(C417/Option_Portfolio!$E$5) + (Option_Portfolio!$H$5 + (Option_Portfolio!$G$5^2)/2) * ($E$392)) / (Option_Portfolio!$G$5 * SQRT($E$392))</f>
        <v>1.2320843953116569</v>
      </c>
      <c r="F417">
        <f>D417-Option_Portfolio!$G$4*SQRT('Part 1'!$E$392)</f>
        <v>2.2253519341560821E-2</v>
      </c>
      <c r="G417">
        <f>E417-Option_Portfolio!$G$5*SQRT('Part 1'!$E$392)</f>
        <v>1.0771444069290577</v>
      </c>
      <c r="H417">
        <f t="shared" si="0"/>
        <v>-0.44354795142376147</v>
      </c>
      <c r="I417">
        <f t="shared" si="1"/>
        <v>0.89104122005563757</v>
      </c>
      <c r="J417" s="36">
        <f>Option_Portfolio!$E$4 * EXP(-Option_Portfolio!$H$4* $E$392) * _xlfn.NORM.S.DIST(-F417, TRUE) - B417 * _xlfn.NORM.S.DIST(-D417, TRUE)</f>
        <v>3.6532101817549076</v>
      </c>
      <c r="K417" s="36">
        <f>C417 * _xlfn.NORM.S.DIST(E417, TRUE) - Option_Portfolio!$E$5 * EXP(-'Part 1'!$H$5*'Part 1'!$E$392) * _xlfn.NORM.S.DIST(G417, TRUE)</f>
        <v>24.123422093439885</v>
      </c>
      <c r="L417" s="36">
        <f t="shared" si="2"/>
        <v>-22674372.914595414</v>
      </c>
      <c r="O417" s="36">
        <v>-34754278.900964335</v>
      </c>
      <c r="P417" s="36">
        <f t="shared" si="3"/>
        <v>6527693.6999694221</v>
      </c>
      <c r="Q417" s="36">
        <f t="shared" si="4"/>
        <v>-5552212.2863994986</v>
      </c>
    </row>
    <row r="418" spans="1:17" x14ac:dyDescent="0.2">
      <c r="A418">
        <v>23</v>
      </c>
      <c r="B418" s="36">
        <f>Underlying_Assets!$C$365*(1+Underlying_Assets!H136)</f>
        <v>86.555363482671183</v>
      </c>
      <c r="C418" s="36">
        <f>Underlying_Assets!$D$365 * (1 + Underlying_Assets!I136)</f>
        <v>145.22011605415861</v>
      </c>
      <c r="D418">
        <f>(LN(B418/Option_Portfolio!$E$4) + (Option_Portfolio!$H$4 + (Option_Portfolio!$G$4^2)/2) * ($E$392)) / (Option_Portfolio!$G$4 * SQRT($E$392))</f>
        <v>0.25274462800871178</v>
      </c>
      <c r="E418">
        <f>(LN(C418/Option_Portfolio!$E$5) + (Option_Portfolio!$H$5 + (Option_Portfolio!$G$5^2)/2) * ($E$392)) / (Option_Portfolio!$G$5 * SQRT($E$392))</f>
        <v>1.3406615845212708</v>
      </c>
      <c r="F418">
        <f>D418-Option_Portfolio!$G$4*SQRT('Part 1'!$E$392)</f>
        <v>0.1330182733494305</v>
      </c>
      <c r="G418">
        <f>E418-Option_Portfolio!$G$5*SQRT('Part 1'!$E$392)</f>
        <v>1.1857215961386716</v>
      </c>
      <c r="H418">
        <f t="shared" si="0"/>
        <v>-0.40023277951762348</v>
      </c>
      <c r="I418">
        <f t="shared" si="1"/>
        <v>0.90998482378009482</v>
      </c>
      <c r="J418" s="36">
        <f>Option_Portfolio!$E$4 * EXP(-Option_Portfolio!$H$4* $E$392) * _xlfn.NORM.S.DIST(-F418, TRUE) - B418 * _xlfn.NORM.S.DIST(-D418, TRUE)</f>
        <v>3.1722845408227585</v>
      </c>
      <c r="K418" s="36">
        <f>C418 * _xlfn.NORM.S.DIST(E418, TRUE) - Option_Portfolio!$E$5 * EXP(-'Part 1'!$H$5*'Part 1'!$E$392) * _xlfn.NORM.S.DIST(G418, TRUE)</f>
        <v>26.292037498557491</v>
      </c>
      <c r="L418" s="36">
        <f t="shared" si="2"/>
        <v>-30378083.211355675</v>
      </c>
      <c r="O418" s="36">
        <v>-34205990.275162764</v>
      </c>
      <c r="P418" s="36">
        <f t="shared" si="3"/>
        <v>5979405.0741678514</v>
      </c>
      <c r="Q418" s="36">
        <f t="shared" si="4"/>
        <v>2151498.0103607625</v>
      </c>
    </row>
    <row r="419" spans="1:17" x14ac:dyDescent="0.2">
      <c r="A419">
        <v>24</v>
      </c>
      <c r="B419" s="36">
        <f>Underlying_Assets!$C$365*(1+Underlying_Assets!H137)</f>
        <v>85.632308980531704</v>
      </c>
      <c r="C419" s="36">
        <f>Underlying_Assets!$D$365 * (1 + Underlying_Assets!I137)</f>
        <v>150.31552555448411</v>
      </c>
      <c r="D419">
        <f>(LN(B419/Option_Portfolio!$E$4) + (Option_Portfolio!$H$4 + (Option_Portfolio!$G$4^2)/2) * ($E$392)) / (Option_Portfolio!$G$4 * SQRT($E$392))</f>
        <v>0.16319378353465119</v>
      </c>
      <c r="E419">
        <f>(LN(C419/Option_Portfolio!$E$5) + (Option_Portfolio!$H$5 + (Option_Portfolio!$G$5^2)/2) * ($E$392)) / (Option_Portfolio!$G$5 * SQRT($E$392))</f>
        <v>1.5632377946638722</v>
      </c>
      <c r="F419">
        <f>D419-Option_Portfolio!$G$4*SQRT('Part 1'!$E$392)</f>
        <v>4.3467428875369932E-2</v>
      </c>
      <c r="G419">
        <f>E419-Option_Portfolio!$G$5*SQRT('Part 1'!$E$392)</f>
        <v>1.408297806281273</v>
      </c>
      <c r="H419">
        <f t="shared" si="0"/>
        <v>-0.43518293030810518</v>
      </c>
      <c r="I419">
        <f t="shared" si="1"/>
        <v>0.94100166325294243</v>
      </c>
      <c r="J419" s="36">
        <f>Option_Portfolio!$E$4 * EXP(-Option_Portfolio!$H$4* $E$392) * _xlfn.NORM.S.DIST(-F419, TRUE) - B419 * _xlfn.NORM.S.DIST(-D419, TRUE)</f>
        <v>3.5577727745751062</v>
      </c>
      <c r="K419" s="36">
        <f>C419 * _xlfn.NORM.S.DIST(E419, TRUE) - Option_Portfolio!$E$5 * EXP(-'Part 1'!$H$5*'Part 1'!$E$392) * _xlfn.NORM.S.DIST(G419, TRUE)</f>
        <v>30.989733858357297</v>
      </c>
      <c r="L419" s="36">
        <f t="shared" si="2"/>
        <v>-37075058.294688851</v>
      </c>
      <c r="O419" s="36">
        <v>-34137244.047626436</v>
      </c>
      <c r="P419" s="36">
        <f t="shared" si="3"/>
        <v>5910658.8466315232</v>
      </c>
      <c r="Q419" s="36">
        <f t="shared" si="4"/>
        <v>8848473.0936939381</v>
      </c>
    </row>
    <row r="420" spans="1:17" x14ac:dyDescent="0.2">
      <c r="A420">
        <v>25</v>
      </c>
      <c r="B420" s="36">
        <f>Underlying_Assets!$C$365*(1+Underlying_Assets!H138)</f>
        <v>86.818264514776772</v>
      </c>
      <c r="C420" s="36">
        <f>Underlying_Assets!$D$365 * (1 + Underlying_Assets!I138)</f>
        <v>148.09549465861591</v>
      </c>
      <c r="D420">
        <f>(LN(B420/Option_Portfolio!$E$4) + (Option_Portfolio!$H$4 + (Option_Portfolio!$G$4^2)/2) * ($E$392)) / (Option_Portfolio!$G$4 * SQRT($E$392))</f>
        <v>0.27807548148074585</v>
      </c>
      <c r="E420">
        <f>(LN(C420/Option_Portfolio!$E$5) + (Option_Portfolio!$H$5 + (Option_Portfolio!$G$5^2)/2) * ($E$392)) / (Option_Portfolio!$G$5 * SQRT($E$392))</f>
        <v>1.4672052028717124</v>
      </c>
      <c r="F420">
        <f>D420-Option_Portfolio!$G$4*SQRT('Part 1'!$E$392)</f>
        <v>0.15834912682146457</v>
      </c>
      <c r="G420">
        <f>E420-Option_Portfolio!$G$5*SQRT('Part 1'!$E$392)</f>
        <v>1.3122652144891132</v>
      </c>
      <c r="H420">
        <f t="shared" si="0"/>
        <v>-0.39047720834799016</v>
      </c>
      <c r="I420">
        <f t="shared" si="1"/>
        <v>0.92883987899141573</v>
      </c>
      <c r="J420" s="36">
        <f>Option_Portfolio!$E$4 * EXP(-Option_Portfolio!$H$4* $E$392) * _xlfn.NORM.S.DIST(-F420, TRUE) - B420 * _xlfn.NORM.S.DIST(-D420, TRUE)</f>
        <v>3.0683473899500697</v>
      </c>
      <c r="K420" s="36">
        <f>C420 * _xlfn.NORM.S.DIST(E420, TRUE) - Option_Portfolio!$E$5 * EXP(-'Part 1'!$H$5*'Part 1'!$E$392) * _xlfn.NORM.S.DIST(G420, TRUE)</f>
        <v>28.922841220815044</v>
      </c>
      <c r="L420" s="36">
        <f t="shared" si="2"/>
        <v>-36367250.711979598</v>
      </c>
      <c r="O420" s="36">
        <v>-34055017.526988178</v>
      </c>
      <c r="P420" s="36">
        <f t="shared" si="3"/>
        <v>5828432.325993266</v>
      </c>
      <c r="Q420" s="36">
        <f t="shared" si="4"/>
        <v>8140665.5109846853</v>
      </c>
    </row>
    <row r="421" spans="1:17" x14ac:dyDescent="0.2">
      <c r="A421">
        <v>26</v>
      </c>
      <c r="B421" s="36">
        <f>Underlying_Assets!$C$365*(1+Underlying_Assets!H139)</f>
        <v>84.568640033119422</v>
      </c>
      <c r="C421" s="36">
        <f>Underlying_Assets!$D$365 * (1 + Underlying_Assets!I139)</f>
        <v>145.0630336058129</v>
      </c>
      <c r="D421">
        <f>(LN(B421/Option_Portfolio!$E$4) + (Option_Portfolio!$H$4 + (Option_Portfolio!$G$4^2)/2) * ($E$392)) / (Option_Portfolio!$G$4 * SQRT($E$392))</f>
        <v>5.8796212692211559E-2</v>
      </c>
      <c r="E421">
        <f>(LN(C421/Option_Portfolio!$E$5) + (Option_Portfolio!$H$5 + (Option_Portfolio!$G$5^2)/2) * ($E$392)) / (Option_Portfolio!$G$5 * SQRT($E$392))</f>
        <v>1.3336764889263379</v>
      </c>
      <c r="F421">
        <f>D421-Option_Portfolio!$G$4*SQRT('Part 1'!$E$392)</f>
        <v>-6.0930141967069702E-2</v>
      </c>
      <c r="G421">
        <f>E421-Option_Portfolio!$G$5*SQRT('Part 1'!$E$392)</f>
        <v>1.1787365005437387</v>
      </c>
      <c r="H421">
        <f t="shared" si="0"/>
        <v>-0.47655721253883576</v>
      </c>
      <c r="I421">
        <f t="shared" si="1"/>
        <v>0.90884504837400482</v>
      </c>
      <c r="J421" s="36">
        <f>Option_Portfolio!$E$4 * EXP(-Option_Portfolio!$H$4* $E$392) * _xlfn.NORM.S.DIST(-F421, TRUE) - B421 * _xlfn.NORM.S.DIST(-D421, TRUE)</f>
        <v>4.0425792859225993</v>
      </c>
      <c r="K421" s="36">
        <f>C421 * _xlfn.NORM.S.DIST(E421, TRUE) - Option_Portfolio!$E$5 * EXP(-'Part 1'!$H$5*'Part 1'!$E$392) * _xlfn.NORM.S.DIST(G421, TRUE)</f>
        <v>26.1500067826708</v>
      </c>
      <c r="L421" s="36">
        <f t="shared" si="2"/>
        <v>-24001958.563883401</v>
      </c>
      <c r="O421" s="36">
        <v>-34007526.076657459</v>
      </c>
      <c r="P421" s="36">
        <f t="shared" si="3"/>
        <v>5780940.8756625466</v>
      </c>
      <c r="Q421" s="36">
        <f t="shared" si="4"/>
        <v>-4224626.6371115111</v>
      </c>
    </row>
    <row r="422" spans="1:17" x14ac:dyDescent="0.2">
      <c r="A422">
        <v>27</v>
      </c>
      <c r="B422" s="36">
        <f>Underlying_Assets!$C$365*(1+Underlying_Assets!H140)</f>
        <v>85.524075550891922</v>
      </c>
      <c r="C422" s="36">
        <f>Underlying_Assets!$D$365 * (1 + Underlying_Assets!I140)</f>
        <v>145.32511332728922</v>
      </c>
      <c r="D422">
        <f>(LN(B422/Option_Portfolio!$E$4) + (Option_Portfolio!$H$4 + (Option_Portfolio!$G$4^2)/2) * ($E$392)) / (Option_Portfolio!$G$4 * SQRT($E$392))</f>
        <v>0.15263026471678226</v>
      </c>
      <c r="E422">
        <f>(LN(C422/Option_Portfolio!$E$5) + (Option_Portfolio!$H$5 + (Option_Portfolio!$G$5^2)/2) * ($E$392)) / (Option_Portfolio!$G$5 * SQRT($E$392))</f>
        <v>1.3453263602291203</v>
      </c>
      <c r="F422">
        <f>D422-Option_Portfolio!$G$4*SQRT('Part 1'!$E$392)</f>
        <v>3.2903910057500999E-2</v>
      </c>
      <c r="G422">
        <f>E422-Option_Portfolio!$G$5*SQRT('Part 1'!$E$392)</f>
        <v>1.1903863718465211</v>
      </c>
      <c r="H422">
        <f t="shared" si="0"/>
        <v>-0.43934492841753969</v>
      </c>
      <c r="I422">
        <f t="shared" si="1"/>
        <v>0.91074006774007588</v>
      </c>
      <c r="J422" s="36">
        <f>Option_Portfolio!$E$4 * EXP(-Option_Portfolio!$H$4* $E$392) * _xlfn.NORM.S.DIST(-F422, TRUE) - B422 * _xlfn.NORM.S.DIST(-D422, TRUE)</f>
        <v>3.6050992392123149</v>
      </c>
      <c r="K422" s="36">
        <f>C422 * _xlfn.NORM.S.DIST(E422, TRUE) - Option_Portfolio!$E$5 * EXP(-'Part 1'!$H$5*'Part 1'!$E$392) * _xlfn.NORM.S.DIST(G422, TRUE)</f>
        <v>26.387077574822072</v>
      </c>
      <c r="L422" s="36">
        <f t="shared" si="2"/>
        <v>-27538460.475157939</v>
      </c>
      <c r="O422" s="36">
        <v>-33680025.78885556</v>
      </c>
      <c r="P422" s="36">
        <f t="shared" si="3"/>
        <v>5453440.5878606476</v>
      </c>
      <c r="Q422" s="36">
        <f t="shared" si="4"/>
        <v>-688124.72583697364</v>
      </c>
    </row>
    <row r="423" spans="1:17" x14ac:dyDescent="0.2">
      <c r="A423">
        <v>28</v>
      </c>
      <c r="B423" s="36">
        <f>Underlying_Assets!$C$365*(1+Underlying_Assets!H141)</f>
        <v>84.152556280244056</v>
      </c>
      <c r="C423" s="36">
        <f>Underlying_Assets!$D$365 * (1 + Underlying_Assets!I141)</f>
        <v>145.45401987353208</v>
      </c>
      <c r="D423">
        <f>(LN(B423/Option_Portfolio!$E$4) + (Option_Portfolio!$H$4 + (Option_Portfolio!$G$4^2)/2) * ($E$392)) / (Option_Portfolio!$G$4 * SQRT($E$392))</f>
        <v>1.7600480303156415E-2</v>
      </c>
      <c r="E423">
        <f>(LN(C423/Option_Portfolio!$E$5) + (Option_Portfolio!$H$5 + (Option_Portfolio!$G$5^2)/2) * ($E$392)) / (Option_Portfolio!$G$5 * SQRT($E$392))</f>
        <v>1.3510487605985266</v>
      </c>
      <c r="F423">
        <f>D423-Option_Portfolio!$G$4*SQRT('Part 1'!$E$392)</f>
        <v>-0.10212587435612484</v>
      </c>
      <c r="G423">
        <f>E423-Option_Portfolio!$G$5*SQRT('Part 1'!$E$392)</f>
        <v>1.1961087722159274</v>
      </c>
      <c r="H423">
        <f t="shared" si="0"/>
        <v>-0.49297878675519002</v>
      </c>
      <c r="I423">
        <f t="shared" si="1"/>
        <v>0.91166009322868502</v>
      </c>
      <c r="J423" s="36">
        <f>Option_Portfolio!$E$4 * EXP(-Option_Portfolio!$H$4* $E$392) * _xlfn.NORM.S.DIST(-F423, TRUE) - B423 * _xlfn.NORM.S.DIST(-D423, TRUE)</f>
        <v>4.2442796700734675</v>
      </c>
      <c r="K423" s="36">
        <f>C423 * _xlfn.NORM.S.DIST(E423, TRUE) - Option_Portfolio!$E$5 * EXP(-'Part 1'!$H$5*'Part 1'!$E$392) * _xlfn.NORM.S.DIST(G423, TRUE)</f>
        <v>26.503872207409955</v>
      </c>
      <c r="L423" s="36">
        <f t="shared" si="2"/>
        <v>-23297786.724305641</v>
      </c>
      <c r="O423" s="36">
        <v>-33642078.769891217</v>
      </c>
      <c r="P423" s="36">
        <f t="shared" si="3"/>
        <v>5415493.5688963048</v>
      </c>
      <c r="Q423" s="36">
        <f t="shared" si="4"/>
        <v>-4928798.4766892716</v>
      </c>
    </row>
    <row r="424" spans="1:17" x14ac:dyDescent="0.2">
      <c r="A424">
        <v>29</v>
      </c>
      <c r="B424" s="36">
        <f>Underlying_Assets!$C$365*(1+Underlying_Assets!H142)</f>
        <v>84.931305466237944</v>
      </c>
      <c r="C424" s="36">
        <f>Underlying_Assets!$D$365 * (1 + Underlying_Assets!I142)</f>
        <v>145.90683453237412</v>
      </c>
      <c r="D424">
        <f>(LN(B424/Option_Portfolio!$E$4) + (Option_Portfolio!$H$4 + (Option_Portfolio!$G$4^2)/2) * ($E$392)) / (Option_Portfolio!$G$4 * SQRT($E$392))</f>
        <v>9.4538101494426124E-2</v>
      </c>
      <c r="E424">
        <f>(LN(C424/Option_Portfolio!$E$5) + (Option_Portfolio!$H$5 + (Option_Portfolio!$G$5^2)/2) * ($E$392)) / (Option_Portfolio!$G$5 * SQRT($E$392))</f>
        <v>1.3711099233816806</v>
      </c>
      <c r="F424">
        <f>D424-Option_Portfolio!$G$4*SQRT('Part 1'!$E$392)</f>
        <v>-2.5188253164855137E-2</v>
      </c>
      <c r="G424">
        <f>E424-Option_Portfolio!$G$5*SQRT('Part 1'!$E$392)</f>
        <v>1.2161699349990813</v>
      </c>
      <c r="H424">
        <f t="shared" si="0"/>
        <v>-0.46234085867335328</v>
      </c>
      <c r="I424">
        <f t="shared" si="1"/>
        <v>0.91482965400146354</v>
      </c>
      <c r="J424" s="36">
        <f>Option_Portfolio!$E$4 * EXP(-Option_Portfolio!$H$4* $E$392) * _xlfn.NORM.S.DIST(-F424, TRUE) - B424 * _xlfn.NORM.S.DIST(-D424, TRUE)</f>
        <v>3.8723293639909926</v>
      </c>
      <c r="K424" s="36">
        <f>C424 * _xlfn.NORM.S.DIST(E424, TRUE) - Option_Portfolio!$E$5 * EXP(-'Part 1'!$H$5*'Part 1'!$E$392) * _xlfn.NORM.S.DIST(G424, TRUE)</f>
        <v>26.915110594433557</v>
      </c>
      <c r="L424" s="36">
        <f t="shared" si="2"/>
        <v>-26723915.640930168</v>
      </c>
      <c r="O424" s="36">
        <v>-33225264.646024965</v>
      </c>
      <c r="P424" s="36">
        <f t="shared" si="3"/>
        <v>4998679.4450300522</v>
      </c>
      <c r="Q424" s="36">
        <f t="shared" si="4"/>
        <v>-1502669.5600647442</v>
      </c>
    </row>
    <row r="425" spans="1:17" x14ac:dyDescent="0.2">
      <c r="A425">
        <v>30</v>
      </c>
      <c r="B425" s="36">
        <f>Underlying_Assets!$C$365*(1+Underlying_Assets!H143)</f>
        <v>85.016377407487553</v>
      </c>
      <c r="C425" s="36">
        <f>Underlying_Assets!$D$365 * (1 + Underlying_Assets!I143)</f>
        <v>144.47692994199019</v>
      </c>
      <c r="D425">
        <f>(LN(B425/Option_Portfolio!$E$4) + (Option_Portfolio!$H$4 + (Option_Portfolio!$G$4^2)/2) * ($E$392)) / (Option_Portfolio!$G$4 * SQRT($E$392))</f>
        <v>0.10290012468640726</v>
      </c>
      <c r="E425">
        <f>(LN(C425/Option_Portfolio!$E$5) + (Option_Portfolio!$H$5 + (Option_Portfolio!$G$5^2)/2) * ($E$392)) / (Option_Portfolio!$G$5 * SQRT($E$392))</f>
        <v>1.3075468751383037</v>
      </c>
      <c r="F425">
        <f>D425-Option_Portfolio!$G$4*SQRT('Part 1'!$E$392)</f>
        <v>-1.6826229972874002E-2</v>
      </c>
      <c r="G425">
        <f>E425-Option_Portfolio!$G$5*SQRT('Part 1'!$E$392)</f>
        <v>1.1526068867557044</v>
      </c>
      <c r="H425">
        <f t="shared" si="0"/>
        <v>-0.45902111937086532</v>
      </c>
      <c r="I425">
        <f t="shared" si="1"/>
        <v>0.90448647706148366</v>
      </c>
      <c r="J425" s="36">
        <f>Option_Portfolio!$E$4 * EXP(-Option_Portfolio!$H$4* $E$392) * _xlfn.NORM.S.DIST(-F425, TRUE) - B425 * _xlfn.NORM.S.DIST(-D425, TRUE)</f>
        <v>3.8331383809476733</v>
      </c>
      <c r="K425" s="36">
        <f>C425 * _xlfn.NORM.S.DIST(E425, TRUE) - Option_Portfolio!$E$5 * EXP(-'Part 1'!$H$5*'Part 1'!$E$392) * _xlfn.NORM.S.DIST(G425, TRUE)</f>
        <v>25.621735895399439</v>
      </c>
      <c r="L425" s="36">
        <f t="shared" si="2"/>
        <v>-24411503.124165166</v>
      </c>
      <c r="O425" s="36">
        <v>-33104314.452153731</v>
      </c>
      <c r="P425" s="36">
        <f t="shared" si="3"/>
        <v>4877729.2511588186</v>
      </c>
      <c r="Q425" s="36">
        <f t="shared" si="4"/>
        <v>-3815082.0768297464</v>
      </c>
    </row>
    <row r="426" spans="1:17" x14ac:dyDescent="0.2">
      <c r="A426">
        <v>31</v>
      </c>
      <c r="B426" s="36">
        <f>Underlying_Assets!$C$365*(1+Underlying_Assets!H144)</f>
        <v>85.309615888258406</v>
      </c>
      <c r="C426" s="36">
        <f>Underlying_Assets!$D$365 * (1 + Underlying_Assets!I144)</f>
        <v>146.80751341681577</v>
      </c>
      <c r="D426">
        <f>(LN(B426/Option_Portfolio!$E$4) + (Option_Portfolio!$H$4 + (Option_Portfolio!$G$4^2)/2) * ($E$392)) / (Option_Portfolio!$G$4 * SQRT($E$392))</f>
        <v>0.13165958259043362</v>
      </c>
      <c r="E426">
        <f>(LN(C426/Option_Portfolio!$E$5) + (Option_Portfolio!$H$5 + (Option_Portfolio!$G$5^2)/2) * ($E$392)) / (Option_Portfolio!$G$5 * SQRT($E$392))</f>
        <v>1.4108285129228699</v>
      </c>
      <c r="F426">
        <f>D426-Option_Portfolio!$G$4*SQRT('Part 1'!$E$392)</f>
        <v>1.1933227931152354E-2</v>
      </c>
      <c r="G426">
        <f>E426-Option_Portfolio!$G$5*SQRT('Part 1'!$E$392)</f>
        <v>1.2558885245402707</v>
      </c>
      <c r="H426">
        <f t="shared" si="0"/>
        <v>-0.44762677778346416</v>
      </c>
      <c r="I426">
        <f t="shared" si="1"/>
        <v>0.92085240752142061</v>
      </c>
      <c r="J426" s="36">
        <f>Option_Portfolio!$E$4 * EXP(-Option_Portfolio!$H$4* $E$392) * _xlfn.NORM.S.DIST(-F426, TRUE) - B426 * _xlfn.NORM.S.DIST(-D426, TRUE)</f>
        <v>3.7002082528391611</v>
      </c>
      <c r="K426" s="36">
        <f>C426 * _xlfn.NORM.S.DIST(E426, TRUE) - Option_Portfolio!$E$5 * EXP(-'Part 1'!$H$5*'Part 1'!$E$392) * _xlfn.NORM.S.DIST(G426, TRUE)</f>
        <v>27.737435553977974</v>
      </c>
      <c r="L426" s="36">
        <f t="shared" si="2"/>
        <v>-29573413.338081822</v>
      </c>
      <c r="O426" s="36">
        <v>-33042043.677785598</v>
      </c>
      <c r="P426" s="36">
        <f t="shared" si="3"/>
        <v>4815458.4767906852</v>
      </c>
      <c r="Q426" s="36">
        <f t="shared" si="4"/>
        <v>1346828.1370869093</v>
      </c>
    </row>
    <row r="427" spans="1:17" x14ac:dyDescent="0.2">
      <c r="A427">
        <v>32</v>
      </c>
      <c r="B427" s="36">
        <f>Underlying_Assets!$C$365*(1+Underlying_Assets!H145)</f>
        <v>88.52339986839219</v>
      </c>
      <c r="C427" s="36">
        <f>Underlying_Assets!$D$365 * (1 + Underlying_Assets!I145)</f>
        <v>143.26704896338777</v>
      </c>
      <c r="D427">
        <f>(LN(B427/Option_Portfolio!$E$4) + (Option_Portfolio!$H$4 + (Option_Portfolio!$G$4^2)/2) * ($E$392)) / (Option_Portfolio!$G$4 * SQRT($E$392))</f>
        <v>0.44052845354986248</v>
      </c>
      <c r="E427">
        <f>(LN(C427/Option_Portfolio!$E$5) + (Option_Portfolio!$H$5 + (Option_Portfolio!$G$5^2)/2) * ($E$392)) / (Option_Portfolio!$G$5 * SQRT($E$392))</f>
        <v>1.2532711742739313</v>
      </c>
      <c r="F427">
        <f>D427-Option_Portfolio!$G$4*SQRT('Part 1'!$E$392)</f>
        <v>0.3208020988905812</v>
      </c>
      <c r="G427">
        <f>E427-Option_Portfolio!$G$5*SQRT('Part 1'!$E$392)</f>
        <v>1.0983311858913321</v>
      </c>
      <c r="H427">
        <f t="shared" si="0"/>
        <v>-0.32977720445243919</v>
      </c>
      <c r="I427">
        <f t="shared" si="1"/>
        <v>0.89494648239126873</v>
      </c>
      <c r="J427" s="36">
        <f>Option_Portfolio!$E$4 * EXP(-Option_Portfolio!$H$4* $E$392) * _xlfn.NORM.S.DIST(-F427, TRUE) - B427 * _xlfn.NORM.S.DIST(-D427, TRUE)</f>
        <v>2.4549525522795612</v>
      </c>
      <c r="K427" s="36">
        <f>C427 * _xlfn.NORM.S.DIST(E427, TRUE) - Option_Portfolio!$E$5 * EXP(-'Part 1'!$H$5*'Part 1'!$E$392) * _xlfn.NORM.S.DIST(G427, TRUE)</f>
        <v>24.539935447113109</v>
      </c>
      <c r="L427" s="36">
        <f t="shared" si="2"/>
        <v>-31895203.028269287</v>
      </c>
      <c r="O427" s="36">
        <v>-32919397.207851179</v>
      </c>
      <c r="P427" s="36">
        <f t="shared" si="3"/>
        <v>4692812.0068562664</v>
      </c>
      <c r="Q427" s="36">
        <f t="shared" si="4"/>
        <v>3668617.8272743747</v>
      </c>
    </row>
    <row r="428" spans="1:17" x14ac:dyDescent="0.2">
      <c r="A428">
        <v>33</v>
      </c>
      <c r="B428" s="36">
        <f>Underlying_Assets!$C$365*(1+Underlying_Assets!H146)</f>
        <v>87.033295092415543</v>
      </c>
      <c r="C428" s="36">
        <f>Underlying_Assets!$D$365 * (1 + Underlying_Assets!I146)</f>
        <v>148.0923762817655</v>
      </c>
      <c r="D428">
        <f>(LN(B428/Option_Portfolio!$E$4) + (Option_Portfolio!$H$4 + (Option_Portfolio!$G$4^2)/2) * ($E$392)) / (Option_Portfolio!$G$4 * SQRT($E$392))</f>
        <v>0.29873699291949807</v>
      </c>
      <c r="E428">
        <f>(LN(C428/Option_Portfolio!$E$5) + (Option_Portfolio!$H$5 + (Option_Portfolio!$G$5^2)/2) * ($E$392)) / (Option_Portfolio!$G$5 * SQRT($E$392))</f>
        <v>1.4670693002595179</v>
      </c>
      <c r="F428">
        <f>D428-Option_Portfolio!$G$4*SQRT('Part 1'!$E$392)</f>
        <v>0.17901063826021679</v>
      </c>
      <c r="G428">
        <f>E428-Option_Portfolio!$G$5*SQRT('Part 1'!$E$392)</f>
        <v>1.3121293118769186</v>
      </c>
      <c r="H428">
        <f t="shared" si="0"/>
        <v>-0.38257036446354231</v>
      </c>
      <c r="I428">
        <f t="shared" si="1"/>
        <v>0.92882139778857953</v>
      </c>
      <c r="J428" s="36">
        <f>Option_Portfolio!$E$4 * EXP(-Option_Portfolio!$H$4* $E$392) * _xlfn.NORM.S.DIST(-F428, TRUE) - B428 * _xlfn.NORM.S.DIST(-D428, TRUE)</f>
        <v>2.9852341516510492</v>
      </c>
      <c r="K428" s="36">
        <f>C428 * _xlfn.NORM.S.DIST(E428, TRUE) - Option_Portfolio!$E$5 * EXP(-'Part 1'!$H$5*'Part 1'!$E$392) * _xlfn.NORM.S.DIST(G428, TRUE)</f>
        <v>28.919958385867886</v>
      </c>
      <c r="L428" s="36">
        <f t="shared" si="2"/>
        <v>-36943277.710178427</v>
      </c>
      <c r="O428" s="36">
        <v>-32691996.362048712</v>
      </c>
      <c r="P428" s="36">
        <f t="shared" si="3"/>
        <v>4465411.1610537991</v>
      </c>
      <c r="Q428" s="36">
        <f t="shared" si="4"/>
        <v>8716692.5091835149</v>
      </c>
    </row>
    <row r="429" spans="1:17" x14ac:dyDescent="0.2">
      <c r="A429">
        <v>34</v>
      </c>
      <c r="B429" s="36">
        <f>Underlying_Assets!$C$365*(1+Underlying_Assets!H147)</f>
        <v>86.547513604018405</v>
      </c>
      <c r="C429" s="36">
        <f>Underlying_Assets!$D$365 * (1 + Underlying_Assets!I147)</f>
        <v>143.3482127288579</v>
      </c>
      <c r="D429">
        <f>(LN(B429/Option_Portfolio!$E$4) + (Option_Portfolio!$H$4 + (Option_Portfolio!$G$4^2)/2) * ($E$392)) / (Option_Portfolio!$G$4 * SQRT($E$392))</f>
        <v>0.25198709965394234</v>
      </c>
      <c r="E429">
        <f>(LN(C429/Option_Portfolio!$E$5) + (Option_Portfolio!$H$5 + (Option_Portfolio!$G$5^2)/2) * ($E$392)) / (Option_Portfolio!$G$5 * SQRT($E$392))</f>
        <v>1.2569265276108925</v>
      </c>
      <c r="F429">
        <f>D429-Option_Portfolio!$G$4*SQRT('Part 1'!$E$392)</f>
        <v>0.13226074499466106</v>
      </c>
      <c r="G429">
        <f>E429-Option_Portfolio!$G$5*SQRT('Part 1'!$E$392)</f>
        <v>1.1019865392282933</v>
      </c>
      <c r="H429">
        <f t="shared" si="0"/>
        <v>-0.40052551755787036</v>
      </c>
      <c r="I429">
        <f t="shared" si="1"/>
        <v>0.89560987916547286</v>
      </c>
      <c r="J429" s="36">
        <f>Option_Portfolio!$E$4 * EXP(-Option_Portfolio!$H$4* $E$392) * _xlfn.NORM.S.DIST(-F429, TRUE) - B429 * _xlfn.NORM.S.DIST(-D429, TRUE)</f>
        <v>3.1754274684998975</v>
      </c>
      <c r="K429" s="36">
        <f>C429 * _xlfn.NORM.S.DIST(E429, TRUE) - Option_Portfolio!$E$5 * EXP(-'Part 1'!$H$5*'Part 1'!$E$392) * _xlfn.NORM.S.DIST(G429, TRUE)</f>
        <v>24.612126900972058</v>
      </c>
      <c r="L429" s="36">
        <f t="shared" si="2"/>
        <v>-26996261.522444833</v>
      </c>
      <c r="O429" s="36">
        <v>-32672339.917428397</v>
      </c>
      <c r="P429" s="36">
        <f t="shared" si="3"/>
        <v>4445754.7164334841</v>
      </c>
      <c r="Q429" s="36">
        <f t="shared" si="4"/>
        <v>-1230323.6785500795</v>
      </c>
    </row>
    <row r="430" spans="1:17" x14ac:dyDescent="0.2">
      <c r="A430">
        <v>35</v>
      </c>
      <c r="B430" s="36">
        <f>Underlying_Assets!$C$365*(1+Underlying_Assets!H148)</f>
        <v>86.753307070288187</v>
      </c>
      <c r="C430" s="36">
        <f>Underlying_Assets!$D$365 * (1 + Underlying_Assets!I148)</f>
        <v>142.2495816820784</v>
      </c>
      <c r="D430">
        <f>(LN(B430/Option_Portfolio!$E$4) + (Option_Portfolio!$H$4 + (Option_Portfolio!$G$4^2)/2) * ($E$392)) / (Option_Portfolio!$G$4 * SQRT($E$392))</f>
        <v>0.27182388998939111</v>
      </c>
      <c r="E430">
        <f>(LN(C430/Option_Portfolio!$E$5) + (Option_Portfolio!$H$5 + (Option_Portfolio!$G$5^2)/2) * ($E$392)) / (Option_Portfolio!$G$5 * SQRT($E$392))</f>
        <v>1.2072712244862387</v>
      </c>
      <c r="F430">
        <f>D430-Option_Portfolio!$G$4*SQRT('Part 1'!$E$392)</f>
        <v>0.15209753533010983</v>
      </c>
      <c r="G430">
        <f>E430-Option_Portfolio!$G$5*SQRT('Part 1'!$E$392)</f>
        <v>1.0523312361036394</v>
      </c>
      <c r="H430">
        <f t="shared" si="0"/>
        <v>-0.39287871753243109</v>
      </c>
      <c r="I430">
        <f t="shared" si="1"/>
        <v>0.88633614564062557</v>
      </c>
      <c r="J430" s="36">
        <f>Option_Portfolio!$E$4 * EXP(-Option_Portfolio!$H$4* $E$392) * _xlfn.NORM.S.DIST(-F430, TRUE) - B430 * _xlfn.NORM.S.DIST(-D430, TRUE)</f>
        <v>3.0937897574104412</v>
      </c>
      <c r="K430" s="36">
        <f>C430 * _xlfn.NORM.S.DIST(E430, TRUE) - Option_Portfolio!$E$5 * EXP(-'Part 1'!$H$5*'Part 1'!$E$392) * _xlfn.NORM.S.DIST(G430, TRUE)</f>
        <v>23.639802268536556</v>
      </c>
      <c r="L430" s="36">
        <f t="shared" si="2"/>
        <v>-25623076.235200025</v>
      </c>
      <c r="O430" s="36">
        <v>-32668493.677413456</v>
      </c>
      <c r="P430" s="36">
        <f t="shared" si="3"/>
        <v>4441908.4764185436</v>
      </c>
      <c r="Q430" s="36">
        <f t="shared" si="4"/>
        <v>-2603508.9657948874</v>
      </c>
    </row>
    <row r="431" spans="1:17" x14ac:dyDescent="0.2">
      <c r="A431">
        <v>36</v>
      </c>
      <c r="B431" s="36">
        <f>Underlying_Assets!$C$365*(1+Underlying_Assets!H149)</f>
        <v>85.845418032786881</v>
      </c>
      <c r="C431" s="36">
        <f>Underlying_Assets!$D$365 * (1 + Underlying_Assets!I149)</f>
        <v>146.42259076647244</v>
      </c>
      <c r="D431">
        <f>(LN(B431/Option_Portfolio!$E$4) + (Option_Portfolio!$H$4 + (Option_Portfolio!$G$4^2)/2) * ($E$392)) / (Option_Portfolio!$G$4 * SQRT($E$392))</f>
        <v>0.18395413200948224</v>
      </c>
      <c r="E431">
        <f>(LN(C431/Option_Portfolio!$E$5) + (Option_Portfolio!$H$5 + (Option_Portfolio!$G$5^2)/2) * ($E$392)) / (Option_Portfolio!$G$5 * SQRT($E$392))</f>
        <v>1.3938839005311403</v>
      </c>
      <c r="F431">
        <f>D431-Option_Portfolio!$G$4*SQRT('Part 1'!$E$392)</f>
        <v>6.4227777350200979E-2</v>
      </c>
      <c r="G431">
        <f>E431-Option_Portfolio!$G$5*SQRT('Part 1'!$E$392)</f>
        <v>1.238943912148541</v>
      </c>
      <c r="H431">
        <f t="shared" si="0"/>
        <v>-0.42702471906471118</v>
      </c>
      <c r="I431">
        <f t="shared" si="1"/>
        <v>0.91832366666071674</v>
      </c>
      <c r="J431" s="36">
        <f>Option_Portfolio!$E$4 * EXP(-Option_Portfolio!$H$4* $E$392) * _xlfn.NORM.S.DIST(-F431, TRUE) - B431 * _xlfn.NORM.S.DIST(-D431, TRUE)</f>
        <v>3.4659015292586872</v>
      </c>
      <c r="K431" s="36">
        <f>C431 * _xlfn.NORM.S.DIST(E431, TRUE) - Option_Portfolio!$E$5 * EXP(-'Part 1'!$H$5*'Part 1'!$E$392) * _xlfn.NORM.S.DIST(G431, TRUE)</f>
        <v>27.385306633885321</v>
      </c>
      <c r="L431" s="36">
        <f t="shared" si="2"/>
        <v>-30509302.562959831</v>
      </c>
      <c r="O431" s="36">
        <v>-32614096.221109234</v>
      </c>
      <c r="P431" s="36">
        <f t="shared" si="3"/>
        <v>4387511.0201143213</v>
      </c>
      <c r="Q431" s="36">
        <f t="shared" si="4"/>
        <v>2282717.3619649187</v>
      </c>
    </row>
    <row r="432" spans="1:17" x14ac:dyDescent="0.2">
      <c r="A432">
        <v>37</v>
      </c>
      <c r="B432" s="36">
        <f>Underlying_Assets!$C$365*(1+Underlying_Assets!H150)</f>
        <v>86.283990994678675</v>
      </c>
      <c r="C432" s="36">
        <f>Underlying_Assets!$D$365 * (1 + Underlying_Assets!I150)</f>
        <v>145.18510638297872</v>
      </c>
      <c r="D432">
        <f>(LN(B432/Option_Portfolio!$E$4) + (Option_Portfolio!$H$4 + (Option_Portfolio!$G$4^2)/2) * ($E$392)) / (Option_Portfolio!$G$4 * SQRT($E$392))</f>
        <v>0.22651671263980908</v>
      </c>
      <c r="E432">
        <f>(LN(C432/Option_Portfolio!$E$5) + (Option_Portfolio!$H$5 + (Option_Portfolio!$G$5^2)/2) * ($E$392)) / (Option_Portfolio!$G$5 * SQRT($E$392))</f>
        <v>1.3391054394256534</v>
      </c>
      <c r="F432">
        <f>D432-Option_Portfolio!$G$4*SQRT('Part 1'!$E$392)</f>
        <v>0.10679035798052781</v>
      </c>
      <c r="G432">
        <f>E432-Option_Portfolio!$G$5*SQRT('Part 1'!$E$392)</f>
        <v>1.1841654510430542</v>
      </c>
      <c r="H432">
        <f t="shared" si="0"/>
        <v>-0.4103997810996709</v>
      </c>
      <c r="I432">
        <f t="shared" si="1"/>
        <v>0.90973182502106054</v>
      </c>
      <c r="J432" s="36">
        <f>Option_Portfolio!$E$4 * EXP(-Option_Portfolio!$H$4* $E$392) * _xlfn.NORM.S.DIST(-F432, TRUE) - B432 * _xlfn.NORM.S.DIST(-D432, TRUE)</f>
        <v>3.2822740612183949</v>
      </c>
      <c r="K432" s="36">
        <f>C432 * _xlfn.NORM.S.DIST(E432, TRUE) - Option_Portfolio!$E$5 * EXP(-'Part 1'!$H$5*'Part 1'!$E$392) * _xlfn.NORM.S.DIST(G432, TRUE)</f>
        <v>26.260366319664655</v>
      </c>
      <c r="L432" s="36">
        <f t="shared" si="2"/>
        <v>-29544814.210800551</v>
      </c>
      <c r="O432" s="36">
        <v>-32429419.931865107</v>
      </c>
      <c r="P432" s="36">
        <f t="shared" si="3"/>
        <v>4202834.7308701947</v>
      </c>
      <c r="Q432" s="36">
        <f t="shared" si="4"/>
        <v>1318229.0098056383</v>
      </c>
    </row>
    <row r="433" spans="1:17" x14ac:dyDescent="0.2">
      <c r="A433">
        <v>38</v>
      </c>
      <c r="B433" s="36">
        <f>Underlying_Assets!$C$365*(1+Underlying_Assets!H151)</f>
        <v>85.46100061012811</v>
      </c>
      <c r="C433" s="36">
        <f>Underlying_Assets!$D$365 * (1 + Underlying_Assets!I151)</f>
        <v>145.50415561450046</v>
      </c>
      <c r="D433">
        <f>(LN(B433/Option_Portfolio!$E$4) + (Option_Portfolio!$H$4 + (Option_Portfolio!$G$4^2)/2) * ($E$392)) / (Option_Portfolio!$G$4 * SQRT($E$392))</f>
        <v>0.14646802057096628</v>
      </c>
      <c r="E433">
        <f>(LN(C433/Option_Portfolio!$E$5) + (Option_Portfolio!$H$5 + (Option_Portfolio!$G$5^2)/2) * ($E$392)) / (Option_Portfolio!$G$5 * SQRT($E$392))</f>
        <v>1.3532730093427294</v>
      </c>
      <c r="F433">
        <f>D433-Option_Portfolio!$G$4*SQRT('Part 1'!$E$392)</f>
        <v>2.6741665911685017E-2</v>
      </c>
      <c r="G433">
        <f>E433-Option_Portfolio!$G$5*SQRT('Part 1'!$E$392)</f>
        <v>1.1983330209601302</v>
      </c>
      <c r="H433">
        <f t="shared" si="0"/>
        <v>-0.44177596676002007</v>
      </c>
      <c r="I433">
        <f t="shared" si="1"/>
        <v>0.91201578573192443</v>
      </c>
      <c r="J433" s="36">
        <f>Option_Portfolio!$E$4 * EXP(-Option_Portfolio!$H$4* $E$392) * _xlfn.NORM.S.DIST(-F433, TRUE) - B433 * _xlfn.NORM.S.DIST(-D433, TRUE)</f>
        <v>3.6328875421435853</v>
      </c>
      <c r="K433" s="36">
        <f>C433 * _xlfn.NORM.S.DIST(E433, TRUE) - Option_Portfolio!$E$5 * EXP(-'Part 1'!$H$5*'Part 1'!$E$392) * _xlfn.NORM.S.DIST(G433, TRUE)</f>
        <v>26.549330586314966</v>
      </c>
      <c r="L433" s="36">
        <f t="shared" si="2"/>
        <v>-27668448.377624832</v>
      </c>
      <c r="O433" s="36">
        <v>-32410907.607831046</v>
      </c>
      <c r="P433" s="36">
        <f t="shared" si="3"/>
        <v>4184322.4068361335</v>
      </c>
      <c r="Q433" s="36">
        <f t="shared" si="4"/>
        <v>-558136.82337008044</v>
      </c>
    </row>
    <row r="434" spans="1:17" x14ac:dyDescent="0.2">
      <c r="A434">
        <v>39</v>
      </c>
      <c r="B434" s="36">
        <f>Underlying_Assets!$C$365*(1+Underlying_Assets!H152)</f>
        <v>83.62317894307283</v>
      </c>
      <c r="C434" s="36">
        <f>Underlying_Assets!$D$365 * (1 + Underlying_Assets!I152)</f>
        <v>143.0162780466344</v>
      </c>
      <c r="D434">
        <f>(LN(B434/Option_Portfolio!$E$4) + (Option_Portfolio!$H$4 + (Option_Portfolio!$G$4^2)/2) * ($E$392)) / (Option_Portfolio!$G$4 * SQRT($E$392))</f>
        <v>-3.5107681650320056E-2</v>
      </c>
      <c r="E434">
        <f>(LN(C434/Option_Portfolio!$E$5) + (Option_Portfolio!$H$5 + (Option_Portfolio!$G$5^2)/2) * ($E$392)) / (Option_Portfolio!$G$5 * SQRT($E$392))</f>
        <v>1.2419641662693743</v>
      </c>
      <c r="F434">
        <f>D434-Option_Portfolio!$G$4*SQRT('Part 1'!$E$392)</f>
        <v>-0.15483403630960133</v>
      </c>
      <c r="G434">
        <f>E434-Option_Portfolio!$G$5*SQRT('Part 1'!$E$392)</f>
        <v>1.0870241778867751</v>
      </c>
      <c r="H434">
        <f t="shared" si="0"/>
        <v>-0.51400306194072243</v>
      </c>
      <c r="I434">
        <f t="shared" si="1"/>
        <v>0.89287510826365724</v>
      </c>
      <c r="J434" s="36">
        <f>Option_Portfolio!$E$4 * EXP(-Option_Portfolio!$H$4* $E$392) * _xlfn.NORM.S.DIST(-F434, TRUE) - B434 * _xlfn.NORM.S.DIST(-D434, TRUE)</f>
        <v>4.5108109295923668</v>
      </c>
      <c r="K434" s="36">
        <f>C434 * _xlfn.NORM.S.DIST(E434, TRUE) - Option_Portfolio!$E$5 * EXP(-'Part 1'!$H$5*'Part 1'!$E$392) * _xlfn.NORM.S.DIST(G434, TRUE)</f>
        <v>24.317242220510693</v>
      </c>
      <c r="L434" s="36">
        <f t="shared" si="2"/>
        <v>-17058807.933874816</v>
      </c>
      <c r="O434" s="36">
        <v>-32170057.267454617</v>
      </c>
      <c r="P434" s="36">
        <f t="shared" si="3"/>
        <v>3943472.0664597042</v>
      </c>
      <c r="Q434" s="36">
        <f t="shared" si="4"/>
        <v>-11167777.267120097</v>
      </c>
    </row>
    <row r="435" spans="1:17" x14ac:dyDescent="0.2">
      <c r="A435">
        <v>40</v>
      </c>
      <c r="B435" s="36">
        <f>Underlying_Assets!$C$365*(1+Underlying_Assets!H153)</f>
        <v>84.843138075313803</v>
      </c>
      <c r="C435" s="36">
        <f>Underlying_Assets!$D$365 * (1 + Underlying_Assets!I153)</f>
        <v>143.83251670378621</v>
      </c>
      <c r="D435">
        <f>(LN(B435/Option_Portfolio!$E$4) + (Option_Portfolio!$H$4 + (Option_Portfolio!$G$4^2)/2) * ($E$392)) / (Option_Portfolio!$G$4 * SQRT($E$392))</f>
        <v>8.586297235263371E-2</v>
      </c>
      <c r="E435">
        <f>(LN(C435/Option_Portfolio!$E$5) + (Option_Portfolio!$H$5 + (Option_Portfolio!$G$5^2)/2) * ($E$392)) / (Option_Portfolio!$G$5 * SQRT($E$392))</f>
        <v>1.2786950839195379</v>
      </c>
      <c r="F435">
        <f>D435-Option_Portfolio!$G$4*SQRT('Part 1'!$E$392)</f>
        <v>-3.3863382306647552E-2</v>
      </c>
      <c r="G435">
        <f>E435-Option_Portfolio!$G$5*SQRT('Part 1'!$E$392)</f>
        <v>1.1237550955369386</v>
      </c>
      <c r="H435">
        <f t="shared" si="0"/>
        <v>-0.46578767327450321</v>
      </c>
      <c r="I435">
        <f t="shared" si="1"/>
        <v>0.89949777422672184</v>
      </c>
      <c r="J435" s="36">
        <f>Option_Portfolio!$E$4 * EXP(-Option_Portfolio!$H$4* $E$392) * _xlfn.NORM.S.DIST(-F435, TRUE) - B435 * _xlfn.NORM.S.DIST(-D435, TRUE)</f>
        <v>3.9132446534231207</v>
      </c>
      <c r="K435" s="36">
        <f>C435 * _xlfn.NORM.S.DIST(E435, TRUE) - Option_Portfolio!$E$5 * EXP(-'Part 1'!$H$5*'Part 1'!$E$392) * _xlfn.NORM.S.DIST(G435, TRUE)</f>
        <v>25.044044801450141</v>
      </c>
      <c r="L435" s="36">
        <f t="shared" si="2"/>
        <v>-22695377.028938435</v>
      </c>
      <c r="O435" s="36">
        <v>-32129583.858034205</v>
      </c>
      <c r="P435" s="36">
        <f t="shared" si="3"/>
        <v>3902998.6570392922</v>
      </c>
      <c r="Q435" s="36">
        <f t="shared" si="4"/>
        <v>-5531208.1720564775</v>
      </c>
    </row>
    <row r="436" spans="1:17" x14ac:dyDescent="0.2">
      <c r="A436">
        <v>41</v>
      </c>
      <c r="B436" s="36">
        <f>Underlying_Assets!$C$365*(1+Underlying_Assets!H154)</f>
        <v>86.048156448202946</v>
      </c>
      <c r="C436" s="36">
        <f>Underlying_Assets!$D$365 * (1 + Underlying_Assets!I154)</f>
        <v>145.5142600896861</v>
      </c>
      <c r="D436">
        <f>(LN(B436/Option_Portfolio!$E$4) + (Option_Portfolio!$H$4 + (Option_Portfolio!$G$4^2)/2) * ($E$392)) / (Option_Portfolio!$G$4 * SQRT($E$392))</f>
        <v>0.20365642814602791</v>
      </c>
      <c r="E436">
        <f>(LN(C436/Option_Portfolio!$E$5) + (Option_Portfolio!$H$5 + (Option_Portfolio!$G$5^2)/2) * ($E$392)) / (Option_Portfolio!$G$5 * SQRT($E$392))</f>
        <v>1.3537211968701062</v>
      </c>
      <c r="F436">
        <f>D436-Option_Portfolio!$G$4*SQRT('Part 1'!$E$392)</f>
        <v>8.3930073486746651E-2</v>
      </c>
      <c r="G436">
        <f>E436-Option_Portfolio!$G$5*SQRT('Part 1'!$E$392)</f>
        <v>1.1987812084875069</v>
      </c>
      <c r="H436">
        <f t="shared" si="0"/>
        <v>-0.41931099690839546</v>
      </c>
      <c r="I436">
        <f t="shared" si="1"/>
        <v>0.91208732854125485</v>
      </c>
      <c r="J436" s="36">
        <f>Option_Portfolio!$E$4 * EXP(-Option_Portfolio!$H$4* $E$392) * _xlfn.NORM.S.DIST(-F436, TRUE) - B436 * _xlfn.NORM.S.DIST(-D436, TRUE)</f>
        <v>3.380109953309919</v>
      </c>
      <c r="K436" s="36">
        <f>C436 * _xlfn.NORM.S.DIST(E436, TRUE) - Option_Portfolio!$E$5 * EXP(-'Part 1'!$H$5*'Part 1'!$E$392) * _xlfn.NORM.S.DIST(G436, TRUE)</f>
        <v>26.558494626135953</v>
      </c>
      <c r="L436" s="36">
        <f t="shared" si="2"/>
        <v>-29456219.579102471</v>
      </c>
      <c r="O436" s="36">
        <v>-32063219.798470188</v>
      </c>
      <c r="P436" s="36">
        <f t="shared" si="3"/>
        <v>3836634.5974752754</v>
      </c>
      <c r="Q436" s="36">
        <f t="shared" si="4"/>
        <v>1229634.3781075589</v>
      </c>
    </row>
    <row r="437" spans="1:17" x14ac:dyDescent="0.2">
      <c r="A437">
        <v>42</v>
      </c>
      <c r="B437" s="36">
        <f>Underlying_Assets!$C$365*(1+Underlying_Assets!H155)</f>
        <v>85.884495470823666</v>
      </c>
      <c r="C437" s="36">
        <f>Underlying_Assets!$D$365 * (1 + Underlying_Assets!I155)</f>
        <v>142.92619366354307</v>
      </c>
      <c r="D437">
        <f>(LN(B437/Option_Portfolio!$E$4) + (Option_Portfolio!$H$4 + (Option_Portfolio!$G$4^2)/2) * ($E$392)) / (Option_Portfolio!$G$4 * SQRT($E$392))</f>
        <v>0.18775532898883243</v>
      </c>
      <c r="E437">
        <f>(LN(C437/Option_Portfolio!$E$5) + (Option_Portfolio!$H$5 + (Option_Portfolio!$G$5^2)/2) * ($E$392)) / (Option_Portfolio!$G$5 * SQRT($E$392))</f>
        <v>1.23789751124319</v>
      </c>
      <c r="F437">
        <f>D437-Option_Portfolio!$G$4*SQRT('Part 1'!$E$392)</f>
        <v>6.802897432955117E-2</v>
      </c>
      <c r="G437">
        <f>E437-Option_Portfolio!$G$5*SQRT('Part 1'!$E$392)</f>
        <v>1.0829575228605908</v>
      </c>
      <c r="H437">
        <f t="shared" si="0"/>
        <v>-0.42553422760125281</v>
      </c>
      <c r="I437">
        <f t="shared" si="1"/>
        <v>0.89212296736299046</v>
      </c>
      <c r="J437" s="36">
        <f>Option_Portfolio!$E$4 * EXP(-Option_Portfolio!$H$4* $E$392) * _xlfn.NORM.S.DIST(-F437, TRUE) - B437 * _xlfn.NORM.S.DIST(-D437, TRUE)</f>
        <v>3.4492436251911229</v>
      </c>
      <c r="K437" s="36">
        <f>C437 * _xlfn.NORM.S.DIST(E437, TRUE) - Option_Portfolio!$E$5 * EXP(-'Part 1'!$H$5*'Part 1'!$E$392) * _xlfn.NORM.S.DIST(G437, TRUE)</f>
        <v>24.237376659231984</v>
      </c>
      <c r="L437" s="36">
        <f t="shared" si="2"/>
        <v>-24330047.942126106</v>
      </c>
      <c r="O437" s="36">
        <v>-32026204.864603721</v>
      </c>
      <c r="P437" s="36">
        <f t="shared" si="3"/>
        <v>3799619.6636088081</v>
      </c>
      <c r="Q437" s="36">
        <f t="shared" si="4"/>
        <v>-3896537.2588688061</v>
      </c>
    </row>
    <row r="438" spans="1:17" x14ac:dyDescent="0.2">
      <c r="A438">
        <v>43</v>
      </c>
      <c r="B438" s="36">
        <f>Underlying_Assets!$C$365*(1+Underlying_Assets!H156)</f>
        <v>85.90228391167193</v>
      </c>
      <c r="C438" s="36">
        <f>Underlying_Assets!$D$365 * (1 + Underlying_Assets!I156)</f>
        <v>142.57432188065101</v>
      </c>
      <c r="D438">
        <f>(LN(B438/Option_Portfolio!$E$4) + (Option_Portfolio!$H$4 + (Option_Portfolio!$G$4^2)/2) * ($E$392)) / (Option_Portfolio!$G$4 * SQRT($E$392))</f>
        <v>0.18948509908094932</v>
      </c>
      <c r="E438">
        <f>(LN(C438/Option_Portfolio!$E$5) + (Option_Portfolio!$H$5 + (Option_Portfolio!$G$5^2)/2) * ($E$392)) / (Option_Portfolio!$G$5 * SQRT($E$392))</f>
        <v>1.2219884614468837</v>
      </c>
      <c r="F438">
        <f>D438-Option_Portfolio!$G$4*SQRT('Part 1'!$E$392)</f>
        <v>6.9758744421668059E-2</v>
      </c>
      <c r="G438">
        <f>E438-Option_Portfolio!$G$5*SQRT('Part 1'!$E$392)</f>
        <v>1.0670484730642844</v>
      </c>
      <c r="H438">
        <f t="shared" si="0"/>
        <v>-0.42485631637955446</v>
      </c>
      <c r="I438">
        <f t="shared" si="1"/>
        <v>0.88914400477179711</v>
      </c>
      <c r="J438" s="36">
        <f>Option_Portfolio!$E$4 * EXP(-Option_Portfolio!$H$4* $E$392) * _xlfn.NORM.S.DIST(-F438, TRUE) - B438 * _xlfn.NORM.S.DIST(-D438, TRUE)</f>
        <v>3.4416800647823464</v>
      </c>
      <c r="K438" s="36">
        <f>C438 * _xlfn.NORM.S.DIST(E438, TRUE) - Option_Portfolio!$E$5 * EXP(-'Part 1'!$H$5*'Part 1'!$E$392) * _xlfn.NORM.S.DIST(G438, TRUE)</f>
        <v>23.926100400536484</v>
      </c>
      <c r="L438" s="36">
        <f t="shared" si="2"/>
        <v>-23760440.347596545</v>
      </c>
      <c r="O438" s="36">
        <v>-31971747.148860138</v>
      </c>
      <c r="P438" s="36">
        <f t="shared" si="3"/>
        <v>3745161.9478652254</v>
      </c>
      <c r="Q438" s="36">
        <f t="shared" si="4"/>
        <v>-4466144.8533983678</v>
      </c>
    </row>
    <row r="439" spans="1:17" x14ac:dyDescent="0.2">
      <c r="A439">
        <v>44</v>
      </c>
      <c r="B439" s="36">
        <f>Underlying_Assets!$C$365*(1+Underlying_Assets!H157)</f>
        <v>85.578022670025177</v>
      </c>
      <c r="C439" s="36">
        <f>Underlying_Assets!$D$365 * (1 + Underlying_Assets!I157)</f>
        <v>146.46207529843895</v>
      </c>
      <c r="D439">
        <f>(LN(B439/Option_Portfolio!$E$4) + (Option_Portfolio!$H$4 + (Option_Portfolio!$G$4^2)/2) * ($E$392)) / (Option_Portfolio!$G$4 * SQRT($E$392))</f>
        <v>0.15789714167455426</v>
      </c>
      <c r="E439">
        <f>(LN(C439/Option_Portfolio!$E$5) + (Option_Portfolio!$H$5 + (Option_Portfolio!$G$5^2)/2) * ($E$392)) / (Option_Portfolio!$G$5 * SQRT($E$392))</f>
        <v>1.3956240912129327</v>
      </c>
      <c r="F439">
        <f>D439-Option_Portfolio!$G$4*SQRT('Part 1'!$E$392)</f>
        <v>3.8170787015273003E-2</v>
      </c>
      <c r="G439">
        <f>E439-Option_Portfolio!$G$5*SQRT('Part 1'!$E$392)</f>
        <v>1.2406841028303335</v>
      </c>
      <c r="H439">
        <f t="shared" si="0"/>
        <v>-0.43726892521215954</v>
      </c>
      <c r="I439">
        <f t="shared" si="1"/>
        <v>0.91858613808205614</v>
      </c>
      <c r="J439" s="36">
        <f>Option_Portfolio!$E$4 * EXP(-Option_Portfolio!$H$4* $E$392) * _xlfn.NORM.S.DIST(-F439, TRUE) - B439 * _xlfn.NORM.S.DIST(-D439, TRUE)</f>
        <v>3.581453856731649</v>
      </c>
      <c r="K439" s="36">
        <f>C439 * _xlfn.NORM.S.DIST(E439, TRUE) - Option_Portfolio!$E$5 * EXP(-'Part 1'!$H$5*'Part 1'!$E$392) * _xlfn.NORM.S.DIST(G439, TRUE)</f>
        <v>27.421380277431368</v>
      </c>
      <c r="L439" s="36">
        <f t="shared" si="2"/>
        <v>-29772583.557741188</v>
      </c>
      <c r="O439" s="36">
        <v>-31936221.146109067</v>
      </c>
      <c r="P439" s="36">
        <f t="shared" si="3"/>
        <v>3709635.9451141544</v>
      </c>
      <c r="Q439" s="36">
        <f t="shared" si="4"/>
        <v>1545998.356746275</v>
      </c>
    </row>
    <row r="440" spans="1:17" x14ac:dyDescent="0.2">
      <c r="A440">
        <v>45</v>
      </c>
      <c r="B440" s="36">
        <f>Underlying_Assets!$C$365*(1+Underlying_Assets!H158)</f>
        <v>85.559684542586751</v>
      </c>
      <c r="C440" s="36">
        <f>Underlying_Assets!$D$365 * (1 + Underlying_Assets!I158)</f>
        <v>146.24602814344078</v>
      </c>
      <c r="D440">
        <f>(LN(B440/Option_Portfolio!$E$4) + (Option_Portfolio!$H$4 + (Option_Portfolio!$G$4^2)/2) * ($E$392)) / (Option_Portfolio!$G$4 * SQRT($E$392))</f>
        <v>0.15610715616658272</v>
      </c>
      <c r="E440">
        <f>(LN(C440/Option_Portfolio!$E$5) + (Option_Portfolio!$H$5 + (Option_Portfolio!$G$5^2)/2) * ($E$392)) / (Option_Portfolio!$G$5 * SQRT($E$392))</f>
        <v>1.3860965604131068</v>
      </c>
      <c r="F440">
        <f>D440-Option_Portfolio!$G$4*SQRT('Part 1'!$E$392)</f>
        <v>3.6380801507301455E-2</v>
      </c>
      <c r="G440">
        <f>E440-Option_Portfolio!$G$5*SQRT('Part 1'!$E$392)</f>
        <v>1.2311565720305075</v>
      </c>
      <c r="H440">
        <f t="shared" si="0"/>
        <v>-0.43797427885768414</v>
      </c>
      <c r="I440">
        <f t="shared" si="1"/>
        <v>0.91714128973665743</v>
      </c>
      <c r="J440" s="36">
        <f>Option_Portfolio!$E$4 * EXP(-Option_Portfolio!$H$4* $E$392) * _xlfn.NORM.S.DIST(-F440, TRUE) - B440 * _xlfn.NORM.S.DIST(-D440, TRUE)</f>
        <v>3.5894790169056492</v>
      </c>
      <c r="K440" s="36">
        <f>C440 * _xlfn.NORM.S.DIST(E440, TRUE) - Option_Portfolio!$E$5 * EXP(-'Part 1'!$H$5*'Part 1'!$E$392) * _xlfn.NORM.S.DIST(G440, TRUE)</f>
        <v>27.224129492449293</v>
      </c>
      <c r="L440" s="36">
        <f t="shared" si="2"/>
        <v>-29321905.866559047</v>
      </c>
      <c r="O440" s="36">
        <v>-31895203.028269287</v>
      </c>
      <c r="P440" s="36">
        <f t="shared" si="3"/>
        <v>3668617.8272743747</v>
      </c>
      <c r="Q440" s="36">
        <f t="shared" si="4"/>
        <v>1095320.6655641347</v>
      </c>
    </row>
    <row r="441" spans="1:17" x14ac:dyDescent="0.2">
      <c r="A441">
        <v>46</v>
      </c>
      <c r="B441" s="36">
        <f>Underlying_Assets!$C$365*(1+Underlying_Assets!H159)</f>
        <v>85.74</v>
      </c>
      <c r="C441" s="36">
        <f>Underlying_Assets!$D$365 * (1 + Underlying_Assets!I159)</f>
        <v>147.27298876404498</v>
      </c>
      <c r="D441">
        <f>(LN(B441/Option_Portfolio!$E$4) + (Option_Portfolio!$H$4 + (Option_Portfolio!$G$4^2)/2) * ($E$392)) / (Option_Portfolio!$G$4 * SQRT($E$392))</f>
        <v>0.17369112037775097</v>
      </c>
      <c r="E441">
        <f>(LN(C441/Option_Portfolio!$E$5) + (Option_Portfolio!$H$5 + (Option_Portfolio!$G$5^2)/2) * ($E$392)) / (Option_Portfolio!$G$5 * SQRT($E$392))</f>
        <v>1.4312598736948923</v>
      </c>
      <c r="F441">
        <f>D441-Option_Portfolio!$G$4*SQRT('Part 1'!$E$392)</f>
        <v>5.3964765718469712E-2</v>
      </c>
      <c r="G441">
        <f>E441-Option_Portfolio!$G$5*SQRT('Part 1'!$E$392)</f>
        <v>1.276319885312293</v>
      </c>
      <c r="H441">
        <f t="shared" si="0"/>
        <v>-0.43105410818182932</v>
      </c>
      <c r="I441">
        <f t="shared" si="1"/>
        <v>0.92382212525734342</v>
      </c>
      <c r="J441" s="36">
        <f>Option_Portfolio!$E$4 * EXP(-Option_Portfolio!$H$4* $E$392) * _xlfn.NORM.S.DIST(-F441, TRUE) - B441 * _xlfn.NORM.S.DIST(-D441, TRUE)</f>
        <v>3.5111299117726347</v>
      </c>
      <c r="K441" s="36">
        <f>C441 * _xlfn.NORM.S.DIST(E441, TRUE) - Option_Portfolio!$E$5 * EXP(-'Part 1'!$H$5*'Part 1'!$E$392) * _xlfn.NORM.S.DIST(G441, TRUE)</f>
        <v>28.164593287110833</v>
      </c>
      <c r="L441" s="36">
        <f t="shared" si="2"/>
        <v>-31751277.191813231</v>
      </c>
      <c r="O441" s="36">
        <v>-31894062.609243043</v>
      </c>
      <c r="P441" s="36">
        <f t="shared" si="3"/>
        <v>3667477.4082481302</v>
      </c>
      <c r="Q441" s="36">
        <f t="shared" si="4"/>
        <v>3524691.990818318</v>
      </c>
    </row>
    <row r="442" spans="1:17" x14ac:dyDescent="0.2">
      <c r="A442">
        <v>47</v>
      </c>
      <c r="B442" s="36">
        <f>Underlying_Assets!$C$365*(1+Underlying_Assets!H160)</f>
        <v>84.655827186512113</v>
      </c>
      <c r="C442" s="36">
        <f>Underlying_Assets!$D$365 * (1 + Underlying_Assets!I160)</f>
        <v>143.90419796730004</v>
      </c>
      <c r="D442">
        <f>(LN(B442/Option_Portfolio!$E$4) + (Option_Portfolio!$H$4 + (Option_Portfolio!$G$4^2)/2) * ($E$392)) / (Option_Portfolio!$G$4 * SQRT($E$392))</f>
        <v>6.7402773023318638E-2</v>
      </c>
      <c r="E442">
        <f>(LN(C442/Option_Portfolio!$E$5) + (Option_Portfolio!$H$5 + (Option_Portfolio!$G$5^2)/2) * ($E$392)) / (Option_Portfolio!$G$5 * SQRT($E$392))</f>
        <v>1.2819107937770722</v>
      </c>
      <c r="F442">
        <f>D442-Option_Portfolio!$G$4*SQRT('Part 1'!$E$392)</f>
        <v>-5.2323581635962624E-2</v>
      </c>
      <c r="G442">
        <f>E442-Option_Portfolio!$G$5*SQRT('Part 1'!$E$392)</f>
        <v>1.1269708053944729</v>
      </c>
      <c r="H442">
        <f t="shared" si="0"/>
        <v>-0.47313053082903211</v>
      </c>
      <c r="I442">
        <f t="shared" si="1"/>
        <v>0.90006302944469585</v>
      </c>
      <c r="J442" s="36">
        <f>Option_Portfolio!$E$4 * EXP(-Option_Portfolio!$H$4* $E$392) * _xlfn.NORM.S.DIST(-F442, TRUE) - B442 * _xlfn.NORM.S.DIST(-D442, TRUE)</f>
        <v>4.0011790396197924</v>
      </c>
      <c r="K442" s="36">
        <f>C442 * _xlfn.NORM.S.DIST(E442, TRUE) - Option_Portfolio!$E$5 * EXP(-'Part 1'!$H$5*'Part 1'!$E$392) * _xlfn.NORM.S.DIST(G442, TRUE)</f>
        <v>25.108137852409286</v>
      </c>
      <c r="L442" s="36">
        <f t="shared" si="2"/>
        <v>-22208022.427480031</v>
      </c>
      <c r="O442" s="36">
        <v>-31887362.312147669</v>
      </c>
      <c r="P442" s="36">
        <f t="shared" si="3"/>
        <v>3660777.111152757</v>
      </c>
      <c r="Q442" s="36">
        <f t="shared" si="4"/>
        <v>-6018562.7735148817</v>
      </c>
    </row>
    <row r="443" spans="1:17" x14ac:dyDescent="0.2">
      <c r="A443">
        <v>48</v>
      </c>
      <c r="B443" s="36">
        <f>Underlying_Assets!$C$365*(1+Underlying_Assets!H161)</f>
        <v>86.636747065101389</v>
      </c>
      <c r="C443" s="36">
        <f>Underlying_Assets!$D$365 * (1 + Underlying_Assets!I161)</f>
        <v>145.63699421965316</v>
      </c>
      <c r="D443">
        <f>(LN(B443/Option_Portfolio!$E$4) + (Option_Portfolio!$H$4 + (Option_Portfolio!$G$4^2)/2) * ($E$392)) / (Option_Portfolio!$G$4 * SQRT($E$392))</f>
        <v>0.26059425403630332</v>
      </c>
      <c r="E443">
        <f>(LN(C443/Option_Portfolio!$E$5) + (Option_Portfolio!$H$5 + (Option_Portfolio!$G$5^2)/2) * ($E$392)) / (Option_Portfolio!$G$5 * SQRT($E$392))</f>
        <v>1.3591626286062792</v>
      </c>
      <c r="F443">
        <f>D443-Option_Portfolio!$G$4*SQRT('Part 1'!$E$392)</f>
        <v>0.14086789937702204</v>
      </c>
      <c r="G443">
        <f>E443-Option_Portfolio!$G$5*SQRT('Part 1'!$E$392)</f>
        <v>1.20422264022368</v>
      </c>
      <c r="H443">
        <f t="shared" si="0"/>
        <v>-0.39720271061786017</v>
      </c>
      <c r="I443">
        <f t="shared" si="1"/>
        <v>0.91295246968340416</v>
      </c>
      <c r="J443" s="36">
        <f>Option_Portfolio!$E$4 * EXP(-Option_Portfolio!$H$4* $E$392) * _xlfn.NORM.S.DIST(-F443, TRUE) - B443 * _xlfn.NORM.S.DIST(-D443, TRUE)</f>
        <v>3.1398355230663881</v>
      </c>
      <c r="K443" s="36">
        <f>C443 * _xlfn.NORM.S.DIST(E443, TRUE) - Option_Portfolio!$E$5 * EXP(-'Part 1'!$H$5*'Part 1'!$E$392) * _xlfn.NORM.S.DIST(G443, TRUE)</f>
        <v>26.669865803810808</v>
      </c>
      <c r="L443" s="36">
        <f t="shared" si="2"/>
        <v>-31360882.9461569</v>
      </c>
      <c r="O443" s="36">
        <v>-31801609.075175006</v>
      </c>
      <c r="P443" s="36">
        <f t="shared" si="3"/>
        <v>3575023.8741800934</v>
      </c>
      <c r="Q443" s="36">
        <f t="shared" si="4"/>
        <v>3134297.7451619878</v>
      </c>
    </row>
    <row r="444" spans="1:17" x14ac:dyDescent="0.2">
      <c r="A444">
        <v>49</v>
      </c>
      <c r="B444" s="36">
        <f>Underlying_Assets!$C$365*(1+Underlying_Assets!H162)</f>
        <v>85.033650190114059</v>
      </c>
      <c r="C444" s="36">
        <f>Underlying_Assets!$D$365 * (1 + Underlying_Assets!I162)</f>
        <v>143.96781609195403</v>
      </c>
      <c r="D444">
        <f>(LN(B444/Option_Portfolio!$E$4) + (Option_Portfolio!$H$4 + (Option_Portfolio!$G$4^2)/2) * ($E$392)) / (Option_Portfolio!$G$4 * SQRT($E$392))</f>
        <v>0.10459690586576817</v>
      </c>
      <c r="E444">
        <f>(LN(C444/Option_Portfolio!$E$5) + (Option_Portfolio!$H$5 + (Option_Portfolio!$G$5^2)/2) * ($E$392)) / (Option_Portfolio!$G$5 * SQRT($E$392))</f>
        <v>1.2847634399021022</v>
      </c>
      <c r="F444">
        <f>D444-Option_Portfolio!$G$4*SQRT('Part 1'!$E$392)</f>
        <v>-1.5129448793513092E-2</v>
      </c>
      <c r="G444">
        <f>E444-Option_Portfolio!$G$5*SQRT('Part 1'!$E$392)</f>
        <v>1.1298234515195029</v>
      </c>
      <c r="H444">
        <f t="shared" si="0"/>
        <v>-0.4583478350001926</v>
      </c>
      <c r="I444">
        <f t="shared" si="1"/>
        <v>0.90056251911402696</v>
      </c>
      <c r="J444" s="36">
        <f>Option_Portfolio!$E$4 * EXP(-Option_Portfolio!$H$4* $E$392) * _xlfn.NORM.S.DIST(-F444, TRUE) - B444 * _xlfn.NORM.S.DIST(-D444, TRUE)</f>
        <v>3.8252156240465709</v>
      </c>
      <c r="K444" s="36">
        <f>C444 * _xlfn.NORM.S.DIST(E444, TRUE) - Option_Portfolio!$E$5 * EXP(-'Part 1'!$H$5*'Part 1'!$E$392) * _xlfn.NORM.S.DIST(G444, TRUE)</f>
        <v>25.165056590844429</v>
      </c>
      <c r="L444" s="36">
        <f t="shared" si="2"/>
        <v>-23553603.813362867</v>
      </c>
      <c r="O444" s="36">
        <v>-31751277.191813231</v>
      </c>
      <c r="P444" s="36">
        <f t="shared" si="3"/>
        <v>3524691.990818318</v>
      </c>
      <c r="Q444" s="36">
        <f t="shared" si="4"/>
        <v>-4672981.3876320459</v>
      </c>
    </row>
    <row r="445" spans="1:17" x14ac:dyDescent="0.2">
      <c r="A445">
        <v>50</v>
      </c>
      <c r="B445" s="36">
        <f>Underlying_Assets!$C$365*(1+Underlying_Assets!H163)</f>
        <v>84.826900958466453</v>
      </c>
      <c r="C445" s="36">
        <f>Underlying_Assets!$D$365 * (1 + Underlying_Assets!I163)</f>
        <v>143.57670075589152</v>
      </c>
      <c r="D445">
        <f>(LN(B445/Option_Portfolio!$E$4) + (Option_Portfolio!$H$4 + (Option_Portfolio!$G$4^2)/2) * ($E$392)) / (Option_Portfolio!$G$4 * SQRT($E$392))</f>
        <v>8.426435694798079E-2</v>
      </c>
      <c r="E445">
        <f>(LN(C445/Option_Portfolio!$E$5) + (Option_Portfolio!$H$5 + (Option_Portfolio!$G$5^2)/2) * ($E$392)) / (Option_Portfolio!$G$5 * SQRT($E$392))</f>
        <v>1.2672057853753469</v>
      </c>
      <c r="F445">
        <f>D445-Option_Portfolio!$G$4*SQRT('Part 1'!$E$392)</f>
        <v>-3.5461997711300472E-2</v>
      </c>
      <c r="G445">
        <f>E445-Option_Portfolio!$G$5*SQRT('Part 1'!$E$392)</f>
        <v>1.1122657969927476</v>
      </c>
      <c r="H445">
        <f t="shared" si="0"/>
        <v>-0.46642312530776797</v>
      </c>
      <c r="I445">
        <f t="shared" si="1"/>
        <v>0.89745914116538195</v>
      </c>
      <c r="J445" s="36">
        <f>Option_Portfolio!$E$4 * EXP(-Option_Portfolio!$H$4* $E$392) * _xlfn.NORM.S.DIST(-F445, TRUE) - B445 * _xlfn.NORM.S.DIST(-D445, TRUE)</f>
        <v>3.9208128609731006</v>
      </c>
      <c r="K445" s="36">
        <f>C445 * _xlfn.NORM.S.DIST(E445, TRUE) - Option_Portfolio!$E$5 * EXP(-'Part 1'!$H$5*'Part 1'!$E$392) * _xlfn.NORM.S.DIST(G445, TRUE)</f>
        <v>24.815655662630704</v>
      </c>
      <c r="L445" s="36">
        <f t="shared" si="2"/>
        <v>-22185621.298449703</v>
      </c>
      <c r="O445" s="36">
        <v>-31596233.809750646</v>
      </c>
      <c r="P445" s="36">
        <f t="shared" si="3"/>
        <v>3369648.6087557338</v>
      </c>
      <c r="Q445" s="36">
        <f t="shared" si="4"/>
        <v>-6040963.90254521</v>
      </c>
    </row>
    <row r="446" spans="1:17" x14ac:dyDescent="0.2">
      <c r="A446">
        <v>51</v>
      </c>
      <c r="B446" s="36">
        <f>Underlying_Assets!$C$365*(1+Underlying_Assets!H164)</f>
        <v>85.038574811625395</v>
      </c>
      <c r="C446" s="36">
        <f>Underlying_Assets!$D$365 * (1 + Underlying_Assets!I164)</f>
        <v>145.12466367713003</v>
      </c>
      <c r="D446">
        <f>(LN(B446/Option_Portfolio!$E$4) + (Option_Portfolio!$H$4 + (Option_Portfolio!$G$4^2)/2) * ($E$392)) / (Option_Portfolio!$G$4 * SQRT($E$392))</f>
        <v>0.10508060988990656</v>
      </c>
      <c r="E446">
        <f>(LN(C446/Option_Portfolio!$E$5) + (Option_Portfolio!$H$5 + (Option_Portfolio!$G$5^2)/2) * ($E$392)) / (Option_Portfolio!$G$5 * SQRT($E$392))</f>
        <v>1.3364179378390175</v>
      </c>
      <c r="F446">
        <f>D446-Option_Portfolio!$G$4*SQRT('Part 1'!$E$392)</f>
        <v>-1.4645744769374705E-2</v>
      </c>
      <c r="G446">
        <f>E446-Option_Portfolio!$G$5*SQRT('Part 1'!$E$392)</f>
        <v>1.1814779494564183</v>
      </c>
      <c r="H446">
        <f t="shared" si="0"/>
        <v>-0.45815592258945514</v>
      </c>
      <c r="I446">
        <f t="shared" si="1"/>
        <v>0.90929364676738467</v>
      </c>
      <c r="J446" s="36">
        <f>Option_Portfolio!$E$4 * EXP(-Option_Portfolio!$H$4* $E$392) * _xlfn.NORM.S.DIST(-F446, TRUE) - B446 * _xlfn.NORM.S.DIST(-D446, TRUE)</f>
        <v>3.8229589069952112</v>
      </c>
      <c r="K446" s="36">
        <f>C446 * _xlfn.NORM.S.DIST(E446, TRUE) - Option_Portfolio!$E$5 * EXP(-'Part 1'!$H$5*'Part 1'!$E$392) * _xlfn.NORM.S.DIST(G446, TRUE)</f>
        <v>26.205709158098742</v>
      </c>
      <c r="L446" s="36">
        <f t="shared" si="2"/>
        <v>-25650705.967231009</v>
      </c>
      <c r="O446" s="36">
        <v>-31590397.199349057</v>
      </c>
      <c r="P446" s="36">
        <f t="shared" si="3"/>
        <v>3363811.9983541444</v>
      </c>
      <c r="Q446" s="36">
        <f t="shared" si="4"/>
        <v>-2575879.2337639034</v>
      </c>
    </row>
    <row r="447" spans="1:17" x14ac:dyDescent="0.2">
      <c r="A447">
        <v>52</v>
      </c>
      <c r="B447" s="36">
        <f>Underlying_Assets!$C$365*(1+Underlying_Assets!H165)</f>
        <v>85.349172997612328</v>
      </c>
      <c r="C447" s="36">
        <f>Underlying_Assets!$D$365 * (1 + Underlying_Assets!I165)</f>
        <v>144.47606263982104</v>
      </c>
      <c r="D447">
        <f>(LN(B447/Option_Portfolio!$E$4) + (Option_Portfolio!$H$4 + (Option_Portfolio!$G$4^2)/2) * ($E$392)) / (Option_Portfolio!$G$4 * SQRT($E$392))</f>
        <v>0.1355315895787991</v>
      </c>
      <c r="E447">
        <f>(LN(C447/Option_Portfolio!$E$5) + (Option_Portfolio!$H$5 + (Option_Portfolio!$G$5^2)/2) * ($E$392)) / (Option_Portfolio!$G$5 * SQRT($E$392))</f>
        <v>1.3075081306693634</v>
      </c>
      <c r="F447">
        <f>D447-Option_Portfolio!$G$4*SQRT('Part 1'!$E$392)</f>
        <v>1.5805234919517838E-2</v>
      </c>
      <c r="G447">
        <f>E447-Option_Portfolio!$G$5*SQRT('Part 1'!$E$392)</f>
        <v>1.1525681422867642</v>
      </c>
      <c r="H447">
        <f t="shared" si="0"/>
        <v>-0.44609579489913276</v>
      </c>
      <c r="I447">
        <f t="shared" si="1"/>
        <v>0.90447990231914011</v>
      </c>
      <c r="J447" s="36">
        <f>Option_Portfolio!$E$4 * EXP(-Option_Portfolio!$H$4* $E$392) * _xlfn.NORM.S.DIST(-F447, TRUE) - B447 * _xlfn.NORM.S.DIST(-D447, TRUE)</f>
        <v>3.6825317170195149</v>
      </c>
      <c r="K447" s="36">
        <f>C447 * _xlfn.NORM.S.DIST(E447, TRUE) - Option_Portfolio!$E$5 * EXP(-'Part 1'!$H$5*'Part 1'!$E$392) * _xlfn.NORM.S.DIST(G447, TRUE)</f>
        <v>25.620956158353707</v>
      </c>
      <c r="L447" s="36">
        <f t="shared" si="2"/>
        <v>-25464190.297570813</v>
      </c>
      <c r="O447" s="36">
        <v>-31441561.389565352</v>
      </c>
      <c r="P447" s="36">
        <f t="shared" si="3"/>
        <v>3214976.1885704398</v>
      </c>
      <c r="Q447" s="36">
        <f t="shared" si="4"/>
        <v>-2762394.9034240991</v>
      </c>
    </row>
    <row r="448" spans="1:17" x14ac:dyDescent="0.2">
      <c r="A448">
        <v>53</v>
      </c>
      <c r="B448" s="36">
        <f>Underlying_Assets!$C$365*(1+Underlying_Assets!H166)</f>
        <v>85.889568251199293</v>
      </c>
      <c r="C448" s="36">
        <f>Underlying_Assets!$D$365 * (1 + Underlying_Assets!I166)</f>
        <v>145.9687892376682</v>
      </c>
      <c r="D448">
        <f>(LN(B448/Option_Portfolio!$E$4) + (Option_Portfolio!$H$4 + (Option_Portfolio!$G$4^2)/2) * ($E$392)) / (Option_Portfolio!$G$4 * SQRT($E$392))</f>
        <v>0.18824864896996177</v>
      </c>
      <c r="E448">
        <f>(LN(C448/Option_Portfolio!$E$5) + (Option_Portfolio!$H$5 + (Option_Portfolio!$G$5^2)/2) * ($E$392)) / (Option_Portfolio!$G$5 * SQRT($E$392))</f>
        <v>1.37384987536822</v>
      </c>
      <c r="F448">
        <f>D448-Option_Portfolio!$G$4*SQRT('Part 1'!$E$392)</f>
        <v>6.8522294310680507E-2</v>
      </c>
      <c r="G448">
        <f>E448-Option_Portfolio!$G$5*SQRT('Part 1'!$E$392)</f>
        <v>1.2189098869856207</v>
      </c>
      <c r="H448">
        <f t="shared" si="0"/>
        <v>-0.42534086888532652</v>
      </c>
      <c r="I448">
        <f t="shared" si="1"/>
        <v>0.91525585321833502</v>
      </c>
      <c r="J448" s="36">
        <f>Option_Portfolio!$E$4 * EXP(-Option_Portfolio!$H$4* $E$392) * _xlfn.NORM.S.DIST(-F448, TRUE) - B448 * _xlfn.NORM.S.DIST(-D448, TRUE)</f>
        <v>3.447085473957749</v>
      </c>
      <c r="K448" s="36">
        <f>C448 * _xlfn.NORM.S.DIST(E448, TRUE) - Option_Portfolio!$E$5 * EXP(-'Part 1'!$H$5*'Part 1'!$E$392) * _xlfn.NORM.S.DIST(G448, TRUE)</f>
        <v>26.971492536498346</v>
      </c>
      <c r="L448" s="36">
        <f t="shared" si="2"/>
        <v>-29813386.755292449</v>
      </c>
      <c r="O448" s="36">
        <v>-31386275.04392235</v>
      </c>
      <c r="P448" s="36">
        <f t="shared" si="3"/>
        <v>3159689.8429274373</v>
      </c>
      <c r="Q448" s="36">
        <f t="shared" si="4"/>
        <v>1586801.5542975366</v>
      </c>
    </row>
    <row r="449" spans="1:17" x14ac:dyDescent="0.2">
      <c r="A449">
        <v>54</v>
      </c>
      <c r="B449" s="36">
        <f>Underlying_Assets!$C$365*(1+Underlying_Assets!H167)</f>
        <v>86.337231171092725</v>
      </c>
      <c r="C449" s="36">
        <f>Underlying_Assets!$D$365 * (1 + Underlying_Assets!I167)</f>
        <v>139.06725978647688</v>
      </c>
      <c r="D449">
        <f>(LN(B449/Option_Portfolio!$E$4) + (Option_Portfolio!$H$4 + (Option_Portfolio!$G$4^2)/2) * ($E$392)) / (Option_Portfolio!$G$4 * SQRT($E$392))</f>
        <v>0.23166882764274796</v>
      </c>
      <c r="E449">
        <f>(LN(C449/Option_Portfolio!$E$5) + (Option_Portfolio!$H$5 + (Option_Portfolio!$G$5^2)/2) * ($E$392)) / (Option_Portfolio!$G$5 * SQRT($E$392))</f>
        <v>1.0612441525732181</v>
      </c>
      <c r="F449">
        <f>D449-Option_Portfolio!$G$4*SQRT('Part 1'!$E$392)</f>
        <v>0.1119424729834667</v>
      </c>
      <c r="G449">
        <f>E449-Option_Portfolio!$G$5*SQRT('Part 1'!$E$392)</f>
        <v>0.90630416419061888</v>
      </c>
      <c r="H449">
        <f t="shared" si="0"/>
        <v>-0.40839762233512733</v>
      </c>
      <c r="I449">
        <f t="shared" si="1"/>
        <v>0.85571052065869757</v>
      </c>
      <c r="J449" s="36">
        <f>Option_Portfolio!$E$4 * EXP(-Option_Portfolio!$H$4* $E$392) * _xlfn.NORM.S.DIST(-F449, TRUE) - B449 * _xlfn.NORM.S.DIST(-D449, TRUE)</f>
        <v>3.2604776180792996</v>
      </c>
      <c r="K449" s="36">
        <f>C449 * _xlfn.NORM.S.DIST(E449, TRUE) - Option_Portfolio!$E$5 * EXP(-'Part 1'!$H$5*'Part 1'!$E$392) * _xlfn.NORM.S.DIST(G449, TRUE)</f>
        <v>20.887810200804864</v>
      </c>
      <c r="L449" s="36">
        <f t="shared" si="2"/>
        <v>-18952277.075054631</v>
      </c>
      <c r="O449" s="36">
        <v>-31360882.9461569</v>
      </c>
      <c r="P449" s="36">
        <f t="shared" si="3"/>
        <v>3134297.7451619878</v>
      </c>
      <c r="Q449" s="36">
        <f t="shared" si="4"/>
        <v>-9274308.1259402819</v>
      </c>
    </row>
    <row r="450" spans="1:17" x14ac:dyDescent="0.2">
      <c r="A450">
        <v>55</v>
      </c>
      <c r="B450" s="36">
        <f>Underlying_Assets!$C$365*(1+Underlying_Assets!H168)</f>
        <v>85.777068741893643</v>
      </c>
      <c r="C450" s="36">
        <f>Underlying_Assets!$D$365 * (1 + Underlying_Assets!I168)</f>
        <v>143.65984251968504</v>
      </c>
      <c r="D450">
        <f>(LN(B450/Option_Portfolio!$E$4) + (Option_Portfolio!$H$4 + (Option_Portfolio!$G$4^2)/2) * ($E$392)) / (Option_Portfolio!$G$4 * SQRT($E$392))</f>
        <v>0.17730139919575005</v>
      </c>
      <c r="E450">
        <f>(LN(C450/Option_Portfolio!$E$5) + (Option_Portfolio!$H$5 + (Option_Portfolio!$G$5^2)/2) * ($E$392)) / (Option_Portfolio!$G$5 * SQRT($E$392))</f>
        <v>1.2709421222892772</v>
      </c>
      <c r="F450">
        <f>D450-Option_Portfolio!$G$4*SQRT('Part 1'!$E$392)</f>
        <v>5.7575044536468792E-2</v>
      </c>
      <c r="G450">
        <f>E450-Option_Portfolio!$G$5*SQRT('Part 1'!$E$392)</f>
        <v>1.1160021339066779</v>
      </c>
      <c r="H450">
        <f t="shared" si="0"/>
        <v>-0.42963582590368765</v>
      </c>
      <c r="I450">
        <f t="shared" si="1"/>
        <v>0.89812538015367904</v>
      </c>
      <c r="J450" s="36">
        <f>Option_Portfolio!$E$4 * EXP(-Option_Portfolio!$H$4* $E$392) * _xlfn.NORM.S.DIST(-F450, TRUE) - B450 * _xlfn.NORM.S.DIST(-D450, TRUE)</f>
        <v>3.4951775699336949</v>
      </c>
      <c r="K450" s="36">
        <f>C450 * _xlfn.NORM.S.DIST(E450, TRUE) - Option_Portfolio!$E$5 * EXP(-'Part 1'!$H$5*'Part 1'!$E$392) * _xlfn.NORM.S.DIST(G450, TRUE)</f>
        <v>24.889823947348631</v>
      </c>
      <c r="L450" s="36">
        <f t="shared" si="2"/>
        <v>-25313404.905161399</v>
      </c>
      <c r="O450" s="36">
        <v>-31322390.318308126</v>
      </c>
      <c r="P450" s="36">
        <f t="shared" si="3"/>
        <v>3095805.1173132136</v>
      </c>
      <c r="Q450" s="36">
        <f t="shared" si="4"/>
        <v>-2913180.2958335131</v>
      </c>
    </row>
    <row r="451" spans="1:17" x14ac:dyDescent="0.2">
      <c r="A451">
        <v>56</v>
      </c>
      <c r="B451" s="36">
        <f>Underlying_Assets!$C$365*(1+Underlying_Assets!H169)</f>
        <v>85.74</v>
      </c>
      <c r="C451" s="36">
        <f>Underlying_Assets!$D$365 * (1 + Underlying_Assets!I169)</f>
        <v>145.20560224089641</v>
      </c>
      <c r="D451">
        <f>(LN(B451/Option_Portfolio!$E$4) + (Option_Portfolio!$H$4 + (Option_Portfolio!$G$4^2)/2) * ($E$392)) / (Option_Portfolio!$G$4 * SQRT($E$392))</f>
        <v>0.17369112037775097</v>
      </c>
      <c r="E451">
        <f>(LN(C451/Option_Portfolio!$E$5) + (Option_Portfolio!$H$5 + (Option_Portfolio!$G$5^2)/2) * ($E$392)) / (Option_Portfolio!$G$5 * SQRT($E$392))</f>
        <v>1.3400165054739916</v>
      </c>
      <c r="F451">
        <f>D451-Option_Portfolio!$G$4*SQRT('Part 1'!$E$392)</f>
        <v>5.3964765718469712E-2</v>
      </c>
      <c r="G451">
        <f>E451-Option_Portfolio!$G$5*SQRT('Part 1'!$E$392)</f>
        <v>1.1850765170913924</v>
      </c>
      <c r="H451">
        <f t="shared" si="0"/>
        <v>-0.43105410818182932</v>
      </c>
      <c r="I451">
        <f t="shared" si="1"/>
        <v>0.90988001055411294</v>
      </c>
      <c r="J451" s="36">
        <f>Option_Portfolio!$E$4 * EXP(-Option_Portfolio!$H$4* $E$392) * _xlfn.NORM.S.DIST(-F451, TRUE) - B451 * _xlfn.NORM.S.DIST(-D451, TRUE)</f>
        <v>3.5111299117726347</v>
      </c>
      <c r="K451" s="36">
        <f>C451 * _xlfn.NORM.S.DIST(E451, TRUE) - Option_Portfolio!$E$5 * EXP(-'Part 1'!$H$5*'Part 1'!$E$392) * _xlfn.NORM.S.DIST(G451, TRUE)</f>
        <v>26.278906589113504</v>
      </c>
      <c r="L451" s="36">
        <f t="shared" si="2"/>
        <v>-27979903.795818567</v>
      </c>
      <c r="O451" s="36">
        <v>-31270809.493048068</v>
      </c>
      <c r="P451" s="36">
        <f t="shared" si="3"/>
        <v>3044224.2920531556</v>
      </c>
      <c r="Q451" s="36">
        <f t="shared" si="4"/>
        <v>-246681.40517634526</v>
      </c>
    </row>
    <row r="452" spans="1:17" x14ac:dyDescent="0.2">
      <c r="A452">
        <v>57</v>
      </c>
      <c r="B452" s="36">
        <f>Underlying_Assets!$C$365*(1+Underlying_Assets!H170)</f>
        <v>85.999369057908382</v>
      </c>
      <c r="C452" s="36">
        <f>Underlying_Assets!$D$365 * (1 + Underlying_Assets!I170)</f>
        <v>148.57504655493486</v>
      </c>
      <c r="D452">
        <f>(LN(B452/Option_Portfolio!$E$4) + (Option_Portfolio!$H$4 + (Option_Portfolio!$G$4^2)/2) * ($E$392)) / (Option_Portfolio!$G$4 * SQRT($E$392))</f>
        <v>0.19891947155749756</v>
      </c>
      <c r="E452">
        <f>(LN(C452/Option_Portfolio!$E$5) + (Option_Portfolio!$H$5 + (Option_Portfolio!$G$5^2)/2) * ($E$392)) / (Option_Portfolio!$G$5 * SQRT($E$392))</f>
        <v>1.4880706667170083</v>
      </c>
      <c r="F452">
        <f>D452-Option_Portfolio!$G$4*SQRT('Part 1'!$E$392)</f>
        <v>7.9193116898216301E-2</v>
      </c>
      <c r="G452">
        <f>E452-Option_Portfolio!$G$5*SQRT('Part 1'!$E$392)</f>
        <v>1.333130678334409</v>
      </c>
      <c r="H452">
        <f t="shared" si="0"/>
        <v>-0.42116286889089083</v>
      </c>
      <c r="I452">
        <f t="shared" si="1"/>
        <v>0.93163387084443983</v>
      </c>
      <c r="J452" s="36">
        <f>Option_Portfolio!$E$4 * EXP(-Option_Portfolio!$H$4* $E$392) * _xlfn.NORM.S.DIST(-F452, TRUE) - B452 * _xlfn.NORM.S.DIST(-D452, TRUE)</f>
        <v>3.4006122051226626</v>
      </c>
      <c r="K452" s="36">
        <f>C452 * _xlfn.NORM.S.DIST(E452, TRUE) - Option_Portfolio!$E$5 * EXP(-'Part 1'!$H$5*'Part 1'!$E$392) * _xlfn.NORM.S.DIST(G452, TRUE)</f>
        <v>29.366881134232059</v>
      </c>
      <c r="L452" s="36">
        <f t="shared" si="2"/>
        <v>-34929476.832605481</v>
      </c>
      <c r="O452" s="36">
        <v>-31033569.804876465</v>
      </c>
      <c r="P452" s="36">
        <f t="shared" si="3"/>
        <v>2806984.6038815528</v>
      </c>
      <c r="Q452" s="36">
        <f t="shared" si="4"/>
        <v>6702891.6316105686</v>
      </c>
    </row>
    <row r="453" spans="1:17" x14ac:dyDescent="0.2">
      <c r="A453">
        <v>58</v>
      </c>
      <c r="B453" s="36">
        <f>Underlying_Assets!$C$365*(1+Underlying_Assets!H171)</f>
        <v>85.481413183972421</v>
      </c>
      <c r="C453" s="36">
        <f>Underlying_Assets!$D$365 * (1 + Underlying_Assets!I171)</f>
        <v>144.99709618874772</v>
      </c>
      <c r="D453">
        <f>(LN(B453/Option_Portfolio!$E$4) + (Option_Portfolio!$H$4 + (Option_Portfolio!$G$4^2)/2) * ($E$392)) / (Option_Portfolio!$G$4 * SQRT($E$392))</f>
        <v>0.14846276919800488</v>
      </c>
      <c r="E453">
        <f>(LN(C453/Option_Portfolio!$E$5) + (Option_Portfolio!$H$5 + (Option_Portfolio!$G$5^2)/2) * ($E$392)) / (Option_Portfolio!$G$5 * SQRT($E$392))</f>
        <v>1.3307421493046725</v>
      </c>
      <c r="F453">
        <f>D453-Option_Portfolio!$G$4*SQRT('Part 1'!$E$392)</f>
        <v>2.8736414538723623E-2</v>
      </c>
      <c r="G453">
        <f>E453-Option_Portfolio!$G$5*SQRT('Part 1'!$E$392)</f>
        <v>1.1758021609220732</v>
      </c>
      <c r="H453">
        <f t="shared" si="0"/>
        <v>-0.44098878308840461</v>
      </c>
      <c r="I453">
        <f t="shared" si="1"/>
        <v>0.9083630654839544</v>
      </c>
      <c r="J453" s="36">
        <f>Option_Portfolio!$E$4 * EXP(-Option_Portfolio!$H$4* $E$392) * _xlfn.NORM.S.DIST(-F453, TRUE) - B453 * _xlfn.NORM.S.DIST(-D453, TRUE)</f>
        <v>3.6238777925355379</v>
      </c>
      <c r="K453" s="36">
        <f>C453 * _xlfn.NORM.S.DIST(E453, TRUE) - Option_Portfolio!$E$5 * EXP(-'Part 1'!$H$5*'Part 1'!$E$392) * _xlfn.NORM.S.DIST(G453, TRUE)</f>
        <v>26.0904433416502</v>
      </c>
      <c r="L453" s="36">
        <f t="shared" si="2"/>
        <v>-26813742.135551631</v>
      </c>
      <c r="O453" s="36">
        <v>-30761246.525921058</v>
      </c>
      <c r="P453" s="36">
        <f t="shared" si="3"/>
        <v>2534661.3249261454</v>
      </c>
      <c r="Q453" s="36">
        <f t="shared" si="4"/>
        <v>-1412843.0654432811</v>
      </c>
    </row>
    <row r="454" spans="1:17" x14ac:dyDescent="0.2">
      <c r="A454">
        <v>59</v>
      </c>
      <c r="B454" s="36">
        <f>Underlying_Assets!$C$365*(1+Underlying_Assets!H172)</f>
        <v>86.425475367329284</v>
      </c>
      <c r="C454" s="36">
        <f>Underlying_Assets!$D$365 * (1 + Underlying_Assets!I172)</f>
        <v>145.25926597190758</v>
      </c>
      <c r="D454">
        <f>(LN(B454/Option_Portfolio!$E$4) + (Option_Portfolio!$H$4 + (Option_Portfolio!$G$4^2)/2) * ($E$392)) / (Option_Portfolio!$G$4 * SQRT($E$392))</f>
        <v>0.2402013301852583</v>
      </c>
      <c r="E454">
        <f>(LN(C454/Option_Portfolio!$E$5) + (Option_Portfolio!$H$5 + (Option_Portfolio!$G$5^2)/2) * ($E$392)) / (Option_Portfolio!$G$5 * SQRT($E$392))</f>
        <v>1.3424013151970431</v>
      </c>
      <c r="F454">
        <f>D454-Option_Portfolio!$G$4*SQRT('Part 1'!$E$392)</f>
        <v>0.12047497552597704</v>
      </c>
      <c r="G454">
        <f>E454-Option_Portfolio!$G$5*SQRT('Part 1'!$E$392)</f>
        <v>1.1874613268144438</v>
      </c>
      <c r="H454">
        <f t="shared" si="0"/>
        <v>-0.40508709126315956</v>
      </c>
      <c r="I454">
        <f t="shared" si="1"/>
        <v>0.91026704573863115</v>
      </c>
      <c r="J454" s="36">
        <f>Option_Portfolio!$E$4 * EXP(-Option_Portfolio!$H$4* $E$392) * _xlfn.NORM.S.DIST(-F454, TRUE) - B454 * _xlfn.NORM.S.DIST(-D454, TRUE)</f>
        <v>3.224585039606211</v>
      </c>
      <c r="K454" s="36">
        <f>C454 * _xlfn.NORM.S.DIST(E454, TRUE) - Option_Portfolio!$E$5 * EXP(-'Part 1'!$H$5*'Part 1'!$E$392) * _xlfn.NORM.S.DIST(G454, TRUE)</f>
        <v>26.327465041854126</v>
      </c>
      <c r="L454" s="36">
        <f t="shared" si="2"/>
        <v>-30082834.806464773</v>
      </c>
      <c r="O454" s="36">
        <v>-30612916.137519669</v>
      </c>
      <c r="P454" s="36">
        <f t="shared" si="3"/>
        <v>2386330.9365247563</v>
      </c>
      <c r="Q454" s="36">
        <f t="shared" si="4"/>
        <v>1856249.6054698601</v>
      </c>
    </row>
    <row r="455" spans="1:17" x14ac:dyDescent="0.2">
      <c r="A455">
        <v>60</v>
      </c>
      <c r="B455" s="36">
        <f>Underlying_Assets!$C$365*(1+Underlying_Assets!H173)</f>
        <v>86.07082958199355</v>
      </c>
      <c r="C455" s="36">
        <f>Underlying_Assets!$D$365 * (1 + Underlying_Assets!I173)</f>
        <v>144.66919602529359</v>
      </c>
      <c r="D455">
        <f>(LN(B455/Option_Portfolio!$E$4) + (Option_Portfolio!$H$4 + (Option_Portfolio!$G$4^2)/2) * ($E$392)) / (Option_Portfolio!$G$4 * SQRT($E$392))</f>
        <v>0.20585693644270026</v>
      </c>
      <c r="E455">
        <f>(LN(C455/Option_Portfolio!$E$5) + (Option_Portfolio!$H$5 + (Option_Portfolio!$G$5^2)/2) * ($E$392)) / (Option_Portfolio!$G$5 * SQRT($E$392))</f>
        <v>1.3161301267150138</v>
      </c>
      <c r="F455">
        <f>D455-Option_Portfolio!$G$4*SQRT('Part 1'!$E$392)</f>
        <v>8.6130581783418994E-2</v>
      </c>
      <c r="G455">
        <f>E455-Option_Portfolio!$G$5*SQRT('Part 1'!$E$392)</f>
        <v>1.1611901383324146</v>
      </c>
      <c r="H455">
        <f t="shared" si="0"/>
        <v>-0.41845133233638077</v>
      </c>
      <c r="I455">
        <f t="shared" si="1"/>
        <v>0.90593481459038172</v>
      </c>
      <c r="J455" s="36">
        <f>Option_Portfolio!$E$4 * EXP(-Option_Portfolio!$H$4* $E$392) * _xlfn.NORM.S.DIST(-F455, TRUE) - B455 * _xlfn.NORM.S.DIST(-D455, TRUE)</f>
        <v>3.3706126057818437</v>
      </c>
      <c r="K455" s="36">
        <f>C455 * _xlfn.NORM.S.DIST(E455, TRUE) - Option_Portfolio!$E$5 * EXP(-'Part 1'!$H$5*'Part 1'!$E$392) * _xlfn.NORM.S.DIST(G455, TRUE)</f>
        <v>25.794736337163755</v>
      </c>
      <c r="L455" s="36">
        <f t="shared" si="2"/>
        <v>-27995184.433854602</v>
      </c>
      <c r="O455" s="36">
        <v>-30509302.562959831</v>
      </c>
      <c r="P455" s="36">
        <f t="shared" si="3"/>
        <v>2282717.3619649187</v>
      </c>
      <c r="Q455" s="36">
        <f t="shared" si="4"/>
        <v>-231400.76714031026</v>
      </c>
    </row>
    <row r="456" spans="1:17" x14ac:dyDescent="0.2">
      <c r="A456">
        <v>61</v>
      </c>
      <c r="B456" s="36">
        <f>Underlying_Assets!$C$365*(1+Underlying_Assets!H174)</f>
        <v>86.655438821268405</v>
      </c>
      <c r="C456" s="36">
        <f>Underlying_Assets!$D$365 * (1 + Underlying_Assets!I174)</f>
        <v>145.06184448462932</v>
      </c>
      <c r="D456">
        <f>(LN(B456/Option_Portfolio!$E$4) + (Option_Portfolio!$H$4 + (Option_Portfolio!$G$4^2)/2) * ($E$392)) / (Option_Portfolio!$G$4 * SQRT($E$392))</f>
        <v>0.26239607387716657</v>
      </c>
      <c r="E456">
        <f>(LN(C456/Option_Portfolio!$E$5) + (Option_Portfolio!$H$5 + (Option_Portfolio!$G$5^2)/2) * ($E$392)) / (Option_Portfolio!$G$5 * SQRT($E$392))</f>
        <v>1.3336235825981586</v>
      </c>
      <c r="F456">
        <f>D456-Option_Portfolio!$G$4*SQRT('Part 1'!$E$392)</f>
        <v>0.14266971921788529</v>
      </c>
      <c r="G456">
        <f>E456-Option_Portfolio!$G$5*SQRT('Part 1'!$E$392)</f>
        <v>1.1786835942155593</v>
      </c>
      <c r="H456">
        <f t="shared" si="0"/>
        <v>-0.39650804963213526</v>
      </c>
      <c r="I456">
        <f t="shared" si="1"/>
        <v>0.90883637486693802</v>
      </c>
      <c r="J456" s="36">
        <f>Option_Portfolio!$E$4 * EXP(-Option_Portfolio!$H$4* $E$392) * _xlfn.NORM.S.DIST(-F456, TRUE) - B456 * _xlfn.NORM.S.DIST(-D456, TRUE)</f>
        <v>3.1324175998107648</v>
      </c>
      <c r="K456" s="36">
        <f>C456 * _xlfn.NORM.S.DIST(E456, TRUE) - Option_Portfolio!$E$5 * EXP(-'Part 1'!$H$5*'Part 1'!$E$392) * _xlfn.NORM.S.DIST(G456, TRUE)</f>
        <v>26.148932317102989</v>
      </c>
      <c r="L456" s="36">
        <f t="shared" si="2"/>
        <v>-30370941.435530629</v>
      </c>
      <c r="O456" s="36">
        <v>-30437978.859057844</v>
      </c>
      <c r="P456" s="36">
        <f t="shared" si="3"/>
        <v>2211393.6580629312</v>
      </c>
      <c r="Q456" s="36">
        <f t="shared" si="4"/>
        <v>2144356.2345357165</v>
      </c>
    </row>
    <row r="457" spans="1:17" x14ac:dyDescent="0.2">
      <c r="A457">
        <v>62</v>
      </c>
      <c r="B457" s="36">
        <f>Underlying_Assets!$C$365*(1+Underlying_Assets!H175)</f>
        <v>84.36323262201563</v>
      </c>
      <c r="C457" s="36">
        <f>Underlying_Assets!$D$365 * (1 + Underlying_Assets!I175)</f>
        <v>144.93068592057764</v>
      </c>
      <c r="D457">
        <f>(LN(B457/Option_Portfolio!$E$4) + (Option_Portfolio!$H$4 + (Option_Portfolio!$G$4^2)/2) * ($E$392)) / (Option_Portfolio!$G$4 * SQRT($E$392))</f>
        <v>3.8484574000070347E-2</v>
      </c>
      <c r="E457">
        <f>(LN(C457/Option_Portfolio!$E$5) + (Option_Portfolio!$H$5 + (Option_Portfolio!$G$5^2)/2) * ($E$392)) / (Option_Portfolio!$G$5 * SQRT($E$392))</f>
        <v>1.3277854178270521</v>
      </c>
      <c r="F457">
        <f>D457-Option_Portfolio!$G$4*SQRT('Part 1'!$E$392)</f>
        <v>-8.1241780659210922E-2</v>
      </c>
      <c r="G457">
        <f>E457-Option_Portfolio!$G$5*SQRT('Part 1'!$E$392)</f>
        <v>1.1728454294444528</v>
      </c>
      <c r="H457">
        <f t="shared" si="0"/>
        <v>-0.48465066526880551</v>
      </c>
      <c r="I457">
        <f t="shared" si="1"/>
        <v>0.90787549720028971</v>
      </c>
      <c r="J457" s="36">
        <f>Option_Portfolio!$E$4 * EXP(-Option_Portfolio!$H$4* $E$392) * _xlfn.NORM.S.DIST(-F457, TRUE) - B457 * _xlfn.NORM.S.DIST(-D457, TRUE)</f>
        <v>4.1412984230060914</v>
      </c>
      <c r="K457" s="36">
        <f>C457 * _xlfn.NORM.S.DIST(E457, TRUE) - Option_Portfolio!$E$5 * EXP(-'Part 1'!$H$5*'Part 1'!$E$392) * _xlfn.NORM.S.DIST(G457, TRUE)</f>
        <v>26.030486327388999</v>
      </c>
      <c r="L457" s="36">
        <f t="shared" si="2"/>
        <v>-23071883.693735365</v>
      </c>
      <c r="O457" s="36">
        <v>-30430594.6827829</v>
      </c>
      <c r="P457" s="36">
        <f t="shared" si="3"/>
        <v>2204009.4817879871</v>
      </c>
      <c r="Q457" s="36">
        <f t="shared" si="4"/>
        <v>-5154701.5072595477</v>
      </c>
    </row>
    <row r="458" spans="1:17" x14ac:dyDescent="0.2">
      <c r="A458">
        <v>63</v>
      </c>
      <c r="B458" s="36">
        <f>Underlying_Assets!$C$365*(1+Underlying_Assets!H176)</f>
        <v>85.26131415074083</v>
      </c>
      <c r="C458" s="36">
        <f>Underlying_Assets!$D$365 * (1 + Underlying_Assets!I176)</f>
        <v>142.8414788097385</v>
      </c>
      <c r="D458">
        <f>(LN(B458/Option_Portfolio!$E$4) + (Option_Portfolio!$H$4 + (Option_Portfolio!$G$4^2)/2) * ($E$392)) / (Option_Portfolio!$G$4 * SQRT($E$392))</f>
        <v>0.12692918130796327</v>
      </c>
      <c r="E458">
        <f>(LN(C458/Option_Portfolio!$E$5) + (Option_Portfolio!$H$5 + (Option_Portfolio!$G$5^2)/2) * ($E$392)) / (Option_Portfolio!$G$5 * SQRT($E$392))</f>
        <v>1.2340709122100535</v>
      </c>
      <c r="F458">
        <f>D458-Option_Portfolio!$G$4*SQRT('Part 1'!$E$392)</f>
        <v>7.2028266486820064E-3</v>
      </c>
      <c r="G458">
        <f>E458-Option_Portfolio!$G$5*SQRT('Part 1'!$E$392)</f>
        <v>1.0791309238274542</v>
      </c>
      <c r="H458">
        <f t="shared" si="0"/>
        <v>-0.44949822504476145</v>
      </c>
      <c r="I458">
        <f t="shared" si="1"/>
        <v>0.891411759308255</v>
      </c>
      <c r="J458" s="36">
        <f>Option_Portfolio!$E$4 * EXP(-Option_Portfolio!$H$4* $E$392) * _xlfn.NORM.S.DIST(-F458, TRUE) - B458 * _xlfn.NORM.S.DIST(-D458, TRUE)</f>
        <v>3.7218745921692431</v>
      </c>
      <c r="K458" s="36">
        <f>C458 * _xlfn.NORM.S.DIST(E458, TRUE) - Option_Portfolio!$E$5 * EXP(-'Part 1'!$H$5*'Part 1'!$E$392) * _xlfn.NORM.S.DIST(G458, TRUE)</f>
        <v>24.162335978511976</v>
      </c>
      <c r="L458" s="36">
        <f t="shared" si="2"/>
        <v>-22271549.811839245</v>
      </c>
      <c r="O458" s="36">
        <v>-30378083.211355675</v>
      </c>
      <c r="P458" s="36">
        <f t="shared" si="3"/>
        <v>2151498.0103607625</v>
      </c>
      <c r="Q458" s="36">
        <f t="shared" si="4"/>
        <v>-5955035.3891556673</v>
      </c>
    </row>
    <row r="459" spans="1:17" x14ac:dyDescent="0.2">
      <c r="A459">
        <v>64</v>
      </c>
      <c r="B459" s="36">
        <f>Underlying_Assets!$C$365*(1+Underlying_Assets!H177)</f>
        <v>86.665717987475702</v>
      </c>
      <c r="C459" s="36">
        <f>Underlying_Assets!$D$365 * (1 + Underlying_Assets!I177)</f>
        <v>144.00585009140767</v>
      </c>
      <c r="D459">
        <f>(LN(B459/Option_Portfolio!$E$4) + (Option_Portfolio!$H$4 + (Option_Portfolio!$G$4^2)/2) * ($E$392)) / (Option_Portfolio!$G$4 * SQRT($E$392))</f>
        <v>0.26338678387539538</v>
      </c>
      <c r="E459">
        <f>(LN(C459/Option_Portfolio!$E$5) + (Option_Portfolio!$H$5 + (Option_Portfolio!$G$5^2)/2) * ($E$392)) / (Option_Portfolio!$G$5 * SQRT($E$392))</f>
        <v>1.2864682880402025</v>
      </c>
      <c r="F459">
        <f>D459-Option_Portfolio!$G$4*SQRT('Part 1'!$E$392)</f>
        <v>0.1436604292161141</v>
      </c>
      <c r="G459">
        <f>E459-Option_Portfolio!$G$5*SQRT('Part 1'!$E$392)</f>
        <v>1.1315282996576033</v>
      </c>
      <c r="H459">
        <f t="shared" ref="H459:H522" si="5">_xlfn.NORM.S.DIST(D459, TRUE) - 1</f>
        <v>-0.39612623801693103</v>
      </c>
      <c r="I459">
        <f t="shared" ref="I459:I522" si="6">_xlfn.NORM.S.DIST(E459, TRUE)</f>
        <v>0.90086016033008676</v>
      </c>
      <c r="J459" s="36">
        <f>Option_Portfolio!$E$4 * EXP(-Option_Portfolio!$H$4* $E$392) * _xlfn.NORM.S.DIST(-F459, TRUE) - B459 * _xlfn.NORM.S.DIST(-D459, TRUE)</f>
        <v>3.1283437901425657</v>
      </c>
      <c r="K459" s="36">
        <f>C459 * _xlfn.NORM.S.DIST(E459, TRUE) - Option_Portfolio!$E$5 * EXP(-'Part 1'!$H$5*'Part 1'!$E$392) * _xlfn.NORM.S.DIST(G459, TRUE)</f>
        <v>25.199101151910966</v>
      </c>
      <c r="L459" s="36">
        <f t="shared" ref="L459:L522" si="7">(K459 * -2000 * 1000) + (J459 * 7000 * 1000)</f>
        <v>-28499795.772823978</v>
      </c>
      <c r="O459" s="36">
        <v>-30370941.435530629</v>
      </c>
      <c r="P459" s="36">
        <f t="shared" si="3"/>
        <v>2144356.2345357165</v>
      </c>
      <c r="Q459" s="36">
        <f t="shared" si="4"/>
        <v>273210.57182906568</v>
      </c>
    </row>
    <row r="460" spans="1:17" x14ac:dyDescent="0.2">
      <c r="A460">
        <v>65</v>
      </c>
      <c r="B460" s="36">
        <f>Underlying_Assets!$C$365*(1+Underlying_Assets!H178)</f>
        <v>86.307814569536404</v>
      </c>
      <c r="C460" s="36">
        <f>Underlying_Assets!$D$365 * (1 + Underlying_Assets!I178)</f>
        <v>144.40073529411768</v>
      </c>
      <c r="D460">
        <f>(LN(B460/Option_Portfolio!$E$4) + (Option_Portfolio!$H$4 + (Option_Portfolio!$G$4^2)/2) * ($E$392)) / (Option_Portfolio!$G$4 * SQRT($E$392))</f>
        <v>0.22882254110910308</v>
      </c>
      <c r="E460">
        <f>(LN(C460/Option_Portfolio!$E$5) + (Option_Portfolio!$H$5 + (Option_Portfolio!$G$5^2)/2) * ($E$392)) / (Option_Portfolio!$G$5 * SQRT($E$392))</f>
        <v>1.3041421897443179</v>
      </c>
      <c r="F460">
        <f>D460-Option_Portfolio!$G$4*SQRT('Part 1'!$E$392)</f>
        <v>0.10909618644982182</v>
      </c>
      <c r="G460">
        <f>E460-Option_Portfolio!$G$5*SQRT('Part 1'!$E$392)</f>
        <v>1.1492022013617187</v>
      </c>
      <c r="H460">
        <f t="shared" si="5"/>
        <v>-0.40950342314086985</v>
      </c>
      <c r="I460">
        <f t="shared" si="6"/>
        <v>0.90390744684998037</v>
      </c>
      <c r="J460" s="36">
        <f>Option_Portfolio!$E$4 * EXP(-Option_Portfolio!$H$4* $E$392) * _xlfn.NORM.S.DIST(-F460, TRUE) - B460 * _xlfn.NORM.S.DIST(-D460, TRUE)</f>
        <v>3.272507549962711</v>
      </c>
      <c r="K460" s="36">
        <f>C460 * _xlfn.NORM.S.DIST(E460, TRUE) - Option_Portfolio!$E$5 * EXP(-'Part 1'!$H$5*'Part 1'!$E$392) * _xlfn.NORM.S.DIST(G460, TRUE)</f>
        <v>25.553256765234082</v>
      </c>
      <c r="L460" s="36">
        <f t="shared" si="7"/>
        <v>-28198960.680729184</v>
      </c>
      <c r="O460" s="36">
        <v>-30126094.745550957</v>
      </c>
      <c r="P460" s="36">
        <f t="shared" si="3"/>
        <v>1899509.544556044</v>
      </c>
      <c r="Q460" s="36">
        <f t="shared" si="4"/>
        <v>-27624.520265728235</v>
      </c>
    </row>
    <row r="461" spans="1:17" x14ac:dyDescent="0.2">
      <c r="A461">
        <v>66</v>
      </c>
      <c r="B461" s="36">
        <f>Underlying_Assets!$C$365*(1+Underlying_Assets!H179)</f>
        <v>85.321489813242778</v>
      </c>
      <c r="C461" s="36">
        <f>Underlying_Assets!$D$365 * (1 + Underlying_Assets!I179)</f>
        <v>142.0641474654378</v>
      </c>
      <c r="D461">
        <f>(LN(B461/Option_Portfolio!$E$4) + (Option_Portfolio!$H$4 + (Option_Portfolio!$G$4^2)/2) * ($E$392)) / (Option_Portfolio!$G$4 * SQRT($E$392))</f>
        <v>0.13282203807952872</v>
      </c>
      <c r="E461">
        <f>(LN(C461/Option_Portfolio!$E$5) + (Option_Portfolio!$H$5 + (Option_Portfolio!$G$5^2)/2) * ($E$392)) / (Option_Portfolio!$G$5 * SQRT($E$392))</f>
        <v>1.1988522618826092</v>
      </c>
      <c r="F461">
        <f>D461-Option_Portfolio!$G$4*SQRT('Part 1'!$E$392)</f>
        <v>1.3095683420247459E-2</v>
      </c>
      <c r="G461">
        <f>E461-Option_Portfolio!$G$5*SQRT('Part 1'!$E$392)</f>
        <v>1.0439122735000099</v>
      </c>
      <c r="H461">
        <f t="shared" si="5"/>
        <v>-0.44716706245658888</v>
      </c>
      <c r="I461">
        <f t="shared" si="6"/>
        <v>0.88470730153851906</v>
      </c>
      <c r="J461" s="36">
        <f>Option_Portfolio!$E$4 * EXP(-Option_Portfolio!$H$4* $E$392) * _xlfn.NORM.S.DIST(-F461, TRUE) - B461 * _xlfn.NORM.S.DIST(-D461, TRUE)</f>
        <v>3.6948958955046436</v>
      </c>
      <c r="K461" s="36">
        <f>C461 * _xlfn.NORM.S.DIST(E461, TRUE) - Option_Portfolio!$E$5 * EXP(-'Part 1'!$H$5*'Part 1'!$E$392) * _xlfn.NORM.S.DIST(G461, TRUE)</f>
        <v>23.476747299983089</v>
      </c>
      <c r="L461" s="36">
        <f t="shared" si="7"/>
        <v>-21089223.331433669</v>
      </c>
      <c r="O461" s="36">
        <v>-30082834.806464773</v>
      </c>
      <c r="P461" s="36">
        <f t="shared" ref="P461:P524" si="8">$L$395-O461</f>
        <v>1856249.6054698601</v>
      </c>
      <c r="Q461" s="36">
        <f t="shared" ref="Q461:Q524" si="9">-L461+L$395</f>
        <v>-7137361.8695612438</v>
      </c>
    </row>
    <row r="462" spans="1:17" x14ac:dyDescent="0.2">
      <c r="A462">
        <v>67</v>
      </c>
      <c r="B462" s="36">
        <f>Underlying_Assets!$C$365*(1+Underlying_Assets!H180)</f>
        <v>86.398272552783098</v>
      </c>
      <c r="C462" s="36">
        <f>Underlying_Assets!$D$365 * (1 + Underlying_Assets!I180)</f>
        <v>144.25589478628464</v>
      </c>
      <c r="D462">
        <f>(LN(B462/Option_Portfolio!$E$4) + (Option_Portfolio!$H$4 + (Option_Portfolio!$G$4^2)/2) * ($E$392)) / (Option_Portfolio!$G$4 * SQRT($E$392))</f>
        <v>0.23757196649573453</v>
      </c>
      <c r="E462">
        <f>(LN(C462/Option_Portfolio!$E$5) + (Option_Portfolio!$H$5 + (Option_Portfolio!$G$5^2)/2) * ($E$392)) / (Option_Portfolio!$G$5 * SQRT($E$392))</f>
        <v>1.2976651730751865</v>
      </c>
      <c r="F462">
        <f>D462-Option_Portfolio!$G$4*SQRT('Part 1'!$E$392)</f>
        <v>0.11784561183645327</v>
      </c>
      <c r="G462">
        <f>E462-Option_Portfolio!$G$5*SQRT('Part 1'!$E$392)</f>
        <v>1.1427251846925872</v>
      </c>
      <c r="H462">
        <f t="shared" si="5"/>
        <v>-0.40610654777479582</v>
      </c>
      <c r="I462">
        <f t="shared" si="6"/>
        <v>0.90279879193008239</v>
      </c>
      <c r="J462" s="36">
        <f>Option_Portfolio!$E$4 * EXP(-Option_Portfolio!$H$4* $E$392) * _xlfn.NORM.S.DIST(-F462, TRUE) - B462 * _xlfn.NORM.S.DIST(-D462, TRUE)</f>
        <v>3.2356184124890035</v>
      </c>
      <c r="K462" s="36">
        <f>C462 * _xlfn.NORM.S.DIST(E462, TRUE) - Option_Portfolio!$E$5 * EXP(-'Part 1'!$H$5*'Part 1'!$E$392) * _xlfn.NORM.S.DIST(G462, TRUE)</f>
        <v>25.423210136444467</v>
      </c>
      <c r="L462" s="36">
        <f t="shared" si="7"/>
        <v>-28197091.385465913</v>
      </c>
      <c r="O462" s="36">
        <v>-29813386.755292449</v>
      </c>
      <c r="P462" s="36">
        <f t="shared" si="8"/>
        <v>1586801.5542975366</v>
      </c>
      <c r="Q462" s="36">
        <f t="shared" si="9"/>
        <v>-29493.815529000014</v>
      </c>
    </row>
    <row r="463" spans="1:17" x14ac:dyDescent="0.2">
      <c r="A463">
        <v>68</v>
      </c>
      <c r="B463" s="36">
        <f>Underlying_Assets!$C$365*(1+Underlying_Assets!H181)</f>
        <v>85.522247619047619</v>
      </c>
      <c r="C463" s="36">
        <f>Underlying_Assets!$D$365 * (1 + Underlying_Assets!I181)</f>
        <v>146.30193305044793</v>
      </c>
      <c r="D463">
        <f>(LN(B463/Option_Portfolio!$E$4) + (Option_Portfolio!$H$4 + (Option_Portfolio!$G$4^2)/2) * ($E$392)) / (Option_Portfolio!$G$4 * SQRT($E$392))</f>
        <v>0.15245174487560048</v>
      </c>
      <c r="E463">
        <f>(LN(C463/Option_Portfolio!$E$5) + (Option_Portfolio!$H$5 + (Option_Portfolio!$G$5^2)/2) * ($E$392)) / (Option_Portfolio!$G$5 * SQRT($E$392))</f>
        <v>1.3885632774619903</v>
      </c>
      <c r="F463">
        <f>D463-Option_Portfolio!$G$4*SQRT('Part 1'!$E$392)</f>
        <v>3.272539021631922E-2</v>
      </c>
      <c r="G463">
        <f>E463-Option_Portfolio!$G$5*SQRT('Part 1'!$E$392)</f>
        <v>1.233623289079391</v>
      </c>
      <c r="H463">
        <f t="shared" si="5"/>
        <v>-0.43941532374126124</v>
      </c>
      <c r="I463">
        <f t="shared" si="6"/>
        <v>0.91751720470311615</v>
      </c>
      <c r="J463" s="36">
        <f>Option_Portfolio!$E$4 * EXP(-Option_Portfolio!$H$4* $E$392) * _xlfn.NORM.S.DIST(-F463, TRUE) - B463 * _xlfn.NORM.S.DIST(-D463, TRUE)</f>
        <v>3.6059023961360026</v>
      </c>
      <c r="K463" s="36">
        <f>C463 * _xlfn.NORM.S.DIST(E463, TRUE) - Option_Portfolio!$E$5 * EXP(-'Part 1'!$H$5*'Part 1'!$E$392) * _xlfn.NORM.S.DIST(G463, TRUE)</f>
        <v>27.275139294477682</v>
      </c>
      <c r="L463" s="36">
        <f t="shared" si="7"/>
        <v>-29308961.816003349</v>
      </c>
      <c r="O463" s="36">
        <v>-29799675.069379814</v>
      </c>
      <c r="P463" s="36">
        <f t="shared" si="8"/>
        <v>1573089.8683849014</v>
      </c>
      <c r="Q463" s="36">
        <f t="shared" si="9"/>
        <v>1082376.6150084361</v>
      </c>
    </row>
    <row r="464" spans="1:17" x14ac:dyDescent="0.2">
      <c r="A464">
        <v>69</v>
      </c>
      <c r="B464" s="36">
        <f>Underlying_Assets!$C$365*(1+Underlying_Assets!H182)</f>
        <v>85.103271801400382</v>
      </c>
      <c r="C464" s="36">
        <f>Underlying_Assets!$D$365 * (1 + Underlying_Assets!I182)</f>
        <v>145.00270648623427</v>
      </c>
      <c r="D464">
        <f>(LN(B464/Option_Portfolio!$E$4) + (Option_Portfolio!$H$4 + (Option_Portfolio!$G$4^2)/2) * ($E$392)) / (Option_Portfolio!$G$4 * SQRT($E$392))</f>
        <v>0.11143264937678268</v>
      </c>
      <c r="E464">
        <f>(LN(C464/Option_Portfolio!$E$5) + (Option_Portfolio!$H$5 + (Option_Portfolio!$G$5^2)/2) * ($E$392)) / (Option_Portfolio!$G$5 * SQRT($E$392))</f>
        <v>1.3309918700742402</v>
      </c>
      <c r="F464">
        <f>D464-Option_Portfolio!$G$4*SQRT('Part 1'!$E$392)</f>
        <v>-8.2937052824985785E-3</v>
      </c>
      <c r="G464">
        <f>E464-Option_Portfolio!$G$5*SQRT('Part 1'!$E$392)</f>
        <v>1.176051881691641</v>
      </c>
      <c r="H464">
        <f t="shared" si="5"/>
        <v>-0.45563663540862664</v>
      </c>
      <c r="I464">
        <f t="shared" si="6"/>
        <v>0.90840415698619426</v>
      </c>
      <c r="J464" s="36">
        <f>Option_Portfolio!$E$4 * EXP(-Option_Portfolio!$H$4* $E$392) * _xlfn.NORM.S.DIST(-F464, TRUE) - B464 * _xlfn.NORM.S.DIST(-D464, TRUE)</f>
        <v>3.7933991127742104</v>
      </c>
      <c r="K464" s="36">
        <f>C464 * _xlfn.NORM.S.DIST(E464, TRUE) - Option_Portfolio!$E$5 * EXP(-'Part 1'!$H$5*'Part 1'!$E$392) * _xlfn.NORM.S.DIST(G464, TRUE)</f>
        <v>26.095510017547255</v>
      </c>
      <c r="L464" s="36">
        <f t="shared" si="7"/>
        <v>-25637226.245675035</v>
      </c>
      <c r="O464" s="36">
        <v>-29772583.557741188</v>
      </c>
      <c r="P464" s="36">
        <f t="shared" si="8"/>
        <v>1545998.356746275</v>
      </c>
      <c r="Q464" s="36">
        <f t="shared" si="9"/>
        <v>-2589358.9553198777</v>
      </c>
    </row>
    <row r="465" spans="1:17" x14ac:dyDescent="0.2">
      <c r="A465">
        <v>70</v>
      </c>
      <c r="B465" s="36">
        <f>Underlying_Assets!$C$365*(1+Underlying_Assets!H183)</f>
        <v>81.39618212911499</v>
      </c>
      <c r="C465" s="36">
        <f>Underlying_Assets!$D$365 * (1 + Underlying_Assets!I183)</f>
        <v>144.73252562907737</v>
      </c>
      <c r="D465">
        <f>(LN(B465/Option_Portfolio!$E$4) + (Option_Portfolio!$H$4 + (Option_Portfolio!$G$4^2)/2) * ($E$392)) / (Option_Portfolio!$G$4 * SQRT($E$392))</f>
        <v>-0.26055823098669223</v>
      </c>
      <c r="E465">
        <f>(LN(C465/Option_Portfolio!$E$5) + (Option_Portfolio!$H$5 + (Option_Portfolio!$G$5^2)/2) * ($E$392)) / (Option_Portfolio!$G$5 * SQRT($E$392))</f>
        <v>1.3189548255058117</v>
      </c>
      <c r="F465">
        <f>D465-Option_Portfolio!$G$4*SQRT('Part 1'!$E$392)</f>
        <v>-0.38028458564597351</v>
      </c>
      <c r="G465">
        <f>E465-Option_Portfolio!$G$5*SQRT('Part 1'!$E$392)</f>
        <v>1.1640148371232124</v>
      </c>
      <c r="H465">
        <f t="shared" si="5"/>
        <v>-0.6027833979747137</v>
      </c>
      <c r="I465">
        <f t="shared" si="6"/>
        <v>0.90640789228699115</v>
      </c>
      <c r="J465" s="36">
        <f>Option_Portfolio!$E$4 * EXP(-Option_Portfolio!$H$4* $E$392) * _xlfn.NORM.S.DIST(-F465, TRUE) - B465 * _xlfn.NORM.S.DIST(-D465, TRUE)</f>
        <v>5.7544539675932782</v>
      </c>
      <c r="K465" s="36">
        <f>C465 * _xlfn.NORM.S.DIST(E465, TRUE) - Option_Portfolio!$E$5 * EXP(-'Part 1'!$H$5*'Part 1'!$E$392) * _xlfn.NORM.S.DIST(G465, TRUE)</f>
        <v>25.851783441371467</v>
      </c>
      <c r="L465" s="36">
        <f t="shared" si="7"/>
        <v>-11422389.109589987</v>
      </c>
      <c r="O465" s="36">
        <v>-29723477.372556198</v>
      </c>
      <c r="P465" s="36">
        <f t="shared" si="8"/>
        <v>1496892.1715612859</v>
      </c>
      <c r="Q465" s="36">
        <f t="shared" si="9"/>
        <v>-16804196.091404926</v>
      </c>
    </row>
    <row r="466" spans="1:17" x14ac:dyDescent="0.2">
      <c r="A466">
        <v>71</v>
      </c>
      <c r="B466" s="36">
        <f>Underlying_Assets!$C$365*(1+Underlying_Assets!H184)</f>
        <v>84.871209187120016</v>
      </c>
      <c r="C466" s="36">
        <f>Underlying_Assets!$D$365 * (1 + Underlying_Assets!I184)</f>
        <v>146.2176223776224</v>
      </c>
      <c r="D466">
        <f>(LN(B466/Option_Portfolio!$E$4) + (Option_Portfolio!$H$4 + (Option_Portfolio!$G$4^2)/2) * ($E$392)) / (Option_Portfolio!$G$4 * SQRT($E$392))</f>
        <v>8.8625974967005777E-2</v>
      </c>
      <c r="E466">
        <f>(LN(C466/Option_Portfolio!$E$5) + (Option_Portfolio!$H$5 + (Option_Portfolio!$G$5^2)/2) * ($E$392)) / (Option_Portfolio!$G$5 * SQRT($E$392))</f>
        <v>1.3848428388838447</v>
      </c>
      <c r="F466">
        <f>D466-Option_Portfolio!$G$4*SQRT('Part 1'!$E$392)</f>
        <v>-3.1100379692275484E-2</v>
      </c>
      <c r="G466">
        <f>E466-Option_Portfolio!$G$5*SQRT('Part 1'!$E$392)</f>
        <v>1.2299028505012455</v>
      </c>
      <c r="H466">
        <f t="shared" si="5"/>
        <v>-0.46468958213551892</v>
      </c>
      <c r="I466">
        <f t="shared" si="6"/>
        <v>0.9169497356868449</v>
      </c>
      <c r="J466" s="36">
        <f>Option_Portfolio!$E$4 * EXP(-Option_Portfolio!$H$4* $E$392) * _xlfn.NORM.S.DIST(-F466, TRUE) - B466 * _xlfn.NORM.S.DIST(-D466, TRUE)</f>
        <v>3.9001848893571918</v>
      </c>
      <c r="K466" s="36">
        <f>C466 * _xlfn.NORM.S.DIST(E466, TRUE) - Option_Portfolio!$E$5 * EXP(-'Part 1'!$H$5*'Part 1'!$E$392) * _xlfn.NORM.S.DIST(G466, TRUE)</f>
        <v>27.198219392661883</v>
      </c>
      <c r="L466" s="36">
        <f t="shared" si="7"/>
        <v>-27095144.559823416</v>
      </c>
      <c r="O466" s="36">
        <v>-29705845.228036623</v>
      </c>
      <c r="P466" s="36">
        <f t="shared" si="8"/>
        <v>1479260.0270417109</v>
      </c>
      <c r="Q466" s="36">
        <f t="shared" si="9"/>
        <v>-1131440.6411714964</v>
      </c>
    </row>
    <row r="467" spans="1:17" x14ac:dyDescent="0.2">
      <c r="A467">
        <v>72</v>
      </c>
      <c r="B467" s="36">
        <f>Underlying_Assets!$C$365*(1+Underlying_Assets!H185)</f>
        <v>85.837520473157397</v>
      </c>
      <c r="C467" s="36">
        <f>Underlying_Assets!$D$365 * (1 + Underlying_Assets!I185)</f>
        <v>143.99778393351804</v>
      </c>
      <c r="D467">
        <f>(LN(B467/Option_Portfolio!$E$4) + (Option_Portfolio!$H$4 + (Option_Portfolio!$G$4^2)/2) * ($E$392)) / (Option_Portfolio!$G$4 * SQRT($E$392))</f>
        <v>0.1831856990009314</v>
      </c>
      <c r="E467">
        <f>(LN(C467/Option_Portfolio!$E$5) + (Option_Portfolio!$H$5 + (Option_Portfolio!$G$5^2)/2) * ($E$392)) / (Option_Portfolio!$G$5 * SQRT($E$392))</f>
        <v>1.2861067656266032</v>
      </c>
      <c r="F467">
        <f>D467-Option_Portfolio!$G$4*SQRT('Part 1'!$E$392)</f>
        <v>6.345934434165014E-2</v>
      </c>
      <c r="G467">
        <f>E467-Option_Portfolio!$G$5*SQRT('Part 1'!$E$392)</f>
        <v>1.1311667772440039</v>
      </c>
      <c r="H467">
        <f t="shared" si="5"/>
        <v>-0.42732615752199798</v>
      </c>
      <c r="I467">
        <f t="shared" si="6"/>
        <v>0.9007970983716187</v>
      </c>
      <c r="J467" s="36">
        <f>Option_Portfolio!$E$4 * EXP(-Option_Portfolio!$H$4* $E$392) * _xlfn.NORM.S.DIST(-F467, TRUE) - B467 * _xlfn.NORM.S.DIST(-D467, TRUE)</f>
        <v>3.4692751727086275</v>
      </c>
      <c r="K467" s="36">
        <f>C467 * _xlfn.NORM.S.DIST(E467, TRUE) - Option_Portfolio!$E$5 * EXP(-'Part 1'!$H$5*'Part 1'!$E$392) * _xlfn.NORM.S.DIST(G467, TRUE)</f>
        <v>25.191880079763393</v>
      </c>
      <c r="L467" s="36">
        <f t="shared" si="7"/>
        <v>-26098833.950566396</v>
      </c>
      <c r="O467" s="36">
        <v>-29672826.088385575</v>
      </c>
      <c r="P467" s="36">
        <f t="shared" si="8"/>
        <v>1446240.887390662</v>
      </c>
      <c r="Q467" s="36">
        <f t="shared" si="9"/>
        <v>-2127751.2504285164</v>
      </c>
    </row>
    <row r="468" spans="1:17" x14ac:dyDescent="0.2">
      <c r="A468">
        <v>73</v>
      </c>
      <c r="B468" s="36">
        <f>Underlying_Assets!$C$365*(1+Underlying_Assets!H186)</f>
        <v>86.382903885480587</v>
      </c>
      <c r="C468" s="36">
        <f>Underlying_Assets!$D$365 * (1 + Underlying_Assets!I186)</f>
        <v>146.61504178272983</v>
      </c>
      <c r="D468">
        <f>(LN(B468/Option_Portfolio!$E$4) + (Option_Portfolio!$H$4 + (Option_Portfolio!$G$4^2)/2) * ($E$392)) / (Option_Portfolio!$G$4 * SQRT($E$392))</f>
        <v>0.23608609921448948</v>
      </c>
      <c r="E468">
        <f>(LN(C468/Option_Portfolio!$E$5) + (Option_Portfolio!$H$5 + (Option_Portfolio!$G$5^2)/2) * ($E$392)) / (Option_Portfolio!$G$5 * SQRT($E$392))</f>
        <v>1.4023613137127835</v>
      </c>
      <c r="F468">
        <f>D468-Option_Portfolio!$G$4*SQRT('Part 1'!$E$392)</f>
        <v>0.11635974455520821</v>
      </c>
      <c r="G468">
        <f>E468-Option_Portfolio!$G$5*SQRT('Part 1'!$E$392)</f>
        <v>1.2474213253301842</v>
      </c>
      <c r="H468">
        <f t="shared" si="5"/>
        <v>-0.40668293015392332</v>
      </c>
      <c r="I468">
        <f t="shared" si="6"/>
        <v>0.91959631020417321</v>
      </c>
      <c r="J468" s="36">
        <f>Option_Portfolio!$E$4 * EXP(-Option_Portfolio!$H$4* $E$392) * _xlfn.NORM.S.DIST(-F468, TRUE) - B468 * _xlfn.NORM.S.DIST(-D468, TRUE)</f>
        <v>3.2418641576345522</v>
      </c>
      <c r="K468" s="36">
        <f>C468 * _xlfn.NORM.S.DIST(E468, TRUE) - Option_Portfolio!$E$5 * EXP(-'Part 1'!$H$5*'Part 1'!$E$392) * _xlfn.NORM.S.DIST(G468, TRUE)</f>
        <v>27.561234517653489</v>
      </c>
      <c r="L468" s="36">
        <f t="shared" si="7"/>
        <v>-32429419.931865107</v>
      </c>
      <c r="O468" s="36">
        <v>-29652942.820133906</v>
      </c>
      <c r="P468" s="36">
        <f t="shared" si="8"/>
        <v>1426357.6191389933</v>
      </c>
      <c r="Q468" s="36">
        <f t="shared" si="9"/>
        <v>4202834.7308701947</v>
      </c>
    </row>
    <row r="469" spans="1:17" x14ac:dyDescent="0.2">
      <c r="A469">
        <v>74</v>
      </c>
      <c r="B469" s="36">
        <f>Underlying_Assets!$C$365*(1+Underlying_Assets!H187)</f>
        <v>86.184749661704998</v>
      </c>
      <c r="C469" s="36">
        <f>Underlying_Assets!$D$365 * (1 + Underlying_Assets!I187)</f>
        <v>144.00330123796425</v>
      </c>
      <c r="D469">
        <f>(LN(B469/Option_Portfolio!$E$4) + (Option_Portfolio!$H$4 + (Option_Portfolio!$G$4^2)/2) * ($E$392)) / (Option_Portfolio!$G$4 * SQRT($E$392))</f>
        <v>0.21690451967502894</v>
      </c>
      <c r="E469">
        <f>(LN(C469/Option_Portfolio!$E$5) + (Option_Portfolio!$H$5 + (Option_Portfolio!$G$5^2)/2) * ($E$392)) / (Option_Portfolio!$G$5 * SQRT($E$392))</f>
        <v>1.2863540514967462</v>
      </c>
      <c r="F469">
        <f>D469-Option_Portfolio!$G$4*SQRT('Part 1'!$E$392)</f>
        <v>9.7178165015747678E-2</v>
      </c>
      <c r="G469">
        <f>E469-Option_Portfolio!$G$5*SQRT('Part 1'!$E$392)</f>
        <v>1.1314140631141469</v>
      </c>
      <c r="H469">
        <f t="shared" si="5"/>
        <v>-0.41414137763220382</v>
      </c>
      <c r="I469">
        <f t="shared" si="6"/>
        <v>0.90084023671213853</v>
      </c>
      <c r="J469" s="36">
        <f>Option_Portfolio!$E$4 * EXP(-Option_Portfolio!$H$4* $E$392) * _xlfn.NORM.S.DIST(-F469, TRUE) - B469 * _xlfn.NORM.S.DIST(-D469, TRUE)</f>
        <v>3.3231882415056546</v>
      </c>
      <c r="K469" s="36">
        <f>C469 * _xlfn.NORM.S.DIST(E469, TRUE) - Option_Portfolio!$E$5 * EXP(-'Part 1'!$H$5*'Part 1'!$E$392) * _xlfn.NORM.S.DIST(G469, TRUE)</f>
        <v>25.196819282827377</v>
      </c>
      <c r="L469" s="36">
        <f t="shared" si="7"/>
        <v>-27131320.875115175</v>
      </c>
      <c r="O469" s="36">
        <v>-29625211.033079829</v>
      </c>
      <c r="P469" s="36">
        <f t="shared" si="8"/>
        <v>1398625.8320849165</v>
      </c>
      <c r="Q469" s="36">
        <f t="shared" si="9"/>
        <v>-1095264.3258797377</v>
      </c>
    </row>
    <row r="470" spans="1:17" x14ac:dyDescent="0.2">
      <c r="A470">
        <v>75</v>
      </c>
      <c r="B470" s="36">
        <f>Underlying_Assets!$C$365*(1+Underlying_Assets!H188)</f>
        <v>85.990083015481261</v>
      </c>
      <c r="C470" s="36">
        <f>Underlying_Assets!$D$365 * (1 + Underlying_Assets!I188)</f>
        <v>138.32438911940986</v>
      </c>
      <c r="D470">
        <f>(LN(B470/Option_Portfolio!$E$4) + (Option_Portfolio!$H$4 + (Option_Portfolio!$G$4^2)/2) * ($E$392)) / (Option_Portfolio!$G$4 * SQRT($E$392))</f>
        <v>0.19801754933607918</v>
      </c>
      <c r="E470">
        <f>(LN(C470/Option_Portfolio!$E$5) + (Option_Portfolio!$H$5 + (Option_Portfolio!$G$5^2)/2) * ($E$392)) / (Option_Portfolio!$G$5 * SQRT($E$392))</f>
        <v>1.026675110683912</v>
      </c>
      <c r="F470">
        <f>D470-Option_Portfolio!$G$4*SQRT('Part 1'!$E$392)</f>
        <v>7.8291194676797918E-2</v>
      </c>
      <c r="G470">
        <f>E470-Option_Portfolio!$G$5*SQRT('Part 1'!$E$392)</f>
        <v>0.87173512230131278</v>
      </c>
      <c r="H470">
        <f t="shared" si="5"/>
        <v>-0.42151566660567252</v>
      </c>
      <c r="I470">
        <f t="shared" si="6"/>
        <v>0.84771326355224108</v>
      </c>
      <c r="J470" s="36">
        <f>Option_Portfolio!$E$4 * EXP(-Option_Portfolio!$H$4* $E$392) * _xlfn.NORM.S.DIST(-F470, TRUE) - B470 * _xlfn.NORM.S.DIST(-D470, TRUE)</f>
        <v>3.404524779360834</v>
      </c>
      <c r="K470" s="36">
        <f>C470 * _xlfn.NORM.S.DIST(E470, TRUE) - Option_Portfolio!$E$5 * EXP(-'Part 1'!$H$5*'Part 1'!$E$392) * _xlfn.NORM.S.DIST(G470, TRUE)</f>
        <v>20.260593029932579</v>
      </c>
      <c r="L470" s="36">
        <f t="shared" si="7"/>
        <v>-16689512.604339316</v>
      </c>
      <c r="O470" s="36">
        <v>-29573413.338081822</v>
      </c>
      <c r="P470" s="36">
        <f t="shared" si="8"/>
        <v>1346828.1370869093</v>
      </c>
      <c r="Q470" s="36">
        <f t="shared" si="9"/>
        <v>-11537072.596655596</v>
      </c>
    </row>
    <row r="471" spans="1:17" x14ac:dyDescent="0.2">
      <c r="A471">
        <v>76</v>
      </c>
      <c r="B471" s="36">
        <f>Underlying_Assets!$C$365*(1+Underlying_Assets!H189)</f>
        <v>83.706791946308712</v>
      </c>
      <c r="C471" s="36">
        <f>Underlying_Assets!$D$365 * (1 + Underlying_Assets!I189)</f>
        <v>138.78996138996141</v>
      </c>
      <c r="D471">
        <f>(LN(B471/Option_Portfolio!$E$4) + (Option_Portfolio!$H$4 + (Option_Portfolio!$G$4^2)/2) * ($E$392)) / (Option_Portfolio!$G$4 * SQRT($E$392))</f>
        <v>-2.6760490488969307E-2</v>
      </c>
      <c r="E471">
        <f>(LN(C471/Option_Portfolio!$E$5) + (Option_Portfolio!$H$5 + (Option_Portfolio!$G$5^2)/2) * ($E$392)) / (Option_Portfolio!$G$5 * SQRT($E$392))</f>
        <v>1.0483618857270851</v>
      </c>
      <c r="F471">
        <f>D471-Option_Portfolio!$G$4*SQRT('Part 1'!$E$392)</f>
        <v>-0.14648684514825056</v>
      </c>
      <c r="G471">
        <f>E471-Option_Portfolio!$G$5*SQRT('Part 1'!$E$392)</f>
        <v>0.89342189734448585</v>
      </c>
      <c r="H471">
        <f t="shared" si="5"/>
        <v>-0.51067461702715078</v>
      </c>
      <c r="I471">
        <f t="shared" si="6"/>
        <v>0.85276404653450699</v>
      </c>
      <c r="J471" s="36">
        <f>Option_Portfolio!$E$4 * EXP(-Option_Portfolio!$H$4* $E$392) * _xlfn.NORM.S.DIST(-F471, TRUE) - B471 * _xlfn.NORM.S.DIST(-D471, TRUE)</f>
        <v>4.4679727577377122</v>
      </c>
      <c r="K471" s="36">
        <f>C471 * _xlfn.NORM.S.DIST(E471, TRUE) - Option_Portfolio!$E$5 * EXP(-'Part 1'!$H$5*'Part 1'!$E$392) * _xlfn.NORM.S.DIST(G471, TRUE)</f>
        <v>20.652965922918298</v>
      </c>
      <c r="L471" s="36">
        <f t="shared" si="7"/>
        <v>-10030122.54167261</v>
      </c>
      <c r="O471" s="36">
        <v>-29544814.210800551</v>
      </c>
      <c r="P471" s="36">
        <f t="shared" si="8"/>
        <v>1318229.0098056383</v>
      </c>
      <c r="Q471" s="36">
        <f t="shared" si="9"/>
        <v>-18196462.659322303</v>
      </c>
    </row>
    <row r="472" spans="1:17" x14ac:dyDescent="0.2">
      <c r="A472">
        <v>77</v>
      </c>
      <c r="B472" s="36">
        <f>Underlying_Assets!$C$365*(1+Underlying_Assets!H190)</f>
        <v>85.975765352887251</v>
      </c>
      <c r="C472" s="36">
        <f>Underlying_Assets!$D$365 * (1 + Underlying_Assets!I190)</f>
        <v>145.8207452165156</v>
      </c>
      <c r="D472">
        <f>(LN(B472/Option_Portfolio!$E$4) + (Option_Portfolio!$H$4 + (Option_Portfolio!$G$4^2)/2) * ($E$392)) / (Option_Portfolio!$G$4 * SQRT($E$392))</f>
        <v>0.19662673181159349</v>
      </c>
      <c r="E472">
        <f>(LN(C472/Option_Portfolio!$E$5) + (Option_Portfolio!$H$5 + (Option_Portfolio!$G$5^2)/2) * ($E$392)) / (Option_Portfolio!$G$5 * SQRT($E$392))</f>
        <v>1.3673006840777999</v>
      </c>
      <c r="F472">
        <f>D472-Option_Portfolio!$G$4*SQRT('Part 1'!$E$392)</f>
        <v>7.6900377152312224E-2</v>
      </c>
      <c r="G472">
        <f>E472-Option_Portfolio!$G$5*SQRT('Part 1'!$E$392)</f>
        <v>1.2123606956952007</v>
      </c>
      <c r="H472">
        <f t="shared" si="5"/>
        <v>-0.4220598250030374</v>
      </c>
      <c r="I472">
        <f t="shared" si="6"/>
        <v>0.91423446131008101</v>
      </c>
      <c r="J472" s="36">
        <f>Option_Portfolio!$E$4 * EXP(-Option_Portfolio!$H$4* $E$392) * _xlfn.NORM.S.DIST(-F472, TRUE) - B472 * _xlfn.NORM.S.DIST(-D472, TRUE)</f>
        <v>3.4105637937052506</v>
      </c>
      <c r="K472" s="36">
        <f>C472 * _xlfn.NORM.S.DIST(E472, TRUE) - Option_Portfolio!$E$5 * EXP(-'Part 1'!$H$5*'Part 1'!$E$392) * _xlfn.NORM.S.DIST(G472, TRUE)</f>
        <v>26.836810812658285</v>
      </c>
      <c r="L472" s="36">
        <f t="shared" si="7"/>
        <v>-29799675.069379814</v>
      </c>
      <c r="O472" s="36">
        <v>-29540305.681072854</v>
      </c>
      <c r="P472" s="36">
        <f t="shared" si="8"/>
        <v>1313720.480077941</v>
      </c>
      <c r="Q472" s="36">
        <f t="shared" si="9"/>
        <v>1573089.8683849014</v>
      </c>
    </row>
    <row r="473" spans="1:17" x14ac:dyDescent="0.2">
      <c r="A473">
        <v>78</v>
      </c>
      <c r="B473" s="36">
        <f>Underlying_Assets!$C$365*(1+Underlying_Assets!H191)</f>
        <v>87.464204753199269</v>
      </c>
      <c r="C473" s="36">
        <f>Underlying_Assets!$D$365 * (1 + Underlying_Assets!I191)</f>
        <v>148.49240000000003</v>
      </c>
      <c r="D473">
        <f>(LN(B473/Option_Portfolio!$E$4) + (Option_Portfolio!$H$4 + (Option_Portfolio!$G$4^2)/2) * ($E$392)) / (Option_Portfolio!$G$4 * SQRT($E$392))</f>
        <v>0.33998834053441795</v>
      </c>
      <c r="E473">
        <f>(LN(C473/Option_Portfolio!$E$5) + (Option_Portfolio!$H$5 + (Option_Portfolio!$G$5^2)/2) * ($E$392)) / (Option_Portfolio!$G$5 * SQRT($E$392))</f>
        <v>1.4844794949377931</v>
      </c>
      <c r="F473">
        <f>D473-Option_Portfolio!$G$4*SQRT('Part 1'!$E$392)</f>
        <v>0.22026198587513668</v>
      </c>
      <c r="G473">
        <f>E473-Option_Portfolio!$G$5*SQRT('Part 1'!$E$392)</f>
        <v>1.3295395065551938</v>
      </c>
      <c r="H473">
        <f t="shared" si="5"/>
        <v>-0.36693265419475252</v>
      </c>
      <c r="I473">
        <f t="shared" si="6"/>
        <v>0.93115912047036142</v>
      </c>
      <c r="J473" s="36">
        <f>Option_Portfolio!$E$4 * EXP(-Option_Portfolio!$H$4* $E$392) * _xlfn.NORM.S.DIST(-F473, TRUE) - B473 * _xlfn.NORM.S.DIST(-D473, TRUE)</f>
        <v>2.8237602766353973</v>
      </c>
      <c r="K473" s="36">
        <f>C473 * _xlfn.NORM.S.DIST(E473, TRUE) - Option_Portfolio!$E$5 * EXP(-'Part 1'!$H$5*'Part 1'!$E$392) * _xlfn.NORM.S.DIST(G473, TRUE)</f>
        <v>29.290255033610876</v>
      </c>
      <c r="L473" s="36">
        <f t="shared" si="7"/>
        <v>-38814188.130773976</v>
      </c>
      <c r="O473" s="36">
        <v>-29456219.579102471</v>
      </c>
      <c r="P473" s="36">
        <f t="shared" si="8"/>
        <v>1229634.3781075589</v>
      </c>
      <c r="Q473" s="36">
        <f t="shared" si="9"/>
        <v>10587602.929779064</v>
      </c>
    </row>
    <row r="474" spans="1:17" x14ac:dyDescent="0.2">
      <c r="A474">
        <v>79</v>
      </c>
      <c r="B474" s="36">
        <f>Underlying_Assets!$C$365*(1+Underlying_Assets!H192)</f>
        <v>85.605551075268821</v>
      </c>
      <c r="C474" s="36">
        <f>Underlying_Assets!$D$365 * (1 + Underlying_Assets!I192)</f>
        <v>145.64719648951734</v>
      </c>
      <c r="D474">
        <f>(LN(B474/Option_Portfolio!$E$4) + (Option_Portfolio!$H$4 + (Option_Portfolio!$G$4^2)/2) * ($E$392)) / (Option_Portfolio!$G$4 * SQRT($E$392))</f>
        <v>0.16058347069563209</v>
      </c>
      <c r="E474">
        <f>(LN(C474/Option_Portfolio!$E$5) + (Option_Portfolio!$H$5 + (Option_Portfolio!$G$5^2)/2) * ($E$392)) / (Option_Portfolio!$G$5 * SQRT($E$392))</f>
        <v>1.3596147409554067</v>
      </c>
      <c r="F474">
        <f>D474-Option_Portfolio!$G$4*SQRT('Part 1'!$E$392)</f>
        <v>4.0857116036350824E-2</v>
      </c>
      <c r="G474">
        <f>E474-Option_Portfolio!$G$5*SQRT('Part 1'!$E$392)</f>
        <v>1.2046747525728074</v>
      </c>
      <c r="H474">
        <f t="shared" si="5"/>
        <v>-0.43621073720138215</v>
      </c>
      <c r="I474">
        <f t="shared" si="6"/>
        <v>0.91302406455064555</v>
      </c>
      <c r="J474" s="36">
        <f>Option_Portfolio!$E$4 * EXP(-Option_Portfolio!$H$4* $E$392) * _xlfn.NORM.S.DIST(-F474, TRUE) - B474 * _xlfn.NORM.S.DIST(-D474, TRUE)</f>
        <v>3.5694311074913259</v>
      </c>
      <c r="K474" s="36">
        <f>C474 * _xlfn.NORM.S.DIST(E474, TRUE) - Option_Portfolio!$E$5 * EXP(-'Part 1'!$H$5*'Part 1'!$E$392) * _xlfn.NORM.S.DIST(G474, TRUE)</f>
        <v>26.67912850901773</v>
      </c>
      <c r="L474" s="36">
        <f t="shared" si="7"/>
        <v>-28372239.265596174</v>
      </c>
      <c r="O474" s="36">
        <v>-29390535.607774459</v>
      </c>
      <c r="P474" s="36">
        <f t="shared" si="8"/>
        <v>1163950.4067795463</v>
      </c>
      <c r="Q474" s="36">
        <f t="shared" si="9"/>
        <v>145654.06460126117</v>
      </c>
    </row>
    <row r="475" spans="1:17" x14ac:dyDescent="0.2">
      <c r="A475">
        <v>80</v>
      </c>
      <c r="B475" s="36">
        <f>Underlying_Assets!$C$365*(1+Underlying_Assets!H193)</f>
        <v>85.605339914740853</v>
      </c>
      <c r="C475" s="36">
        <f>Underlying_Assets!$D$365 * (1 + Underlying_Assets!I193)</f>
        <v>145.85283567619973</v>
      </c>
      <c r="D475">
        <f>(LN(B475/Option_Portfolio!$E$4) + (Option_Portfolio!$H$4 + (Option_Portfolio!$G$4^2)/2) * ($E$392)) / (Option_Portfolio!$G$4 * SQRT($E$392))</f>
        <v>0.16056286811664366</v>
      </c>
      <c r="E475">
        <f>(LN(C475/Option_Portfolio!$E$5) + (Option_Portfolio!$H$5 + (Option_Portfolio!$G$5^2)/2) * ($E$392)) / (Option_Portfolio!$G$5 * SQRT($E$392))</f>
        <v>1.3687208703915701</v>
      </c>
      <c r="F475">
        <f>D475-Option_Portfolio!$G$4*SQRT('Part 1'!$E$392)</f>
        <v>4.0836513457362403E-2</v>
      </c>
      <c r="G475">
        <f>E475-Option_Portfolio!$G$5*SQRT('Part 1'!$E$392)</f>
        <v>1.2137808820089708</v>
      </c>
      <c r="H475">
        <f t="shared" si="5"/>
        <v>-0.43621885115993764</v>
      </c>
      <c r="I475">
        <f t="shared" si="6"/>
        <v>0.91445672803973277</v>
      </c>
      <c r="J475" s="36">
        <f>Option_Portfolio!$E$4 * EXP(-Option_Portfolio!$H$4* $E$392) * _xlfn.NORM.S.DIST(-F475, TRUE) - B475 * _xlfn.NORM.S.DIST(-D475, TRUE)</f>
        <v>3.569523218837567</v>
      </c>
      <c r="K475" s="36">
        <f>C475 * _xlfn.NORM.S.DIST(E475, TRUE) - Option_Portfolio!$E$5 * EXP(-'Part 1'!$H$5*'Part 1'!$E$392) * _xlfn.NORM.S.DIST(G475, TRUE)</f>
        <v>26.865991408261408</v>
      </c>
      <c r="L475" s="36">
        <f t="shared" si="7"/>
        <v>-28745320.284659844</v>
      </c>
      <c r="O475" s="36">
        <v>-29370441.798600364</v>
      </c>
      <c r="P475" s="36">
        <f t="shared" si="8"/>
        <v>1143856.5976054519</v>
      </c>
      <c r="Q475" s="36">
        <f t="shared" si="9"/>
        <v>518735.08366493136</v>
      </c>
    </row>
    <row r="476" spans="1:17" x14ac:dyDescent="0.2">
      <c r="A476">
        <v>81</v>
      </c>
      <c r="B476" s="36">
        <f>Underlying_Assets!$C$365*(1+Underlying_Assets!H194)</f>
        <v>85.39318651685393</v>
      </c>
      <c r="C476" s="36">
        <f>Underlying_Assets!$D$365 * (1 + Underlying_Assets!I194)</f>
        <v>144.93936477382098</v>
      </c>
      <c r="D476">
        <f>(LN(B476/Option_Portfolio!$E$4) + (Option_Portfolio!$H$4 + (Option_Portfolio!$G$4^2)/2) * ($E$392)) / (Option_Portfolio!$G$4 * SQRT($E$392))</f>
        <v>0.13983769900949242</v>
      </c>
      <c r="E476">
        <f>(LN(C476/Option_Portfolio!$E$5) + (Option_Portfolio!$H$5 + (Option_Portfolio!$G$5^2)/2) * ($E$392)) / (Option_Portfolio!$G$5 * SQRT($E$392))</f>
        <v>1.3281718964480835</v>
      </c>
      <c r="F476">
        <f>D476-Option_Portfolio!$G$4*SQRT('Part 1'!$E$392)</f>
        <v>2.0111344350211155E-2</v>
      </c>
      <c r="G476">
        <f>E476-Option_Portfolio!$G$5*SQRT('Part 1'!$E$392)</f>
        <v>1.1732319080654843</v>
      </c>
      <c r="H476">
        <f t="shared" si="5"/>
        <v>-0.44439411321109779</v>
      </c>
      <c r="I476">
        <f t="shared" si="6"/>
        <v>0.90793933684366246</v>
      </c>
      <c r="J476" s="36">
        <f>Option_Portfolio!$E$4 * EXP(-Option_Portfolio!$H$4* $E$392) * _xlfn.NORM.S.DIST(-F476, TRUE) - B476 * _xlfn.NORM.S.DIST(-D476, TRUE)</f>
        <v>3.6629349265852156</v>
      </c>
      <c r="K476" s="36">
        <f>C476 * _xlfn.NORM.S.DIST(E476, TRUE) - Option_Portfolio!$E$5 * EXP(-'Part 1'!$H$5*'Part 1'!$E$392) * _xlfn.NORM.S.DIST(G476, TRUE)</f>
        <v>26.03831991574603</v>
      </c>
      <c r="L476" s="36">
        <f t="shared" si="7"/>
        <v>-26436095.345395546</v>
      </c>
      <c r="O476" s="36">
        <v>-29321905.866559047</v>
      </c>
      <c r="P476" s="36">
        <f t="shared" si="8"/>
        <v>1095320.6655641347</v>
      </c>
      <c r="Q476" s="36">
        <f t="shared" si="9"/>
        <v>-1790489.8555993661</v>
      </c>
    </row>
    <row r="477" spans="1:17" x14ac:dyDescent="0.2">
      <c r="A477">
        <v>82</v>
      </c>
      <c r="B477" s="36">
        <f>Underlying_Assets!$C$365*(1+Underlying_Assets!H195)</f>
        <v>85.778691335740064</v>
      </c>
      <c r="C477" s="36">
        <f>Underlying_Assets!$D$365 * (1 + Underlying_Assets!I195)</f>
        <v>145.49615384615385</v>
      </c>
      <c r="D477">
        <f>(LN(B477/Option_Portfolio!$E$4) + (Option_Portfolio!$H$4 + (Option_Portfolio!$G$4^2)/2) * ($E$392)) / (Option_Portfolio!$G$4 * SQRT($E$392))</f>
        <v>0.17745939470983804</v>
      </c>
      <c r="E477">
        <f>(LN(C477/Option_Portfolio!$E$5) + (Option_Portfolio!$H$5 + (Option_Portfolio!$G$5^2)/2) * ($E$392)) / (Option_Portfolio!$G$5 * SQRT($E$392))</f>
        <v>1.3529180660284901</v>
      </c>
      <c r="F477">
        <f>D477-Option_Portfolio!$G$4*SQRT('Part 1'!$E$392)</f>
        <v>5.773304005055678E-2</v>
      </c>
      <c r="G477">
        <f>E477-Option_Portfolio!$G$5*SQRT('Part 1'!$E$392)</f>
        <v>1.1979780776458908</v>
      </c>
      <c r="H477">
        <f t="shared" si="5"/>
        <v>-0.42957377865291946</v>
      </c>
      <c r="I477">
        <f t="shared" si="6"/>
        <v>0.91195909641365758</v>
      </c>
      <c r="J477" s="36">
        <f>Option_Portfolio!$E$4 * EXP(-Option_Portfolio!$H$4* $E$392) * _xlfn.NORM.S.DIST(-F477, TRUE) - B477 * _xlfn.NORM.S.DIST(-D477, TRUE)</f>
        <v>3.4944804958255204</v>
      </c>
      <c r="K477" s="36">
        <f>C477 * _xlfn.NORM.S.DIST(E477, TRUE) - Option_Portfolio!$E$5 * EXP(-'Part 1'!$H$5*'Part 1'!$E$392) * _xlfn.NORM.S.DIST(G477, TRUE)</f>
        <v>26.542074087275552</v>
      </c>
      <c r="L477" s="36">
        <f t="shared" si="7"/>
        <v>-28622784.703772463</v>
      </c>
      <c r="O477" s="36">
        <v>-29308961.816003349</v>
      </c>
      <c r="P477" s="36">
        <f t="shared" si="8"/>
        <v>1082376.6150084361</v>
      </c>
      <c r="Q477" s="36">
        <f t="shared" si="9"/>
        <v>396199.50277755037</v>
      </c>
    </row>
    <row r="478" spans="1:17" x14ac:dyDescent="0.2">
      <c r="A478">
        <v>83</v>
      </c>
      <c r="B478" s="36">
        <f>Underlying_Assets!$C$365*(1+Underlying_Assets!H196)</f>
        <v>86.339445196211074</v>
      </c>
      <c r="C478" s="36">
        <f>Underlying_Assets!$D$365 * (1 + Underlying_Assets!I196)</f>
        <v>147.01703349282297</v>
      </c>
      <c r="D478">
        <f>(LN(B478/Option_Portfolio!$E$4) + (Option_Portfolio!$H$4 + (Option_Portfolio!$G$4^2)/2) * ($E$392)) / (Option_Portfolio!$G$4 * SQRT($E$392))</f>
        <v>0.23188301266553929</v>
      </c>
      <c r="E478">
        <f>(LN(C478/Option_Portfolio!$E$5) + (Option_Portfolio!$H$5 + (Option_Portfolio!$G$5^2)/2) * ($E$392)) / (Option_Portfolio!$G$5 * SQRT($E$392))</f>
        <v>1.4200330959192939</v>
      </c>
      <c r="F478">
        <f>D478-Option_Portfolio!$G$4*SQRT('Part 1'!$E$392)</f>
        <v>0.11215665800625803</v>
      </c>
      <c r="G478">
        <f>E478-Option_Portfolio!$G$5*SQRT('Part 1'!$E$392)</f>
        <v>1.2650931075366947</v>
      </c>
      <c r="H478">
        <f t="shared" si="5"/>
        <v>-0.40831443944656431</v>
      </c>
      <c r="I478">
        <f t="shared" si="6"/>
        <v>0.92220097693895042</v>
      </c>
      <c r="J478" s="36">
        <f>Option_Portfolio!$E$4 * EXP(-Option_Portfolio!$H$4* $E$392) * _xlfn.NORM.S.DIST(-F478, TRUE) - B478 * _xlfn.NORM.S.DIST(-D478, TRUE)</f>
        <v>3.2595735075708276</v>
      </c>
      <c r="K478" s="36">
        <f>C478 * _xlfn.NORM.S.DIST(E478, TRUE) - Option_Portfolio!$E$5 * EXP(-'Part 1'!$H$5*'Part 1'!$E$392) * _xlfn.NORM.S.DIST(G478, TRUE)</f>
        <v>27.929529115390693</v>
      </c>
      <c r="L478" s="36">
        <f t="shared" si="7"/>
        <v>-33042043.677785598</v>
      </c>
      <c r="O478" s="36">
        <v>-29283289.674052373</v>
      </c>
      <c r="P478" s="36">
        <f t="shared" si="8"/>
        <v>1056704.47305746</v>
      </c>
      <c r="Q478" s="36">
        <f t="shared" si="9"/>
        <v>4815458.4767906852</v>
      </c>
    </row>
    <row r="479" spans="1:17" x14ac:dyDescent="0.2">
      <c r="A479">
        <v>84</v>
      </c>
      <c r="B479" s="36">
        <f>Underlying_Assets!$C$365*(1+Underlying_Assets!H197)</f>
        <v>85.720797312430008</v>
      </c>
      <c r="C479" s="36">
        <f>Underlying_Assets!$D$365 * (1 + Underlying_Assets!I197)</f>
        <v>147.80245051837889</v>
      </c>
      <c r="D479">
        <f>(LN(B479/Option_Portfolio!$E$4) + (Option_Portfolio!$H$4 + (Option_Portfolio!$G$4^2)/2) * ($E$392)) / (Option_Portfolio!$G$4 * SQRT($E$392))</f>
        <v>0.17182027706935879</v>
      </c>
      <c r="E479">
        <f>(LN(C479/Option_Portfolio!$E$5) + (Option_Portfolio!$H$5 + (Option_Portfolio!$G$5^2)/2) * ($E$392)) / (Option_Portfolio!$G$5 * SQRT($E$392))</f>
        <v>1.4544214692989188</v>
      </c>
      <c r="F479">
        <f>D479-Option_Portfolio!$G$4*SQRT('Part 1'!$E$392)</f>
        <v>5.2093922410077528E-2</v>
      </c>
      <c r="G479">
        <f>E479-Option_Portfolio!$G$5*SQRT('Part 1'!$E$392)</f>
        <v>1.2994814809163195</v>
      </c>
      <c r="H479">
        <f t="shared" si="5"/>
        <v>-0.43178941189924891</v>
      </c>
      <c r="I479">
        <f t="shared" si="6"/>
        <v>0.92708525438424338</v>
      </c>
      <c r="J479" s="36">
        <f>Option_Portfolio!$E$4 * EXP(-Option_Portfolio!$H$4* $E$392) * _xlfn.NORM.S.DIST(-F479, TRUE) - B479 * _xlfn.NORM.S.DIST(-D479, TRUE)</f>
        <v>3.5194143683977401</v>
      </c>
      <c r="K479" s="36">
        <f>C479 * _xlfn.NORM.S.DIST(E479, TRUE) - Option_Portfolio!$E$5 * EXP(-'Part 1'!$H$5*'Part 1'!$E$392) * _xlfn.NORM.S.DIST(G479, TRUE)</f>
        <v>28.65219712809882</v>
      </c>
      <c r="L479" s="36">
        <f t="shared" si="7"/>
        <v>-32668493.677413456</v>
      </c>
      <c r="O479" s="36">
        <v>-29258217.738096789</v>
      </c>
      <c r="P479" s="36">
        <f t="shared" si="8"/>
        <v>1031632.537101876</v>
      </c>
      <c r="Q479" s="36">
        <f t="shared" si="9"/>
        <v>4441908.4764185436</v>
      </c>
    </row>
    <row r="480" spans="1:17" x14ac:dyDescent="0.2">
      <c r="A480">
        <v>85</v>
      </c>
      <c r="B480" s="36">
        <f>Underlying_Assets!$C$365*(1+Underlying_Assets!H198)</f>
        <v>86.258588709677397</v>
      </c>
      <c r="C480" s="36">
        <f>Underlying_Assets!$D$365 * (1 + Underlying_Assets!I198)</f>
        <v>146.2038781163435</v>
      </c>
      <c r="D480">
        <f>(LN(B480/Option_Portfolio!$E$4) + (Option_Portfolio!$H$4 + (Option_Portfolio!$G$4^2)/2) * ($E$392)) / (Option_Portfolio!$G$4 * SQRT($E$392))</f>
        <v>0.2240573830419049</v>
      </c>
      <c r="E480">
        <f>(LN(C480/Option_Portfolio!$E$5) + (Option_Portfolio!$H$5 + (Option_Portfolio!$G$5^2)/2) * ($E$392)) / (Option_Portfolio!$G$5 * SQRT($E$392))</f>
        <v>1.3842361324811394</v>
      </c>
      <c r="F480">
        <f>D480-Option_Portfolio!$G$4*SQRT('Part 1'!$E$392)</f>
        <v>0.10433102838262363</v>
      </c>
      <c r="G480">
        <f>E480-Option_Portfolio!$G$5*SQRT('Part 1'!$E$392)</f>
        <v>1.2292961440985402</v>
      </c>
      <c r="H480">
        <f t="shared" si="5"/>
        <v>-0.41135632642195219</v>
      </c>
      <c r="I480">
        <f t="shared" si="6"/>
        <v>0.91685691851395412</v>
      </c>
      <c r="J480" s="36">
        <f>Option_Portfolio!$E$4 * EXP(-Option_Portfolio!$H$4* $E$392) * _xlfn.NORM.S.DIST(-F480, TRUE) - B480 * _xlfn.NORM.S.DIST(-D480, TRUE)</f>
        <v>3.29271130092269</v>
      </c>
      <c r="K480" s="36">
        <f>C480 * _xlfn.NORM.S.DIST(E480, TRUE) - Option_Portfolio!$E$5 * EXP(-'Part 1'!$H$5*'Part 1'!$E$392) * _xlfn.NORM.S.DIST(G480, TRUE)</f>
        <v>27.185684712383477</v>
      </c>
      <c r="L480" s="36">
        <f t="shared" si="7"/>
        <v>-31322390.318308126</v>
      </c>
      <c r="O480" s="36">
        <v>-29252857.733097505</v>
      </c>
      <c r="P480" s="36">
        <f t="shared" si="8"/>
        <v>1026272.5321025923</v>
      </c>
      <c r="Q480" s="36">
        <f t="shared" si="9"/>
        <v>3095805.1173132136</v>
      </c>
    </row>
    <row r="481" spans="1:17" x14ac:dyDescent="0.2">
      <c r="A481">
        <v>86</v>
      </c>
      <c r="B481" s="36">
        <f>Underlying_Assets!$C$365*(1+Underlying_Assets!H199)</f>
        <v>86.083647294589198</v>
      </c>
      <c r="C481" s="36">
        <f>Underlying_Assets!$D$365 * (1 + Underlying_Assets!I199)</f>
        <v>145.59451303155009</v>
      </c>
      <c r="D481">
        <f>(LN(B481/Option_Portfolio!$E$4) + (Option_Portfolio!$H$4 + (Option_Portfolio!$G$4^2)/2) * ($E$392)) / (Option_Portfolio!$G$4 * SQRT($E$392))</f>
        <v>0.20710068458547834</v>
      </c>
      <c r="E481">
        <f>(LN(C481/Option_Portfolio!$E$5) + (Option_Portfolio!$H$5 + (Option_Portfolio!$G$5^2)/2) * ($E$392)) / (Option_Portfolio!$G$5 * SQRT($E$392))</f>
        <v>1.3572797393547573</v>
      </c>
      <c r="F481">
        <f>D481-Option_Portfolio!$G$4*SQRT('Part 1'!$E$392)</f>
        <v>8.7374329926197078E-2</v>
      </c>
      <c r="G481">
        <f>E481-Option_Portfolio!$G$5*SQRT('Part 1'!$E$392)</f>
        <v>1.2023397509721581</v>
      </c>
      <c r="H481">
        <f t="shared" si="5"/>
        <v>-0.41796561373304941</v>
      </c>
      <c r="I481">
        <f t="shared" si="6"/>
        <v>0.91265382876458101</v>
      </c>
      <c r="J481" s="36">
        <f>Option_Portfolio!$E$4 * EXP(-Option_Portfolio!$H$4* $E$392) * _xlfn.NORM.S.DIST(-F481, TRUE) - B481 * _xlfn.NORM.S.DIST(-D481, TRUE)</f>
        <v>3.3652521299799218</v>
      </c>
      <c r="K481" s="36">
        <f>C481 * _xlfn.NORM.S.DIST(E481, TRUE) - Option_Portfolio!$E$5 * EXP(-'Part 1'!$H$5*'Part 1'!$E$392) * _xlfn.NORM.S.DIST(G481, TRUE)</f>
        <v>26.631305068948038</v>
      </c>
      <c r="L481" s="36">
        <f t="shared" si="7"/>
        <v>-29705845.228036623</v>
      </c>
      <c r="O481" s="36">
        <v>-29187976.745373499</v>
      </c>
      <c r="P481" s="36">
        <f t="shared" si="8"/>
        <v>961391.54437858611</v>
      </c>
      <c r="Q481" s="36">
        <f t="shared" si="9"/>
        <v>1479260.0270417109</v>
      </c>
    </row>
    <row r="482" spans="1:17" x14ac:dyDescent="0.2">
      <c r="A482">
        <v>87</v>
      </c>
      <c r="B482" s="36">
        <f>Underlying_Assets!$C$365*(1+Underlying_Assets!H200)</f>
        <v>84.884311377245496</v>
      </c>
      <c r="C482" s="36">
        <f>Underlying_Assets!$D$365 * (1 + Underlying_Assets!I200)</f>
        <v>146.31450659390634</v>
      </c>
      <c r="D482">
        <f>(LN(B482/Option_Portfolio!$E$4) + (Option_Portfolio!$H$4 + (Option_Portfolio!$G$4^2)/2) * ($E$392)) / (Option_Portfolio!$G$4 * SQRT($E$392))</f>
        <v>8.9915293505869964E-2</v>
      </c>
      <c r="E482">
        <f>(LN(C482/Option_Portfolio!$E$5) + (Option_Portfolio!$H$5 + (Option_Portfolio!$G$5^2)/2) * ($E$392)) / (Option_Portfolio!$G$5 * SQRT($E$392))</f>
        <v>1.3891179356675096</v>
      </c>
      <c r="F482">
        <f>D482-Option_Portfolio!$G$4*SQRT('Part 1'!$E$392)</f>
        <v>-2.9811061153411297E-2</v>
      </c>
      <c r="G482">
        <f>E482-Option_Portfolio!$G$5*SQRT('Part 1'!$E$392)</f>
        <v>1.2341779472849104</v>
      </c>
      <c r="H482">
        <f t="shared" si="5"/>
        <v>-0.4641772639601256</v>
      </c>
      <c r="I482">
        <f t="shared" si="6"/>
        <v>0.91760155467212712</v>
      </c>
      <c r="J482" s="36">
        <f>Option_Portfolio!$E$4 * EXP(-Option_Portfolio!$H$4* $E$392) * _xlfn.NORM.S.DIST(-F482, TRUE) - B482 * _xlfn.NORM.S.DIST(-D482, TRUE)</f>
        <v>3.8940997944985227</v>
      </c>
      <c r="K482" s="36">
        <f>C482 * _xlfn.NORM.S.DIST(E482, TRUE) - Option_Portfolio!$E$5 * EXP(-'Part 1'!$H$5*'Part 1'!$E$392) * _xlfn.NORM.S.DIST(G482, TRUE)</f>
        <v>27.286614903408037</v>
      </c>
      <c r="L482" s="36">
        <f t="shared" si="7"/>
        <v>-27314531.245326411</v>
      </c>
      <c r="O482" s="36">
        <v>-29136682.99143406</v>
      </c>
      <c r="P482" s="36">
        <f t="shared" si="8"/>
        <v>910097.7904391475</v>
      </c>
      <c r="Q482" s="36">
        <f t="shared" si="9"/>
        <v>-912053.95566850156</v>
      </c>
    </row>
    <row r="483" spans="1:17" x14ac:dyDescent="0.2">
      <c r="A483">
        <v>88</v>
      </c>
      <c r="B483" s="36">
        <f>Underlying_Assets!$C$365*(1+Underlying_Assets!H201)</f>
        <v>85.893655913978492</v>
      </c>
      <c r="C483" s="36">
        <f>Underlying_Assets!$D$365 * (1 + Underlying_Assets!I201)</f>
        <v>144.53933393339335</v>
      </c>
      <c r="D483">
        <f>(LN(B483/Option_Portfolio!$E$4) + (Option_Portfolio!$H$4 + (Option_Portfolio!$G$4^2)/2) * ($E$392)) / (Option_Portfolio!$G$4 * SQRT($E$392))</f>
        <v>0.18864614660304421</v>
      </c>
      <c r="E483">
        <f>(LN(C483/Option_Portfolio!$E$5) + (Option_Portfolio!$H$5 + (Option_Portfolio!$G$5^2)/2) * ($E$392)) / (Option_Portfolio!$G$5 * SQRT($E$392))</f>
        <v>1.3103340009228235</v>
      </c>
      <c r="F483">
        <f>D483-Option_Portfolio!$G$4*SQRT('Part 1'!$E$392)</f>
        <v>6.8919791943762951E-2</v>
      </c>
      <c r="G483">
        <f>E483-Option_Portfolio!$G$5*SQRT('Part 1'!$E$392)</f>
        <v>1.1553940125402242</v>
      </c>
      <c r="H483">
        <f t="shared" si="5"/>
        <v>-0.42518508117812992</v>
      </c>
      <c r="I483">
        <f t="shared" si="6"/>
        <v>0.90495856502026362</v>
      </c>
      <c r="J483" s="36">
        <f>Option_Portfolio!$E$4 * EXP(-Option_Portfolio!$H$4* $E$392) * _xlfn.NORM.S.DIST(-F483, TRUE) - B483 * _xlfn.NORM.S.DIST(-D483, TRUE)</f>
        <v>3.4453471423298367</v>
      </c>
      <c r="K483" s="36">
        <f>C483 * _xlfn.NORM.S.DIST(E483, TRUE) - Option_Portfolio!$E$5 * EXP(-'Part 1'!$H$5*'Part 1'!$E$392) * _xlfn.NORM.S.DIST(G483, TRUE)</f>
        <v>25.677854987411337</v>
      </c>
      <c r="L483" s="36">
        <f t="shared" si="7"/>
        <v>-27238279.978513822</v>
      </c>
      <c r="O483" s="36">
        <v>-29130681.494174521</v>
      </c>
      <c r="P483" s="36">
        <f t="shared" si="8"/>
        <v>904096.29317960888</v>
      </c>
      <c r="Q483" s="36">
        <f t="shared" si="9"/>
        <v>-988305.22248109058</v>
      </c>
    </row>
    <row r="484" spans="1:17" x14ac:dyDescent="0.2">
      <c r="A484">
        <v>89</v>
      </c>
      <c r="B484" s="36">
        <f>Underlying_Assets!$C$365*(1+Underlying_Assets!H202)</f>
        <v>85.74</v>
      </c>
      <c r="C484" s="36">
        <f>Underlying_Assets!$D$365 * (1 + Underlying_Assets!I202)</f>
        <v>151.32840396753835</v>
      </c>
      <c r="D484">
        <f>(LN(B484/Option_Portfolio!$E$4) + (Option_Portfolio!$H$4 + (Option_Portfolio!$G$4^2)/2) * ($E$392)) / (Option_Portfolio!$G$4 * SQRT($E$392))</f>
        <v>0.17369112037775097</v>
      </c>
      <c r="E484">
        <f>(LN(C484/Option_Portfolio!$E$5) + (Option_Portfolio!$H$5 + (Option_Portfolio!$G$5^2)/2) * ($E$392)) / (Option_Portfolio!$G$5 * SQRT($E$392))</f>
        <v>1.6065819789806468</v>
      </c>
      <c r="F484">
        <f>D484-Option_Portfolio!$G$4*SQRT('Part 1'!$E$392)</f>
        <v>5.3964765718469712E-2</v>
      </c>
      <c r="G484">
        <f>E484-Option_Portfolio!$G$5*SQRT('Part 1'!$E$392)</f>
        <v>1.4516419905980475</v>
      </c>
      <c r="H484">
        <f t="shared" si="5"/>
        <v>-0.43105410818182932</v>
      </c>
      <c r="I484">
        <f t="shared" si="6"/>
        <v>0.94592695084273215</v>
      </c>
      <c r="J484" s="36">
        <f>Option_Portfolio!$E$4 * EXP(-Option_Portfolio!$H$4* $E$392) * _xlfn.NORM.S.DIST(-F484, TRUE) - B484 * _xlfn.NORM.S.DIST(-D484, TRUE)</f>
        <v>3.5111299117726347</v>
      </c>
      <c r="K484" s="36">
        <f>C484 * _xlfn.NORM.S.DIST(E484, TRUE) - Option_Portfolio!$E$5 * EXP(-'Part 1'!$H$5*'Part 1'!$E$392) * _xlfn.NORM.S.DIST(G484, TRUE)</f>
        <v>31.94168634428236</v>
      </c>
      <c r="L484" s="36">
        <f t="shared" si="7"/>
        <v>-39305463.306156278</v>
      </c>
      <c r="O484" s="36">
        <v>-29112269.077594917</v>
      </c>
      <c r="P484" s="36">
        <f t="shared" si="8"/>
        <v>885683.87660000473</v>
      </c>
      <c r="Q484" s="36">
        <f t="shared" si="9"/>
        <v>11078878.105161365</v>
      </c>
    </row>
    <row r="485" spans="1:17" x14ac:dyDescent="0.2">
      <c r="A485">
        <v>90</v>
      </c>
      <c r="B485" s="36">
        <f>Underlying_Assets!$C$365*(1+Underlying_Assets!H203)</f>
        <v>85.835863148479433</v>
      </c>
      <c r="C485" s="36">
        <f>Underlying_Assets!$D$365 * (1 + Underlying_Assets!I203)</f>
        <v>147.2362381363244</v>
      </c>
      <c r="D485">
        <f>(LN(B485/Option_Portfolio!$E$4) + (Option_Portfolio!$H$4 + (Option_Portfolio!$G$4^2)/2) * ($E$392)) / (Option_Portfolio!$G$4 * SQRT($E$392))</f>
        <v>0.18302443223887377</v>
      </c>
      <c r="E485">
        <f>(LN(C485/Option_Portfolio!$E$5) + (Option_Portfolio!$H$5 + (Option_Portfolio!$G$5^2)/2) * ($E$392)) / (Option_Portfolio!$G$5 * SQRT($E$392))</f>
        <v>1.4296491081374119</v>
      </c>
      <c r="F485">
        <f>D485-Option_Portfolio!$G$4*SQRT('Part 1'!$E$392)</f>
        <v>6.3298077579592507E-2</v>
      </c>
      <c r="G485">
        <f>E485-Option_Portfolio!$G$5*SQRT('Part 1'!$E$392)</f>
        <v>1.2747091197548126</v>
      </c>
      <c r="H485">
        <f t="shared" si="5"/>
        <v>-0.42738942412772185</v>
      </c>
      <c r="I485">
        <f t="shared" si="6"/>
        <v>0.92359112324980885</v>
      </c>
      <c r="J485" s="36">
        <f>Option_Portfolio!$E$4 * EXP(-Option_Portfolio!$H$4* $E$392) * _xlfn.NORM.S.DIST(-F485, TRUE) - B485 * _xlfn.NORM.S.DIST(-D485, TRUE)</f>
        <v>3.4699834433212615</v>
      </c>
      <c r="K485" s="36">
        <f>C485 * _xlfn.NORM.S.DIST(E485, TRUE) - Option_Portfolio!$E$5 * EXP(-'Part 1'!$H$5*'Part 1'!$E$392) * _xlfn.NORM.S.DIST(G485, TRUE)</f>
        <v>28.130815626054485</v>
      </c>
      <c r="L485" s="36">
        <f t="shared" si="7"/>
        <v>-31971747.148860138</v>
      </c>
      <c r="O485" s="36">
        <v>-29078239.482777093</v>
      </c>
      <c r="P485" s="36">
        <f t="shared" si="8"/>
        <v>851654.28178218007</v>
      </c>
      <c r="Q485" s="36">
        <f t="shared" si="9"/>
        <v>3745161.9478652254</v>
      </c>
    </row>
    <row r="486" spans="1:17" x14ac:dyDescent="0.2">
      <c r="A486">
        <v>91</v>
      </c>
      <c r="B486" s="36">
        <f>Underlying_Assets!$C$365*(1+Underlying_Assets!H204)</f>
        <v>85.912360955997315</v>
      </c>
      <c r="C486" s="36">
        <f>Underlying_Assets!$D$365 * (1 + Underlying_Assets!I204)</f>
        <v>142.21977089520578</v>
      </c>
      <c r="D486">
        <f>(LN(B486/Option_Portfolio!$E$4) + (Option_Portfolio!$H$4 + (Option_Portfolio!$G$4^2)/2) * ($E$392)) / (Option_Portfolio!$G$4 * SQRT($E$392))</f>
        <v>0.19046484446634682</v>
      </c>
      <c r="E486">
        <f>(LN(C486/Option_Portfolio!$E$5) + (Option_Portfolio!$H$5 + (Option_Portfolio!$G$5^2)/2) * ($E$392)) / (Option_Portfolio!$G$5 * SQRT($E$392))</f>
        <v>1.2059185153182652</v>
      </c>
      <c r="F486">
        <f>D486-Option_Portfolio!$G$4*SQRT('Part 1'!$E$392)</f>
        <v>7.0738489807065555E-2</v>
      </c>
      <c r="G486">
        <f>E486-Option_Portfolio!$G$5*SQRT('Part 1'!$E$392)</f>
        <v>1.050978526935666</v>
      </c>
      <c r="H486">
        <f t="shared" si="5"/>
        <v>-0.42447244447679111</v>
      </c>
      <c r="I486">
        <f t="shared" si="6"/>
        <v>0.88607554462469207</v>
      </c>
      <c r="J486" s="36">
        <f>Option_Portfolio!$E$4 * EXP(-Option_Portfolio!$H$4* $E$392) * _xlfn.NORM.S.DIST(-F486, TRUE) - B486 * _xlfn.NORM.S.DIST(-D486, TRUE)</f>
        <v>3.4374007030951717</v>
      </c>
      <c r="K486" s="36">
        <f>C486 * _xlfn.NORM.S.DIST(E486, TRUE) - Option_Portfolio!$E$5 * EXP(-'Part 1'!$H$5*'Part 1'!$E$392) * _xlfn.NORM.S.DIST(G486, TRUE)</f>
        <v>23.613568080311836</v>
      </c>
      <c r="L486" s="36">
        <f t="shared" si="7"/>
        <v>-23165331.238957476</v>
      </c>
      <c r="O486" s="36">
        <v>-28970555.941920679</v>
      </c>
      <c r="P486" s="36">
        <f t="shared" si="8"/>
        <v>743970.74092576653</v>
      </c>
      <c r="Q486" s="36">
        <f t="shared" si="9"/>
        <v>-5061253.9620374367</v>
      </c>
    </row>
    <row r="487" spans="1:17" x14ac:dyDescent="0.2">
      <c r="A487">
        <v>92</v>
      </c>
      <c r="B487" s="36">
        <f>Underlying_Assets!$C$365*(1+Underlying_Assets!H205)</f>
        <v>85.701774409273298</v>
      </c>
      <c r="C487" s="36">
        <f>Underlying_Assets!$D$365 * (1 + Underlying_Assets!I205)</f>
        <v>144.42470842332614</v>
      </c>
      <c r="D487">
        <f>(LN(B487/Option_Portfolio!$E$4) + (Option_Portfolio!$H$4 + (Option_Portfolio!$G$4^2)/2) * ($E$392)) / (Option_Portfolio!$G$4 * SQRT($E$392))</f>
        <v>0.16996653618430344</v>
      </c>
      <c r="E487">
        <f>(LN(C487/Option_Portfolio!$E$5) + (Option_Portfolio!$H$5 + (Option_Portfolio!$G$5^2)/2) * ($E$392)) / (Option_Portfolio!$G$5 * SQRT($E$392))</f>
        <v>1.305213599889766</v>
      </c>
      <c r="F487">
        <f>D487-Option_Portfolio!$G$4*SQRT('Part 1'!$E$392)</f>
        <v>5.0240181525022173E-2</v>
      </c>
      <c r="G487">
        <f>E487-Option_Portfolio!$G$5*SQRT('Part 1'!$E$392)</f>
        <v>1.1502736115071668</v>
      </c>
      <c r="H487">
        <f t="shared" si="5"/>
        <v>-0.43251822697102182</v>
      </c>
      <c r="I487">
        <f t="shared" si="6"/>
        <v>0.90408993773898394</v>
      </c>
      <c r="J487" s="36">
        <f>Option_Portfolio!$E$4 * EXP(-Option_Portfolio!$H$4* $E$392) * _xlfn.NORM.S.DIST(-F487, TRUE) - B487 * _xlfn.NORM.S.DIST(-D487, TRUE)</f>
        <v>3.5276351880312262</v>
      </c>
      <c r="K487" s="36">
        <f>C487 * _xlfn.NORM.S.DIST(E487, TRUE) - Option_Portfolio!$E$5 * EXP(-'Part 1'!$H$5*'Part 1'!$E$392) * _xlfn.NORM.S.DIST(G487, TRUE)</f>
        <v>25.574797402679991</v>
      </c>
      <c r="L487" s="36">
        <f t="shared" si="7"/>
        <v>-26456148.489141401</v>
      </c>
      <c r="O487" s="36">
        <v>-28953086.652809832</v>
      </c>
      <c r="P487" s="36">
        <f t="shared" si="8"/>
        <v>726501.45181491971</v>
      </c>
      <c r="Q487" s="36">
        <f t="shared" si="9"/>
        <v>-1770436.7118535116</v>
      </c>
    </row>
    <row r="488" spans="1:17" x14ac:dyDescent="0.2">
      <c r="A488">
        <v>93</v>
      </c>
      <c r="B488" s="36">
        <f>Underlying_Assets!$C$365*(1+Underlying_Assets!H206)</f>
        <v>86.351882247992847</v>
      </c>
      <c r="C488" s="36">
        <f>Underlying_Assets!$D$365 * (1 + Underlying_Assets!I206)</f>
        <v>146.80675617150283</v>
      </c>
      <c r="D488">
        <f>(LN(B488/Option_Portfolio!$E$4) + (Option_Portfolio!$H$4 + (Option_Portfolio!$G$4^2)/2) * ($E$392)) / (Option_Portfolio!$G$4 * SQRT($E$392))</f>
        <v>0.23308607228904069</v>
      </c>
      <c r="E488">
        <f>(LN(C488/Option_Portfolio!$E$5) + (Option_Portfolio!$H$5 + (Option_Portfolio!$G$5^2)/2) * ($E$392)) / (Option_Portfolio!$G$5 * SQRT($E$392))</f>
        <v>1.4107952219940549</v>
      </c>
      <c r="F488">
        <f>D488-Option_Portfolio!$G$4*SQRT('Part 1'!$E$392)</f>
        <v>0.11335971762975942</v>
      </c>
      <c r="G488">
        <f>E488-Option_Portfolio!$G$5*SQRT('Part 1'!$E$392)</f>
        <v>1.2558552336114557</v>
      </c>
      <c r="H488">
        <f t="shared" si="5"/>
        <v>-0.40784728489166344</v>
      </c>
      <c r="I488">
        <f t="shared" si="6"/>
        <v>0.9208474981232796</v>
      </c>
      <c r="J488" s="36">
        <f>Option_Portfolio!$E$4 * EXP(-Option_Portfolio!$H$4* $E$392) * _xlfn.NORM.S.DIST(-F488, TRUE) - B488 * _xlfn.NORM.S.DIST(-D488, TRUE)</f>
        <v>3.2544981849620456</v>
      </c>
      <c r="K488" s="36">
        <f>C488 * _xlfn.NORM.S.DIST(E488, TRUE) - Option_Portfolio!$E$5 * EXP(-'Part 1'!$H$5*'Part 1'!$E$392) * _xlfn.NORM.S.DIST(G488, TRUE)</f>
        <v>27.736741828391516</v>
      </c>
      <c r="L488" s="36">
        <f t="shared" si="7"/>
        <v>-32691996.362048712</v>
      </c>
      <c r="O488" s="36">
        <v>-28944853.972243208</v>
      </c>
      <c r="P488" s="36">
        <f t="shared" si="8"/>
        <v>718268.7712482959</v>
      </c>
      <c r="Q488" s="36">
        <f t="shared" si="9"/>
        <v>4465411.1610537991</v>
      </c>
    </row>
    <row r="489" spans="1:17" x14ac:dyDescent="0.2">
      <c r="A489">
        <v>94</v>
      </c>
      <c r="B489" s="36">
        <f>Underlying_Assets!$C$365*(1+Underlying_Assets!H207)</f>
        <v>86.480447298494241</v>
      </c>
      <c r="C489" s="36">
        <f>Underlying_Assets!$D$365 * (1 + Underlying_Assets!I207)</f>
        <v>143.74848355403677</v>
      </c>
      <c r="D489">
        <f>(LN(B489/Option_Portfolio!$E$4) + (Option_Portfolio!$H$4 + (Option_Portfolio!$G$4^2)/2) * ($E$392)) / (Option_Portfolio!$G$4 * SQRT($E$392))</f>
        <v>0.24551226993982436</v>
      </c>
      <c r="E489">
        <f>(LN(C489/Option_Portfolio!$E$5) + (Option_Portfolio!$H$5 + (Option_Portfolio!$G$5^2)/2) * ($E$392)) / (Option_Portfolio!$G$5 * SQRT($E$392))</f>
        <v>1.2749232119643414</v>
      </c>
      <c r="F489">
        <f>D489-Option_Portfolio!$G$4*SQRT('Part 1'!$E$392)</f>
        <v>0.12578591528054311</v>
      </c>
      <c r="G489">
        <f>E489-Option_Portfolio!$G$5*SQRT('Part 1'!$E$392)</f>
        <v>1.1199832235817422</v>
      </c>
      <c r="H489">
        <f t="shared" si="5"/>
        <v>-0.40302990440630637</v>
      </c>
      <c r="I489">
        <f t="shared" si="6"/>
        <v>0.89883178883409309</v>
      </c>
      <c r="J489" s="36">
        <f>Option_Portfolio!$E$4 * EXP(-Option_Portfolio!$H$4* $E$392) * _xlfn.NORM.S.DIST(-F489, TRUE) - B489 * _xlfn.NORM.S.DIST(-D489, TRUE)</f>
        <v>3.2023731818239298</v>
      </c>
      <c r="K489" s="36">
        <f>C489 * _xlfn.NORM.S.DIST(E489, TRUE) - Option_Portfolio!$E$5 * EXP(-'Part 1'!$H$5*'Part 1'!$E$392) * _xlfn.NORM.S.DIST(G489, TRUE)</f>
        <v>24.968961288675516</v>
      </c>
      <c r="L489" s="36">
        <f t="shared" si="7"/>
        <v>-27521310.304583523</v>
      </c>
      <c r="O489" s="36">
        <v>-28838684.997740701</v>
      </c>
      <c r="P489" s="36">
        <f t="shared" si="8"/>
        <v>612099.79674578831</v>
      </c>
      <c r="Q489" s="36">
        <f t="shared" si="9"/>
        <v>-705274.89641138911</v>
      </c>
    </row>
    <row r="490" spans="1:17" x14ac:dyDescent="0.2">
      <c r="A490">
        <v>95</v>
      </c>
      <c r="B490" s="36">
        <f>Underlying_Assets!$C$365*(1+Underlying_Assets!H208)</f>
        <v>85.664706915477495</v>
      </c>
      <c r="C490" s="36">
        <f>Underlying_Assets!$D$365 * (1 + Underlying_Assets!I208)</f>
        <v>144.17693631669536</v>
      </c>
      <c r="D490">
        <f>(LN(B490/Option_Portfolio!$E$4) + (Option_Portfolio!$H$4 + (Option_Portfolio!$G$4^2)/2) * ($E$392)) / (Option_Portfolio!$G$4 * SQRT($E$392))</f>
        <v>0.16635320651645505</v>
      </c>
      <c r="E490">
        <f>(LN(C490/Option_Portfolio!$E$5) + (Option_Portfolio!$H$5 + (Option_Portfolio!$G$5^2)/2) * ($E$392)) / (Option_Portfolio!$G$5 * SQRT($E$392))</f>
        <v>1.2941315476044586</v>
      </c>
      <c r="F490">
        <f>D490-Option_Portfolio!$G$4*SQRT('Part 1'!$E$392)</f>
        <v>4.6626851857173787E-2</v>
      </c>
      <c r="G490">
        <f>E490-Option_Portfolio!$G$5*SQRT('Part 1'!$E$392)</f>
        <v>1.1391915592218593</v>
      </c>
      <c r="H490">
        <f t="shared" si="5"/>
        <v>-0.43393949828116707</v>
      </c>
      <c r="I490">
        <f t="shared" si="6"/>
        <v>0.90219000690519824</v>
      </c>
      <c r="J490" s="36">
        <f>Option_Portfolio!$E$4 * EXP(-Option_Portfolio!$H$4* $E$392) * _xlfn.NORM.S.DIST(-F490, TRUE) - B490 * _xlfn.NORM.S.DIST(-D490, TRUE)</f>
        <v>3.5436938916419365</v>
      </c>
      <c r="K490" s="36">
        <f>C490 * _xlfn.NORM.S.DIST(E490, TRUE) - Option_Portfolio!$E$5 * EXP(-'Part 1'!$H$5*'Part 1'!$E$392) * _xlfn.NORM.S.DIST(G490, TRUE)</f>
        <v>25.352387093072664</v>
      </c>
      <c r="L490" s="36">
        <f t="shared" si="7"/>
        <v>-25898916.944651779</v>
      </c>
      <c r="O490" s="36">
        <v>-28772493.91483051</v>
      </c>
      <c r="P490" s="36">
        <f t="shared" si="8"/>
        <v>545908.71383559704</v>
      </c>
      <c r="Q490" s="36">
        <f t="shared" si="9"/>
        <v>-2327668.2563431337</v>
      </c>
    </row>
    <row r="491" spans="1:17" x14ac:dyDescent="0.2">
      <c r="A491">
        <v>96</v>
      </c>
      <c r="B491" s="36">
        <f>Underlying_Assets!$C$365*(1+Underlying_Assets!H209)</f>
        <v>86.173315754779182</v>
      </c>
      <c r="C491" s="36">
        <f>Underlying_Assets!$D$365 * (1 + Underlying_Assets!I209)</f>
        <v>146.80242005185826</v>
      </c>
      <c r="D491">
        <f>(LN(B491/Option_Portfolio!$E$4) + (Option_Portfolio!$H$4 + (Option_Portfolio!$G$4^2)/2) * ($E$392)) / (Option_Portfolio!$G$4 * SQRT($E$392))</f>
        <v>0.21579635761169741</v>
      </c>
      <c r="E491">
        <f>(LN(C491/Option_Portfolio!$E$5) + (Option_Portfolio!$H$5 + (Option_Portfolio!$G$5^2)/2) * ($E$392)) / (Option_Portfolio!$G$5 * SQRT($E$392))</f>
        <v>1.410604588982366</v>
      </c>
      <c r="F491">
        <f>D491-Option_Portfolio!$G$4*SQRT('Part 1'!$E$392)</f>
        <v>9.6070002952416148E-2</v>
      </c>
      <c r="G491">
        <f>E491-Option_Portfolio!$G$5*SQRT('Part 1'!$E$392)</f>
        <v>1.2556646005997667</v>
      </c>
      <c r="H491">
        <f t="shared" si="5"/>
        <v>-0.41457324381794358</v>
      </c>
      <c r="I491">
        <f t="shared" si="6"/>
        <v>0.92081938111889294</v>
      </c>
      <c r="J491" s="36">
        <f>Option_Portfolio!$E$4 * EXP(-Option_Portfolio!$H$4* $E$392) * _xlfn.NORM.S.DIST(-F491, TRUE) - B491 * _xlfn.NORM.S.DIST(-D491, TRUE)</f>
        <v>3.3279259642772629</v>
      </c>
      <c r="K491" s="36">
        <f>C491 * _xlfn.NORM.S.DIST(E491, TRUE) - Option_Portfolio!$E$5 * EXP(-'Part 1'!$H$5*'Part 1'!$E$392) * _xlfn.NORM.S.DIST(G491, TRUE)</f>
        <v>27.732769508697729</v>
      </c>
      <c r="L491" s="36">
        <f t="shared" si="7"/>
        <v>-32170057.267454617</v>
      </c>
      <c r="O491" s="36">
        <v>-28745320.284659844</v>
      </c>
      <c r="P491" s="36">
        <f t="shared" si="8"/>
        <v>518735.08366493136</v>
      </c>
      <c r="Q491" s="36">
        <f t="shared" si="9"/>
        <v>3943472.0664597042</v>
      </c>
    </row>
    <row r="492" spans="1:17" x14ac:dyDescent="0.2">
      <c r="A492">
        <v>97</v>
      </c>
      <c r="B492" s="36">
        <f>Underlying_Assets!$C$365*(1+Underlying_Assets!H210)</f>
        <v>84.015452557936158</v>
      </c>
      <c r="C492" s="36">
        <f>Underlying_Assets!$D$365 * (1 + Underlying_Assets!I210)</f>
        <v>143.87416879795396</v>
      </c>
      <c r="D492">
        <f>(LN(B492/Option_Portfolio!$E$4) + (Option_Portfolio!$H$4 + (Option_Portfolio!$G$4^2)/2) * ($E$392)) / (Option_Portfolio!$G$4 * SQRT($E$392))</f>
        <v>3.9814496901449505E-3</v>
      </c>
      <c r="E492">
        <f>(LN(C492/Option_Portfolio!$E$5) + (Option_Portfolio!$H$5 + (Option_Portfolio!$G$5^2)/2) * ($E$392)) / (Option_Portfolio!$G$5 * SQRT($E$392))</f>
        <v>1.2805638432214381</v>
      </c>
      <c r="F492">
        <f>D492-Option_Portfolio!$G$4*SQRT('Part 1'!$E$392)</f>
        <v>-0.11574490496913631</v>
      </c>
      <c r="G492">
        <f>E492-Option_Portfolio!$G$5*SQRT('Part 1'!$E$392)</f>
        <v>1.1256238548388389</v>
      </c>
      <c r="H492">
        <f t="shared" si="5"/>
        <v>-0.49841163557775447</v>
      </c>
      <c r="I492">
        <f t="shared" si="6"/>
        <v>0.89982654665112061</v>
      </c>
      <c r="J492" s="36">
        <f>Option_Portfolio!$E$4 * EXP(-Option_Portfolio!$H$4* $E$392) * _xlfn.NORM.S.DIST(-F492, TRUE) - B492 * _xlfn.NORM.S.DIST(-D492, TRUE)</f>
        <v>4.3122412183201959</v>
      </c>
      <c r="K492" s="36">
        <f>C492 * _xlfn.NORM.S.DIST(E492, TRUE) - Option_Portfolio!$E$5 * EXP(-'Part 1'!$H$5*'Part 1'!$E$392) * _xlfn.NORM.S.DIST(G492, TRUE)</f>
        <v>25.081282451560128</v>
      </c>
      <c r="L492" s="36">
        <f t="shared" si="7"/>
        <v>-19976876.374878887</v>
      </c>
      <c r="O492" s="36">
        <v>-28625548.594009895</v>
      </c>
      <c r="P492" s="36">
        <f t="shared" si="8"/>
        <v>398963.39301498234</v>
      </c>
      <c r="Q492" s="36">
        <f t="shared" si="9"/>
        <v>-8249708.8261160254</v>
      </c>
    </row>
    <row r="493" spans="1:17" x14ac:dyDescent="0.2">
      <c r="A493">
        <v>98</v>
      </c>
      <c r="B493" s="36">
        <f>Underlying_Assets!$C$365*(1+Underlying_Assets!H211)</f>
        <v>84.63046854082998</v>
      </c>
      <c r="C493" s="36">
        <f>Underlying_Assets!$D$365 * (1 + Underlying_Assets!I211)</f>
        <v>145.29695409695412</v>
      </c>
      <c r="D493">
        <f>(LN(B493/Option_Portfolio!$E$4) + (Option_Portfolio!$H$4 + (Option_Portfolio!$G$4^2)/2) * ($E$392)) / (Option_Portfolio!$G$4 * SQRT($E$392))</f>
        <v>6.4900443539984823E-2</v>
      </c>
      <c r="E493">
        <f>(LN(C493/Option_Portfolio!$E$5) + (Option_Portfolio!$H$5 + (Option_Portfolio!$G$5^2)/2) * ($E$392)) / (Option_Portfolio!$G$5 * SQRT($E$392))</f>
        <v>1.3440756443310793</v>
      </c>
      <c r="F493">
        <f>D493-Option_Portfolio!$G$4*SQRT('Part 1'!$E$392)</f>
        <v>-5.4825911119296439E-2</v>
      </c>
      <c r="G493">
        <f>E493-Option_Portfolio!$G$5*SQRT('Part 1'!$E$392)</f>
        <v>1.18913565594848</v>
      </c>
      <c r="H493">
        <f t="shared" si="5"/>
        <v>-0.474126633723289</v>
      </c>
      <c r="I493">
        <f t="shared" si="6"/>
        <v>0.91053803646520792</v>
      </c>
      <c r="J493" s="36">
        <f>Option_Portfolio!$E$4 * EXP(-Option_Portfolio!$H$4* $E$392) * _xlfn.NORM.S.DIST(-F493, TRUE) - B493 * _xlfn.NORM.S.DIST(-D493, TRUE)</f>
        <v>4.0131896180435831</v>
      </c>
      <c r="K493" s="36">
        <f>C493 * _xlfn.NORM.S.DIST(E493, TRUE) - Option_Portfolio!$E$5 * EXP(-'Part 1'!$H$5*'Part 1'!$E$392) * _xlfn.NORM.S.DIST(G493, TRUE)</f>
        <v>26.361580653397169</v>
      </c>
      <c r="L493" s="36">
        <f t="shared" si="7"/>
        <v>-24630833.980489254</v>
      </c>
      <c r="O493" s="36">
        <v>-28622784.703772463</v>
      </c>
      <c r="P493" s="36">
        <f t="shared" si="8"/>
        <v>396199.50277755037</v>
      </c>
      <c r="Q493" s="36">
        <f t="shared" si="9"/>
        <v>-3595751.2205056585</v>
      </c>
    </row>
    <row r="494" spans="1:17" x14ac:dyDescent="0.2">
      <c r="A494">
        <v>99</v>
      </c>
      <c r="B494" s="36">
        <f>Underlying_Assets!$C$365*(1+Underlying_Assets!H212)</f>
        <v>84.829109403254975</v>
      </c>
      <c r="C494" s="36">
        <f>Underlying_Assets!$D$365 * (1 + Underlying_Assets!I212)</f>
        <v>141.70466011115863</v>
      </c>
      <c r="D494">
        <f>(LN(B494/Option_Portfolio!$E$4) + (Option_Portfolio!$H$4 + (Option_Portfolio!$G$4^2)/2) * ($E$392)) / (Option_Portfolio!$G$4 * SQRT($E$392))</f>
        <v>8.4481806006903873E-2</v>
      </c>
      <c r="E494">
        <f>(LN(C494/Option_Portfolio!$E$5) + (Option_Portfolio!$H$5 + (Option_Portfolio!$G$5^2)/2) * ($E$392)) / (Option_Portfolio!$G$5 * SQRT($E$392))</f>
        <v>1.1824997048891872</v>
      </c>
      <c r="F494">
        <f>D494-Option_Portfolio!$G$4*SQRT('Part 1'!$E$392)</f>
        <v>-3.5244548652377389E-2</v>
      </c>
      <c r="G494">
        <f>E494-Option_Portfolio!$G$5*SQRT('Part 1'!$E$392)</f>
        <v>1.027559716506588</v>
      </c>
      <c r="H494">
        <f t="shared" si="5"/>
        <v>-0.4663366839129599</v>
      </c>
      <c r="I494">
        <f t="shared" si="6"/>
        <v>0.88149625872572779</v>
      </c>
      <c r="J494" s="36">
        <f>Option_Portfolio!$E$4 * EXP(-Option_Portfolio!$H$4* $E$392) * _xlfn.NORM.S.DIST(-F494, TRUE) - B494 * _xlfn.NORM.S.DIST(-D494, TRUE)</f>
        <v>3.9197828867039917</v>
      </c>
      <c r="K494" s="36">
        <f>C494 * _xlfn.NORM.S.DIST(E494, TRUE) - Option_Portfolio!$E$5 * EXP(-'Part 1'!$H$5*'Part 1'!$E$392) * _xlfn.NORM.S.DIST(G494, TRUE)</f>
        <v>23.161546624391164</v>
      </c>
      <c r="L494" s="36">
        <f t="shared" si="7"/>
        <v>-18884613.041854385</v>
      </c>
      <c r="O494" s="36">
        <v>-28569645.711241208</v>
      </c>
      <c r="P494" s="36">
        <f t="shared" si="8"/>
        <v>343060.51024629548</v>
      </c>
      <c r="Q494" s="36">
        <f t="shared" si="9"/>
        <v>-9341972.1591405272</v>
      </c>
    </row>
    <row r="495" spans="1:17" x14ac:dyDescent="0.2">
      <c r="A495">
        <v>100</v>
      </c>
      <c r="B495" s="36">
        <f>Underlying_Assets!$C$365*(1+Underlying_Assets!H213)</f>
        <v>86.288485263879352</v>
      </c>
      <c r="C495" s="36">
        <f>Underlying_Assets!$D$365 * (1 + Underlying_Assets!I213)</f>
        <v>146.12844036697248</v>
      </c>
      <c r="D495">
        <f>(LN(B495/Option_Portfolio!$E$4) + (Option_Portfolio!$H$4 + (Option_Portfolio!$G$4^2)/2) * ($E$392)) / (Option_Portfolio!$G$4 * SQRT($E$392))</f>
        <v>0.22695175123493649</v>
      </c>
      <c r="E495">
        <f>(LN(C495/Option_Portfolio!$E$5) + (Option_Portfolio!$H$5 + (Option_Portfolio!$G$5^2)/2) * ($E$392)) / (Option_Portfolio!$G$5 * SQRT($E$392))</f>
        <v>1.3809051037522302</v>
      </c>
      <c r="F495">
        <f>D495-Option_Portfolio!$G$4*SQRT('Part 1'!$E$392)</f>
        <v>0.10722539657565523</v>
      </c>
      <c r="G495">
        <f>E495-Option_Portfolio!$G$5*SQRT('Part 1'!$E$392)</f>
        <v>1.2259651153696309</v>
      </c>
      <c r="H495">
        <f t="shared" si="5"/>
        <v>-0.41023063006621108</v>
      </c>
      <c r="I495">
        <f t="shared" si="6"/>
        <v>0.91634592975387541</v>
      </c>
      <c r="J495" s="36">
        <f>Option_Portfolio!$E$4 * EXP(-Option_Portfolio!$H$4* $E$392) * _xlfn.NORM.S.DIST(-F495, TRUE) - B495 * _xlfn.NORM.S.DIST(-D495, TRUE)</f>
        <v>3.2804299942369255</v>
      </c>
      <c r="K495" s="36">
        <f>C495 * _xlfn.NORM.S.DIST(E495, TRUE) - Option_Portfolio!$E$5 * EXP(-'Part 1'!$H$5*'Part 1'!$E$392) * _xlfn.NORM.S.DIST(G495, TRUE)</f>
        <v>27.116909726353271</v>
      </c>
      <c r="L495" s="36">
        <f t="shared" si="7"/>
        <v>-31270809.493048068</v>
      </c>
      <c r="O495" s="36">
        <v>-28523766.518869665</v>
      </c>
      <c r="P495" s="36">
        <f t="shared" si="8"/>
        <v>297181.31787475199</v>
      </c>
      <c r="Q495" s="36">
        <f t="shared" si="9"/>
        <v>3044224.2920531556</v>
      </c>
    </row>
    <row r="496" spans="1:17" x14ac:dyDescent="0.2">
      <c r="A496">
        <v>101</v>
      </c>
      <c r="B496" s="36">
        <f>Underlying_Assets!$C$365*(1+Underlying_Assets!H214)</f>
        <v>85.934642451759359</v>
      </c>
      <c r="C496" s="36">
        <f>Underlying_Assets!$D$365 * (1 + Underlying_Assets!I214)</f>
        <v>144.61194805194805</v>
      </c>
      <c r="D496">
        <f>(LN(B496/Option_Portfolio!$E$4) + (Option_Portfolio!$H$4 + (Option_Portfolio!$G$4^2)/2) * ($E$392)) / (Option_Portfolio!$G$4 * SQRT($E$392))</f>
        <v>0.19263076548958658</v>
      </c>
      <c r="E496">
        <f>(LN(C496/Option_Portfolio!$E$5) + (Option_Portfolio!$H$5 + (Option_Portfolio!$G$5^2)/2) * ($E$392)) / (Option_Portfolio!$G$5 * SQRT($E$392))</f>
        <v>1.3135756233885294</v>
      </c>
      <c r="F496">
        <f>D496-Option_Portfolio!$G$4*SQRT('Part 1'!$E$392)</f>
        <v>7.2904410830305313E-2</v>
      </c>
      <c r="G496">
        <f>E496-Option_Portfolio!$G$5*SQRT('Part 1'!$E$392)</f>
        <v>1.1586356350059301</v>
      </c>
      <c r="H496">
        <f t="shared" si="5"/>
        <v>-0.42362407439095107</v>
      </c>
      <c r="I496">
        <f t="shared" si="6"/>
        <v>0.90550547177021123</v>
      </c>
      <c r="J496" s="36">
        <f>Option_Portfolio!$E$4 * EXP(-Option_Portfolio!$H$4* $E$392) * _xlfn.NORM.S.DIST(-F496, TRUE) - B496 * _xlfn.NORM.S.DIST(-D496, TRUE)</f>
        <v>3.4279522746617204</v>
      </c>
      <c r="K496" s="36">
        <f>C496 * _xlfn.NORM.S.DIST(E496, TRUE) - Option_Portfolio!$E$5 * EXP(-'Part 1'!$H$5*'Part 1'!$E$392) * _xlfn.NORM.S.DIST(G496, TRUE)</f>
        <v>25.743194469908786</v>
      </c>
      <c r="L496" s="36">
        <f t="shared" si="7"/>
        <v>-27490723.017185535</v>
      </c>
      <c r="O496" s="36">
        <v>-28499795.772823978</v>
      </c>
      <c r="P496" s="36">
        <f t="shared" si="8"/>
        <v>273210.57182906568</v>
      </c>
      <c r="Q496" s="36">
        <f t="shared" si="9"/>
        <v>-735862.18380937725</v>
      </c>
    </row>
    <row r="497" spans="1:17" x14ac:dyDescent="0.2">
      <c r="A497">
        <v>102</v>
      </c>
      <c r="B497" s="36">
        <f>Underlying_Assets!$C$365*(1+Underlying_Assets!H215)</f>
        <v>85.215655719139292</v>
      </c>
      <c r="C497" s="36">
        <f>Underlying_Assets!$D$365 * (1 + Underlying_Assets!I215)</f>
        <v>143.85851755526659</v>
      </c>
      <c r="D497">
        <f>(LN(B497/Option_Portfolio!$E$4) + (Option_Portfolio!$H$4 + (Option_Portfolio!$G$4^2)/2) * ($E$392)) / (Option_Portfolio!$G$4 * SQRT($E$392))</f>
        <v>0.12245518606406912</v>
      </c>
      <c r="E497">
        <f>(LN(C497/Option_Portfolio!$E$5) + (Option_Portfolio!$H$5 + (Option_Portfolio!$G$5^2)/2) * ($E$392)) / (Option_Portfolio!$G$5 * SQRT($E$392))</f>
        <v>1.2798616993617709</v>
      </c>
      <c r="F497">
        <f>D497-Option_Portfolio!$G$4*SQRT('Part 1'!$E$392)</f>
        <v>2.728831404787857E-3</v>
      </c>
      <c r="G497">
        <f>E497-Option_Portfolio!$G$5*SQRT('Part 1'!$E$392)</f>
        <v>1.1249217109791716</v>
      </c>
      <c r="H497">
        <f t="shared" si="5"/>
        <v>-0.45126926757869346</v>
      </c>
      <c r="I497">
        <f t="shared" si="6"/>
        <v>0.89970311008106219</v>
      </c>
      <c r="J497" s="36">
        <f>Option_Portfolio!$E$4 * EXP(-Option_Portfolio!$H$4* $E$392) * _xlfn.NORM.S.DIST(-F497, TRUE) - B497 * _xlfn.NORM.S.DIST(-D497, TRUE)</f>
        <v>3.7424384002758302</v>
      </c>
      <c r="K497" s="36">
        <f>C497 * _xlfn.NORM.S.DIST(E497, TRUE) - Option_Portfolio!$E$5 * EXP(-'Part 1'!$H$5*'Part 1'!$E$392) * _xlfn.NORM.S.DIST(G497, TRUE)</f>
        <v>25.067288314015542</v>
      </c>
      <c r="L497" s="36">
        <f t="shared" si="7"/>
        <v>-23937507.826100271</v>
      </c>
      <c r="O497" s="36">
        <v>-28451241.188369438</v>
      </c>
      <c r="P497" s="36">
        <f t="shared" si="8"/>
        <v>224655.98737452552</v>
      </c>
      <c r="Q497" s="36">
        <f t="shared" si="9"/>
        <v>-4289077.3748946413</v>
      </c>
    </row>
    <row r="498" spans="1:17" x14ac:dyDescent="0.2">
      <c r="A498">
        <v>103</v>
      </c>
      <c r="B498" s="36">
        <f>Underlying_Assets!$C$365*(1+Underlying_Assets!H216)</f>
        <v>85.857237921604366</v>
      </c>
      <c r="C498" s="36">
        <f>Underlying_Assets!$D$365 * (1 + Underlying_Assets!I216)</f>
        <v>145.55811518324612</v>
      </c>
      <c r="D498">
        <f>(LN(B498/Option_Portfolio!$E$4) + (Option_Portfolio!$H$4 + (Option_Portfolio!$G$4^2)/2) * ($E$392)) / (Option_Portfolio!$G$4 * SQRT($E$392))</f>
        <v>0.18510407580701513</v>
      </c>
      <c r="E498">
        <f>(LN(C498/Option_Portfolio!$E$5) + (Option_Portfolio!$H$5 + (Option_Portfolio!$G$5^2)/2) * ($E$392)) / (Option_Portfolio!$G$5 * SQRT($E$392))</f>
        <v>1.3556660442754462</v>
      </c>
      <c r="F498">
        <f>D498-Option_Portfolio!$G$4*SQRT('Part 1'!$E$392)</f>
        <v>6.5377721147733867E-2</v>
      </c>
      <c r="G498">
        <f>E498-Option_Portfolio!$G$5*SQRT('Part 1'!$E$392)</f>
        <v>1.200726055892847</v>
      </c>
      <c r="H498">
        <f t="shared" si="5"/>
        <v>-0.4265737024101337</v>
      </c>
      <c r="I498">
        <f t="shared" si="6"/>
        <v>0.91239727606154131</v>
      </c>
      <c r="J498" s="36">
        <f>Option_Portfolio!$E$4 * EXP(-Option_Portfolio!$H$4* $E$392) * _xlfn.NORM.S.DIST(-F498, TRUE) - B498 * _xlfn.NORM.S.DIST(-D498, TRUE)</f>
        <v>3.4608568101958213</v>
      </c>
      <c r="K498" s="36">
        <f>C498 * _xlfn.NORM.S.DIST(E498, TRUE) - Option_Portfolio!$E$5 * EXP(-'Part 1'!$H$5*'Part 1'!$E$392) * _xlfn.NORM.S.DIST(G498, TRUE)</f>
        <v>26.598276806645714</v>
      </c>
      <c r="L498" s="36">
        <f t="shared" si="7"/>
        <v>-28970555.941920679</v>
      </c>
      <c r="O498" s="36">
        <v>-28397280.564857587</v>
      </c>
      <c r="P498" s="36">
        <f t="shared" si="8"/>
        <v>170695.36386267468</v>
      </c>
      <c r="Q498" s="36">
        <f t="shared" si="9"/>
        <v>743970.74092576653</v>
      </c>
    </row>
    <row r="499" spans="1:17" x14ac:dyDescent="0.2">
      <c r="A499">
        <v>104</v>
      </c>
      <c r="B499" s="36">
        <f>Underlying_Assets!$C$365*(1+Underlying_Assets!H217)</f>
        <v>85.466818388711872</v>
      </c>
      <c r="C499" s="36">
        <f>Underlying_Assets!$D$365 * (1 + Underlying_Assets!I217)</f>
        <v>145.61701388888886</v>
      </c>
      <c r="D499">
        <f>(LN(B499/Option_Portfolio!$E$4) + (Option_Portfolio!$H$4 + (Option_Portfolio!$G$4^2)/2) * ($E$392)) / (Option_Portfolio!$G$4 * SQRT($E$392))</f>
        <v>0.14703659153031873</v>
      </c>
      <c r="E499">
        <f>(LN(C499/Option_Portfolio!$E$5) + (Option_Portfolio!$H$5 + (Option_Portfolio!$G$5^2)/2) * ($E$392)) / (Option_Portfolio!$G$5 * SQRT($E$392))</f>
        <v>1.358277110919154</v>
      </c>
      <c r="F499">
        <f>D499-Option_Portfolio!$G$4*SQRT('Part 1'!$E$392)</f>
        <v>2.7310236871037466E-2</v>
      </c>
      <c r="G499">
        <f>E499-Option_Portfolio!$G$5*SQRT('Part 1'!$E$392)</f>
        <v>1.2033371225365548</v>
      </c>
      <c r="H499">
        <f t="shared" si="5"/>
        <v>-0.44155156916461813</v>
      </c>
      <c r="I499">
        <f t="shared" si="6"/>
        <v>0.91281211480186497</v>
      </c>
      <c r="J499" s="36">
        <f>Option_Portfolio!$E$4 * EXP(-Option_Portfolio!$H$4* $E$392) * _xlfn.NORM.S.DIST(-F499, TRUE) - B499 * _xlfn.NORM.S.DIST(-D499, TRUE)</f>
        <v>3.6303180401495894</v>
      </c>
      <c r="K499" s="36">
        <f>C499 * _xlfn.NORM.S.DIST(E499, TRUE) - Option_Portfolio!$E$5 * EXP(-'Part 1'!$H$5*'Part 1'!$E$392) * _xlfn.NORM.S.DIST(G499, TRUE)</f>
        <v>26.651727744912137</v>
      </c>
      <c r="L499" s="36">
        <f t="shared" si="7"/>
        <v>-27891229.208777148</v>
      </c>
      <c r="O499" s="36">
        <v>-28372239.265596174</v>
      </c>
      <c r="P499" s="36">
        <f t="shared" si="8"/>
        <v>145654.06460126117</v>
      </c>
      <c r="Q499" s="36">
        <f t="shared" si="9"/>
        <v>-335355.99221776426</v>
      </c>
    </row>
    <row r="500" spans="1:17" x14ac:dyDescent="0.2">
      <c r="A500">
        <v>105</v>
      </c>
      <c r="B500" s="36">
        <f>Underlying_Assets!$C$365*(1+Underlying_Assets!H218)</f>
        <v>84.917835616438353</v>
      </c>
      <c r="C500" s="36">
        <f>Underlying_Assets!$D$365 * (1 + Underlying_Assets!I218)</f>
        <v>145.17496763055678</v>
      </c>
      <c r="D500">
        <f>(LN(B500/Option_Portfolio!$E$4) + (Option_Portfolio!$H$4 + (Option_Portfolio!$G$4^2)/2) * ($E$392)) / (Option_Portfolio!$G$4 * SQRT($E$392))</f>
        <v>9.3213334086734351E-2</v>
      </c>
      <c r="E500">
        <f>(LN(C500/Option_Portfolio!$E$5) + (Option_Portfolio!$H$5 + (Option_Portfolio!$G$5^2)/2) * ($E$392)) / (Option_Portfolio!$G$5 * SQRT($E$392))</f>
        <v>1.3386547118838994</v>
      </c>
      <c r="F500">
        <f>D500-Option_Portfolio!$G$4*SQRT('Part 1'!$E$392)</f>
        <v>-2.6513020572546911E-2</v>
      </c>
      <c r="G500">
        <f>E500-Option_Portfolio!$G$5*SQRT('Part 1'!$E$392)</f>
        <v>1.1837147235013001</v>
      </c>
      <c r="H500">
        <f t="shared" si="5"/>
        <v>-0.46286704072085172</v>
      </c>
      <c r="I500">
        <f t="shared" si="6"/>
        <v>0.90965844699035125</v>
      </c>
      <c r="J500" s="36">
        <f>Option_Portfolio!$E$4 * EXP(-Option_Portfolio!$H$4* $E$392) * _xlfn.NORM.S.DIST(-F500, TRUE) - B500 * _xlfn.NORM.S.DIST(-D500, TRUE)</f>
        <v>3.8785605695429766</v>
      </c>
      <c r="K500" s="36">
        <f>C500 * _xlfn.NORM.S.DIST(E500, TRUE) - Option_Portfolio!$E$5 * EXP(-'Part 1'!$H$5*'Part 1'!$E$392) * _xlfn.NORM.S.DIST(G500, TRUE)</f>
        <v>26.251196116122031</v>
      </c>
      <c r="L500" s="36">
        <f t="shared" si="7"/>
        <v>-25352468.245443221</v>
      </c>
      <c r="O500" s="36">
        <v>-28360719.374252271</v>
      </c>
      <c r="P500" s="36">
        <f t="shared" si="8"/>
        <v>134134.17325735837</v>
      </c>
      <c r="Q500" s="36">
        <f t="shared" si="9"/>
        <v>-2874116.9555516914</v>
      </c>
    </row>
    <row r="501" spans="1:17" x14ac:dyDescent="0.2">
      <c r="A501">
        <v>106</v>
      </c>
      <c r="B501" s="36">
        <f>Underlying_Assets!$C$365*(1+Underlying_Assets!H219)</f>
        <v>85.443526970954338</v>
      </c>
      <c r="C501" s="36">
        <f>Underlying_Assets!$D$365 * (1 + Underlying_Assets!I219)</f>
        <v>144.42600086095564</v>
      </c>
      <c r="D501">
        <f>(LN(B501/Option_Portfolio!$E$4) + (Option_Portfolio!$H$4 + (Option_Portfolio!$G$4^2)/2) * ($E$392)) / (Option_Portfolio!$G$4 * SQRT($E$392))</f>
        <v>0.14476009070558457</v>
      </c>
      <c r="E501">
        <f>(LN(C501/Option_Portfolio!$E$5) + (Option_Portfolio!$H$5 + (Option_Portfolio!$G$5^2)/2) * ($E$392)) / (Option_Portfolio!$G$5 * SQRT($E$392))</f>
        <v>1.3052713566244825</v>
      </c>
      <c r="F501">
        <f>D501-Option_Portfolio!$G$4*SQRT('Part 1'!$E$392)</f>
        <v>2.5033736046303309E-2</v>
      </c>
      <c r="G501">
        <f>E501-Option_Portfolio!$G$5*SQRT('Part 1'!$E$392)</f>
        <v>1.1503313682418832</v>
      </c>
      <c r="H501">
        <f t="shared" si="5"/>
        <v>-0.44245014662163829</v>
      </c>
      <c r="I501">
        <f t="shared" si="6"/>
        <v>0.90409976806859205</v>
      </c>
      <c r="J501" s="36">
        <f>Option_Portfolio!$E$4 * EXP(-Option_Portfolio!$H$4* $E$392) * _xlfn.NORM.S.DIST(-F501, TRUE) - B501 * _xlfn.NORM.S.DIST(-D501, TRUE)</f>
        <v>3.6406128657253234</v>
      </c>
      <c r="K501" s="36">
        <f>C501 * _xlfn.NORM.S.DIST(E501, TRUE) - Option_Portfolio!$E$5 * EXP(-'Part 1'!$H$5*'Part 1'!$E$392) * _xlfn.NORM.S.DIST(G501, TRUE)</f>
        <v>25.575958829441419</v>
      </c>
      <c r="L501" s="36">
        <f t="shared" si="7"/>
        <v>-25667627.598805573</v>
      </c>
      <c r="O501" s="36">
        <v>-28350029.057970941</v>
      </c>
      <c r="P501" s="36">
        <f t="shared" si="8"/>
        <v>123443.85697602853</v>
      </c>
      <c r="Q501" s="36">
        <f t="shared" si="9"/>
        <v>-2558957.6021893397</v>
      </c>
    </row>
    <row r="502" spans="1:17" x14ac:dyDescent="0.2">
      <c r="A502">
        <v>107</v>
      </c>
      <c r="B502" s="36">
        <f>Underlying_Assets!$C$365*(1+Underlying_Assets!H220)</f>
        <v>84.986328938237349</v>
      </c>
      <c r="C502" s="36">
        <f>Underlying_Assets!$D$365 * (1 + Underlying_Assets!I220)</f>
        <v>144.2375485541649</v>
      </c>
      <c r="D502">
        <f>(LN(B502/Option_Portfolio!$E$4) + (Option_Portfolio!$H$4 + (Option_Portfolio!$G$4^2)/2) * ($E$392)) / (Option_Portfolio!$G$4 * SQRT($E$392))</f>
        <v>9.9947510118529648E-2</v>
      </c>
      <c r="E502">
        <f>(LN(C502/Option_Portfolio!$E$5) + (Option_Portfolio!$H$5 + (Option_Portfolio!$G$5^2)/2) * ($E$392)) / (Option_Portfolio!$G$5 * SQRT($E$392))</f>
        <v>1.2968442973482899</v>
      </c>
      <c r="F502">
        <f>D502-Option_Portfolio!$G$4*SQRT('Part 1'!$E$392)</f>
        <v>-1.9778844540751614E-2</v>
      </c>
      <c r="G502">
        <f>E502-Option_Portfolio!$G$5*SQRT('Part 1'!$E$392)</f>
        <v>1.1419043089656906</v>
      </c>
      <c r="H502">
        <f t="shared" si="5"/>
        <v>-0.4601929987698119</v>
      </c>
      <c r="I502">
        <f t="shared" si="6"/>
        <v>0.90265761720729065</v>
      </c>
      <c r="J502" s="36">
        <f>Option_Portfolio!$E$4 * EXP(-Option_Portfolio!$H$4* $E$392) * _xlfn.NORM.S.DIST(-F502, TRUE) - B502 * _xlfn.NORM.S.DIST(-D502, TRUE)</f>
        <v>3.8469488676132357</v>
      </c>
      <c r="K502" s="36">
        <f>C502 * _xlfn.NORM.S.DIST(E502, TRUE) - Option_Portfolio!$E$5 * EXP(-'Part 1'!$H$5*'Part 1'!$E$392) * _xlfn.NORM.S.DIST(G502, TRUE)</f>
        <v>25.406749731306974</v>
      </c>
      <c r="L502" s="36">
        <f t="shared" si="7"/>
        <v>-23884857.389321297</v>
      </c>
      <c r="O502" s="36">
        <v>-28324690.665424287</v>
      </c>
      <c r="P502" s="36">
        <f t="shared" si="8"/>
        <v>98105.464429374784</v>
      </c>
      <c r="Q502" s="36">
        <f t="shared" si="9"/>
        <v>-4341727.8116736151</v>
      </c>
    </row>
    <row r="503" spans="1:17" x14ac:dyDescent="0.2">
      <c r="A503">
        <v>108</v>
      </c>
      <c r="B503" s="36">
        <f>Underlying_Assets!$C$365*(1+Underlying_Assets!H221)</f>
        <v>85.439859976662774</v>
      </c>
      <c r="C503" s="36">
        <f>Underlying_Assets!$D$365 * (1 + Underlying_Assets!I221)</f>
        <v>145.36464471403812</v>
      </c>
      <c r="D503">
        <f>(LN(B503/Option_Portfolio!$E$4) + (Option_Portfolio!$H$4 + (Option_Portfolio!$G$4^2)/2) * ($E$392)) / (Option_Portfolio!$G$4 * SQRT($E$392))</f>
        <v>0.14440162251247751</v>
      </c>
      <c r="E503">
        <f>(LN(C503/Option_Portfolio!$E$5) + (Option_Portfolio!$H$5 + (Option_Portfolio!$G$5^2)/2) * ($E$392)) / (Option_Portfolio!$G$5 * SQRT($E$392))</f>
        <v>1.3470817711600929</v>
      </c>
      <c r="F503">
        <f>D503-Option_Portfolio!$G$4*SQRT('Part 1'!$E$392)</f>
        <v>2.467526785319625E-2</v>
      </c>
      <c r="G503">
        <f>E503-Option_Portfolio!$G$5*SQRT('Part 1'!$E$392)</f>
        <v>1.1921417827774936</v>
      </c>
      <c r="H503">
        <f t="shared" si="5"/>
        <v>-0.44259166782931858</v>
      </c>
      <c r="I503">
        <f t="shared" si="6"/>
        <v>0.91102305082776258</v>
      </c>
      <c r="J503" s="36">
        <f>Option_Portfolio!$E$4 * EXP(-Option_Portfolio!$H$4* $E$392) * _xlfn.NORM.S.DIST(-F503, TRUE) - B503 * _xlfn.NORM.S.DIST(-D503, TRUE)</f>
        <v>3.6422355873619168</v>
      </c>
      <c r="K503" s="36">
        <f>C503 * _xlfn.NORM.S.DIST(E503, TRUE) - Option_Portfolio!$E$5 * EXP(-'Part 1'!$H$5*'Part 1'!$E$392) * _xlfn.NORM.S.DIST(G503, TRUE)</f>
        <v>26.422881476214627</v>
      </c>
      <c r="L503" s="36">
        <f t="shared" si="7"/>
        <v>-27350113.840895839</v>
      </c>
      <c r="O503" s="36">
        <v>-28322811.245580841</v>
      </c>
      <c r="P503" s="36">
        <f t="shared" si="8"/>
        <v>96226.044585928321</v>
      </c>
      <c r="Q503" s="36">
        <f t="shared" si="9"/>
        <v>-876471.3600990735</v>
      </c>
    </row>
    <row r="504" spans="1:17" x14ac:dyDescent="0.2">
      <c r="A504">
        <v>109</v>
      </c>
      <c r="B504" s="36">
        <f>Underlying_Assets!$C$365*(1+Underlying_Assets!H222)</f>
        <v>82.366622950819675</v>
      </c>
      <c r="C504" s="36">
        <f>Underlying_Assets!$D$365 * (1 + Underlying_Assets!I222)</f>
        <v>145.36245144583515</v>
      </c>
      <c r="D504">
        <f>(LN(B504/Option_Portfolio!$E$4) + (Option_Portfolio!$H$4 + (Option_Portfolio!$G$4^2)/2) * ($E$392)) / (Option_Portfolio!$G$4 * SQRT($E$392))</f>
        <v>-0.16156645682463475</v>
      </c>
      <c r="E504">
        <f>(LN(C504/Option_Portfolio!$E$5) + (Option_Portfolio!$H$5 + (Option_Portfolio!$G$5^2)/2) * ($E$392)) / (Option_Portfolio!$G$5 * SQRT($E$392))</f>
        <v>1.3469843905012338</v>
      </c>
      <c r="F504">
        <f>D504-Option_Portfolio!$G$4*SQRT('Part 1'!$E$392)</f>
        <v>-0.28129281148391599</v>
      </c>
      <c r="G504">
        <f>E504-Option_Portfolio!$G$5*SQRT('Part 1'!$E$392)</f>
        <v>1.1920444021186345</v>
      </c>
      <c r="H504">
        <f t="shared" si="5"/>
        <v>-0.56417636311107944</v>
      </c>
      <c r="I504">
        <f t="shared" si="6"/>
        <v>0.91100736998088871</v>
      </c>
      <c r="J504" s="36">
        <f>Option_Portfolio!$E$4 * EXP(-Option_Portfolio!$H$4* $E$392) * _xlfn.NORM.S.DIST(-F504, TRUE) - B504 * _xlfn.NORM.S.DIST(-D504, TRUE)</f>
        <v>5.1881930715027593</v>
      </c>
      <c r="K504" s="36">
        <f>C504 * _xlfn.NORM.S.DIST(E504, TRUE) - Option_Portfolio!$E$5 * EXP(-'Part 1'!$H$5*'Part 1'!$E$392) * _xlfn.NORM.S.DIST(G504, TRUE)</f>
        <v>26.420894709546701</v>
      </c>
      <c r="L504" s="36">
        <f t="shared" si="7"/>
        <v>-16524437.91857408</v>
      </c>
      <c r="O504" s="36">
        <v>-28264594.451237984</v>
      </c>
      <c r="P504" s="36">
        <f t="shared" si="8"/>
        <v>38009.250243071467</v>
      </c>
      <c r="Q504" s="36">
        <f t="shared" si="9"/>
        <v>-11702147.282420833</v>
      </c>
    </row>
    <row r="505" spans="1:17" x14ac:dyDescent="0.2">
      <c r="A505">
        <v>110</v>
      </c>
      <c r="B505" s="36">
        <f>Underlying_Assets!$C$365*(1+Underlying_Assets!H223)</f>
        <v>86.617883959044363</v>
      </c>
      <c r="C505" s="36">
        <f>Underlying_Assets!$D$365 * (1 + Underlying_Assets!I223)</f>
        <v>144.05296646603614</v>
      </c>
      <c r="D505">
        <f>(LN(B505/Option_Portfolio!$E$4) + (Option_Portfolio!$H$4 + (Option_Portfolio!$G$4^2)/2) * ($E$392)) / (Option_Portfolio!$G$4 * SQRT($E$392))</f>
        <v>0.25877552252114661</v>
      </c>
      <c r="E505">
        <f>(LN(C505/Option_Portfolio!$E$5) + (Option_Portfolio!$H$5 + (Option_Portfolio!$G$5^2)/2) * ($E$392)) / (Option_Portfolio!$G$5 * SQRT($E$392))</f>
        <v>1.2885796231736688</v>
      </c>
      <c r="F505">
        <f>D505-Option_Portfolio!$G$4*SQRT('Part 1'!$E$392)</f>
        <v>0.13904916786186533</v>
      </c>
      <c r="G505">
        <f>E505-Option_Portfolio!$G$5*SQRT('Part 1'!$E$392)</f>
        <v>1.1336396347910696</v>
      </c>
      <c r="H505">
        <f t="shared" si="5"/>
        <v>-0.39790422246314061</v>
      </c>
      <c r="I505">
        <f t="shared" si="6"/>
        <v>0.90122786438347058</v>
      </c>
      <c r="J505" s="36">
        <f>Option_Portfolio!$E$4 * EXP(-Option_Portfolio!$H$4* $E$392) * _xlfn.NORM.S.DIST(-F505, TRUE) - B505 * _xlfn.NORM.S.DIST(-D505, TRUE)</f>
        <v>3.1473346155081501</v>
      </c>
      <c r="K505" s="36">
        <f>C505 * _xlfn.NORM.S.DIST(E505, TRUE) - Option_Portfolio!$E$5 * EXP(-'Part 1'!$H$5*'Part 1'!$E$392) * _xlfn.NORM.S.DIST(G505, TRUE)</f>
        <v>25.24129174846324</v>
      </c>
      <c r="L505" s="36">
        <f t="shared" si="7"/>
        <v>-28451241.188369438</v>
      </c>
      <c r="O505" s="36">
        <v>-28252824.331012595</v>
      </c>
      <c r="P505" s="36">
        <f t="shared" si="8"/>
        <v>26239.13001768291</v>
      </c>
      <c r="Q505" s="36">
        <f t="shared" si="9"/>
        <v>224655.98737452552</v>
      </c>
    </row>
    <row r="506" spans="1:17" x14ac:dyDescent="0.2">
      <c r="A506">
        <v>111</v>
      </c>
      <c r="B506" s="36">
        <f>Underlying_Assets!$C$365*(1+Underlying_Assets!H224)</f>
        <v>86.898648648648646</v>
      </c>
      <c r="C506" s="36">
        <f>Underlying_Assets!$D$365 * (1 + Underlying_Assets!I224)</f>
        <v>146.80242005185826</v>
      </c>
      <c r="D506">
        <f>(LN(B506/Option_Portfolio!$E$4) + (Option_Portfolio!$H$4 + (Option_Portfolio!$G$4^2)/2) * ($E$392)) / (Option_Portfolio!$G$4 * SQRT($E$392))</f>
        <v>0.28580528580390291</v>
      </c>
      <c r="E506">
        <f>(LN(C506/Option_Portfolio!$E$5) + (Option_Portfolio!$H$5 + (Option_Portfolio!$G$5^2)/2) * ($E$392)) / (Option_Portfolio!$G$5 * SQRT($E$392))</f>
        <v>1.410604588982366</v>
      </c>
      <c r="F506">
        <f>D506-Option_Portfolio!$G$4*SQRT('Part 1'!$E$392)</f>
        <v>0.16607893114462163</v>
      </c>
      <c r="G506">
        <f>E506-Option_Portfolio!$G$5*SQRT('Part 1'!$E$392)</f>
        <v>1.2556646005997667</v>
      </c>
      <c r="H506">
        <f t="shared" si="5"/>
        <v>-0.38751362972163361</v>
      </c>
      <c r="I506">
        <f t="shared" si="6"/>
        <v>0.92081938111889294</v>
      </c>
      <c r="J506" s="36">
        <f>Option_Portfolio!$E$4 * EXP(-Option_Portfolio!$H$4* $E$392) * _xlfn.NORM.S.DIST(-F506, TRUE) - B506 * _xlfn.NORM.S.DIST(-D506, TRUE)</f>
        <v>3.0370783917475279</v>
      </c>
      <c r="K506" s="36">
        <f>C506 * _xlfn.NORM.S.DIST(E506, TRUE) - Option_Portfolio!$E$5 * EXP(-'Part 1'!$H$5*'Part 1'!$E$392) * _xlfn.NORM.S.DIST(G506, TRUE)</f>
        <v>27.732769508697729</v>
      </c>
      <c r="L506" s="36">
        <f t="shared" si="7"/>
        <v>-34205990.275162764</v>
      </c>
      <c r="O506" s="36">
        <v>-28235714.4570258</v>
      </c>
      <c r="P506" s="36">
        <f t="shared" si="8"/>
        <v>9129.2560308873653</v>
      </c>
      <c r="Q506" s="36">
        <f t="shared" si="9"/>
        <v>5979405.0741678514</v>
      </c>
    </row>
    <row r="507" spans="1:17" x14ac:dyDescent="0.2">
      <c r="A507">
        <v>112</v>
      </c>
      <c r="B507" s="36">
        <f>Underlying_Assets!$C$365*(1+Underlying_Assets!H225)</f>
        <v>86.107457142857129</v>
      </c>
      <c r="C507" s="36">
        <f>Underlying_Assets!$D$365 * (1 + Underlying_Assets!I225)</f>
        <v>145.78755328218244</v>
      </c>
      <c r="D507">
        <f>(LN(B507/Option_Portfolio!$E$4) + (Option_Portfolio!$H$4 + (Option_Portfolio!$G$4^2)/2) * ($E$392)) / (Option_Portfolio!$G$4 * SQRT($E$392))</f>
        <v>0.20941054722767349</v>
      </c>
      <c r="E507">
        <f>(LN(C507/Option_Portfolio!$E$5) + (Option_Portfolio!$H$5 + (Option_Portfolio!$G$5^2)/2) * ($E$392)) / (Option_Portfolio!$G$5 * SQRT($E$392))</f>
        <v>1.3658314223626427</v>
      </c>
      <c r="F507">
        <f>D507-Option_Portfolio!$G$4*SQRT('Part 1'!$E$392)</f>
        <v>8.9684192568392232E-2</v>
      </c>
      <c r="G507">
        <f>E507-Option_Portfolio!$G$5*SQRT('Part 1'!$E$392)</f>
        <v>1.2108914339800434</v>
      </c>
      <c r="H507">
        <f t="shared" si="5"/>
        <v>-0.41706387989852378</v>
      </c>
      <c r="I507">
        <f t="shared" si="6"/>
        <v>0.91400405934104656</v>
      </c>
      <c r="J507" s="36">
        <f>Option_Portfolio!$E$4 * EXP(-Option_Portfolio!$H$4* $E$392) * _xlfn.NORM.S.DIST(-F507, TRUE) - B507 * _xlfn.NORM.S.DIST(-D507, TRUE)</f>
        <v>3.3553111685640857</v>
      </c>
      <c r="K507" s="36">
        <f>C507 * _xlfn.NORM.S.DIST(E507, TRUE) - Option_Portfolio!$E$5 * EXP(-'Part 1'!$H$5*'Part 1'!$E$392) * _xlfn.NORM.S.DIST(G507, TRUE)</f>
        <v>26.806636462749779</v>
      </c>
      <c r="L507" s="36">
        <f t="shared" si="7"/>
        <v>-30126094.745550957</v>
      </c>
      <c r="O507" s="36">
        <v>-28198960.680729184</v>
      </c>
      <c r="P507" s="36">
        <f t="shared" si="8"/>
        <v>-27624.520265728235</v>
      </c>
      <c r="Q507" s="36">
        <f t="shared" si="9"/>
        <v>1899509.544556044</v>
      </c>
    </row>
    <row r="508" spans="1:17" x14ac:dyDescent="0.2">
      <c r="A508">
        <v>113</v>
      </c>
      <c r="B508" s="36">
        <f>Underlying_Assets!$C$365*(1+Underlying_Assets!H226)</f>
        <v>86.207524893314357</v>
      </c>
      <c r="C508" s="36">
        <f>Underlying_Assets!$D$365 * (1 + Underlying_Assets!I226)</f>
        <v>144.24826418289587</v>
      </c>
      <c r="D508">
        <f>(LN(B508/Option_Portfolio!$E$4) + (Option_Portfolio!$H$4 + (Option_Portfolio!$G$4^2)/2) * ($E$392)) / (Option_Portfolio!$G$4 * SQRT($E$392))</f>
        <v>0.21911143281728232</v>
      </c>
      <c r="E508">
        <f>(LN(C508/Option_Portfolio!$E$5) + (Option_Portfolio!$H$5 + (Option_Portfolio!$G$5^2)/2) * ($E$392)) / (Option_Portfolio!$G$5 * SQRT($E$392))</f>
        <v>1.2973237654005103</v>
      </c>
      <c r="F508">
        <f>D508-Option_Portfolio!$G$4*SQRT('Part 1'!$E$392)</f>
        <v>9.9385078158001058E-2</v>
      </c>
      <c r="G508">
        <f>E508-Option_Portfolio!$G$5*SQRT('Part 1'!$E$392)</f>
        <v>1.1423837770179111</v>
      </c>
      <c r="H508">
        <f t="shared" si="5"/>
        <v>-0.41328162252935818</v>
      </c>
      <c r="I508">
        <f t="shared" si="6"/>
        <v>0.90274009468395477</v>
      </c>
      <c r="J508" s="36">
        <f>Option_Portfolio!$E$4 * EXP(-Option_Portfolio!$H$4* $E$392) * _xlfn.NORM.S.DIST(-F508, TRUE) - B508 * _xlfn.NORM.S.DIST(-D508, TRUE)</f>
        <v>3.3137658674880939</v>
      </c>
      <c r="K508" s="36">
        <f>C508 * _xlfn.NORM.S.DIST(E508, TRUE) - Option_Portfolio!$E$5 * EXP(-'Part 1'!$H$5*'Part 1'!$E$392) * _xlfn.NORM.S.DIST(G508, TRUE)</f>
        <v>25.416363562489323</v>
      </c>
      <c r="L508" s="36">
        <f t="shared" si="7"/>
        <v>-27636366.052561983</v>
      </c>
      <c r="O508" s="36">
        <v>-28197091.385465913</v>
      </c>
      <c r="P508" s="36">
        <f t="shared" si="8"/>
        <v>-29493.815529000014</v>
      </c>
      <c r="Q508" s="36">
        <f t="shared" si="9"/>
        <v>-590219.14843292907</v>
      </c>
    </row>
    <row r="509" spans="1:17" x14ac:dyDescent="0.2">
      <c r="A509">
        <v>114</v>
      </c>
      <c r="B509" s="36">
        <f>Underlying_Assets!$C$365*(1+Underlying_Assets!H227)</f>
        <v>86.12412166941759</v>
      </c>
      <c r="C509" s="36">
        <f>Underlying_Assets!$D$365 * (1 + Underlying_Assets!I227)</f>
        <v>144.61538461538461</v>
      </c>
      <c r="D509">
        <f>(LN(B509/Option_Portfolio!$E$4) + (Option_Portfolio!$H$4 + (Option_Portfolio!$G$4^2)/2) * ($E$392)) / (Option_Portfolio!$G$4 * SQRT($E$392))</f>
        <v>0.21102684150236348</v>
      </c>
      <c r="E509">
        <f>(LN(C509/Option_Portfolio!$E$5) + (Option_Portfolio!$H$5 + (Option_Portfolio!$G$5^2)/2) * ($E$392)) / (Option_Portfolio!$G$5 * SQRT($E$392))</f>
        <v>1.3137289973055912</v>
      </c>
      <c r="F509">
        <f>D509-Option_Portfolio!$G$4*SQRT('Part 1'!$E$392)</f>
        <v>9.1300486843082215E-2</v>
      </c>
      <c r="G509">
        <f>E509-Option_Portfolio!$G$5*SQRT('Part 1'!$E$392)</f>
        <v>1.158789008922992</v>
      </c>
      <c r="H509">
        <f t="shared" si="5"/>
        <v>-0.41643316323361224</v>
      </c>
      <c r="I509">
        <f t="shared" si="6"/>
        <v>0.90553129047222425</v>
      </c>
      <c r="J509" s="36">
        <f>Option_Portfolio!$E$4 * EXP(-Option_Portfolio!$H$4* $E$392) * _xlfn.NORM.S.DIST(-F509, TRUE) - B509 * _xlfn.NORM.S.DIST(-D509, TRUE)</f>
        <v>3.3483662522245012</v>
      </c>
      <c r="K509" s="36">
        <f>C509 * _xlfn.NORM.S.DIST(E509, TRUE) - Option_Portfolio!$E$5 * EXP(-'Part 1'!$H$5*'Part 1'!$E$392) * _xlfn.NORM.S.DIST(G509, TRUE)</f>
        <v>25.746287775929886</v>
      </c>
      <c r="L509" s="36">
        <f t="shared" si="7"/>
        <v>-28054011.786288265</v>
      </c>
      <c r="O509" s="36">
        <v>-28174180.504894085</v>
      </c>
      <c r="P509" s="36">
        <f t="shared" si="8"/>
        <v>-52404.696100827307</v>
      </c>
      <c r="Q509" s="36">
        <f t="shared" si="9"/>
        <v>-172573.4147066474</v>
      </c>
    </row>
    <row r="510" spans="1:17" x14ac:dyDescent="0.2">
      <c r="A510">
        <v>115</v>
      </c>
      <c r="B510" s="36">
        <f>Underlying_Assets!$C$365*(1+Underlying_Assets!H228)</f>
        <v>85.498478873239421</v>
      </c>
      <c r="C510" s="36">
        <f>Underlying_Assets!$D$365 * (1 + Underlying_Assets!I228)</f>
        <v>143.8141276595745</v>
      </c>
      <c r="D510">
        <f>(LN(B510/Option_Portfolio!$E$4) + (Option_Portfolio!$H$4 + (Option_Portfolio!$G$4^2)/2) * ($E$392)) / (Option_Portfolio!$G$4 * SQRT($E$392))</f>
        <v>0.15013008947800266</v>
      </c>
      <c r="E510">
        <f>(LN(C510/Option_Portfolio!$E$5) + (Option_Portfolio!$H$5 + (Option_Portfolio!$G$5^2)/2) * ($E$392)) / (Option_Portfolio!$G$5 * SQRT($E$392))</f>
        <v>1.2778698704233453</v>
      </c>
      <c r="F510">
        <f>D510-Option_Portfolio!$G$4*SQRT('Part 1'!$E$392)</f>
        <v>3.0403734818721398E-2</v>
      </c>
      <c r="G510">
        <f>E510-Option_Portfolio!$G$5*SQRT('Part 1'!$E$392)</f>
        <v>1.1229298820407461</v>
      </c>
      <c r="H510">
        <f t="shared" si="5"/>
        <v>-0.44033099052034941</v>
      </c>
      <c r="I510">
        <f t="shared" si="6"/>
        <v>0.89935234339718773</v>
      </c>
      <c r="J510" s="36">
        <f>Option_Portfolio!$E$4 * EXP(-Option_Portfolio!$H$4* $E$392) * _xlfn.NORM.S.DIST(-F510, TRUE) - B510 * _xlfn.NORM.S.DIST(-D510, TRUE)</f>
        <v>3.6163576282545122</v>
      </c>
      <c r="K510" s="36">
        <f>C510 * _xlfn.NORM.S.DIST(E510, TRUE) - Option_Portfolio!$E$5 * EXP(-'Part 1'!$H$5*'Part 1'!$E$392) * _xlfn.NORM.S.DIST(G510, TRUE)</f>
        <v>25.027609236798796</v>
      </c>
      <c r="L510" s="36">
        <f t="shared" si="7"/>
        <v>-24740715.075815998</v>
      </c>
      <c r="O510" s="36">
        <v>-28130825.325740896</v>
      </c>
      <c r="P510" s="36">
        <f t="shared" si="8"/>
        <v>-95759.87525401637</v>
      </c>
      <c r="Q510" s="36">
        <f t="shared" si="9"/>
        <v>-3485870.1251789145</v>
      </c>
    </row>
    <row r="511" spans="1:17" x14ac:dyDescent="0.2">
      <c r="A511">
        <v>116</v>
      </c>
      <c r="B511" s="36">
        <f>Underlying_Assets!$C$365*(1+Underlying_Assets!H229)</f>
        <v>85.699632768361582</v>
      </c>
      <c r="C511" s="36">
        <f>Underlying_Assets!$D$365 * (1 + Underlying_Assets!I229)</f>
        <v>143.12493573264783</v>
      </c>
      <c r="D511">
        <f>(LN(B511/Option_Portfolio!$E$4) + (Option_Portfolio!$H$4 + (Option_Portfolio!$G$4^2)/2) * ($E$392)) / (Option_Portfolio!$G$4 * SQRT($E$392))</f>
        <v>0.16975781212733812</v>
      </c>
      <c r="E511">
        <f>(LN(C511/Option_Portfolio!$E$5) + (Option_Portfolio!$H$5 + (Option_Portfolio!$G$5^2)/2) * ($E$392)) / (Option_Portfolio!$G$5 * SQRT($E$392))</f>
        <v>1.246865864090376</v>
      </c>
      <c r="F511">
        <f>D511-Option_Portfolio!$G$4*SQRT('Part 1'!$E$392)</f>
        <v>5.0031457468056859E-2</v>
      </c>
      <c r="G511">
        <f>E511-Option_Portfolio!$G$5*SQRT('Part 1'!$E$392)</f>
        <v>1.0919258757077768</v>
      </c>
      <c r="H511">
        <f t="shared" si="5"/>
        <v>-0.43260030316116205</v>
      </c>
      <c r="I511">
        <f t="shared" si="6"/>
        <v>0.89377665742062928</v>
      </c>
      <c r="J511" s="36">
        <f>Option_Portfolio!$E$4 * EXP(-Option_Portfolio!$H$4* $E$392) * _xlfn.NORM.S.DIST(-F511, TRUE) - B511 * _xlfn.NORM.S.DIST(-D511, TRUE)</f>
        <v>3.528561574649153</v>
      </c>
      <c r="K511" s="36">
        <f>C511 * _xlfn.NORM.S.DIST(E511, TRUE) - Option_Portfolio!$E$5 * EXP(-'Part 1'!$H$5*'Part 1'!$E$392) * _xlfn.NORM.S.DIST(G511, TRUE)</f>
        <v>24.413667644303601</v>
      </c>
      <c r="L511" s="36">
        <f t="shared" si="7"/>
        <v>-24127404.266063131</v>
      </c>
      <c r="O511" s="36">
        <v>-28054011.786288265</v>
      </c>
      <c r="P511" s="36">
        <f t="shared" si="8"/>
        <v>-172573.4147066474</v>
      </c>
      <c r="Q511" s="36">
        <f t="shared" si="9"/>
        <v>-4099180.9349317811</v>
      </c>
    </row>
    <row r="512" spans="1:17" x14ac:dyDescent="0.2">
      <c r="A512">
        <v>117</v>
      </c>
      <c r="B512" s="36">
        <f>Underlying_Assets!$C$365*(1+Underlying_Assets!H230)</f>
        <v>85.881351860574654</v>
      </c>
      <c r="C512" s="36">
        <f>Underlying_Assets!$D$365 * (1 + Underlying_Assets!I230)</f>
        <v>143.60745557000436</v>
      </c>
      <c r="D512">
        <f>(LN(B512/Option_Portfolio!$E$4) + (Option_Portfolio!$H$4 + (Option_Portfolio!$G$4^2)/2) * ($E$392)) / (Option_Portfolio!$G$4 * SQRT($E$392))</f>
        <v>0.18744960317061568</v>
      </c>
      <c r="E512">
        <f>(LN(C512/Option_Portfolio!$E$5) + (Option_Portfolio!$H$5 + (Option_Portfolio!$G$5^2)/2) * ($E$392)) / (Option_Portfolio!$G$5 * SQRT($E$392))</f>
        <v>1.2685881388485982</v>
      </c>
      <c r="F512">
        <f>D512-Option_Portfolio!$G$4*SQRT('Part 1'!$E$392)</f>
        <v>6.7723248511334419E-2</v>
      </c>
      <c r="G512">
        <f>E512-Option_Portfolio!$G$5*SQRT('Part 1'!$E$392)</f>
        <v>1.113648150465999</v>
      </c>
      <c r="H512">
        <f t="shared" si="5"/>
        <v>-0.42565406703585107</v>
      </c>
      <c r="I512">
        <f t="shared" si="6"/>
        <v>0.89770600154272473</v>
      </c>
      <c r="J512" s="36">
        <f>Option_Portfolio!$E$4 * EXP(-Option_Portfolio!$H$4* $E$392) * _xlfn.NORM.S.DIST(-F512, TRUE) - B512 * _xlfn.NORM.S.DIST(-D512, TRUE)</f>
        <v>3.4505815273115985</v>
      </c>
      <c r="K512" s="36">
        <f>C512 * _xlfn.NORM.S.DIST(E512, TRUE) - Option_Portfolio!$E$5 * EXP(-'Part 1'!$H$5*'Part 1'!$E$392) * _xlfn.NORM.S.DIST(G512, TRUE)</f>
        <v>24.843084394178319</v>
      </c>
      <c r="L512" s="36">
        <f t="shared" si="7"/>
        <v>-25532098.097175449</v>
      </c>
      <c r="O512" s="36">
        <v>-28025000.39868778</v>
      </c>
      <c r="P512" s="36">
        <f t="shared" si="8"/>
        <v>-201584.80230713263</v>
      </c>
      <c r="Q512" s="36">
        <f t="shared" si="9"/>
        <v>-2694487.1038194634</v>
      </c>
    </row>
    <row r="513" spans="1:17" x14ac:dyDescent="0.2">
      <c r="A513">
        <v>118</v>
      </c>
      <c r="B513" s="36">
        <f>Underlying_Assets!$C$365*(1+Underlying_Assets!H231)</f>
        <v>84.651366094521507</v>
      </c>
      <c r="C513" s="36">
        <f>Underlying_Assets!$D$365 * (1 + Underlying_Assets!I231)</f>
        <v>144.16713286713286</v>
      </c>
      <c r="D513">
        <f>(LN(B513/Option_Portfolio!$E$4) + (Option_Portfolio!$H$4 + (Option_Portfolio!$G$4^2)/2) * ($E$392)) / (Option_Portfolio!$G$4 * SQRT($E$392))</f>
        <v>6.6962617653311934E-2</v>
      </c>
      <c r="E513">
        <f>(LN(C513/Option_Portfolio!$E$5) + (Option_Portfolio!$H$5 + (Option_Portfolio!$G$5^2)/2) * ($E$392)) / (Option_Portfolio!$G$5 * SQRT($E$392))</f>
        <v>1.2936926791426049</v>
      </c>
      <c r="F513">
        <f>D513-Option_Portfolio!$G$4*SQRT('Part 1'!$E$392)</f>
        <v>-5.2763737005969327E-2</v>
      </c>
      <c r="G513">
        <f>E513-Option_Portfolio!$G$5*SQRT('Part 1'!$E$392)</f>
        <v>1.1387526907600056</v>
      </c>
      <c r="H513">
        <f t="shared" si="5"/>
        <v>-0.47330573158260647</v>
      </c>
      <c r="I513">
        <f t="shared" si="6"/>
        <v>0.90211420246031859</v>
      </c>
      <c r="J513" s="36">
        <f>Option_Portfolio!$E$4 * EXP(-Option_Portfolio!$H$4* $E$392) * _xlfn.NORM.S.DIST(-F513, TRUE) - B513 * _xlfn.NORM.S.DIST(-D513, TRUE)</f>
        <v>4.0032901092293685</v>
      </c>
      <c r="K513" s="36">
        <f>C513 * _xlfn.NORM.S.DIST(E513, TRUE) - Option_Portfolio!$E$5 * EXP(-'Part 1'!$H$5*'Part 1'!$E$392) * _xlfn.NORM.S.DIST(G513, TRUE)</f>
        <v>25.34359723228367</v>
      </c>
      <c r="L513" s="36">
        <f t="shared" si="7"/>
        <v>-22664163.699961759</v>
      </c>
      <c r="O513" s="36">
        <v>-28013066.895185068</v>
      </c>
      <c r="P513" s="36">
        <f t="shared" si="8"/>
        <v>-213518.30580984429</v>
      </c>
      <c r="Q513" s="36">
        <f t="shared" si="9"/>
        <v>-5562421.5010331534</v>
      </c>
    </row>
    <row r="514" spans="1:17" x14ac:dyDescent="0.2">
      <c r="A514">
        <v>119</v>
      </c>
      <c r="B514" s="36">
        <f>Underlying_Assets!$C$365*(1+Underlying_Assets!H232)</f>
        <v>85.474551083591322</v>
      </c>
      <c r="C514" s="36">
        <f>Underlying_Assets!$D$365 * (1 + Underlying_Assets!I232)</f>
        <v>146.00772607550482</v>
      </c>
      <c r="D514">
        <f>(LN(B514/Option_Portfolio!$E$4) + (Option_Portfolio!$H$4 + (Option_Portfolio!$G$4^2)/2) * ($E$392)) / (Option_Portfolio!$G$4 * SQRT($E$392))</f>
        <v>0.14779224717583503</v>
      </c>
      <c r="E514">
        <f>(LN(C514/Option_Portfolio!$E$5) + (Option_Portfolio!$H$5 + (Option_Portfolio!$G$5^2)/2) * ($E$392)) / (Option_Portfolio!$G$5 * SQRT($E$392))</f>
        <v>1.3755712652130072</v>
      </c>
      <c r="F514">
        <f>D514-Option_Portfolio!$G$4*SQRT('Part 1'!$E$392)</f>
        <v>2.8065892516553767E-2</v>
      </c>
      <c r="G514">
        <f>E514-Option_Portfolio!$G$5*SQRT('Part 1'!$E$392)</f>
        <v>1.220631276830408</v>
      </c>
      <c r="H514">
        <f t="shared" si="5"/>
        <v>-0.44125336400191628</v>
      </c>
      <c r="I514">
        <f t="shared" si="6"/>
        <v>0.91552279598902242</v>
      </c>
      <c r="J514" s="36">
        <f>Option_Portfolio!$E$4 * EXP(-Option_Portfolio!$H$4* $E$392) * _xlfn.NORM.S.DIST(-F514, TRUE) - B514 * _xlfn.NORM.S.DIST(-D514, TRUE)</f>
        <v>3.6269048095952527</v>
      </c>
      <c r="K514" s="36">
        <f>C514 * _xlfn.NORM.S.DIST(E514, TRUE) - Option_Portfolio!$E$5 * EXP(-'Part 1'!$H$5*'Part 1'!$E$392) * _xlfn.NORM.S.DIST(G514, TRUE)</f>
        <v>27.006941130588331</v>
      </c>
      <c r="L514" s="36">
        <f t="shared" si="7"/>
        <v>-28625548.594009895</v>
      </c>
      <c r="O514" s="36">
        <v>-27995184.433854602</v>
      </c>
      <c r="P514" s="36">
        <f t="shared" si="8"/>
        <v>-231400.76714031026</v>
      </c>
      <c r="Q514" s="36">
        <f t="shared" si="9"/>
        <v>398963.39301498234</v>
      </c>
    </row>
    <row r="515" spans="1:17" x14ac:dyDescent="0.2">
      <c r="A515">
        <v>120</v>
      </c>
      <c r="B515" s="36">
        <f>Underlying_Assets!$C$365*(1+Underlying_Assets!H233)</f>
        <v>85.637587195413289</v>
      </c>
      <c r="C515" s="36">
        <f>Underlying_Assets!$D$365 * (1 + Underlying_Assets!I233)</f>
        <v>139.06347409664781</v>
      </c>
      <c r="D515">
        <f>(LN(B515/Option_Portfolio!$E$4) + (Option_Portfolio!$H$4 + (Option_Portfolio!$G$4^2)/2) * ($E$392)) / (Option_Portfolio!$G$4 * SQRT($E$392))</f>
        <v>0.16370859269801716</v>
      </c>
      <c r="E515">
        <f>(LN(C515/Option_Portfolio!$E$5) + (Option_Portfolio!$H$5 + (Option_Portfolio!$G$5^2)/2) * ($E$392)) / (Option_Portfolio!$G$5 * SQRT($E$392))</f>
        <v>1.0610684563106816</v>
      </c>
      <c r="F515">
        <f>D515-Option_Portfolio!$G$4*SQRT('Part 1'!$E$392)</f>
        <v>4.3982238038735896E-2</v>
      </c>
      <c r="G515">
        <f>E515-Option_Portfolio!$G$5*SQRT('Part 1'!$E$392)</f>
        <v>0.90612846792808233</v>
      </c>
      <c r="H515">
        <f t="shared" si="5"/>
        <v>-0.43498027641051151</v>
      </c>
      <c r="I515">
        <f t="shared" si="6"/>
        <v>0.85567060407620599</v>
      </c>
      <c r="J515" s="36">
        <f>Option_Portfolio!$E$4 * EXP(-Option_Portfolio!$H$4* $E$392) * _xlfn.NORM.S.DIST(-F515, TRUE) - B515 * _xlfn.NORM.S.DIST(-D515, TRUE)</f>
        <v>3.555476320394547</v>
      </c>
      <c r="K515" s="36">
        <f>C515 * _xlfn.NORM.S.DIST(E515, TRUE) - Option_Portfolio!$E$5 * EXP(-'Part 1'!$H$5*'Part 1'!$E$392) * _xlfn.NORM.S.DIST(G515, TRUE)</f>
        <v>20.884598423168711</v>
      </c>
      <c r="L515" s="36">
        <f t="shared" si="7"/>
        <v>-16880862.603575591</v>
      </c>
      <c r="O515" s="36">
        <v>-27979903.795818567</v>
      </c>
      <c r="P515" s="36">
        <f t="shared" si="8"/>
        <v>-246681.40517634526</v>
      </c>
      <c r="Q515" s="36">
        <f t="shared" si="9"/>
        <v>-11345722.597419322</v>
      </c>
    </row>
    <row r="516" spans="1:17" x14ac:dyDescent="0.2">
      <c r="A516">
        <v>121</v>
      </c>
      <c r="B516" s="36">
        <f>Underlying_Assets!$C$365*(1+Underlying_Assets!H234)</f>
        <v>85.452901219803863</v>
      </c>
      <c r="C516" s="36">
        <f>Underlying_Assets!$D$365 * (1 + Underlying_Assets!I234)</f>
        <v>144.99691749773348</v>
      </c>
      <c r="D516">
        <f>(LN(B516/Option_Portfolio!$E$4) + (Option_Portfolio!$H$4 + (Option_Portfolio!$G$4^2)/2) * ($E$392)) / (Option_Portfolio!$G$4 * SQRT($E$392))</f>
        <v>0.14567640345383906</v>
      </c>
      <c r="E516">
        <f>(LN(C516/Option_Portfolio!$E$5) + (Option_Portfolio!$H$5 + (Option_Portfolio!$G$5^2)/2) * ($E$392)) / (Option_Portfolio!$G$5 * SQRT($E$392))</f>
        <v>1.3307341954041048</v>
      </c>
      <c r="F516">
        <f>D516-Option_Portfolio!$G$4*SQRT('Part 1'!$E$392)</f>
        <v>2.5950048794557798E-2</v>
      </c>
      <c r="G516">
        <f>E516-Option_Portfolio!$G$5*SQRT('Part 1'!$E$392)</f>
        <v>1.1757942070215055</v>
      </c>
      <c r="H516">
        <f t="shared" si="5"/>
        <v>-0.442088424970144</v>
      </c>
      <c r="I516">
        <f t="shared" si="6"/>
        <v>0.90836175644679928</v>
      </c>
      <c r="J516" s="36">
        <f>Option_Portfolio!$E$4 * EXP(-Option_Portfolio!$H$4* $E$392) * _xlfn.NORM.S.DIST(-F516, TRUE) - B516 * _xlfn.NORM.S.DIST(-D516, TRUE)</f>
        <v>3.6364669234503708</v>
      </c>
      <c r="K516" s="36">
        <f>C516 * _xlfn.NORM.S.DIST(E516, TRUE) - Option_Portfolio!$E$5 * EXP(-'Part 1'!$H$5*'Part 1'!$E$392) * _xlfn.NORM.S.DIST(G516, TRUE)</f>
        <v>26.0902819692284</v>
      </c>
      <c r="L516" s="36">
        <f t="shared" si="7"/>
        <v>-26725295.474304199</v>
      </c>
      <c r="O516" s="36">
        <v>-27966869.291905202</v>
      </c>
      <c r="P516" s="36">
        <f t="shared" si="8"/>
        <v>-259715.90908971056</v>
      </c>
      <c r="Q516" s="36">
        <f t="shared" si="9"/>
        <v>-1501289.7266907133</v>
      </c>
    </row>
    <row r="517" spans="1:17" x14ac:dyDescent="0.2">
      <c r="A517">
        <v>122</v>
      </c>
      <c r="B517" s="36">
        <f>Underlying_Assets!$C$365*(1+Underlying_Assets!H235)</f>
        <v>86.377854571634259</v>
      </c>
      <c r="C517" s="36">
        <f>Underlying_Assets!$D$365 * (1 + Underlying_Assets!I235)</f>
        <v>147.55310095065639</v>
      </c>
      <c r="D517">
        <f>(LN(B517/Option_Portfolio!$E$4) + (Option_Portfolio!$H$4 + (Option_Portfolio!$G$4^2)/2) * ($E$392)) / (Option_Portfolio!$G$4 * SQRT($E$392))</f>
        <v>0.23559786579915451</v>
      </c>
      <c r="E517">
        <f>(LN(C517/Option_Portfolio!$E$5) + (Option_Portfolio!$H$5 + (Option_Portfolio!$G$5^2)/2) * ($E$392)) / (Option_Portfolio!$G$5 * SQRT($E$392))</f>
        <v>1.4435238894164215</v>
      </c>
      <c r="F517">
        <f>D517-Option_Portfolio!$G$4*SQRT('Part 1'!$E$392)</f>
        <v>0.11587151113987325</v>
      </c>
      <c r="G517">
        <f>E517-Option_Portfolio!$G$5*SQRT('Part 1'!$E$392)</f>
        <v>1.2885839010338223</v>
      </c>
      <c r="H517">
        <f t="shared" si="5"/>
        <v>-0.40687236484721034</v>
      </c>
      <c r="I517">
        <f t="shared" si="6"/>
        <v>0.92556352608163128</v>
      </c>
      <c r="J517" s="36">
        <f>Option_Portfolio!$E$4 * EXP(-Option_Portfolio!$H$4* $E$392) * _xlfn.NORM.S.DIST(-F517, TRUE) - B517 * _xlfn.NORM.S.DIST(-D517, TRUE)</f>
        <v>3.2439181056286088</v>
      </c>
      <c r="K517" s="36">
        <f>C517 * _xlfn.NORM.S.DIST(E517, TRUE) - Option_Portfolio!$E$5 * EXP(-'Part 1'!$H$5*'Part 1'!$E$392) * _xlfn.NORM.S.DIST(G517, TRUE)</f>
        <v>28.42233539351335</v>
      </c>
      <c r="L517" s="36">
        <f t="shared" si="7"/>
        <v>-34137244.047626436</v>
      </c>
      <c r="O517" s="36">
        <v>-27918431.559977215</v>
      </c>
      <c r="P517" s="36">
        <f t="shared" si="8"/>
        <v>-308153.64101769775</v>
      </c>
      <c r="Q517" s="36">
        <f t="shared" si="9"/>
        <v>5910658.8466315232</v>
      </c>
    </row>
    <row r="518" spans="1:17" x14ac:dyDescent="0.2">
      <c r="A518">
        <v>123</v>
      </c>
      <c r="B518" s="36">
        <f>Underlying_Assets!$C$365*(1+Underlying_Assets!H236)</f>
        <v>85.576607908527862</v>
      </c>
      <c r="C518" s="36">
        <f>Underlying_Assets!$D$365 * (1 + Underlying_Assets!I236)</f>
        <v>148.78827187916482</v>
      </c>
      <c r="D518">
        <f>(LN(B518/Option_Portfolio!$E$4) + (Option_Portfolio!$H$4 + (Option_Portfolio!$G$4^2)/2) * ($E$392)) / (Option_Portfolio!$G$4 * SQRT($E$392))</f>
        <v>0.15775906039126489</v>
      </c>
      <c r="E518">
        <f>(LN(C518/Option_Portfolio!$E$5) + (Option_Portfolio!$H$5 + (Option_Portfolio!$G$5^2)/2) * ($E$392)) / (Option_Portfolio!$G$5 * SQRT($E$392))</f>
        <v>1.4973265514994167</v>
      </c>
      <c r="F518">
        <f>D518-Option_Portfolio!$G$4*SQRT('Part 1'!$E$392)</f>
        <v>3.8032705731983626E-2</v>
      </c>
      <c r="G518">
        <f>E518-Option_Portfolio!$G$5*SQRT('Part 1'!$E$392)</f>
        <v>1.3423865631168175</v>
      </c>
      <c r="H518">
        <f t="shared" si="5"/>
        <v>-0.43732332983518774</v>
      </c>
      <c r="I518">
        <f t="shared" si="6"/>
        <v>0.93284584531548731</v>
      </c>
      <c r="J518" s="36">
        <f>Option_Portfolio!$E$4 * EXP(-Option_Portfolio!$H$4* $E$392) * _xlfn.NORM.S.DIST(-F518, TRUE) - B518 * _xlfn.NORM.S.DIST(-D518, TRUE)</f>
        <v>3.5820725264555477</v>
      </c>
      <c r="K518" s="36">
        <f>C518 * _xlfn.NORM.S.DIST(E518, TRUE) - Option_Portfolio!$E$5 * EXP(-'Part 1'!$H$5*'Part 1'!$E$392) * _xlfn.NORM.S.DIST(G518, TRUE)</f>
        <v>29.564762606088507</v>
      </c>
      <c r="L518" s="36">
        <f t="shared" si="7"/>
        <v>-34055017.526988178</v>
      </c>
      <c r="O518" s="36">
        <v>-27907637.208457764</v>
      </c>
      <c r="P518" s="36">
        <f t="shared" si="8"/>
        <v>-318947.9925371483</v>
      </c>
      <c r="Q518" s="36">
        <f t="shared" si="9"/>
        <v>5828432.325993266</v>
      </c>
    </row>
    <row r="519" spans="1:17" x14ac:dyDescent="0.2">
      <c r="A519">
        <v>124</v>
      </c>
      <c r="B519" s="36">
        <f>Underlying_Assets!$C$365*(1+Underlying_Assets!H237)</f>
        <v>85.944630071599036</v>
      </c>
      <c r="C519" s="36">
        <f>Underlying_Assets!$D$365 * (1 + Underlying_Assets!I237)</f>
        <v>145.80164288802422</v>
      </c>
      <c r="D519">
        <f>(LN(B519/Option_Portfolio!$E$4) + (Option_Portfolio!$H$4 + (Option_Portfolio!$G$4^2)/2) * ($E$392)) / (Option_Portfolio!$G$4 * SQRT($E$392))</f>
        <v>0.19360145141605878</v>
      </c>
      <c r="E519">
        <f>(LN(C519/Option_Portfolio!$E$5) + (Option_Portfolio!$H$5 + (Option_Portfolio!$G$5^2)/2) * ($E$392)) / (Option_Portfolio!$G$5 * SQRT($E$392))</f>
        <v>1.3664551484260288</v>
      </c>
      <c r="F519">
        <f>D519-Option_Portfolio!$G$4*SQRT('Part 1'!$E$392)</f>
        <v>7.3875096756777517E-2</v>
      </c>
      <c r="G519">
        <f>E519-Option_Portfolio!$G$5*SQRT('Part 1'!$E$392)</f>
        <v>1.2115151600434295</v>
      </c>
      <c r="H519">
        <f t="shared" si="5"/>
        <v>-0.42324398081473236</v>
      </c>
      <c r="I519">
        <f t="shared" si="6"/>
        <v>0.91410192532320178</v>
      </c>
      <c r="J519" s="36">
        <f>Option_Portfolio!$E$4 * EXP(-Option_Portfolio!$H$4* $E$392) * _xlfn.NORM.S.DIST(-F519, TRUE) - B519 * _xlfn.NORM.S.DIST(-D519, TRUE)</f>
        <v>3.4237231766629037</v>
      </c>
      <c r="K519" s="36">
        <f>C519 * _xlfn.NORM.S.DIST(E519, TRUE) - Option_Portfolio!$E$5 * EXP(-'Part 1'!$H$5*'Part 1'!$E$392) * _xlfn.NORM.S.DIST(G519, TRUE)</f>
        <v>26.819444162512951</v>
      </c>
      <c r="L519" s="36">
        <f t="shared" si="7"/>
        <v>-29672826.088385575</v>
      </c>
      <c r="O519" s="36">
        <v>-27891229.208777148</v>
      </c>
      <c r="P519" s="36">
        <f t="shared" si="8"/>
        <v>-335355.99221776426</v>
      </c>
      <c r="Q519" s="36">
        <f t="shared" si="9"/>
        <v>1446240.887390662</v>
      </c>
    </row>
    <row r="520" spans="1:17" x14ac:dyDescent="0.2">
      <c r="A520">
        <v>125</v>
      </c>
      <c r="B520" s="36">
        <f>Underlying_Assets!$C$365*(1+Underlying_Assets!H238)</f>
        <v>86.066628571428552</v>
      </c>
      <c r="C520" s="36">
        <f>Underlying_Assets!$D$365 * (1 + Underlying_Assets!I238)</f>
        <v>146.9138686131387</v>
      </c>
      <c r="D520">
        <f>(LN(B520/Option_Portfolio!$E$4) + (Option_Portfolio!$H$4 + (Option_Portfolio!$G$4^2)/2) * ($E$392)) / (Option_Portfolio!$G$4 * SQRT($E$392))</f>
        <v>0.20544925717694557</v>
      </c>
      <c r="E520">
        <f>(LN(C520/Option_Portfolio!$E$5) + (Option_Portfolio!$H$5 + (Option_Portfolio!$G$5^2)/2) * ($E$392)) / (Option_Portfolio!$G$5 * SQRT($E$392))</f>
        <v>1.4155025230192135</v>
      </c>
      <c r="F520">
        <f>D520-Option_Portfolio!$G$4*SQRT('Part 1'!$E$392)</f>
        <v>8.5722902517664304E-2</v>
      </c>
      <c r="G520">
        <f>E520-Option_Portfolio!$G$5*SQRT('Part 1'!$E$392)</f>
        <v>1.2605625346366143</v>
      </c>
      <c r="H520">
        <f t="shared" si="5"/>
        <v>-0.41861056964776755</v>
      </c>
      <c r="I520">
        <f t="shared" si="6"/>
        <v>0.92153939540748642</v>
      </c>
      <c r="J520" s="36">
        <f>Option_Portfolio!$E$4 * EXP(-Option_Portfolio!$H$4* $E$392) * _xlfn.NORM.S.DIST(-F520, TRUE) - B520 * _xlfn.NORM.S.DIST(-D520, TRUE)</f>
        <v>3.3723708587213537</v>
      </c>
      <c r="K520" s="36">
        <f>C520 * _xlfn.NORM.S.DIST(E520, TRUE) - Option_Portfolio!$E$5 * EXP(-'Part 1'!$H$5*'Part 1'!$E$392) * _xlfn.NORM.S.DIST(G520, TRUE)</f>
        <v>27.834907904759831</v>
      </c>
      <c r="L520" s="36">
        <f t="shared" si="7"/>
        <v>-32063219.798470188</v>
      </c>
      <c r="O520" s="36">
        <v>-27826510.383015506</v>
      </c>
      <c r="P520" s="36">
        <f t="shared" si="8"/>
        <v>-400074.81797940657</v>
      </c>
      <c r="Q520" s="36">
        <f t="shared" si="9"/>
        <v>3836634.5974752754</v>
      </c>
    </row>
    <row r="521" spans="1:17" x14ac:dyDescent="0.2">
      <c r="A521">
        <v>126</v>
      </c>
      <c r="B521" s="36">
        <f>Underlying_Assets!$C$365*(1+Underlying_Assets!H239)</f>
        <v>85.292590132827314</v>
      </c>
      <c r="C521" s="36">
        <f>Underlying_Assets!$D$365 * (1 + Underlying_Assets!I239)</f>
        <v>143.75827338129497</v>
      </c>
      <c r="D521">
        <f>(LN(B521/Option_Portfolio!$E$4) + (Option_Portfolio!$H$4 + (Option_Portfolio!$G$4^2)/2) * ($E$392)) / (Option_Portfolio!$G$4 * SQRT($E$392))</f>
        <v>0.12999248130849983</v>
      </c>
      <c r="E521">
        <f>(LN(C521/Option_Portfolio!$E$5) + (Option_Portfolio!$H$5 + (Option_Portfolio!$G$5^2)/2) * ($E$392)) / (Option_Portfolio!$G$5 * SQRT($E$392))</f>
        <v>1.2753627469503233</v>
      </c>
      <c r="F521">
        <f>D521-Option_Portfolio!$G$4*SQRT('Part 1'!$E$392)</f>
        <v>1.0266126649218568E-2</v>
      </c>
      <c r="G521">
        <f>E521-Option_Portfolio!$G$5*SQRT('Part 1'!$E$392)</f>
        <v>1.120422758567724</v>
      </c>
      <c r="H521">
        <f t="shared" si="5"/>
        <v>-0.44828618763163364</v>
      </c>
      <c r="I521">
        <f t="shared" si="6"/>
        <v>0.8989095610294241</v>
      </c>
      <c r="J521" s="36">
        <f>Option_Portfolio!$E$4 * EXP(-Option_Portfolio!$H$4* $E$392) * _xlfn.NORM.S.DIST(-F521, TRUE) - B521 * _xlfn.NORM.S.DIST(-D521, TRUE)</f>
        <v>3.7078350499667252</v>
      </c>
      <c r="K521" s="36">
        <f>C521 * _xlfn.NORM.S.DIST(E521, TRUE) - Option_Portfolio!$E$5 * EXP(-'Part 1'!$H$5*'Part 1'!$E$392) * _xlfn.NORM.S.DIST(G521, TRUE)</f>
        <v>24.977705486721348</v>
      </c>
      <c r="L521" s="36">
        <f t="shared" si="7"/>
        <v>-24000565.623675618</v>
      </c>
      <c r="O521" s="36">
        <v>-27668448.377624832</v>
      </c>
      <c r="P521" s="36">
        <f t="shared" si="8"/>
        <v>-558136.82337008044</v>
      </c>
      <c r="Q521" s="36">
        <f t="shared" si="9"/>
        <v>-4226019.5773192942</v>
      </c>
    </row>
    <row r="522" spans="1:17" x14ac:dyDescent="0.2">
      <c r="A522">
        <v>127</v>
      </c>
      <c r="B522" s="36">
        <f>Underlying_Assets!$C$365*(1+Underlying_Assets!H240)</f>
        <v>85.74</v>
      </c>
      <c r="C522" s="36">
        <f>Underlying_Assets!$D$365 * (1 + Underlying_Assets!I240)</f>
        <v>144.3062233589088</v>
      </c>
      <c r="D522">
        <f>(LN(B522/Option_Portfolio!$E$4) + (Option_Portfolio!$H$4 + (Option_Portfolio!$G$4^2)/2) * ($E$392)) / (Option_Portfolio!$G$4 * SQRT($E$392))</f>
        <v>0.17369112037775097</v>
      </c>
      <c r="E522">
        <f>(LN(C522/Option_Portfolio!$E$5) + (Option_Portfolio!$H$5 + (Option_Portfolio!$G$5^2)/2) * ($E$392)) / (Option_Portfolio!$G$5 * SQRT($E$392))</f>
        <v>1.299916516650407</v>
      </c>
      <c r="F522">
        <f>D522-Option_Portfolio!$G$4*SQRT('Part 1'!$E$392)</f>
        <v>5.3964765718469712E-2</v>
      </c>
      <c r="G522">
        <f>E522-Option_Portfolio!$G$5*SQRT('Part 1'!$E$392)</f>
        <v>1.1449765282678077</v>
      </c>
      <c r="H522">
        <f t="shared" si="5"/>
        <v>-0.43105410818182932</v>
      </c>
      <c r="I522">
        <f t="shared" si="6"/>
        <v>0.90318520821397263</v>
      </c>
      <c r="J522" s="36">
        <f>Option_Portfolio!$E$4 * EXP(-Option_Portfolio!$H$4* $E$392) * _xlfn.NORM.S.DIST(-F522, TRUE) - B522 * _xlfn.NORM.S.DIST(-D522, TRUE)</f>
        <v>3.5111299117726347</v>
      </c>
      <c r="K522" s="36">
        <f>C522 * _xlfn.NORM.S.DIST(E522, TRUE) - Option_Portfolio!$E$5 * EXP(-'Part 1'!$H$5*'Part 1'!$E$392) * _xlfn.NORM.S.DIST(G522, TRUE)</f>
        <v>25.468379220641992</v>
      </c>
      <c r="L522" s="36">
        <f t="shared" si="7"/>
        <v>-26358849.058875546</v>
      </c>
      <c r="O522" s="36">
        <v>-27636366.052561983</v>
      </c>
      <c r="P522" s="36">
        <f t="shared" si="8"/>
        <v>-590219.14843292907</v>
      </c>
      <c r="Q522" s="36">
        <f t="shared" si="9"/>
        <v>-1867736.1421193667</v>
      </c>
    </row>
    <row r="523" spans="1:17" x14ac:dyDescent="0.2">
      <c r="A523">
        <v>128</v>
      </c>
      <c r="B523" s="36">
        <f>Underlying_Assets!$C$365*(1+Underlying_Assets!H241)</f>
        <v>87.907010014306152</v>
      </c>
      <c r="C523" s="36">
        <f>Underlying_Assets!$D$365 * (1 + Underlying_Assets!I241)</f>
        <v>144.49033361847734</v>
      </c>
      <c r="D523">
        <f>(LN(B523/Option_Portfolio!$E$4) + (Option_Portfolio!$H$4 + (Option_Portfolio!$G$4^2)/2) * ($E$392)) / (Option_Portfolio!$G$4 * SQRT($E$392))</f>
        <v>0.38216727661603628</v>
      </c>
      <c r="E523">
        <f>(LN(C523/Option_Portfolio!$E$5) + (Option_Portfolio!$H$5 + (Option_Portfolio!$G$5^2)/2) * ($E$392)) / (Option_Portfolio!$G$5 * SQRT($E$392))</f>
        <v>1.3081456199576489</v>
      </c>
      <c r="F523">
        <f>D523-Option_Portfolio!$G$4*SQRT('Part 1'!$E$392)</f>
        <v>0.262440921956755</v>
      </c>
      <c r="G523">
        <f>E523-Option_Portfolio!$G$5*SQRT('Part 1'!$E$392)</f>
        <v>1.1532056315750496</v>
      </c>
      <c r="H523">
        <f t="shared" ref="H523:H586" si="10">_xlfn.NORM.S.DIST(D523, TRUE) - 1</f>
        <v>-0.35116864622562338</v>
      </c>
      <c r="I523">
        <f t="shared" ref="I523:I586" si="11">_xlfn.NORM.S.DIST(E523, TRUE)</f>
        <v>0.90458803871826532</v>
      </c>
      <c r="J523" s="36">
        <f>Option_Portfolio!$E$4 * EXP(-Option_Portfolio!$H$4* $E$392) * _xlfn.NORM.S.DIST(-F523, TRUE) - B523 * _xlfn.NORM.S.DIST(-D523, TRUE)</f>
        <v>2.6647825559697367</v>
      </c>
      <c r="K523" s="36">
        <f>C523 * _xlfn.NORM.S.DIST(E523, TRUE) - Option_Portfolio!$E$5 * EXP(-'Part 1'!$H$5*'Part 1'!$E$392) * _xlfn.NORM.S.DIST(G523, TRUE)</f>
        <v>25.633787056448696</v>
      </c>
      <c r="L523" s="36">
        <f t="shared" ref="L523:L586" si="12">(K523 * -2000 * 1000) + (J523 * 7000 * 1000)</f>
        <v>-32614096.221109234</v>
      </c>
      <c r="O523" s="36">
        <v>-27582153.446579583</v>
      </c>
      <c r="P523" s="36">
        <f t="shared" si="8"/>
        <v>-644431.75441532955</v>
      </c>
      <c r="Q523" s="36">
        <f t="shared" si="9"/>
        <v>4387511.0201143213</v>
      </c>
    </row>
    <row r="524" spans="1:17" x14ac:dyDescent="0.2">
      <c r="A524">
        <v>129</v>
      </c>
      <c r="B524" s="36">
        <f>Underlying_Assets!$C$365*(1+Underlying_Assets!H242)</f>
        <v>85.720060465116276</v>
      </c>
      <c r="C524" s="36">
        <f>Underlying_Assets!$D$365 * (1 + Underlying_Assets!I242)</f>
        <v>144.98619802828975</v>
      </c>
      <c r="D524">
        <f>(LN(B524/Option_Portfolio!$E$4) + (Option_Portfolio!$H$4 + (Option_Portfolio!$G$4^2)/2) * ($E$392)) / (Option_Portfolio!$G$4 * SQRT($E$392))</f>
        <v>0.17174848054682881</v>
      </c>
      <c r="E524">
        <f>(LN(C524/Option_Portfolio!$E$5) + (Option_Portfolio!$H$5 + (Option_Portfolio!$G$5^2)/2) * ($E$392)) / (Option_Portfolio!$G$5 * SQRT($E$392))</f>
        <v>1.3302570320794285</v>
      </c>
      <c r="F524">
        <f>D524-Option_Portfolio!$G$4*SQRT('Part 1'!$E$392)</f>
        <v>5.2022125887547552E-2</v>
      </c>
      <c r="G524">
        <f>E524-Option_Portfolio!$G$5*SQRT('Part 1'!$E$392)</f>
        <v>1.1753170436968292</v>
      </c>
      <c r="H524">
        <f t="shared" si="10"/>
        <v>-0.43181763504950799</v>
      </c>
      <c r="I524">
        <f t="shared" si="11"/>
        <v>0.90828320050408395</v>
      </c>
      <c r="J524" s="36">
        <f>Option_Portfolio!$E$4 * EXP(-Option_Portfolio!$H$4* $E$392) * _xlfn.NORM.S.DIST(-F524, TRUE) - B524 * _xlfn.NORM.S.DIST(-D524, TRUE)</f>
        <v>3.5197325416640268</v>
      </c>
      <c r="K524" s="36">
        <f>C524 * _xlfn.NORM.S.DIST(E524, TRUE) - Option_Portfolio!$E$5 * EXP(-'Part 1'!$H$5*'Part 1'!$E$392) * _xlfn.NORM.S.DIST(G524, TRUE)</f>
        <v>26.080601868607374</v>
      </c>
      <c r="L524" s="36">
        <f t="shared" si="12"/>
        <v>-27523075.945566557</v>
      </c>
      <c r="O524" s="36">
        <v>-27538460.475157939</v>
      </c>
      <c r="P524" s="36">
        <f t="shared" si="8"/>
        <v>-688124.72583697364</v>
      </c>
      <c r="Q524" s="36">
        <f t="shared" si="9"/>
        <v>-703509.25542835519</v>
      </c>
    </row>
    <row r="525" spans="1:17" x14ac:dyDescent="0.2">
      <c r="A525">
        <v>130</v>
      </c>
      <c r="B525" s="36">
        <f>Underlying_Assets!$C$365*(1+Underlying_Assets!H243)</f>
        <v>86.118939288206548</v>
      </c>
      <c r="C525" s="36">
        <f>Underlying_Assets!$D$365 * (1 + Underlying_Assets!I243)</f>
        <v>142.13458904109592</v>
      </c>
      <c r="D525">
        <f>(LN(B525/Option_Portfolio!$E$4) + (Option_Portfolio!$H$4 + (Option_Portfolio!$G$4^2)/2) * ($E$392)) / (Option_Portfolio!$G$4 * SQRT($E$392))</f>
        <v>0.21052423528399503</v>
      </c>
      <c r="E525">
        <f>(LN(C525/Option_Portfolio!$E$5) + (Option_Portfolio!$H$5 + (Option_Portfolio!$G$5^2)/2) * ($E$392)) / (Option_Portfolio!$G$5 * SQRT($E$392))</f>
        <v>1.2020516977157176</v>
      </c>
      <c r="F525">
        <f>D525-Option_Portfolio!$G$4*SQRT('Part 1'!$E$392)</f>
        <v>9.0797880624713764E-2</v>
      </c>
      <c r="G525">
        <f>E525-Option_Portfolio!$G$5*SQRT('Part 1'!$E$392)</f>
        <v>1.0471117093331184</v>
      </c>
      <c r="H525">
        <f t="shared" si="10"/>
        <v>-0.41662926922596599</v>
      </c>
      <c r="I525">
        <f t="shared" si="11"/>
        <v>0.88532825053551201</v>
      </c>
      <c r="J525" s="36">
        <f>Option_Portfolio!$E$4 * EXP(-Option_Portfolio!$H$4* $E$392) * _xlfn.NORM.S.DIST(-F525, TRUE) - B525 * _xlfn.NORM.S.DIST(-D525, TRUE)</f>
        <v>3.3505248757592412</v>
      </c>
      <c r="K525" s="36">
        <f>C525 * _xlfn.NORM.S.DIST(E525, TRUE) - Option_Portfolio!$E$5 * EXP(-'Part 1'!$H$5*'Part 1'!$E$392) * _xlfn.NORM.S.DIST(G525, TRUE)</f>
        <v>23.538650622479594</v>
      </c>
      <c r="L525" s="36">
        <f t="shared" si="12"/>
        <v>-23623627.114644494</v>
      </c>
      <c r="O525" s="36">
        <v>-27523075.945566557</v>
      </c>
      <c r="P525" s="36">
        <f t="shared" ref="P525:P588" si="13">$L$395-O525</f>
        <v>-703509.25542835519</v>
      </c>
      <c r="Q525" s="36">
        <f t="shared" ref="Q525:Q588" si="14">-L525+L$395</f>
        <v>-4602958.0863504186</v>
      </c>
    </row>
    <row r="526" spans="1:17" x14ac:dyDescent="0.2">
      <c r="A526">
        <v>131</v>
      </c>
      <c r="B526" s="36">
        <f>Underlying_Assets!$C$365*(1+Underlying_Assets!H244)</f>
        <v>84.906030569708193</v>
      </c>
      <c r="C526" s="36">
        <f>Underlying_Assets!$D$365 * (1 + Underlying_Assets!I244)</f>
        <v>142.27405146096817</v>
      </c>
      <c r="D526">
        <f>(LN(B526/Option_Portfolio!$E$4) + (Option_Portfolio!$H$4 + (Option_Portfolio!$G$4^2)/2) * ($E$392)) / (Option_Portfolio!$G$4 * SQRT($E$392))</f>
        <v>9.205212821405577E-2</v>
      </c>
      <c r="E526">
        <f>(LN(C526/Option_Portfolio!$E$5) + (Option_Portfolio!$H$5 + (Option_Portfolio!$G$5^2)/2) * ($E$392)) / (Option_Portfolio!$G$5 * SQRT($E$392))</f>
        <v>1.2083813655748068</v>
      </c>
      <c r="F526">
        <f>D526-Option_Portfolio!$G$4*SQRT('Part 1'!$E$392)</f>
        <v>-2.7674226445225492E-2</v>
      </c>
      <c r="G526">
        <f>E526-Option_Portfolio!$G$5*SQRT('Part 1'!$E$392)</f>
        <v>1.0534413771922075</v>
      </c>
      <c r="H526">
        <f t="shared" si="10"/>
        <v>-0.46332831152086318</v>
      </c>
      <c r="I526">
        <f t="shared" si="11"/>
        <v>0.8865496979270393</v>
      </c>
      <c r="J526" s="36">
        <f>Option_Portfolio!$E$4 * EXP(-Option_Portfolio!$H$4* $E$392) * _xlfn.NORM.S.DIST(-F526, TRUE) - B526 * _xlfn.NORM.S.DIST(-D526, TRUE)</f>
        <v>3.8840274591383093</v>
      </c>
      <c r="K526" s="36">
        <f>C526 * _xlfn.NORM.S.DIST(E526, TRUE) - Option_Portfolio!$E$5 * EXP(-'Part 1'!$H$5*'Part 1'!$E$392) * _xlfn.NORM.S.DIST(G526, TRUE)</f>
        <v>23.66134227070448</v>
      </c>
      <c r="L526" s="36">
        <f t="shared" si="12"/>
        <v>-20134492.327440798</v>
      </c>
      <c r="O526" s="36">
        <v>-27521310.304583523</v>
      </c>
      <c r="P526" s="36">
        <f t="shared" si="13"/>
        <v>-705274.89641138911</v>
      </c>
      <c r="Q526" s="36">
        <f t="shared" si="14"/>
        <v>-8092092.8735541143</v>
      </c>
    </row>
    <row r="527" spans="1:17" x14ac:dyDescent="0.2">
      <c r="A527">
        <v>132</v>
      </c>
      <c r="B527" s="36">
        <f>Underlying_Assets!$C$365*(1+Underlying_Assets!H245)</f>
        <v>85.599639850327407</v>
      </c>
      <c r="C527" s="36">
        <f>Underlying_Assets!$D$365 * (1 + Underlying_Assets!I245)</f>
        <v>143.77168220150909</v>
      </c>
      <c r="D527">
        <f>(LN(B527/Option_Portfolio!$E$4) + (Option_Portfolio!$H$4 + (Option_Portfolio!$G$4^2)/2) * ($E$392)) / (Option_Portfolio!$G$4 * SQRT($E$392))</f>
        <v>0.1600067031779093</v>
      </c>
      <c r="E527">
        <f>(LN(C527/Option_Portfolio!$E$5) + (Option_Portfolio!$H$5 + (Option_Portfolio!$G$5^2)/2) * ($E$392)) / (Option_Portfolio!$G$5 * SQRT($E$392))</f>
        <v>1.2759647157018748</v>
      </c>
      <c r="F527">
        <f>D527-Option_Portfolio!$G$4*SQRT('Part 1'!$E$392)</f>
        <v>4.0280348518628037E-2</v>
      </c>
      <c r="G527">
        <f>E527-Option_Portfolio!$G$5*SQRT('Part 1'!$E$392)</f>
        <v>1.1210247273192755</v>
      </c>
      <c r="H527">
        <f t="shared" si="10"/>
        <v>-0.43643789694028257</v>
      </c>
      <c r="I527">
        <f t="shared" si="11"/>
        <v>0.8990160038595616</v>
      </c>
      <c r="J527" s="36">
        <f>Option_Portfolio!$E$4 * EXP(-Option_Portfolio!$H$4* $E$392) * _xlfn.NORM.S.DIST(-F527, TRUE) - B527 * _xlfn.NORM.S.DIST(-D527, TRUE)</f>
        <v>3.5720103186588616</v>
      </c>
      <c r="K527" s="36">
        <f>C527 * _xlfn.NORM.S.DIST(E527, TRUE) - Option_Portfolio!$E$5 * EXP(-'Part 1'!$H$5*'Part 1'!$E$392) * _xlfn.NORM.S.DIST(G527, TRUE)</f>
        <v>24.98968342696007</v>
      </c>
      <c r="L527" s="36">
        <f t="shared" si="12"/>
        <v>-24975294.623308107</v>
      </c>
      <c r="O527" s="36">
        <v>-27490723.017185535</v>
      </c>
      <c r="P527" s="36">
        <f t="shared" si="13"/>
        <v>-735862.18380937725</v>
      </c>
      <c r="Q527" s="36">
        <f t="shared" si="14"/>
        <v>-3251290.5776868053</v>
      </c>
    </row>
    <row r="528" spans="1:17" x14ac:dyDescent="0.2">
      <c r="A528">
        <v>133</v>
      </c>
      <c r="B528" s="36">
        <f>Underlying_Assets!$C$365*(1+Underlying_Assets!H246)</f>
        <v>85.177638791286014</v>
      </c>
      <c r="C528" s="36">
        <f>Underlying_Assets!$D$365 * (1 + Underlying_Assets!I246)</f>
        <v>145.31783638801969</v>
      </c>
      <c r="D528">
        <f>(LN(B528/Option_Portfolio!$E$4) + (Option_Portfolio!$H$4 + (Option_Portfolio!$G$4^2)/2) * ($E$392)) / (Option_Portfolio!$G$4 * SQRT($E$392))</f>
        <v>0.11872813998719038</v>
      </c>
      <c r="E528">
        <f>(LN(C528/Option_Portfolio!$E$5) + (Option_Portfolio!$H$5 + (Option_Portfolio!$G$5^2)/2) * ($E$392)) / (Option_Portfolio!$G$5 * SQRT($E$392))</f>
        <v>1.3450031720745836</v>
      </c>
      <c r="F528">
        <f>D528-Option_Portfolio!$G$4*SQRT('Part 1'!$E$392)</f>
        <v>-9.9821467209088022E-4</v>
      </c>
      <c r="G528">
        <f>E528-Option_Portfolio!$G$5*SQRT('Part 1'!$E$392)</f>
        <v>1.1900631836919844</v>
      </c>
      <c r="H528">
        <f t="shared" si="10"/>
        <v>-0.4527453708714102</v>
      </c>
      <c r="I528">
        <f t="shared" si="11"/>
        <v>0.91068789490170843</v>
      </c>
      <c r="J528" s="36">
        <f>Option_Portfolio!$E$4 * EXP(-Option_Portfolio!$H$4* $E$392) * _xlfn.NORM.S.DIST(-F528, TRUE) - B528 * _xlfn.NORM.S.DIST(-D528, TRUE)</f>
        <v>3.7596223257314136</v>
      </c>
      <c r="K528" s="36">
        <f>C528 * _xlfn.NORM.S.DIST(E528, TRUE) - Option_Portfolio!$E$5 * EXP(-'Part 1'!$H$5*'Part 1'!$E$392) * _xlfn.NORM.S.DIST(G528, TRUE)</f>
        <v>26.380488063785435</v>
      </c>
      <c r="L528" s="36">
        <f t="shared" si="12"/>
        <v>-26443619.847450979</v>
      </c>
      <c r="O528" s="36">
        <v>-27464950.643963806</v>
      </c>
      <c r="P528" s="36">
        <f t="shared" si="13"/>
        <v>-761634.5570311062</v>
      </c>
      <c r="Q528" s="36">
        <f t="shared" si="14"/>
        <v>-1782965.3535439335</v>
      </c>
    </row>
    <row r="529" spans="1:17" x14ac:dyDescent="0.2">
      <c r="A529">
        <v>134</v>
      </c>
      <c r="B529" s="36">
        <f>Underlying_Assets!$C$365*(1+Underlying_Assets!H247)</f>
        <v>85.456962980429154</v>
      </c>
      <c r="C529" s="36">
        <f>Underlying_Assets!$D$365 * (1 + Underlying_Assets!I247)</f>
        <v>144.15501113585748</v>
      </c>
      <c r="D529">
        <f>(LN(B529/Option_Portfolio!$E$4) + (Option_Portfolio!$H$4 + (Option_Portfolio!$G$4^2)/2) * ($E$392)) / (Option_Portfolio!$G$4 * SQRT($E$392))</f>
        <v>0.14607340064335658</v>
      </c>
      <c r="E529">
        <f>(LN(C529/Option_Portfolio!$E$5) + (Option_Portfolio!$H$5 + (Option_Portfolio!$G$5^2)/2) * ($E$392)) / (Option_Portfolio!$G$5 * SQRT($E$392))</f>
        <v>1.2931499875043651</v>
      </c>
      <c r="F529">
        <f>D529-Option_Portfolio!$G$4*SQRT('Part 1'!$E$392)</f>
        <v>2.6347045984075321E-2</v>
      </c>
      <c r="G529">
        <f>E529-Option_Portfolio!$G$5*SQRT('Part 1'!$E$392)</f>
        <v>1.1382099991217658</v>
      </c>
      <c r="H529">
        <f t="shared" si="10"/>
        <v>-0.4419317221857415</v>
      </c>
      <c r="I529">
        <f t="shared" si="11"/>
        <v>0.9020204054131391</v>
      </c>
      <c r="J529" s="36">
        <f>Option_Portfolio!$E$4 * EXP(-Option_Portfolio!$H$4* $E$392) * _xlfn.NORM.S.DIST(-F529, TRUE) - B529 * _xlfn.NORM.S.DIST(-D529, TRUE)</f>
        <v>3.634671584343117</v>
      </c>
      <c r="K529" s="36">
        <f>C529 * _xlfn.NORM.S.DIST(E529, TRUE) - Option_Portfolio!$E$5 * EXP(-'Part 1'!$H$5*'Part 1'!$E$392) * _xlfn.NORM.S.DIST(G529, TRUE)</f>
        <v>25.332729849902535</v>
      </c>
      <c r="L529" s="36">
        <f t="shared" si="12"/>
        <v>-25222758.609403245</v>
      </c>
      <c r="O529" s="36">
        <v>-27422834.806083955</v>
      </c>
      <c r="P529" s="36">
        <f t="shared" si="13"/>
        <v>-803750.39491095766</v>
      </c>
      <c r="Q529" s="36">
        <f t="shared" si="14"/>
        <v>-3003826.5915916674</v>
      </c>
    </row>
    <row r="530" spans="1:17" x14ac:dyDescent="0.2">
      <c r="A530">
        <v>135</v>
      </c>
      <c r="B530" s="36">
        <f>Underlying_Assets!$C$365*(1+Underlying_Assets!H248)</f>
        <v>85.598012775017736</v>
      </c>
      <c r="C530" s="36">
        <f>Underlying_Assets!$D$365 * (1 + Underlying_Assets!I248)</f>
        <v>146.1605369127517</v>
      </c>
      <c r="D530">
        <f>(LN(B530/Option_Portfolio!$E$4) + (Option_Portfolio!$H$4 + (Option_Portfolio!$G$4^2)/2) * ($E$392)) / (Option_Portfolio!$G$4 * SQRT($E$392))</f>
        <v>0.1598479398896363</v>
      </c>
      <c r="E530">
        <f>(LN(C530/Option_Portfolio!$E$5) + (Option_Portfolio!$H$5 + (Option_Portfolio!$G$5^2)/2) * ($E$392)) / (Option_Portfolio!$G$5 * SQRT($E$392))</f>
        <v>1.3823225687288347</v>
      </c>
      <c r="F530">
        <f>D530-Option_Portfolio!$G$4*SQRT('Part 1'!$E$392)</f>
        <v>4.0121585230355042E-2</v>
      </c>
      <c r="G530">
        <f>E530-Option_Portfolio!$G$5*SQRT('Part 1'!$E$392)</f>
        <v>1.2273825803462355</v>
      </c>
      <c r="H530">
        <f t="shared" si="10"/>
        <v>-0.43650042950344181</v>
      </c>
      <c r="I530">
        <f t="shared" si="11"/>
        <v>0.9165636603441436</v>
      </c>
      <c r="J530" s="36">
        <f>Option_Portfolio!$E$4 * EXP(-Option_Portfolio!$H$4* $E$392) * _xlfn.NORM.S.DIST(-F530, TRUE) - B530 * _xlfn.NORM.S.DIST(-D530, TRUE)</f>
        <v>3.5727204868573921</v>
      </c>
      <c r="K530" s="36">
        <f>C530 * _xlfn.NORM.S.DIST(E530, TRUE) - Option_Portfolio!$E$5 * EXP(-'Part 1'!$H$5*'Part 1'!$E$392) * _xlfn.NORM.S.DIST(G530, TRUE)</f>
        <v>27.146166541027057</v>
      </c>
      <c r="L530" s="36">
        <f t="shared" si="12"/>
        <v>-29283289.674052373</v>
      </c>
      <c r="O530" s="36">
        <v>-27350113.840895839</v>
      </c>
      <c r="P530" s="36">
        <f t="shared" si="13"/>
        <v>-876471.3600990735</v>
      </c>
      <c r="Q530" s="36">
        <f t="shared" si="14"/>
        <v>1056704.47305746</v>
      </c>
    </row>
    <row r="531" spans="1:17" x14ac:dyDescent="0.2">
      <c r="A531">
        <v>136</v>
      </c>
      <c r="B531" s="36">
        <f>Underlying_Assets!$C$365*(1+Underlying_Assets!H249)</f>
        <v>84.378725118483402</v>
      </c>
      <c r="C531" s="36">
        <f>Underlying_Assets!$D$365 * (1 + Underlying_Assets!I249)</f>
        <v>144.28652482269504</v>
      </c>
      <c r="D531">
        <f>(LN(B531/Option_Portfolio!$E$4) + (Option_Portfolio!$H$4 + (Option_Portfolio!$G$4^2)/2) * ($E$392)) / (Option_Portfolio!$G$4 * SQRT($E$392))</f>
        <v>4.0018267438656031E-2</v>
      </c>
      <c r="E531">
        <f>(LN(C531/Option_Portfolio!$E$5) + (Option_Portfolio!$H$5 + (Option_Portfolio!$G$5^2)/2) * ($E$392)) / (Option_Portfolio!$G$5 * SQRT($E$392))</f>
        <v>1.299035437308748</v>
      </c>
      <c r="F531">
        <f>D531-Option_Portfolio!$G$4*SQRT('Part 1'!$E$392)</f>
        <v>-7.9708087220625223E-2</v>
      </c>
      <c r="G531">
        <f>E531-Option_Portfolio!$G$5*SQRT('Part 1'!$E$392)</f>
        <v>1.1440954489261488</v>
      </c>
      <c r="H531">
        <f t="shared" si="10"/>
        <v>-0.48403928132398699</v>
      </c>
      <c r="I531">
        <f t="shared" si="11"/>
        <v>0.90303411601159889</v>
      </c>
      <c r="J531" s="36">
        <f>Option_Portfolio!$E$4 * EXP(-Option_Portfolio!$H$4* $E$392) * _xlfn.NORM.S.DIST(-F531, TRUE) - B531 * _xlfn.NORM.S.DIST(-D531, TRUE)</f>
        <v>4.1337947104105623</v>
      </c>
      <c r="K531" s="36">
        <f>C531 * _xlfn.NORM.S.DIST(E531, TRUE) - Option_Portfolio!$E$5 * EXP(-'Part 1'!$H$5*'Part 1'!$E$392) * _xlfn.NORM.S.DIST(G531, TRUE)</f>
        <v>25.450697688767647</v>
      </c>
      <c r="L531" s="36">
        <f t="shared" si="12"/>
        <v>-21964832.404661354</v>
      </c>
      <c r="O531" s="36">
        <v>-27346060.115291417</v>
      </c>
      <c r="P531" s="36">
        <f t="shared" si="13"/>
        <v>-880525.08570349589</v>
      </c>
      <c r="Q531" s="36">
        <f t="shared" si="14"/>
        <v>-6261752.7963335589</v>
      </c>
    </row>
    <row r="532" spans="1:17" x14ac:dyDescent="0.2">
      <c r="A532">
        <v>137</v>
      </c>
      <c r="B532" s="36">
        <f>Underlying_Assets!$C$365*(1+Underlying_Assets!H250)</f>
        <v>85.079349867565611</v>
      </c>
      <c r="C532" s="36">
        <f>Underlying_Assets!$D$365 * (1 + Underlying_Assets!I250)</f>
        <v>143.89822064056941</v>
      </c>
      <c r="D532">
        <f>(LN(B532/Option_Portfolio!$E$4) + (Option_Portfolio!$H$4 + (Option_Portfolio!$G$4^2)/2) * ($E$392)) / (Option_Portfolio!$G$4 * SQRT($E$392))</f>
        <v>0.10908452382723463</v>
      </c>
      <c r="E532">
        <f>(LN(C532/Option_Portfolio!$E$5) + (Option_Portfolio!$H$5 + (Option_Portfolio!$G$5^2)/2) * ($E$392)) / (Option_Portfolio!$G$5 * SQRT($E$392))</f>
        <v>1.2816427047533967</v>
      </c>
      <c r="F532">
        <f>D532-Option_Portfolio!$G$4*SQRT('Part 1'!$E$392)</f>
        <v>-1.0641830832046631E-2</v>
      </c>
      <c r="G532">
        <f>E532-Option_Portfolio!$G$5*SQRT('Part 1'!$E$392)</f>
        <v>1.1267027163707974</v>
      </c>
      <c r="H532">
        <f t="shared" si="10"/>
        <v>-0.45656772491459474</v>
      </c>
      <c r="I532">
        <f t="shared" si="11"/>
        <v>0.90001599384503983</v>
      </c>
      <c r="J532" s="36">
        <f>Option_Portfolio!$E$4 * EXP(-Option_Portfolio!$H$4* $E$392) * _xlfn.NORM.S.DIST(-F532, TRUE) - B532 * _xlfn.NORM.S.DIST(-D532, TRUE)</f>
        <v>3.8043099579475594</v>
      </c>
      <c r="K532" s="36">
        <f>C532 * _xlfn.NORM.S.DIST(E532, TRUE) - Option_Portfolio!$E$5 * EXP(-'Part 1'!$H$5*'Part 1'!$E$392) * _xlfn.NORM.S.DIST(G532, TRUE)</f>
        <v>25.102791677223351</v>
      </c>
      <c r="L532" s="36">
        <f t="shared" si="12"/>
        <v>-23575413.648813784</v>
      </c>
      <c r="O532" s="36">
        <v>-27314531.245326411</v>
      </c>
      <c r="P532" s="36">
        <f t="shared" si="13"/>
        <v>-912053.95566850156</v>
      </c>
      <c r="Q532" s="36">
        <f t="shared" si="14"/>
        <v>-4651171.5521811284</v>
      </c>
    </row>
    <row r="533" spans="1:17" x14ac:dyDescent="0.2">
      <c r="A533">
        <v>138</v>
      </c>
      <c r="B533" s="36">
        <f>Underlying_Assets!$C$365*(1+Underlying_Assets!H251)</f>
        <v>84.866163552535781</v>
      </c>
      <c r="C533" s="36">
        <f>Underlying_Assets!$D$365 * (1 + Underlying_Assets!I251)</f>
        <v>143.43885407341094</v>
      </c>
      <c r="D533">
        <f>(LN(B533/Option_Portfolio!$E$4) + (Option_Portfolio!$H$4 + (Option_Portfolio!$G$4^2)/2) * ($E$392)) / (Option_Portfolio!$G$4 * SQRT($E$392))</f>
        <v>8.8129407165890211E-2</v>
      </c>
      <c r="E533">
        <f>(LN(C533/Option_Portfolio!$E$5) + (Option_Portfolio!$H$5 + (Option_Portfolio!$G$5^2)/2) * ($E$392)) / (Option_Portfolio!$G$5 * SQRT($E$392))</f>
        <v>1.2610062749521684</v>
      </c>
      <c r="F533">
        <f>D533-Option_Portfolio!$G$4*SQRT('Part 1'!$E$392)</f>
        <v>-3.159694749339105E-2</v>
      </c>
      <c r="G533">
        <f>E533-Option_Portfolio!$G$5*SQRT('Part 1'!$E$392)</f>
        <v>1.1060662865695692</v>
      </c>
      <c r="H533">
        <f t="shared" si="10"/>
        <v>-0.46488691188423537</v>
      </c>
      <c r="I533">
        <f t="shared" si="11"/>
        <v>0.89634670681596029</v>
      </c>
      <c r="J533" s="36">
        <f>Option_Portfolio!$E$4 * EXP(-Option_Portfolio!$H$4* $E$392) * _xlfn.NORM.S.DIST(-F533, TRUE) - B533 * _xlfn.NORM.S.DIST(-D533, TRUE)</f>
        <v>3.9025300410020805</v>
      </c>
      <c r="K533" s="36">
        <f>C533 * _xlfn.NORM.S.DIST(E533, TRUE) - Option_Portfolio!$E$5 * EXP(-'Part 1'!$H$5*'Part 1'!$E$392) * _xlfn.NORM.S.DIST(G533, TRUE)</f>
        <v>24.692814253245658</v>
      </c>
      <c r="L533" s="36">
        <f t="shared" si="12"/>
        <v>-22067918.219476752</v>
      </c>
      <c r="O533" s="36">
        <v>-27244924.470798597</v>
      </c>
      <c r="P533" s="36">
        <f t="shared" si="13"/>
        <v>-981660.7301963158</v>
      </c>
      <c r="Q533" s="36">
        <f t="shared" si="14"/>
        <v>-6158666.9815181606</v>
      </c>
    </row>
    <row r="534" spans="1:17" x14ac:dyDescent="0.2">
      <c r="A534">
        <v>139</v>
      </c>
      <c r="B534" s="36">
        <f>Underlying_Assets!$C$365*(1+Underlying_Assets!H252)</f>
        <v>86.938131895072317</v>
      </c>
      <c r="C534" s="36">
        <f>Underlying_Assets!$D$365 * (1 + Underlying_Assets!I252)</f>
        <v>146.43578852236783</v>
      </c>
      <c r="D534">
        <f>(LN(B534/Option_Portfolio!$E$4) + (Option_Portfolio!$H$4 + (Option_Portfolio!$G$4^2)/2) * ($E$392)) / (Option_Portfolio!$G$4 * SQRT($E$392))</f>
        <v>0.28959940899305736</v>
      </c>
      <c r="E534">
        <f>(LN(C534/Option_Portfolio!$E$5) + (Option_Portfolio!$H$5 + (Option_Portfolio!$G$5^2)/2) * ($E$392)) / (Option_Portfolio!$G$5 * SQRT($E$392))</f>
        <v>1.3944656137243887</v>
      </c>
      <c r="F534">
        <f>D534-Option_Portfolio!$G$4*SQRT('Part 1'!$E$392)</f>
        <v>0.16987305433377609</v>
      </c>
      <c r="G534">
        <f>E534-Option_Portfolio!$G$5*SQRT('Part 1'!$E$392)</f>
        <v>1.2395256253417894</v>
      </c>
      <c r="H534">
        <f t="shared" si="10"/>
        <v>-0.38606135959498222</v>
      </c>
      <c r="I534">
        <f t="shared" si="11"/>
        <v>0.91841147683591418</v>
      </c>
      <c r="J534" s="36">
        <f>Option_Portfolio!$E$4 * EXP(-Option_Portfolio!$H$4* $E$392) * _xlfn.NORM.S.DIST(-F534, TRUE) - B534 * _xlfn.NORM.S.DIST(-D534, TRUE)</f>
        <v>3.0218067731688905</v>
      </c>
      <c r="K534" s="36">
        <f>C534 * _xlfn.NORM.S.DIST(E534, TRUE) - Option_Portfolio!$E$5 * EXP(-'Part 1'!$H$5*'Part 1'!$E$392) * _xlfn.NORM.S.DIST(G534, TRUE)</f>
        <v>27.397363091036723</v>
      </c>
      <c r="L534" s="36">
        <f t="shared" si="12"/>
        <v>-33642078.769891217</v>
      </c>
      <c r="O534" s="36">
        <v>-27238279.978513822</v>
      </c>
      <c r="P534" s="36">
        <f t="shared" si="13"/>
        <v>-988305.22248109058</v>
      </c>
      <c r="Q534" s="36">
        <f t="shared" si="14"/>
        <v>5415493.5688963048</v>
      </c>
    </row>
    <row r="535" spans="1:17" x14ac:dyDescent="0.2">
      <c r="A535">
        <v>140</v>
      </c>
      <c r="B535" s="36">
        <f>Underlying_Assets!$C$365*(1+Underlying_Assets!H253)</f>
        <v>84.765681818181818</v>
      </c>
      <c r="C535" s="36">
        <f>Underlying_Assets!$D$365 * (1 + Underlying_Assets!I253)</f>
        <v>142.79428060768544</v>
      </c>
      <c r="D535">
        <f>(LN(B535/Option_Portfolio!$E$4) + (Option_Portfolio!$H$4 + (Option_Portfolio!$G$4^2)/2) * ($E$392)) / (Option_Portfolio!$G$4 * SQRT($E$392))</f>
        <v>7.8234310921331415E-2</v>
      </c>
      <c r="E535">
        <f>(LN(C535/Option_Portfolio!$E$5) + (Option_Portfolio!$H$5 + (Option_Portfolio!$G$5^2)/2) * ($E$392)) / (Option_Portfolio!$G$5 * SQRT($E$392))</f>
        <v>1.2319379686740219</v>
      </c>
      <c r="F535">
        <f>D535-Option_Portfolio!$G$4*SQRT('Part 1'!$E$392)</f>
        <v>-4.1492043737949846E-2</v>
      </c>
      <c r="G535">
        <f>E535-Option_Portfolio!$G$5*SQRT('Part 1'!$E$392)</f>
        <v>1.0769979802914227</v>
      </c>
      <c r="H535">
        <f t="shared" si="10"/>
        <v>-0.46882083473969738</v>
      </c>
      <c r="I535">
        <f t="shared" si="11"/>
        <v>0.89101387159544998</v>
      </c>
      <c r="J535" s="36">
        <f>Option_Portfolio!$E$4 * EXP(-Option_Portfolio!$H$4* $E$392) * _xlfn.NORM.S.DIST(-F535, TRUE) - B535 * _xlfn.NORM.S.DIST(-D535, TRUE)</f>
        <v>3.9494402617443072</v>
      </c>
      <c r="K535" s="36">
        <f>C535 * _xlfn.NORM.S.DIST(E535, TRUE) - Option_Portfolio!$E$5 * EXP(-'Part 1'!$H$5*'Part 1'!$E$392) * _xlfn.NORM.S.DIST(G535, TRUE)</f>
        <v>24.120554885854361</v>
      </c>
      <c r="L535" s="36">
        <f t="shared" si="12"/>
        <v>-20595027.939498577</v>
      </c>
      <c r="O535" s="36">
        <v>-27131320.875115175</v>
      </c>
      <c r="P535" s="36">
        <f t="shared" si="13"/>
        <v>-1095264.3258797377</v>
      </c>
      <c r="Q535" s="36">
        <f t="shared" si="14"/>
        <v>-7631557.2614963353</v>
      </c>
    </row>
    <row r="536" spans="1:17" x14ac:dyDescent="0.2">
      <c r="A536">
        <v>141</v>
      </c>
      <c r="B536" s="36">
        <f>Underlying_Assets!$C$365*(1+Underlying_Assets!H254)</f>
        <v>84.73351430667644</v>
      </c>
      <c r="C536" s="36">
        <f>Underlying_Assets!$D$365 * (1 + Underlying_Assets!I254)</f>
        <v>147.09632985953783</v>
      </c>
      <c r="D536">
        <f>(LN(B536/Option_Portfolio!$E$4) + (Option_Portfolio!$H$4 + (Option_Portfolio!$G$4^2)/2) * ($E$392)) / (Option_Portfolio!$G$4 * SQRT($E$392))</f>
        <v>7.5064086089663265E-2</v>
      </c>
      <c r="E536">
        <f>(LN(C536/Option_Portfolio!$E$5) + (Option_Portfolio!$H$5 + (Option_Portfolio!$G$5^2)/2) * ($E$392)) / (Option_Portfolio!$G$5 * SQRT($E$392))</f>
        <v>1.4235133024555529</v>
      </c>
      <c r="F536">
        <f>D536-Option_Portfolio!$G$4*SQRT('Part 1'!$E$392)</f>
        <v>-4.4662268569617997E-2</v>
      </c>
      <c r="G536">
        <f>E536-Option_Portfolio!$G$5*SQRT('Part 1'!$E$392)</f>
        <v>1.2685733140729536</v>
      </c>
      <c r="H536">
        <f t="shared" si="10"/>
        <v>-0.47008186116282213</v>
      </c>
      <c r="I536">
        <f t="shared" si="11"/>
        <v>0.92270629567355766</v>
      </c>
      <c r="J536" s="36">
        <f>Option_Portfolio!$E$4 * EXP(-Option_Portfolio!$H$4* $E$392) * _xlfn.NORM.S.DIST(-F536, TRUE) - B536 * _xlfn.NORM.S.DIST(-D536, TRUE)</f>
        <v>3.9645413412762949</v>
      </c>
      <c r="K536" s="36">
        <f>C536 * _xlfn.NORM.S.DIST(E536, TRUE) - Option_Portfolio!$E$5 * EXP(-'Part 1'!$H$5*'Part 1'!$E$392) * _xlfn.NORM.S.DIST(G536, TRUE)</f>
        <v>28.002306859973331</v>
      </c>
      <c r="L536" s="36">
        <f t="shared" si="12"/>
        <v>-28252824.331012595</v>
      </c>
      <c r="O536" s="36">
        <v>-27124843.931646828</v>
      </c>
      <c r="P536" s="36">
        <f t="shared" si="13"/>
        <v>-1101741.2693480849</v>
      </c>
      <c r="Q536" s="36">
        <f t="shared" si="14"/>
        <v>26239.13001768291</v>
      </c>
    </row>
    <row r="537" spans="1:17" x14ac:dyDescent="0.2">
      <c r="A537">
        <v>142</v>
      </c>
      <c r="B537" s="36">
        <f>Underlying_Assets!$C$365*(1+Underlying_Assets!H255)</f>
        <v>84.191121009651084</v>
      </c>
      <c r="C537" s="36">
        <f>Underlying_Assets!$D$365 * (1 + Underlying_Assets!I255)</f>
        <v>144.4770740410348</v>
      </c>
      <c r="D537">
        <f>(LN(B537/Option_Portfolio!$E$4) + (Option_Portfolio!$H$4 + (Option_Portfolio!$G$4^2)/2) * ($E$392)) / (Option_Portfolio!$G$4 * SQRT($E$392))</f>
        <v>2.142726230248243E-2</v>
      </c>
      <c r="E537">
        <f>(LN(C537/Option_Portfolio!$E$5) + (Option_Portfolio!$H$5 + (Option_Portfolio!$G$5^2)/2) * ($E$392)) / (Option_Portfolio!$G$5 * SQRT($E$392))</f>
        <v>1.3075533123658529</v>
      </c>
      <c r="F537">
        <f>D537-Option_Portfolio!$G$4*SQRT('Part 1'!$E$392)</f>
        <v>-9.8299092356798831E-2</v>
      </c>
      <c r="G537">
        <f>E537-Option_Portfolio!$G$5*SQRT('Part 1'!$E$392)</f>
        <v>1.1526133239832537</v>
      </c>
      <c r="H537">
        <f t="shared" si="10"/>
        <v>-0.49145241319141886</v>
      </c>
      <c r="I537">
        <f t="shared" si="11"/>
        <v>0.90448756939449426</v>
      </c>
      <c r="J537" s="36">
        <f>Option_Portfolio!$E$4 * EXP(-Option_Portfolio!$H$4* $E$392) * _xlfn.NORM.S.DIST(-F537, TRUE) - B537 * _xlfn.NORM.S.DIST(-D537, TRUE)</f>
        <v>4.2252975112643583</v>
      </c>
      <c r="K537" s="36">
        <f>C537 * _xlfn.NORM.S.DIST(E537, TRUE) - Option_Portfolio!$E$5 * EXP(-'Part 1'!$H$5*'Part 1'!$E$392) * _xlfn.NORM.S.DIST(G537, TRUE)</f>
        <v>25.62186544639853</v>
      </c>
      <c r="L537" s="36">
        <f t="shared" si="12"/>
        <v>-21666648.313946553</v>
      </c>
      <c r="O537" s="36">
        <v>-27095144.559823416</v>
      </c>
      <c r="P537" s="36">
        <f t="shared" si="13"/>
        <v>-1131440.6411714964</v>
      </c>
      <c r="Q537" s="36">
        <f t="shared" si="14"/>
        <v>-6559936.88704836</v>
      </c>
    </row>
    <row r="538" spans="1:17" x14ac:dyDescent="0.2">
      <c r="A538">
        <v>143</v>
      </c>
      <c r="B538" s="36">
        <f>Underlying_Assets!$C$365*(1+Underlying_Assets!H256)</f>
        <v>85.848039314516114</v>
      </c>
      <c r="C538" s="36">
        <f>Underlying_Assets!$D$365 * (1 + Underlying_Assets!I256)</f>
        <v>155.28618685739832</v>
      </c>
      <c r="D538">
        <f>(LN(B538/Option_Portfolio!$E$4) + (Option_Portfolio!$H$4 + (Option_Portfolio!$G$4^2)/2) * ($E$392)) / (Option_Portfolio!$G$4 * SQRT($E$392))</f>
        <v>0.18420916724737449</v>
      </c>
      <c r="E538">
        <f>(LN(C538/Option_Portfolio!$E$5) + (Option_Portfolio!$H$5 + (Option_Portfolio!$G$5^2)/2) * ($E$392)) / (Option_Portfolio!$G$5 * SQRT($E$392))</f>
        <v>1.7732106565072532</v>
      </c>
      <c r="F538">
        <f>D538-Option_Portfolio!$G$4*SQRT('Part 1'!$E$392)</f>
        <v>6.4482812588093227E-2</v>
      </c>
      <c r="G538">
        <f>E538-Option_Portfolio!$G$5*SQRT('Part 1'!$E$392)</f>
        <v>1.6182706681246539</v>
      </c>
      <c r="H538">
        <f t="shared" si="10"/>
        <v>-0.4269246840611115</v>
      </c>
      <c r="I538">
        <f t="shared" si="11"/>
        <v>0.96190309655483641</v>
      </c>
      <c r="J538" s="36">
        <f>Option_Portfolio!$E$4 * EXP(-Option_Portfolio!$H$4* $E$392) * _xlfn.NORM.S.DIST(-F538, TRUE) - B538 * _xlfn.NORM.S.DIST(-D538, TRUE)</f>
        <v>3.4647823082763338</v>
      </c>
      <c r="K538" s="36">
        <f>C538 * _xlfn.NORM.S.DIST(E538, TRUE) - Option_Portfolio!$E$5 * EXP(-'Part 1'!$H$5*'Part 1'!$E$392) * _xlfn.NORM.S.DIST(G538, TRUE)</f>
        <v>35.706520734153003</v>
      </c>
      <c r="L538" s="36">
        <f t="shared" si="12"/>
        <v>-47159565.310371667</v>
      </c>
      <c r="O538" s="36">
        <v>-26996261.522444833</v>
      </c>
      <c r="P538" s="36">
        <f t="shared" si="13"/>
        <v>-1230323.6785500795</v>
      </c>
      <c r="Q538" s="36">
        <f t="shared" si="14"/>
        <v>18932980.109376755</v>
      </c>
    </row>
    <row r="539" spans="1:17" x14ac:dyDescent="0.2">
      <c r="A539">
        <v>144</v>
      </c>
      <c r="B539" s="36">
        <f>Underlying_Assets!$C$365*(1+Underlying_Assets!H257)</f>
        <v>85.222063931537889</v>
      </c>
      <c r="C539" s="36">
        <f>Underlying_Assets!$D$365 * (1 + Underlying_Assets!I257)</f>
        <v>142.86852855356398</v>
      </c>
      <c r="D539">
        <f>(LN(B539/Option_Portfolio!$E$4) + (Option_Portfolio!$H$4 + (Option_Portfolio!$G$4^2)/2) * ($E$392)) / (Option_Portfolio!$G$4 * SQRT($E$392))</f>
        <v>0.12308326093700866</v>
      </c>
      <c r="E539">
        <f>(LN(C539/Option_Portfolio!$E$5) + (Option_Portfolio!$H$5 + (Option_Portfolio!$G$5^2)/2) * ($E$392)) / (Option_Portfolio!$G$5 * SQRT($E$392))</f>
        <v>1.2352930050003428</v>
      </c>
      <c r="F539">
        <f>D539-Option_Portfolio!$G$4*SQRT('Part 1'!$E$392)</f>
        <v>3.3569062777274034E-3</v>
      </c>
      <c r="G539">
        <f>E539-Option_Portfolio!$G$5*SQRT('Part 1'!$E$392)</f>
        <v>1.0803530166177435</v>
      </c>
      <c r="H539">
        <f t="shared" si="10"/>
        <v>-0.45102058316113414</v>
      </c>
      <c r="I539">
        <f t="shared" si="11"/>
        <v>0.89163926193852738</v>
      </c>
      <c r="J539" s="36">
        <f>Option_Portfolio!$E$4 * EXP(-Option_Portfolio!$H$4* $E$392) * _xlfn.NORM.S.DIST(-F539, TRUE) - B539 * _xlfn.NORM.S.DIST(-D539, TRUE)</f>
        <v>3.7395473677917437</v>
      </c>
      <c r="K539" s="36">
        <f>C539 * _xlfn.NORM.S.DIST(E539, TRUE) - Option_Portfolio!$E$5 * EXP(-'Part 1'!$H$5*'Part 1'!$E$392) * _xlfn.NORM.S.DIST(G539, TRUE)</f>
        <v>24.186289916177174</v>
      </c>
      <c r="L539" s="36">
        <f t="shared" si="12"/>
        <v>-22195748.257812146</v>
      </c>
      <c r="O539" s="36">
        <v>-26938161.477647148</v>
      </c>
      <c r="P539" s="36">
        <f t="shared" si="13"/>
        <v>-1288423.7233477645</v>
      </c>
      <c r="Q539" s="36">
        <f t="shared" si="14"/>
        <v>-6030836.9431827664</v>
      </c>
    </row>
    <row r="540" spans="1:17" x14ac:dyDescent="0.2">
      <c r="A540">
        <v>145</v>
      </c>
      <c r="B540" s="36">
        <f>Underlying_Assets!$C$365*(1+Underlying_Assets!H258)</f>
        <v>85.783423651557328</v>
      </c>
      <c r="C540" s="36">
        <f>Underlying_Assets!$D$365 * (1 + Underlying_Assets!I258)</f>
        <v>149.93865652724969</v>
      </c>
      <c r="D540">
        <f>(LN(B540/Option_Portfolio!$E$4) + (Option_Portfolio!$H$4 + (Option_Portfolio!$G$4^2)/2) * ($E$392)) / (Option_Portfolio!$G$4 * SQRT($E$392))</f>
        <v>0.17792017358981868</v>
      </c>
      <c r="E540">
        <f>(LN(C540/Option_Portfolio!$E$5) + (Option_Portfolio!$H$5 + (Option_Portfolio!$G$5^2)/2) * ($E$392)) / (Option_Portfolio!$G$5 * SQRT($E$392))</f>
        <v>1.54703581487178</v>
      </c>
      <c r="F540">
        <f>D540-Option_Portfolio!$G$4*SQRT('Part 1'!$E$392)</f>
        <v>5.8193818930537419E-2</v>
      </c>
      <c r="G540">
        <f>E540-Option_Portfolio!$G$5*SQRT('Part 1'!$E$392)</f>
        <v>1.3920958264891807</v>
      </c>
      <c r="H540">
        <f t="shared" si="10"/>
        <v>-0.42939283369167736</v>
      </c>
      <c r="I540">
        <f t="shared" si="11"/>
        <v>0.93907269517669534</v>
      </c>
      <c r="J540" s="36">
        <f>Option_Portfolio!$E$4 * EXP(-Option_Portfolio!$H$4* $E$392) * _xlfn.NORM.S.DIST(-F540, TRUE) - B540 * _xlfn.NORM.S.DIST(-D540, TRUE)</f>
        <v>3.4924480451922477</v>
      </c>
      <c r="K540" s="36">
        <f>C540 * _xlfn.NORM.S.DIST(E540, TRUE) - Option_Portfolio!$E$5 * EXP(-'Part 1'!$H$5*'Part 1'!$E$392) * _xlfn.NORM.S.DIST(G540, TRUE)</f>
        <v>30.636901210565725</v>
      </c>
      <c r="L540" s="36">
        <f t="shared" si="12"/>
        <v>-36826666.104785711</v>
      </c>
      <c r="O540" s="36">
        <v>-26912908.377729438</v>
      </c>
      <c r="P540" s="36">
        <f t="shared" si="13"/>
        <v>-1313676.8232654743</v>
      </c>
      <c r="Q540" s="36">
        <f t="shared" si="14"/>
        <v>8600080.903790798</v>
      </c>
    </row>
    <row r="541" spans="1:17" x14ac:dyDescent="0.2">
      <c r="A541">
        <v>146</v>
      </c>
      <c r="B541" s="36">
        <f>Underlying_Assets!$C$365*(1+Underlying_Assets!H259)</f>
        <v>84.633257403189063</v>
      </c>
      <c r="C541" s="36">
        <f>Underlying_Assets!$D$365 * (1 + Underlying_Assets!I259)</f>
        <v>142.31872705018361</v>
      </c>
      <c r="D541">
        <f>(LN(B541/Option_Portfolio!$E$4) + (Option_Portfolio!$H$4 + (Option_Portfolio!$G$4^2)/2) * ($E$392)) / (Option_Portfolio!$G$4 * SQRT($E$392))</f>
        <v>6.5175678388172634E-2</v>
      </c>
      <c r="E541">
        <f>(LN(C541/Option_Portfolio!$E$5) + (Option_Portfolio!$H$5 + (Option_Portfolio!$G$5^2)/2) * ($E$392)) / (Option_Portfolio!$G$5 * SQRT($E$392))</f>
        <v>1.2104077082620386</v>
      </c>
      <c r="F541">
        <f>D541-Option_Portfolio!$G$4*SQRT('Part 1'!$E$392)</f>
        <v>-5.4550676271108628E-2</v>
      </c>
      <c r="G541">
        <f>E541-Option_Portfolio!$G$5*SQRT('Part 1'!$E$392)</f>
        <v>1.0554677198794393</v>
      </c>
      <c r="H541">
        <f t="shared" si="10"/>
        <v>-0.47401706289042456</v>
      </c>
      <c r="I541">
        <f t="shared" si="11"/>
        <v>0.88693875723251014</v>
      </c>
      <c r="J541" s="36">
        <f>Option_Portfolio!$E$4 * EXP(-Option_Portfolio!$H$4* $E$392) * _xlfn.NORM.S.DIST(-F541, TRUE) - B541 * _xlfn.NORM.S.DIST(-D541, TRUE)</f>
        <v>4.0118674969116341</v>
      </c>
      <c r="K541" s="36">
        <f>C541 * _xlfn.NORM.S.DIST(E541, TRUE) - Option_Portfolio!$E$5 * EXP(-'Part 1'!$H$5*'Part 1'!$E$392) * _xlfn.NORM.S.DIST(G541, TRUE)</f>
        <v>23.700682819255888</v>
      </c>
      <c r="L541" s="36">
        <f t="shared" si="12"/>
        <v>-19318293.160130337</v>
      </c>
      <c r="O541" s="36">
        <v>-26822232.093106035</v>
      </c>
      <c r="P541" s="36">
        <f t="shared" si="13"/>
        <v>-1404353.1078888774</v>
      </c>
      <c r="Q541" s="36">
        <f t="shared" si="14"/>
        <v>-8908292.0408645757</v>
      </c>
    </row>
    <row r="542" spans="1:17" x14ac:dyDescent="0.2">
      <c r="A542">
        <v>147</v>
      </c>
      <c r="B542" s="36">
        <f>Underlying_Assets!$C$365*(1+Underlying_Assets!H260)</f>
        <v>85.432215384615375</v>
      </c>
      <c r="C542" s="36">
        <f>Underlying_Assets!$D$365 * (1 + Underlying_Assets!I260)</f>
        <v>144.92021585720215</v>
      </c>
      <c r="D542">
        <f>(LN(B542/Option_Portfolio!$E$4) + (Option_Portfolio!$H$4 + (Option_Portfolio!$G$4^2)/2) * ($E$392)) / (Option_Portfolio!$G$4 * SQRT($E$392))</f>
        <v>0.14365427351486454</v>
      </c>
      <c r="E542">
        <f>(LN(C542/Option_Portfolio!$E$5) + (Option_Portfolio!$H$5 + (Option_Portfolio!$G$5^2)/2) * ($E$392)) / (Option_Portfolio!$G$5 * SQRT($E$392))</f>
        <v>1.3273191439000125</v>
      </c>
      <c r="F542">
        <f>D542-Option_Portfolio!$G$4*SQRT('Part 1'!$E$392)</f>
        <v>2.3927918855583277E-2</v>
      </c>
      <c r="G542">
        <f>E542-Option_Portfolio!$G$5*SQRT('Part 1'!$E$392)</f>
        <v>1.1723791555174132</v>
      </c>
      <c r="H542">
        <f t="shared" si="10"/>
        <v>-0.44288674050790244</v>
      </c>
      <c r="I542">
        <f t="shared" si="11"/>
        <v>0.9077984331242489</v>
      </c>
      <c r="J542" s="36">
        <f>Option_Portfolio!$E$4 * EXP(-Option_Portfolio!$H$4* $E$392) * _xlfn.NORM.S.DIST(-F542, TRUE) - B542 * _xlfn.NORM.S.DIST(-D542, TRUE)</f>
        <v>3.6456201479241201</v>
      </c>
      <c r="K542" s="36">
        <f>C542 * _xlfn.NORM.S.DIST(E542, TRUE) - Option_Portfolio!$E$5 * EXP(-'Part 1'!$H$5*'Part 1'!$E$392) * _xlfn.NORM.S.DIST(G542, TRUE)</f>
        <v>26.021036750379892</v>
      </c>
      <c r="L542" s="36">
        <f t="shared" si="12"/>
        <v>-26522732.465290938</v>
      </c>
      <c r="O542" s="36">
        <v>-26813742.135551631</v>
      </c>
      <c r="P542" s="36">
        <f t="shared" si="13"/>
        <v>-1412843.0654432811</v>
      </c>
      <c r="Q542" s="36">
        <f t="shared" si="14"/>
        <v>-1703852.735703975</v>
      </c>
    </row>
    <row r="543" spans="1:17" x14ac:dyDescent="0.2">
      <c r="A543">
        <v>148</v>
      </c>
      <c r="B543" s="36">
        <f>Underlying_Assets!$C$365*(1+Underlying_Assets!H261)</f>
        <v>86.865254760679349</v>
      </c>
      <c r="C543" s="36">
        <f>Underlying_Assets!$D$365 * (1 + Underlying_Assets!I261)</f>
        <v>145.58075487349649</v>
      </c>
      <c r="D543">
        <f>(LN(B543/Option_Portfolio!$E$4) + (Option_Portfolio!$H$4 + (Option_Portfolio!$G$4^2)/2) * ($E$392)) / (Option_Portfolio!$G$4 * SQRT($E$392))</f>
        <v>0.28259497069088912</v>
      </c>
      <c r="E543">
        <f>(LN(C543/Option_Portfolio!$E$5) + (Option_Portfolio!$H$5 + (Option_Portfolio!$G$5^2)/2) * ($E$392)) / (Option_Portfolio!$G$5 * SQRT($E$392))</f>
        <v>1.3566698201793024</v>
      </c>
      <c r="F543">
        <f>D543-Option_Portfolio!$G$4*SQRT('Part 1'!$E$392)</f>
        <v>0.16286861603160785</v>
      </c>
      <c r="G543">
        <f>E543-Option_Portfolio!$G$5*SQRT('Part 1'!$E$392)</f>
        <v>1.2017298317967031</v>
      </c>
      <c r="H543">
        <f t="shared" si="10"/>
        <v>-0.38874366803008509</v>
      </c>
      <c r="I543">
        <f t="shared" si="11"/>
        <v>0.91255692700741797</v>
      </c>
      <c r="J543" s="36">
        <f>Option_Portfolio!$E$4 * EXP(-Option_Portfolio!$H$4* $E$392) * _xlfn.NORM.S.DIST(-F543, TRUE) - B543 * _xlfn.NORM.S.DIST(-D543, TRUE)</f>
        <v>3.050039511927082</v>
      </c>
      <c r="K543" s="36">
        <f>C543 * _xlfn.NORM.S.DIST(E543, TRUE) - Option_Portfolio!$E$5 * EXP(-'Part 1'!$H$5*'Part 1'!$E$392) * _xlfn.NORM.S.DIST(G543, TRUE)</f>
        <v>26.618819447818623</v>
      </c>
      <c r="L543" s="36">
        <f t="shared" si="12"/>
        <v>-31887362.312147669</v>
      </c>
      <c r="O543" s="36">
        <v>-26806627.98797809</v>
      </c>
      <c r="P543" s="36">
        <f t="shared" si="13"/>
        <v>-1419957.2130168229</v>
      </c>
      <c r="Q543" s="36">
        <f t="shared" si="14"/>
        <v>3660777.111152757</v>
      </c>
    </row>
    <row r="544" spans="1:17" x14ac:dyDescent="0.2">
      <c r="A544">
        <v>149</v>
      </c>
      <c r="B544" s="36">
        <f>Underlying_Assets!$C$365*(1+Underlying_Assets!H262)</f>
        <v>84.411541783083564</v>
      </c>
      <c r="C544" s="36">
        <f>Underlying_Assets!$D$365 * (1 + Underlying_Assets!I262)</f>
        <v>146.17392739273927</v>
      </c>
      <c r="D544">
        <f>(LN(B544/Option_Portfolio!$E$4) + (Option_Portfolio!$H$4 + (Option_Portfolio!$G$4^2)/2) * ($E$392)) / (Option_Portfolio!$G$4 * SQRT($E$392))</f>
        <v>4.3266052500933766E-2</v>
      </c>
      <c r="E544">
        <f>(LN(C544/Option_Portfolio!$E$5) + (Option_Portfolio!$H$5 + (Option_Portfolio!$G$5^2)/2) * ($E$392)) / (Option_Portfolio!$G$5 * SQRT($E$392))</f>
        <v>1.3829138343158691</v>
      </c>
      <c r="F544">
        <f>D544-Option_Portfolio!$G$4*SQRT('Part 1'!$E$392)</f>
        <v>-7.6460302158347496E-2</v>
      </c>
      <c r="G544">
        <f>E544-Option_Portfolio!$G$5*SQRT('Part 1'!$E$392)</f>
        <v>1.2279738459332699</v>
      </c>
      <c r="H544">
        <f t="shared" si="10"/>
        <v>-0.48274472602461027</v>
      </c>
      <c r="I544">
        <f t="shared" si="11"/>
        <v>0.91665435607043033</v>
      </c>
      <c r="J544" s="36">
        <f>Option_Portfolio!$E$4 * EXP(-Option_Portfolio!$H$4* $E$392) * _xlfn.NORM.S.DIST(-F544, TRUE) - B544 * _xlfn.NORM.S.DIST(-D544, TRUE)</f>
        <v>4.1179313990109989</v>
      </c>
      <c r="K544" s="36">
        <f>C544 * _xlfn.NORM.S.DIST(E544, TRUE) - Option_Portfolio!$E$5 * EXP(-'Part 1'!$H$5*'Part 1'!$E$392) * _xlfn.NORM.S.DIST(G544, TRUE)</f>
        <v>27.158374458915191</v>
      </c>
      <c r="L544" s="36">
        <f t="shared" si="12"/>
        <v>-25491229.124753386</v>
      </c>
      <c r="O544" s="36">
        <v>-26762636.400002487</v>
      </c>
      <c r="P544" s="36">
        <f t="shared" si="13"/>
        <v>-1463948.8009924255</v>
      </c>
      <c r="Q544" s="36">
        <f t="shared" si="14"/>
        <v>-2735356.0762415268</v>
      </c>
    </row>
    <row r="545" spans="1:17" x14ac:dyDescent="0.2">
      <c r="A545">
        <v>150</v>
      </c>
      <c r="B545" s="36">
        <f>Underlying_Assets!$C$365*(1+Underlying_Assets!H263)</f>
        <v>86.469984520123845</v>
      </c>
      <c r="C545" s="36">
        <f>Underlying_Assets!$D$365 * (1 + Underlying_Assets!I263)</f>
        <v>147.93624846751126</v>
      </c>
      <c r="D545">
        <f>(LN(B545/Option_Portfolio!$E$4) + (Option_Portfolio!$H$4 + (Option_Portfolio!$G$4^2)/2) * ($E$392)) / (Option_Portfolio!$G$4 * SQRT($E$392))</f>
        <v>0.24450170177751535</v>
      </c>
      <c r="E545">
        <f>(LN(C545/Option_Portfolio!$E$5) + (Option_Portfolio!$H$5 + (Option_Portfolio!$G$5^2)/2) * ($E$392)) / (Option_Portfolio!$G$5 * SQRT($E$392))</f>
        <v>1.4602614014949822</v>
      </c>
      <c r="F545">
        <f>D545-Option_Portfolio!$G$4*SQRT('Part 1'!$E$392)</f>
        <v>0.12477534711823408</v>
      </c>
      <c r="G545">
        <f>E545-Option_Portfolio!$G$5*SQRT('Part 1'!$E$392)</f>
        <v>1.3053214131123829</v>
      </c>
      <c r="H545">
        <f t="shared" si="10"/>
        <v>-0.4034211420672561</v>
      </c>
      <c r="I545">
        <f t="shared" si="11"/>
        <v>0.92789087706883788</v>
      </c>
      <c r="J545" s="36">
        <f>Option_Portfolio!$E$4 * EXP(-Option_Portfolio!$H$4* $E$392) * _xlfn.NORM.S.DIST(-F545, TRUE) - B545 * _xlfn.NORM.S.DIST(-D545, TRUE)</f>
        <v>3.2065920409811142</v>
      </c>
      <c r="K545" s="36">
        <f>C545 * _xlfn.NORM.S.DIST(E545, TRUE) - Option_Portfolio!$E$5 * EXP(-'Part 1'!$H$5*'Part 1'!$E$392) * _xlfn.NORM.S.DIST(G545, TRUE)</f>
        <v>28.775700876917057</v>
      </c>
      <c r="L545" s="36">
        <f t="shared" si="12"/>
        <v>-35105257.466966316</v>
      </c>
      <c r="O545" s="36">
        <v>-26739948.659670953</v>
      </c>
      <c r="P545" s="36">
        <f t="shared" si="13"/>
        <v>-1486636.5413239598</v>
      </c>
      <c r="Q545" s="36">
        <f t="shared" si="14"/>
        <v>6878672.2659714036</v>
      </c>
    </row>
    <row r="546" spans="1:17" x14ac:dyDescent="0.2">
      <c r="A546">
        <v>151</v>
      </c>
      <c r="B546" s="36">
        <f>Underlying_Assets!$C$365*(1+Underlying_Assets!H264)</f>
        <v>84.073016116653861</v>
      </c>
      <c r="C546" s="36">
        <f>Underlying_Assets!$D$365 * (1 + Underlying_Assets!I264)</f>
        <v>145.08960000000002</v>
      </c>
      <c r="D546">
        <f>(LN(B546/Option_Portfolio!$E$4) + (Option_Portfolio!$H$4 + (Option_Portfolio!$G$4^2)/2) * ($E$392)) / (Option_Portfolio!$G$4 * SQRT($E$392))</f>
        <v>9.702160150289638E-3</v>
      </c>
      <c r="E546">
        <f>(LN(C546/Option_Portfolio!$E$5) + (Option_Portfolio!$H$5 + (Option_Portfolio!$G$5^2)/2) * ($E$392)) / (Option_Portfolio!$G$5 * SQRT($E$392))</f>
        <v>1.3348583667214906</v>
      </c>
      <c r="F546">
        <f>D546-Option_Portfolio!$G$4*SQRT('Part 1'!$E$392)</f>
        <v>-0.11002419450899162</v>
      </c>
      <c r="G546">
        <f>E546-Option_Portfolio!$G$5*SQRT('Part 1'!$E$392)</f>
        <v>1.1799183783388913</v>
      </c>
      <c r="H546">
        <f t="shared" si="10"/>
        <v>-0.49612945882849202</v>
      </c>
      <c r="I546">
        <f t="shared" si="11"/>
        <v>0.90903864689438663</v>
      </c>
      <c r="J546" s="36">
        <f>Option_Portfolio!$E$4 * EXP(-Option_Portfolio!$H$4* $E$392) * _xlfn.NORM.S.DIST(-F546, TRUE) - B546 * _xlfn.NORM.S.DIST(-D546, TRUE)</f>
        <v>4.2836165639043458</v>
      </c>
      <c r="K546" s="36">
        <f>C546 * _xlfn.NORM.S.DIST(E546, TRUE) - Option_Portfolio!$E$5 * EXP(-'Part 1'!$H$5*'Part 1'!$E$392) * _xlfn.NORM.S.DIST(G546, TRUE)</f>
        <v>26.174014435448285</v>
      </c>
      <c r="L546" s="36">
        <f t="shared" si="12"/>
        <v>-22362712.923566151</v>
      </c>
      <c r="O546" s="36">
        <v>-26725295.474304199</v>
      </c>
      <c r="P546" s="36">
        <f t="shared" si="13"/>
        <v>-1501289.7266907133</v>
      </c>
      <c r="Q546" s="36">
        <f t="shared" si="14"/>
        <v>-5863872.2774287611</v>
      </c>
    </row>
    <row r="547" spans="1:17" x14ac:dyDescent="0.2">
      <c r="A547">
        <v>152</v>
      </c>
      <c r="B547" s="36">
        <f>Underlying_Assets!$C$365*(1+Underlying_Assets!H265)</f>
        <v>85.583417688494649</v>
      </c>
      <c r="C547" s="36">
        <f>Underlying_Assets!$D$365 * (1 + Underlying_Assets!I265)</f>
        <v>145.60926147704592</v>
      </c>
      <c r="D547">
        <f>(LN(B547/Option_Portfolio!$E$4) + (Option_Portfolio!$H$4 + (Option_Portfolio!$G$4^2)/2) * ($E$392)) / (Option_Portfolio!$G$4 * SQRT($E$392))</f>
        <v>0.15842367666781121</v>
      </c>
      <c r="E547">
        <f>(LN(C547/Option_Portfolio!$E$5) + (Option_Portfolio!$H$5 + (Option_Portfolio!$G$5^2)/2) * ($E$392)) / (Option_Portfolio!$G$5 * SQRT($E$392))</f>
        <v>1.3579334954103051</v>
      </c>
      <c r="F547">
        <f>D547-Option_Portfolio!$G$4*SQRT('Part 1'!$E$392)</f>
        <v>3.8697322008529947E-2</v>
      </c>
      <c r="G547">
        <f>E547-Option_Portfolio!$G$5*SQRT('Part 1'!$E$392)</f>
        <v>1.2029935070277058</v>
      </c>
      <c r="H547">
        <f t="shared" si="10"/>
        <v>-0.43706147904071146</v>
      </c>
      <c r="I547">
        <f t="shared" si="11"/>
        <v>0.91275760613090773</v>
      </c>
      <c r="J547" s="36">
        <f>Option_Portfolio!$E$4 * EXP(-Option_Portfolio!$H$4* $E$392) * _xlfn.NORM.S.DIST(-F547, TRUE) - B547 * _xlfn.NORM.S.DIST(-D547, TRUE)</f>
        <v>3.5790953424056156</v>
      </c>
      <c r="K547" s="36">
        <f>C547 * _xlfn.NORM.S.DIST(E547, TRUE) - Option_Portfolio!$E$5 * EXP(-'Part 1'!$H$5*'Part 1'!$E$392) * _xlfn.NORM.S.DIST(G547, TRUE)</f>
        <v>26.644690926932554</v>
      </c>
      <c r="L547" s="36">
        <f t="shared" si="12"/>
        <v>-28235714.4570258</v>
      </c>
      <c r="O547" s="36">
        <v>-26723915.640930168</v>
      </c>
      <c r="P547" s="36">
        <f t="shared" si="13"/>
        <v>-1502669.5600647442</v>
      </c>
      <c r="Q547" s="36">
        <f t="shared" si="14"/>
        <v>9129.2560308873653</v>
      </c>
    </row>
    <row r="548" spans="1:17" x14ac:dyDescent="0.2">
      <c r="A548">
        <v>153</v>
      </c>
      <c r="B548" s="36">
        <f>Underlying_Assets!$C$365*(1+Underlying_Assets!H266)</f>
        <v>85.112524830109763</v>
      </c>
      <c r="C548" s="36">
        <f>Underlying_Assets!$D$365 * (1 + Underlying_Assets!I266)</f>
        <v>146.23707820563718</v>
      </c>
      <c r="D548">
        <f>(LN(B548/Option_Portfolio!$E$4) + (Option_Portfolio!$H$4 + (Option_Portfolio!$G$4^2)/2) * ($E$392)) / (Option_Portfolio!$G$4 * SQRT($E$392))</f>
        <v>0.11234072974011385</v>
      </c>
      <c r="E548">
        <f>(LN(C548/Option_Portfolio!$E$5) + (Option_Portfolio!$H$5 + (Option_Portfolio!$G$5^2)/2) * ($E$392)) / (Option_Portfolio!$G$5 * SQRT($E$392))</f>
        <v>1.3857015707707705</v>
      </c>
      <c r="F548">
        <f>D548-Option_Portfolio!$G$4*SQRT('Part 1'!$E$392)</f>
        <v>-7.3856249191674161E-3</v>
      </c>
      <c r="G548">
        <f>E548-Option_Portfolio!$G$5*SQRT('Part 1'!$E$392)</f>
        <v>1.2307615823881712</v>
      </c>
      <c r="H548">
        <f t="shared" si="10"/>
        <v>-0.45527662426057791</v>
      </c>
      <c r="I548">
        <f t="shared" si="11"/>
        <v>0.91708097581771064</v>
      </c>
      <c r="J548" s="36">
        <f>Option_Portfolio!$E$4 * EXP(-Option_Portfolio!$H$4* $E$392) * _xlfn.NORM.S.DIST(-F548, TRUE) - B548 * _xlfn.NORM.S.DIST(-D548, TRUE)</f>
        <v>3.7891847595608539</v>
      </c>
      <c r="K548" s="36">
        <f>C548 * _xlfn.NORM.S.DIST(E548, TRUE) - Option_Portfolio!$E$5 * EXP(-'Part 1'!$H$5*'Part 1'!$E$392) * _xlfn.NORM.S.DIST(G548, TRUE)</f>
        <v>27.215965262691867</v>
      </c>
      <c r="L548" s="36">
        <f t="shared" si="12"/>
        <v>-27907637.208457764</v>
      </c>
      <c r="O548" s="36">
        <v>-26709733.574179076</v>
      </c>
      <c r="P548" s="36">
        <f t="shared" si="13"/>
        <v>-1516851.6268158369</v>
      </c>
      <c r="Q548" s="36">
        <f t="shared" si="14"/>
        <v>-318947.9925371483</v>
      </c>
    </row>
    <row r="549" spans="1:17" x14ac:dyDescent="0.2">
      <c r="A549">
        <v>154</v>
      </c>
      <c r="B549" s="36">
        <f>Underlying_Assets!$C$365*(1+Underlying_Assets!H267)</f>
        <v>85.785150078988949</v>
      </c>
      <c r="C549" s="36">
        <f>Underlying_Assets!$D$365 * (1 + Underlying_Assets!I267)</f>
        <v>146.05220125786167</v>
      </c>
      <c r="D549">
        <f>(LN(B549/Option_Portfolio!$E$4) + (Option_Portfolio!$H$4 + (Option_Portfolio!$G$4^2)/2) * ($E$392)) / (Option_Portfolio!$G$4 * SQRT($E$392))</f>
        <v>0.17808826705230066</v>
      </c>
      <c r="E549">
        <f>(LN(C549/Option_Portfolio!$E$5) + (Option_Portfolio!$H$5 + (Option_Portfolio!$G$5^2)/2) * ($E$392)) / (Option_Portfolio!$G$5 * SQRT($E$392))</f>
        <v>1.3775369426135138</v>
      </c>
      <c r="F549">
        <f>D549-Option_Portfolio!$G$4*SQRT('Part 1'!$E$392)</f>
        <v>5.8361912393019397E-2</v>
      </c>
      <c r="G549">
        <f>E549-Option_Portfolio!$G$5*SQRT('Part 1'!$E$392)</f>
        <v>1.2225969542309145</v>
      </c>
      <c r="H549">
        <f t="shared" si="10"/>
        <v>-0.42932682813943057</v>
      </c>
      <c r="I549">
        <f t="shared" si="11"/>
        <v>0.91582684934781522</v>
      </c>
      <c r="J549" s="36">
        <f>Option_Portfolio!$E$4 * EXP(-Option_Portfolio!$H$4* $E$392) * _xlfn.NORM.S.DIST(-F549, TRUE) - B549 * _xlfn.NORM.S.DIST(-D549, TRUE)</f>
        <v>3.4917067866025988</v>
      </c>
      <c r="K549" s="36">
        <f>C549 * _xlfn.NORM.S.DIST(E549, TRUE) - Option_Portfolio!$E$5 * EXP(-'Part 1'!$H$5*'Part 1'!$E$392) * _xlfn.NORM.S.DIST(G549, TRUE)</f>
        <v>27.04744516317605</v>
      </c>
      <c r="L549" s="36">
        <f t="shared" si="12"/>
        <v>-29652942.820133906</v>
      </c>
      <c r="O549" s="36">
        <v>-26589769.946487188</v>
      </c>
      <c r="P549" s="36">
        <f t="shared" si="13"/>
        <v>-1636815.2545077242</v>
      </c>
      <c r="Q549" s="36">
        <f t="shared" si="14"/>
        <v>1426357.6191389933</v>
      </c>
    </row>
    <row r="550" spans="1:17" x14ac:dyDescent="0.2">
      <c r="A550">
        <v>155</v>
      </c>
      <c r="B550" s="36">
        <f>Underlying_Assets!$C$365*(1+Underlying_Assets!H268)</f>
        <v>85.694873684210506</v>
      </c>
      <c r="C550" s="36">
        <f>Underlying_Assets!$D$365 * (1 + Underlying_Assets!I268)</f>
        <v>145.98503507404519</v>
      </c>
      <c r="D550">
        <f>(LN(B550/Option_Portfolio!$E$4) + (Option_Portfolio!$H$4 + (Option_Portfolio!$G$4^2)/2) * ($E$392)) / (Option_Portfolio!$G$4 * SQRT($E$392))</f>
        <v>0.16929397370319996</v>
      </c>
      <c r="E550">
        <f>(LN(C550/Option_Portfolio!$E$5) + (Option_Portfolio!$H$5 + (Option_Portfolio!$G$5^2)/2) * ($E$392)) / (Option_Portfolio!$G$5 * SQRT($E$392))</f>
        <v>1.3745681563761865</v>
      </c>
      <c r="F550">
        <f>D550-Option_Portfolio!$G$4*SQRT('Part 1'!$E$392)</f>
        <v>4.9567619043918695E-2</v>
      </c>
      <c r="G550">
        <f>E550-Option_Portfolio!$G$5*SQRT('Part 1'!$E$392)</f>
        <v>1.2196281679935872</v>
      </c>
      <c r="H550">
        <f t="shared" si="10"/>
        <v>-0.43278270792806706</v>
      </c>
      <c r="I550">
        <f t="shared" si="11"/>
        <v>0.91536731671406291</v>
      </c>
      <c r="J550" s="36">
        <f>Option_Portfolio!$E$4 * EXP(-Option_Portfolio!$H$4* $E$392) * _xlfn.NORM.S.DIST(-F550, TRUE) - B550 * _xlfn.NORM.S.DIST(-D550, TRUE)</f>
        <v>3.5306207899257913</v>
      </c>
      <c r="K550" s="36">
        <f>C550 * _xlfn.NORM.S.DIST(E550, TRUE) - Option_Portfolio!$E$5 * EXP(-'Part 1'!$H$5*'Part 1'!$E$392) * _xlfn.NORM.S.DIST(G550, TRUE)</f>
        <v>26.986281633788664</v>
      </c>
      <c r="L550" s="36">
        <f t="shared" si="12"/>
        <v>-29258217.738096789</v>
      </c>
      <c r="O550" s="36">
        <v>-26522732.465290938</v>
      </c>
      <c r="P550" s="36">
        <f t="shared" si="13"/>
        <v>-1703852.735703975</v>
      </c>
      <c r="Q550" s="36">
        <f t="shared" si="14"/>
        <v>1031632.537101876</v>
      </c>
    </row>
    <row r="551" spans="1:17" x14ac:dyDescent="0.2">
      <c r="A551">
        <v>156</v>
      </c>
      <c r="B551" s="36">
        <f>Underlying_Assets!$C$365*(1+Underlying_Assets!H269)</f>
        <v>85.604549763033191</v>
      </c>
      <c r="C551" s="36">
        <f>Underlying_Assets!$D$365 * (1 + Underlying_Assets!I269)</f>
        <v>144.18430614611523</v>
      </c>
      <c r="D551">
        <f>(LN(B551/Option_Portfolio!$E$4) + (Option_Portfolio!$H$4 + (Option_Portfolio!$G$4^2)/2) * ($E$392)) / (Option_Portfolio!$G$4 * SQRT($E$392))</f>
        <v>0.16048577388726587</v>
      </c>
      <c r="E551">
        <f>(LN(C551/Option_Portfolio!$E$5) + (Option_Portfolio!$H$5 + (Option_Portfolio!$G$5^2)/2) * ($E$392)) / (Option_Portfolio!$G$5 * SQRT($E$392))</f>
        <v>1.2944614511815076</v>
      </c>
      <c r="F551">
        <f>D551-Option_Portfolio!$G$4*SQRT('Part 1'!$E$392)</f>
        <v>4.0759419227984608E-2</v>
      </c>
      <c r="G551">
        <f>E551-Option_Portfolio!$G$5*SQRT('Part 1'!$E$392)</f>
        <v>1.1395214627989083</v>
      </c>
      <c r="H551">
        <f t="shared" si="10"/>
        <v>-0.43624921358631574</v>
      </c>
      <c r="I551">
        <f t="shared" si="11"/>
        <v>0.9022469618308343</v>
      </c>
      <c r="J551" s="36">
        <f>Option_Portfolio!$E$4 * EXP(-Option_Portfolio!$H$4* $E$392) * _xlfn.NORM.S.DIST(-F551, TRUE) - B551 * _xlfn.NORM.S.DIST(-D551, TRUE)</f>
        <v>3.5698679099031523</v>
      </c>
      <c r="K551" s="36">
        <f>C551 * _xlfn.NORM.S.DIST(E551, TRUE) - Option_Portfolio!$E$5 * EXP(-'Part 1'!$H$5*'Part 1'!$E$392) * _xlfn.NORM.S.DIST(G551, TRUE)</f>
        <v>25.358995457728909</v>
      </c>
      <c r="L551" s="36">
        <f t="shared" si="12"/>
        <v>-25728915.546135757</v>
      </c>
      <c r="O551" s="36">
        <v>-26519373.504591044</v>
      </c>
      <c r="P551" s="36">
        <f t="shared" si="13"/>
        <v>-1707211.6964038685</v>
      </c>
      <c r="Q551" s="36">
        <f t="shared" si="14"/>
        <v>-2497669.6548591554</v>
      </c>
    </row>
    <row r="552" spans="1:17" x14ac:dyDescent="0.2">
      <c r="A552">
        <v>157</v>
      </c>
      <c r="B552" s="36">
        <f>Underlying_Assets!$C$365*(1+Underlying_Assets!H270)</f>
        <v>86.327879746835421</v>
      </c>
      <c r="C552" s="36">
        <f>Underlying_Assets!$D$365 * (1 + Underlying_Assets!I270)</f>
        <v>144.68757763975154</v>
      </c>
      <c r="D552">
        <f>(LN(B552/Option_Portfolio!$E$4) + (Option_Portfolio!$H$4 + (Option_Portfolio!$G$4^2)/2) * ($E$392)) / (Option_Portfolio!$G$4 * SQRT($E$392))</f>
        <v>0.23076410928003618</v>
      </c>
      <c r="E552">
        <f>(LN(C552/Option_Portfolio!$E$5) + (Option_Portfolio!$H$5 + (Option_Portfolio!$G$5^2)/2) * ($E$392)) / (Option_Portfolio!$G$5 * SQRT($E$392))</f>
        <v>1.316950131669905</v>
      </c>
      <c r="F552">
        <f>D552-Option_Portfolio!$G$4*SQRT('Part 1'!$E$392)</f>
        <v>0.11103775462075492</v>
      </c>
      <c r="G552">
        <f>E552-Option_Portfolio!$G$5*SQRT('Part 1'!$E$392)</f>
        <v>1.1620101432873058</v>
      </c>
      <c r="H552">
        <f t="shared" si="10"/>
        <v>-0.40874903267521046</v>
      </c>
      <c r="I552">
        <f t="shared" si="11"/>
        <v>0.90607232957830486</v>
      </c>
      <c r="J552" s="36">
        <f>Option_Portfolio!$E$4 * EXP(-Option_Portfolio!$H$4* $E$392) * _xlfn.NORM.S.DIST(-F552, TRUE) - B552 * _xlfn.NORM.S.DIST(-D552, TRUE)</f>
        <v>3.264298360518076</v>
      </c>
      <c r="K552" s="36">
        <f>C552 * _xlfn.NORM.S.DIST(E552, TRUE) - Option_Portfolio!$E$5 * EXP(-'Part 1'!$H$5*'Part 1'!$E$392) * _xlfn.NORM.S.DIST(G552, TRUE)</f>
        <v>25.811291219228522</v>
      </c>
      <c r="L552" s="36">
        <f t="shared" si="12"/>
        <v>-28772493.91483051</v>
      </c>
      <c r="O552" s="36">
        <v>-26481012.529433537</v>
      </c>
      <c r="P552" s="36">
        <f t="shared" si="13"/>
        <v>-1745572.6715613753</v>
      </c>
      <c r="Q552" s="36">
        <f t="shared" si="14"/>
        <v>545908.71383559704</v>
      </c>
    </row>
    <row r="553" spans="1:17" x14ac:dyDescent="0.2">
      <c r="A553">
        <v>158</v>
      </c>
      <c r="B553" s="36">
        <f>Underlying_Assets!$C$365*(1+Underlying_Assets!H271)</f>
        <v>85.874740701938194</v>
      </c>
      <c r="C553" s="36">
        <f>Underlying_Assets!$D$365 * (1 + Underlying_Assets!I271)</f>
        <v>146.43139083139084</v>
      </c>
      <c r="D553">
        <f>(LN(B553/Option_Portfolio!$E$4) + (Option_Portfolio!$H$4 + (Option_Portfolio!$G$4^2)/2) * ($E$392)) / (Option_Portfolio!$G$4 * SQRT($E$392))</f>
        <v>0.18680661103198373</v>
      </c>
      <c r="E553">
        <f>(LN(C553/Option_Portfolio!$E$5) + (Option_Portfolio!$H$5 + (Option_Portfolio!$G$5^2)/2) * ($E$392)) / (Option_Portfolio!$G$5 * SQRT($E$392))</f>
        <v>1.3942717839542886</v>
      </c>
      <c r="F553">
        <f>D553-Option_Portfolio!$G$4*SQRT('Part 1'!$E$392)</f>
        <v>6.7080256372702471E-2</v>
      </c>
      <c r="G553">
        <f>E553-Option_Portfolio!$G$5*SQRT('Part 1'!$E$392)</f>
        <v>1.2393317955716894</v>
      </c>
      <c r="H553">
        <f t="shared" si="10"/>
        <v>-0.42590613165605595</v>
      </c>
      <c r="I553">
        <f t="shared" si="11"/>
        <v>0.91838222595370356</v>
      </c>
      <c r="J553" s="36">
        <f>Option_Portfolio!$E$4 * EXP(-Option_Portfolio!$H$4* $E$392) * _xlfn.NORM.S.DIST(-F553, TRUE) - B553 * _xlfn.NORM.S.DIST(-D553, TRUE)</f>
        <v>3.453396427065222</v>
      </c>
      <c r="K553" s="36">
        <f>C553 * _xlfn.NORM.S.DIST(E553, TRUE) - Option_Portfolio!$E$5 * EXP(-'Part 1'!$H$5*'Part 1'!$E$392) * _xlfn.NORM.S.DIST(G553, TRUE)</f>
        <v>27.393345563488111</v>
      </c>
      <c r="L553" s="36">
        <f t="shared" si="12"/>
        <v>-30612916.137519669</v>
      </c>
      <c r="O553" s="36">
        <v>-26456148.489141401</v>
      </c>
      <c r="P553" s="36">
        <f t="shared" si="13"/>
        <v>-1770436.7118535116</v>
      </c>
      <c r="Q553" s="36">
        <f t="shared" si="14"/>
        <v>2386330.9365247563</v>
      </c>
    </row>
    <row r="554" spans="1:17" x14ac:dyDescent="0.2">
      <c r="A554">
        <v>159</v>
      </c>
      <c r="B554" s="36">
        <f>Underlying_Assets!$C$365*(1+Underlying_Assets!H272)</f>
        <v>85.874529288702917</v>
      </c>
      <c r="C554" s="36">
        <f>Underlying_Assets!$D$365 * (1 + Underlying_Assets!I272)</f>
        <v>147.08075297733384</v>
      </c>
      <c r="D554">
        <f>(LN(B554/Option_Portfolio!$E$4) + (Option_Portfolio!$H$4 + (Option_Portfolio!$G$4^2)/2) * ($E$392)) / (Option_Portfolio!$G$4 * SQRT($E$392))</f>
        <v>0.18678604845654631</v>
      </c>
      <c r="E554">
        <f>(LN(C554/Option_Portfolio!$E$5) + (Option_Portfolio!$H$5 + (Option_Portfolio!$G$5^2)/2) * ($E$392)) / (Option_Portfolio!$G$5 * SQRT($E$392))</f>
        <v>1.422829802995776</v>
      </c>
      <c r="F554">
        <f>D554-Option_Portfolio!$G$4*SQRT('Part 1'!$E$392)</f>
        <v>6.7059693797265049E-2</v>
      </c>
      <c r="G554">
        <f>E554-Option_Portfolio!$G$5*SQRT('Part 1'!$E$392)</f>
        <v>1.2678898146131767</v>
      </c>
      <c r="H554">
        <f t="shared" si="10"/>
        <v>-0.42591419306001321</v>
      </c>
      <c r="I554">
        <f t="shared" si="11"/>
        <v>0.92260725023518519</v>
      </c>
      <c r="J554" s="36">
        <f>Option_Portfolio!$E$4 * EXP(-Option_Portfolio!$H$4* $E$392) * _xlfn.NORM.S.DIST(-F554, TRUE) - B554 * _xlfn.NORM.S.DIST(-D554, TRUE)</f>
        <v>3.4534864701105832</v>
      </c>
      <c r="K554" s="36">
        <f>C554 * _xlfn.NORM.S.DIST(E554, TRUE) - Option_Portfolio!$E$5 * EXP(-'Part 1'!$H$5*'Part 1'!$E$392) * _xlfn.NORM.S.DIST(G554, TRUE)</f>
        <v>27.988007182974542</v>
      </c>
      <c r="L554" s="36">
        <f t="shared" si="12"/>
        <v>-31801609.075175006</v>
      </c>
      <c r="O554" s="36">
        <v>-26443619.847450979</v>
      </c>
      <c r="P554" s="36">
        <f t="shared" si="13"/>
        <v>-1782965.3535439335</v>
      </c>
      <c r="Q554" s="36">
        <f t="shared" si="14"/>
        <v>3575023.8741800934</v>
      </c>
    </row>
    <row r="555" spans="1:17" x14ac:dyDescent="0.2">
      <c r="A555">
        <v>160</v>
      </c>
      <c r="B555" s="36">
        <f>Underlying_Assets!$C$365*(1+Underlying_Assets!H273)</f>
        <v>85.74</v>
      </c>
      <c r="C555" s="36">
        <f>Underlying_Assets!$D$365 * (1 + Underlying_Assets!I273)</f>
        <v>144.85476550680787</v>
      </c>
      <c r="D555">
        <f>(LN(B555/Option_Portfolio!$E$4) + (Option_Portfolio!$H$4 + (Option_Portfolio!$G$4^2)/2) * ($E$392)) / (Option_Portfolio!$G$4 * SQRT($E$392))</f>
        <v>0.17369112037775097</v>
      </c>
      <c r="E555">
        <f>(LN(C555/Option_Portfolio!$E$5) + (Option_Portfolio!$H$5 + (Option_Portfolio!$G$5^2)/2) * ($E$392)) / (Option_Portfolio!$G$5 * SQRT($E$392))</f>
        <v>1.3244036135053587</v>
      </c>
      <c r="F555">
        <f>D555-Option_Portfolio!$G$4*SQRT('Part 1'!$E$392)</f>
        <v>5.3964765718469712E-2</v>
      </c>
      <c r="G555">
        <f>E555-Option_Portfolio!$G$5*SQRT('Part 1'!$E$392)</f>
        <v>1.1694636251227595</v>
      </c>
      <c r="H555">
        <f t="shared" si="10"/>
        <v>-0.43105410818182932</v>
      </c>
      <c r="I555">
        <f t="shared" si="11"/>
        <v>0.90731548242655946</v>
      </c>
      <c r="J555" s="36">
        <f>Option_Portfolio!$E$4 * EXP(-Option_Portfolio!$H$4* $E$392) * _xlfn.NORM.S.DIST(-F555, TRUE) - B555 * _xlfn.NORM.S.DIST(-D555, TRUE)</f>
        <v>3.5111299117726347</v>
      </c>
      <c r="K555" s="36">
        <f>C555 * _xlfn.NORM.S.DIST(E555, TRUE) - Option_Portfolio!$E$5 * EXP(-'Part 1'!$H$5*'Part 1'!$E$392) * _xlfn.NORM.S.DIST(G555, TRUE)</f>
        <v>25.961984748849929</v>
      </c>
      <c r="L555" s="36">
        <f t="shared" si="12"/>
        <v>-27346060.115291417</v>
      </c>
      <c r="O555" s="36">
        <v>-26436095.345395546</v>
      </c>
      <c r="P555" s="36">
        <f t="shared" si="13"/>
        <v>-1790489.8555993661</v>
      </c>
      <c r="Q555" s="36">
        <f t="shared" si="14"/>
        <v>-880525.08570349589</v>
      </c>
    </row>
    <row r="556" spans="1:17" x14ac:dyDescent="0.2">
      <c r="A556">
        <v>161</v>
      </c>
      <c r="B556" s="36">
        <f>Underlying_Assets!$C$365*(1+Underlying_Assets!H274)</f>
        <v>85.471362924281991</v>
      </c>
      <c r="C556" s="36">
        <f>Underlying_Assets!$D$365 * (1 + Underlying_Assets!I274)</f>
        <v>145.01897920604912</v>
      </c>
      <c r="D556">
        <f>(LN(B556/Option_Portfolio!$E$4) + (Option_Portfolio!$H$4 + (Option_Portfolio!$G$4^2)/2) * ($E$392)) / (Option_Portfolio!$G$4 * SQRT($E$392))</f>
        <v>0.14748070164472354</v>
      </c>
      <c r="E556">
        <f>(LN(C556/Option_Portfolio!$E$5) + (Option_Portfolio!$H$5 + (Option_Portfolio!$G$5^2)/2) * ($E$392)) / (Option_Portfolio!$G$5 * SQRT($E$392))</f>
        <v>1.3317161328276736</v>
      </c>
      <c r="F556">
        <f>D556-Option_Portfolio!$G$4*SQRT('Part 1'!$E$392)</f>
        <v>2.7754346985442283E-2</v>
      </c>
      <c r="G556">
        <f>E556-Option_Portfolio!$G$5*SQRT('Part 1'!$E$392)</f>
        <v>1.1767761444450744</v>
      </c>
      <c r="H556">
        <f t="shared" si="10"/>
        <v>-0.44137630550940465</v>
      </c>
      <c r="I556">
        <f t="shared" si="11"/>
        <v>0.90852325704745718</v>
      </c>
      <c r="J556" s="36">
        <f>Option_Portfolio!$E$4 * EXP(-Option_Portfolio!$H$4* $E$392) * _xlfn.NORM.S.DIST(-F556, TRUE) - B556 * _xlfn.NORM.S.DIST(-D556, TRUE)</f>
        <v>3.628311791591301</v>
      </c>
      <c r="K556" s="36">
        <f>C556 * _xlfn.NORM.S.DIST(E556, TRUE) - Option_Portfolio!$E$5 * EXP(-'Part 1'!$H$5*'Part 1'!$E$392) * _xlfn.NORM.S.DIST(G556, TRUE)</f>
        <v>26.110207317122573</v>
      </c>
      <c r="L556" s="36">
        <f t="shared" si="12"/>
        <v>-26822232.093106035</v>
      </c>
      <c r="O556" s="36">
        <v>-26391712.807782467</v>
      </c>
      <c r="P556" s="36">
        <f t="shared" si="13"/>
        <v>-1834872.3932124451</v>
      </c>
      <c r="Q556" s="36">
        <f t="shared" si="14"/>
        <v>-1404353.1078888774</v>
      </c>
    </row>
    <row r="557" spans="1:17" x14ac:dyDescent="0.2">
      <c r="A557">
        <v>162</v>
      </c>
      <c r="B557" s="36">
        <f>Underlying_Assets!$C$365*(1+Underlying_Assets!H275)</f>
        <v>85.290864326872693</v>
      </c>
      <c r="C557" s="36">
        <f>Underlying_Assets!$D$365 * (1 + Underlying_Assets!I275)</f>
        <v>144.90932427331072</v>
      </c>
      <c r="D557">
        <f>(LN(B557/Option_Portfolio!$E$4) + (Option_Portfolio!$H$4 + (Option_Portfolio!$G$4^2)/2) * ($E$392)) / (Option_Portfolio!$G$4 * SQRT($E$392))</f>
        <v>0.12982347796594929</v>
      </c>
      <c r="E557">
        <f>(LN(C557/Option_Portfolio!$E$5) + (Option_Portfolio!$H$5 + (Option_Portfolio!$G$5^2)/2) * ($E$392)) / (Option_Portfolio!$G$5 * SQRT($E$392))</f>
        <v>1.3268340622233707</v>
      </c>
      <c r="F557">
        <f>D557-Option_Portfolio!$G$4*SQRT('Part 1'!$E$392)</f>
        <v>1.0097123306668024E-2</v>
      </c>
      <c r="G557">
        <f>E557-Option_Portfolio!$G$5*SQRT('Part 1'!$E$392)</f>
        <v>1.1718940738407715</v>
      </c>
      <c r="H557">
        <f t="shared" si="10"/>
        <v>-0.44835304368942885</v>
      </c>
      <c r="I557">
        <f t="shared" si="11"/>
        <v>0.90771820993616859</v>
      </c>
      <c r="J557" s="36">
        <f>Option_Portfolio!$E$4 * EXP(-Option_Portfolio!$H$4* $E$392) * _xlfn.NORM.S.DIST(-F557, TRUE) - B557 * _xlfn.NORM.S.DIST(-D557, TRUE)</f>
        <v>3.7086087626285931</v>
      </c>
      <c r="K557" s="36">
        <f>C557 * _xlfn.NORM.S.DIST(E557, TRUE) - Option_Portfolio!$E$5 * EXP(-'Part 1'!$H$5*'Part 1'!$E$392) * _xlfn.NORM.S.DIST(G557, TRUE)</f>
        <v>26.011207630258454</v>
      </c>
      <c r="L557" s="36">
        <f t="shared" si="12"/>
        <v>-26062153.922116753</v>
      </c>
      <c r="O557" s="36">
        <v>-26358849.058875546</v>
      </c>
      <c r="P557" s="36">
        <f t="shared" si="13"/>
        <v>-1867736.1421193667</v>
      </c>
      <c r="Q557" s="36">
        <f t="shared" si="14"/>
        <v>-2164431.2788781598</v>
      </c>
    </row>
    <row r="558" spans="1:17" x14ac:dyDescent="0.2">
      <c r="A558">
        <v>163</v>
      </c>
      <c r="B558" s="36">
        <f>Underlying_Assets!$C$365*(1+Underlying_Assets!H276)</f>
        <v>85.514249605055298</v>
      </c>
      <c r="C558" s="36">
        <f>Underlying_Assets!$D$365 * (1 + Underlying_Assets!I276)</f>
        <v>143.4344775556394</v>
      </c>
      <c r="D558">
        <f>(LN(B558/Option_Portfolio!$E$4) + (Option_Portfolio!$H$4 + (Option_Portfolio!$G$4^2)/2) * ($E$392)) / (Option_Portfolio!$G$4 * SQRT($E$392))</f>
        <v>0.15167059637729172</v>
      </c>
      <c r="E558">
        <f>(LN(C558/Option_Portfolio!$E$5) + (Option_Portfolio!$H$5 + (Option_Portfolio!$G$5^2)/2) * ($E$392)) / (Option_Portfolio!$G$5 * SQRT($E$392))</f>
        <v>1.2608093480741802</v>
      </c>
      <c r="F558">
        <f>D558-Option_Portfolio!$G$4*SQRT('Part 1'!$E$392)</f>
        <v>3.1944241718010455E-2</v>
      </c>
      <c r="G558">
        <f>E558-Option_Portfolio!$G$5*SQRT('Part 1'!$E$392)</f>
        <v>1.105869359691581</v>
      </c>
      <c r="H558">
        <f t="shared" si="10"/>
        <v>-0.43972337475941037</v>
      </c>
      <c r="I558">
        <f t="shared" si="11"/>
        <v>0.89631122750647063</v>
      </c>
      <c r="J558" s="36">
        <f>Option_Portfolio!$E$4 * EXP(-Option_Portfolio!$H$4* $E$392) * _xlfn.NORM.S.DIST(-F558, TRUE) - B558 * _xlfn.NORM.S.DIST(-D558, TRUE)</f>
        <v>3.6094180778983187</v>
      </c>
      <c r="K558" s="36">
        <f>C558 * _xlfn.NORM.S.DIST(E558, TRUE) - Option_Portfolio!$E$5 * EXP(-'Part 1'!$H$5*'Part 1'!$E$392) * _xlfn.NORM.S.DIST(G558, TRUE)</f>
        <v>24.688916757898866</v>
      </c>
      <c r="L558" s="36">
        <f t="shared" si="12"/>
        <v>-24111906.970509503</v>
      </c>
      <c r="O558" s="36">
        <v>-26337041.0287151</v>
      </c>
      <c r="P558" s="36">
        <f t="shared" si="13"/>
        <v>-1889544.1722798124</v>
      </c>
      <c r="Q558" s="36">
        <f t="shared" si="14"/>
        <v>-4114678.2304854095</v>
      </c>
    </row>
    <row r="559" spans="1:17" x14ac:dyDescent="0.2">
      <c r="A559">
        <v>164</v>
      </c>
      <c r="B559" s="36">
        <f>Underlying_Assets!$C$365*(1+Underlying_Assets!H277)</f>
        <v>85.55892291446672</v>
      </c>
      <c r="C559" s="36">
        <f>Underlying_Assets!$D$365 * (1 + Underlying_Assets!I277)</f>
        <v>144.4140137090632</v>
      </c>
      <c r="D559">
        <f>(LN(B559/Option_Portfolio!$E$4) + (Option_Portfolio!$H$4 + (Option_Portfolio!$G$4^2)/2) * ($E$392)) / (Option_Portfolio!$G$4 * SQRT($E$392))</f>
        <v>0.15603280531126393</v>
      </c>
      <c r="E559">
        <f>(LN(C559/Option_Portfolio!$E$5) + (Option_Portfolio!$H$5 + (Option_Portfolio!$G$5^2)/2) * ($E$392)) / (Option_Portfolio!$G$5 * SQRT($E$392))</f>
        <v>1.3047356523310782</v>
      </c>
      <c r="F559">
        <f>D559-Option_Portfolio!$G$4*SQRT('Part 1'!$E$392)</f>
        <v>3.6306450651982666E-2</v>
      </c>
      <c r="G559">
        <f>E559-Option_Portfolio!$G$5*SQRT('Part 1'!$E$392)</f>
        <v>1.149795663948479</v>
      </c>
      <c r="H559">
        <f t="shared" si="10"/>
        <v>-0.43800358150089469</v>
      </c>
      <c r="I559">
        <f t="shared" si="11"/>
        <v>0.90400856151817266</v>
      </c>
      <c r="J559" s="36">
        <f>Option_Portfolio!$E$4 * EXP(-Option_Portfolio!$H$4* $E$392) * _xlfn.NORM.S.DIST(-F559, TRUE) - B559 * _xlfn.NORM.S.DIST(-D559, TRUE)</f>
        <v>3.5898126015910989</v>
      </c>
      <c r="K559" s="36">
        <f>C559 * _xlfn.NORM.S.DIST(E559, TRUE) - Option_Portfolio!$E$5 * EXP(-'Part 1'!$H$5*'Part 1'!$E$392) * _xlfn.NORM.S.DIST(G559, TRUE)</f>
        <v>25.565187290443774</v>
      </c>
      <c r="L559" s="36">
        <f t="shared" si="12"/>
        <v>-26001686.369749859</v>
      </c>
      <c r="O559" s="36">
        <v>-26144761.960442636</v>
      </c>
      <c r="P559" s="36">
        <f t="shared" si="13"/>
        <v>-2081823.2405522764</v>
      </c>
      <c r="Q559" s="36">
        <f t="shared" si="14"/>
        <v>-2224898.8312450536</v>
      </c>
    </row>
    <row r="560" spans="1:17" x14ac:dyDescent="0.2">
      <c r="A560">
        <v>165</v>
      </c>
      <c r="B560" s="36">
        <f>Underlying_Assets!$C$365*(1+Underlying_Assets!H278)</f>
        <v>84.44709523809523</v>
      </c>
      <c r="C560" s="36">
        <f>Underlying_Assets!$D$365 * (1 + Underlying_Assets!I278)</f>
        <v>142.6990454371898</v>
      </c>
      <c r="D560">
        <f>(LN(B560/Option_Portfolio!$E$4) + (Option_Portfolio!$H$4 + (Option_Portfolio!$G$4^2)/2) * ($E$392)) / (Option_Portfolio!$G$4 * SQRT($E$392))</f>
        <v>4.6783266345475395E-2</v>
      </c>
      <c r="E560">
        <f>(LN(C560/Option_Portfolio!$E$5) + (Option_Portfolio!$H$5 + (Option_Portfolio!$G$5^2)/2) * ($E$392)) / (Option_Portfolio!$G$5 * SQRT($E$392))</f>
        <v>1.2276320294460139</v>
      </c>
      <c r="F560">
        <f>D560-Option_Portfolio!$G$4*SQRT('Part 1'!$E$392)</f>
        <v>-7.2943088313805859E-2</v>
      </c>
      <c r="G560">
        <f>E560-Option_Portfolio!$G$5*SQRT('Part 1'!$E$392)</f>
        <v>1.0726920410634146</v>
      </c>
      <c r="H560">
        <f t="shared" si="10"/>
        <v>-0.48134298297566747</v>
      </c>
      <c r="I560">
        <f t="shared" si="11"/>
        <v>0.89020743372775246</v>
      </c>
      <c r="J560" s="36">
        <f>Option_Portfolio!$E$4 * EXP(-Option_Portfolio!$H$4* $E$392) * _xlfn.NORM.S.DIST(-F560, TRUE) - B560 * _xlfn.NORM.S.DIST(-D560, TRUE)</f>
        <v>4.1007930769229262</v>
      </c>
      <c r="K560" s="36">
        <f>C560 * _xlfn.NORM.S.DIST(E560, TRUE) - Option_Portfolio!$E$5 * EXP(-'Part 1'!$H$5*'Part 1'!$E$392) * _xlfn.NORM.S.DIST(G560, TRUE)</f>
        <v>24.036309785439272</v>
      </c>
      <c r="L560" s="36">
        <f t="shared" si="12"/>
        <v>-19367068.032418057</v>
      </c>
      <c r="O560" s="36">
        <v>-26144450.735844117</v>
      </c>
      <c r="P560" s="36">
        <f t="shared" si="13"/>
        <v>-2082134.4651507959</v>
      </c>
      <c r="Q560" s="36">
        <f t="shared" si="14"/>
        <v>-8859517.1685768552</v>
      </c>
    </row>
    <row r="561" spans="1:17" x14ac:dyDescent="0.2">
      <c r="A561">
        <v>166</v>
      </c>
      <c r="B561" s="36">
        <f>Underlying_Assets!$C$365*(1+Underlying_Assets!H279)</f>
        <v>86.15453666398065</v>
      </c>
      <c r="C561" s="36">
        <f>Underlying_Assets!$D$365 * (1 + Underlying_Assets!I279)</f>
        <v>143.84626113909334</v>
      </c>
      <c r="D561">
        <f>(LN(B561/Option_Portfolio!$E$4) + (Option_Portfolio!$H$4 + (Option_Portfolio!$G$4^2)/2) * ($E$392)) / (Option_Portfolio!$G$4 * SQRT($E$392))</f>
        <v>0.21397598906146659</v>
      </c>
      <c r="E561">
        <f>(LN(C561/Option_Portfolio!$E$5) + (Option_Portfolio!$H$5 + (Option_Portfolio!$G$5^2)/2) * ($E$392)) / (Option_Portfolio!$G$5 * SQRT($E$392))</f>
        <v>1.2793118003988275</v>
      </c>
      <c r="F561">
        <f>D561-Option_Portfolio!$G$4*SQRT('Part 1'!$E$392)</f>
        <v>9.4249634402185326E-2</v>
      </c>
      <c r="G561">
        <f>E561-Option_Portfolio!$G$5*SQRT('Part 1'!$E$392)</f>
        <v>1.1243718120162283</v>
      </c>
      <c r="H561">
        <f t="shared" si="10"/>
        <v>-0.41528289074538205</v>
      </c>
      <c r="I561">
        <f t="shared" si="11"/>
        <v>0.89960636060590127</v>
      </c>
      <c r="J561" s="36">
        <f>Option_Portfolio!$E$4 * EXP(-Option_Portfolio!$H$4* $E$392) * _xlfn.NORM.S.DIST(-F561, TRUE) - B561 * _xlfn.NORM.S.DIST(-D561, TRUE)</f>
        <v>3.3357179354511501</v>
      </c>
      <c r="K561" s="36">
        <f>C561 * _xlfn.NORM.S.DIST(E561, TRUE) - Option_Portfolio!$E$5 * EXP(-'Part 1'!$H$5*'Part 1'!$E$392) * _xlfn.NORM.S.DIST(G561, TRUE)</f>
        <v>25.056330974080268</v>
      </c>
      <c r="L561" s="36">
        <f t="shared" si="12"/>
        <v>-26762636.400002487</v>
      </c>
      <c r="O561" s="36">
        <v>-26098833.950566396</v>
      </c>
      <c r="P561" s="36">
        <f t="shared" si="13"/>
        <v>-2127751.2504285164</v>
      </c>
      <c r="Q561" s="36">
        <f t="shared" si="14"/>
        <v>-1463948.8009924255</v>
      </c>
    </row>
    <row r="562" spans="1:17" x14ac:dyDescent="0.2">
      <c r="A562">
        <v>167</v>
      </c>
      <c r="B562" s="36">
        <f>Underlying_Assets!$C$365*(1+Underlying_Assets!H280)</f>
        <v>85.831676022453905</v>
      </c>
      <c r="C562" s="36">
        <f>Underlying_Assets!$D$365 * (1 + Underlying_Assets!I280)</f>
        <v>144.34820592823715</v>
      </c>
      <c r="D562">
        <f>(LN(B562/Option_Portfolio!$E$4) + (Option_Portfolio!$H$4 + (Option_Portfolio!$G$4^2)/2) * ($E$392)) / (Option_Portfolio!$G$4 * SQRT($E$392))</f>
        <v>0.18261698808845817</v>
      </c>
      <c r="E562">
        <f>(LN(C562/Option_Portfolio!$E$5) + (Option_Portfolio!$H$5 + (Option_Portfolio!$G$5^2)/2) * ($E$392)) / (Option_Portfolio!$G$5 * SQRT($E$392))</f>
        <v>1.3017939186129885</v>
      </c>
      <c r="F562">
        <f>D562-Option_Portfolio!$G$4*SQRT('Part 1'!$E$392)</f>
        <v>6.2890633429176904E-2</v>
      </c>
      <c r="G562">
        <f>E562-Option_Portfolio!$G$5*SQRT('Part 1'!$E$392)</f>
        <v>1.1468539302303893</v>
      </c>
      <c r="H562">
        <f t="shared" si="10"/>
        <v>-0.42754927696471123</v>
      </c>
      <c r="I562">
        <f t="shared" si="11"/>
        <v>0.90350657836752124</v>
      </c>
      <c r="J562" s="36">
        <f>Option_Portfolio!$E$4 * EXP(-Option_Portfolio!$H$4* $E$392) * _xlfn.NORM.S.DIST(-F562, TRUE) - B562 * _xlfn.NORM.S.DIST(-D562, TRUE)</f>
        <v>3.4717733113571754</v>
      </c>
      <c r="K562" s="36">
        <f>C562 * _xlfn.NORM.S.DIST(E562, TRUE) - Option_Portfolio!$E$5 * EXP(-'Part 1'!$H$5*'Part 1'!$E$392) * _xlfn.NORM.S.DIST(G562, TRUE)</f>
        <v>25.506073376839652</v>
      </c>
      <c r="L562" s="36">
        <f t="shared" si="12"/>
        <v>-26709733.574179076</v>
      </c>
      <c r="O562" s="36">
        <v>-26062153.922116753</v>
      </c>
      <c r="P562" s="36">
        <f t="shared" si="13"/>
        <v>-2164431.2788781598</v>
      </c>
      <c r="Q562" s="36">
        <f t="shared" si="14"/>
        <v>-1516851.6268158369</v>
      </c>
    </row>
    <row r="563" spans="1:17" x14ac:dyDescent="0.2">
      <c r="A563">
        <v>168</v>
      </c>
      <c r="B563" s="36">
        <f>Underlying_Assets!$C$365*(1+Underlying_Assets!H281)</f>
        <v>86.060523364485974</v>
      </c>
      <c r="C563" s="36">
        <f>Underlying_Assets!$D$365 * (1 + Underlying_Assets!I281)</f>
        <v>151.31486697965573</v>
      </c>
      <c r="D563">
        <f>(LN(B563/Option_Portfolio!$E$4) + (Option_Portfolio!$H$4 + (Option_Portfolio!$G$4^2)/2) * ($E$392)) / (Option_Portfolio!$G$4 * SQRT($E$392))</f>
        <v>0.20485675323675578</v>
      </c>
      <c r="E563">
        <f>(LN(C563/Option_Portfolio!$E$5) + (Option_Portfolio!$H$5 + (Option_Portfolio!$G$5^2)/2) * ($E$392)) / (Option_Portfolio!$G$5 * SQRT($E$392))</f>
        <v>1.6060046046192369</v>
      </c>
      <c r="F563">
        <f>D563-Option_Portfolio!$G$4*SQRT('Part 1'!$E$392)</f>
        <v>8.5130398577474523E-2</v>
      </c>
      <c r="G563">
        <f>E563-Option_Portfolio!$G$5*SQRT('Part 1'!$E$392)</f>
        <v>1.4510646162366376</v>
      </c>
      <c r="H563">
        <f t="shared" si="10"/>
        <v>-0.41884202224711142</v>
      </c>
      <c r="I563">
        <f t="shared" si="11"/>
        <v>0.9458635508794796</v>
      </c>
      <c r="J563" s="36">
        <f>Option_Portfolio!$E$4 * EXP(-Option_Portfolio!$H$4* $E$392) * _xlfn.NORM.S.DIST(-F563, TRUE) - B563 * _xlfn.NORM.S.DIST(-D563, TRUE)</f>
        <v>3.3749272693877401</v>
      </c>
      <c r="K563" s="36">
        <f>C563 * _xlfn.NORM.S.DIST(E563, TRUE) - Option_Portfolio!$E$5 * EXP(-'Part 1'!$H$5*'Part 1'!$E$392) * _xlfn.NORM.S.DIST(G563, TRUE)</f>
        <v>31.928929475045948</v>
      </c>
      <c r="L563" s="36">
        <f t="shared" si="12"/>
        <v>-40233368.064377718</v>
      </c>
      <c r="O563" s="36">
        <v>-26026941.296589252</v>
      </c>
      <c r="P563" s="36">
        <f t="shared" si="13"/>
        <v>-2199643.9044056609</v>
      </c>
      <c r="Q563" s="36">
        <f t="shared" si="14"/>
        <v>12006782.863382805</v>
      </c>
    </row>
    <row r="564" spans="1:17" x14ac:dyDescent="0.2">
      <c r="A564">
        <v>169</v>
      </c>
      <c r="B564" s="36">
        <f>Underlying_Assets!$C$365*(1+Underlying_Assets!H282)</f>
        <v>84.918866719872284</v>
      </c>
      <c r="C564" s="36">
        <f>Underlying_Assets!$D$365 * (1 + Underlying_Assets!I282)</f>
        <v>144.04103332085361</v>
      </c>
      <c r="D564">
        <f>(LN(B564/Option_Portfolio!$E$4) + (Option_Portfolio!$H$4 + (Option_Portfolio!$G$4^2)/2) * ($E$392)) / (Option_Portfolio!$G$4 * SQRT($E$392))</f>
        <v>9.3314751124322734E-2</v>
      </c>
      <c r="E564">
        <f>(LN(C564/Option_Portfolio!$E$5) + (Option_Portfolio!$H$5 + (Option_Portfolio!$G$5^2)/2) * ($E$392)) / (Option_Portfolio!$G$5 * SQRT($E$392))</f>
        <v>1.2880449514854591</v>
      </c>
      <c r="F564">
        <f>D564-Option_Portfolio!$G$4*SQRT('Part 1'!$E$392)</f>
        <v>-2.6411603534958528E-2</v>
      </c>
      <c r="G564">
        <f>E564-Option_Portfolio!$G$5*SQRT('Part 1'!$E$392)</f>
        <v>1.1331049631028598</v>
      </c>
      <c r="H564">
        <f t="shared" si="10"/>
        <v>-0.46282675675677054</v>
      </c>
      <c r="I564">
        <f t="shared" si="11"/>
        <v>0.90113484200513805</v>
      </c>
      <c r="J564" s="36">
        <f>Option_Portfolio!$E$4 * EXP(-Option_Portfolio!$H$4* $E$392) * _xlfn.NORM.S.DIST(-F564, TRUE) - B564 * _xlfn.NORM.S.DIST(-D564, TRUE)</f>
        <v>3.878083326516375</v>
      </c>
      <c r="K564" s="36">
        <f>C564 * _xlfn.NORM.S.DIST(E564, TRUE) - Option_Portfolio!$E$5 * EXP(-'Part 1'!$H$5*'Part 1'!$E$392) * _xlfn.NORM.S.DIST(G564, TRUE)</f>
        <v>25.230604447555478</v>
      </c>
      <c r="L564" s="36">
        <f t="shared" si="12"/>
        <v>-23314625.609496333</v>
      </c>
      <c r="O564" s="36">
        <v>-26001686.369749859</v>
      </c>
      <c r="P564" s="36">
        <f t="shared" si="13"/>
        <v>-2224898.8312450536</v>
      </c>
      <c r="Q564" s="36">
        <f t="shared" si="14"/>
        <v>-4911959.5914985798</v>
      </c>
    </row>
    <row r="565" spans="1:17" x14ac:dyDescent="0.2">
      <c r="A565">
        <v>170</v>
      </c>
      <c r="B565" s="36">
        <f>Underlying_Assets!$C$365*(1+Underlying_Assets!H283)</f>
        <v>86.615132957292502</v>
      </c>
      <c r="C565" s="36">
        <f>Underlying_Assets!$D$365 * (1 + Underlying_Assets!I283)</f>
        <v>143.81904403462553</v>
      </c>
      <c r="D565">
        <f>(LN(B565/Option_Portfolio!$E$4) + (Option_Portfolio!$H$4 + (Option_Portfolio!$G$4^2)/2) * ($E$392)) / (Option_Portfolio!$G$4 * SQRT($E$392))</f>
        <v>0.25851024501007519</v>
      </c>
      <c r="E565">
        <f>(LN(C565/Option_Portfolio!$E$5) + (Option_Portfolio!$H$5 + (Option_Portfolio!$G$5^2)/2) * ($E$392)) / (Option_Portfolio!$G$5 * SQRT($E$392))</f>
        <v>1.2780905044608892</v>
      </c>
      <c r="F565">
        <f>D565-Option_Portfolio!$G$4*SQRT('Part 1'!$E$392)</f>
        <v>0.13878389035079391</v>
      </c>
      <c r="G565">
        <f>E565-Option_Portfolio!$G$5*SQRT('Part 1'!$E$392)</f>
        <v>1.12315051607829</v>
      </c>
      <c r="H565">
        <f t="shared" si="10"/>
        <v>-0.39800657160042829</v>
      </c>
      <c r="I565">
        <f t="shared" si="11"/>
        <v>0.89939124168282192</v>
      </c>
      <c r="J565" s="36">
        <f>Option_Portfolio!$E$4 * EXP(-Option_Portfolio!$H$4* $E$392) * _xlfn.NORM.S.DIST(-F565, TRUE) - B565 * _xlfn.NORM.S.DIST(-D565, TRUE)</f>
        <v>3.1484293915001942</v>
      </c>
      <c r="K565" s="36">
        <f>C565 * _xlfn.NORM.S.DIST(E565, TRUE) - Option_Portfolio!$E$5 * EXP(-'Part 1'!$H$5*'Part 1'!$E$392) * _xlfn.NORM.S.DIST(G565, TRUE)</f>
        <v>25.032003069594566</v>
      </c>
      <c r="L565" s="36">
        <f t="shared" si="12"/>
        <v>-28025000.39868778</v>
      </c>
      <c r="O565" s="36">
        <v>-25898916.944651779</v>
      </c>
      <c r="P565" s="36">
        <f t="shared" si="13"/>
        <v>-2327668.2563431337</v>
      </c>
      <c r="Q565" s="36">
        <f t="shared" si="14"/>
        <v>-201584.80230713263</v>
      </c>
    </row>
    <row r="566" spans="1:17" x14ac:dyDescent="0.2">
      <c r="A566">
        <v>171</v>
      </c>
      <c r="B566" s="36">
        <f>Underlying_Assets!$C$365*(1+Underlying_Assets!H284)</f>
        <v>84.463360808295661</v>
      </c>
      <c r="C566" s="36">
        <f>Underlying_Assets!$D$365 * (1 + Underlying_Assets!I284)</f>
        <v>142.22114437286854</v>
      </c>
      <c r="D566">
        <f>(LN(B566/Option_Portfolio!$E$4) + (Option_Portfolio!$H$4 + (Option_Portfolio!$G$4^2)/2) * ($E$392)) / (Option_Portfolio!$G$4 * SQRT($E$392))</f>
        <v>4.8391884609311174E-2</v>
      </c>
      <c r="E566">
        <f>(LN(C566/Option_Portfolio!$E$5) + (Option_Portfolio!$H$5 + (Option_Portfolio!$G$5^2)/2) * ($E$392)) / (Option_Portfolio!$G$5 * SQRT($E$392))</f>
        <v>1.2059808451579583</v>
      </c>
      <c r="F566">
        <f>D566-Option_Portfolio!$G$4*SQRT('Part 1'!$E$392)</f>
        <v>-7.1334470049970095E-2</v>
      </c>
      <c r="G566">
        <f>E566-Option_Portfolio!$G$5*SQRT('Part 1'!$E$392)</f>
        <v>1.0510408567753591</v>
      </c>
      <c r="H566">
        <f t="shared" si="10"/>
        <v>-0.48070196343646798</v>
      </c>
      <c r="I566">
        <f t="shared" si="11"/>
        <v>0.88608756189046556</v>
      </c>
      <c r="J566" s="36">
        <f>Option_Portfolio!$E$4 * EXP(-Option_Portfolio!$H$4* $E$392) * _xlfn.NORM.S.DIST(-F566, TRUE) - B566 * _xlfn.NORM.S.DIST(-D566, TRUE)</f>
        <v>4.0929689723508673</v>
      </c>
      <c r="K566" s="36">
        <f>C566 * _xlfn.NORM.S.DIST(E566, TRUE) - Option_Portfolio!$E$5 * EXP(-'Part 1'!$H$5*'Part 1'!$E$392) * _xlfn.NORM.S.DIST(G566, TRUE)</f>
        <v>23.614776595333467</v>
      </c>
      <c r="L566" s="36">
        <f t="shared" si="12"/>
        <v>-18578770.384210866</v>
      </c>
      <c r="O566" s="36">
        <v>-25872245.477731012</v>
      </c>
      <c r="P566" s="36">
        <f t="shared" si="13"/>
        <v>-2354339.7232639007</v>
      </c>
      <c r="Q566" s="36">
        <f t="shared" si="14"/>
        <v>-9647814.8167840466</v>
      </c>
    </row>
    <row r="567" spans="1:17" x14ac:dyDescent="0.2">
      <c r="A567">
        <v>172</v>
      </c>
      <c r="B567" s="36">
        <f>Underlying_Assets!$C$365*(1+Underlying_Assets!H285)</f>
        <v>85.855708502024299</v>
      </c>
      <c r="C567" s="36">
        <f>Underlying_Assets!$D$365 * (1 + Underlying_Assets!I285)</f>
        <v>144.24135802469138</v>
      </c>
      <c r="D567">
        <f>(LN(B567/Option_Portfolio!$E$4) + (Option_Portfolio!$H$4 + (Option_Portfolio!$G$4^2)/2) * ($E$392)) / (Option_Portfolio!$G$4 * SQRT($E$392))</f>
        <v>0.18495528919949106</v>
      </c>
      <c r="E567">
        <f>(LN(C567/Option_Portfolio!$E$5) + (Option_Portfolio!$H$5 + (Option_Portfolio!$G$5^2)/2) * ($E$392)) / (Option_Portfolio!$G$5 * SQRT($E$392))</f>
        <v>1.2970147552080344</v>
      </c>
      <c r="F567">
        <f>D567-Option_Portfolio!$G$4*SQRT('Part 1'!$E$392)</f>
        <v>6.5228934540209796E-2</v>
      </c>
      <c r="G567">
        <f>E567-Option_Portfolio!$G$5*SQRT('Part 1'!$E$392)</f>
        <v>1.1420747668254352</v>
      </c>
      <c r="H567">
        <f t="shared" si="10"/>
        <v>-0.42663205224854051</v>
      </c>
      <c r="I567">
        <f t="shared" si="11"/>
        <v>0.90268694502509705</v>
      </c>
      <c r="J567" s="36">
        <f>Option_Portfolio!$E$4 * EXP(-Option_Portfolio!$H$4* $E$392) * _xlfn.NORM.S.DIST(-F567, TRUE) - B567 * _xlfn.NORM.S.DIST(-D567, TRUE)</f>
        <v>3.4615092649889831</v>
      </c>
      <c r="K567" s="36">
        <f>C567 * _xlfn.NORM.S.DIST(E567, TRUE) - Option_Portfolio!$E$5 * EXP(-'Part 1'!$H$5*'Part 1'!$E$392) * _xlfn.NORM.S.DIST(G567, TRUE)</f>
        <v>25.410167400705035</v>
      </c>
      <c r="L567" s="36">
        <f t="shared" si="12"/>
        <v>-26589769.946487188</v>
      </c>
      <c r="O567" s="36">
        <v>-25728915.546135757</v>
      </c>
      <c r="P567" s="36">
        <f t="shared" si="13"/>
        <v>-2497669.6548591554</v>
      </c>
      <c r="Q567" s="36">
        <f t="shared" si="14"/>
        <v>-1636815.2545077242</v>
      </c>
    </row>
    <row r="568" spans="1:17" x14ac:dyDescent="0.2">
      <c r="A568">
        <v>173</v>
      </c>
      <c r="B568" s="36">
        <f>Underlying_Assets!$C$365*(1+Underlying_Assets!H286)</f>
        <v>85.485784366576823</v>
      </c>
      <c r="C568" s="36">
        <f>Underlying_Assets!$D$365 * (1 + Underlying_Assets!I286)</f>
        <v>144.12703330751359</v>
      </c>
      <c r="D568">
        <f>(LN(B568/Option_Portfolio!$E$4) + (Option_Portfolio!$H$4 + (Option_Portfolio!$G$4^2)/2) * ($E$392)) / (Option_Portfolio!$G$4 * SQRT($E$392))</f>
        <v>0.1488898660718217</v>
      </c>
      <c r="E568">
        <f>(LN(C568/Option_Portfolio!$E$5) + (Option_Portfolio!$H$5 + (Option_Portfolio!$G$5^2)/2) * ($E$392)) / (Option_Portfolio!$G$5 * SQRT($E$392))</f>
        <v>1.2918972419048389</v>
      </c>
      <c r="F568">
        <f>D568-Option_Portfolio!$G$4*SQRT('Part 1'!$E$392)</f>
        <v>2.9163511412540435E-2</v>
      </c>
      <c r="G568">
        <f>E568-Option_Portfolio!$G$5*SQRT('Part 1'!$E$392)</f>
        <v>1.1369572535222396</v>
      </c>
      <c r="H568">
        <f t="shared" si="10"/>
        <v>-0.44082026889267234</v>
      </c>
      <c r="I568">
        <f t="shared" si="11"/>
        <v>0.90180363348800952</v>
      </c>
      <c r="J568" s="36">
        <f>Option_Portfolio!$E$4 * EXP(-Option_Portfolio!$H$4* $E$392) * _xlfn.NORM.S.DIST(-F568, TRUE) - B568 * _xlfn.NORM.S.DIST(-D568, TRUE)</f>
        <v>3.6219505183483705</v>
      </c>
      <c r="K568" s="36">
        <f>C568 * _xlfn.NORM.S.DIST(E568, TRUE) - Option_Portfolio!$E$5 * EXP(-'Part 1'!$H$5*'Part 1'!$E$392) * _xlfn.NORM.S.DIST(G568, TRUE)</f>
        <v>25.307651673109063</v>
      </c>
      <c r="L568" s="36">
        <f t="shared" si="12"/>
        <v>-25261649.717779528</v>
      </c>
      <c r="O568" s="36">
        <v>-25667627.598805573</v>
      </c>
      <c r="P568" s="36">
        <f t="shared" si="13"/>
        <v>-2558957.6021893397</v>
      </c>
      <c r="Q568" s="36">
        <f t="shared" si="14"/>
        <v>-2964935.4832153842</v>
      </c>
    </row>
    <row r="569" spans="1:17" x14ac:dyDescent="0.2">
      <c r="A569">
        <v>174</v>
      </c>
      <c r="B569" s="36">
        <f>Underlying_Assets!$C$365*(1+Underlying_Assets!H287)</f>
        <v>85.855896188158951</v>
      </c>
      <c r="C569" s="36">
        <f>Underlying_Assets!$D$365 * (1 + Underlying_Assets!I287)</f>
        <v>146.88466926070041</v>
      </c>
      <c r="D569">
        <f>(LN(B569/Option_Portfolio!$E$4) + (Option_Portfolio!$H$4 + (Option_Portfolio!$G$4^2)/2) * ($E$392)) / (Option_Portfolio!$G$4 * SQRT($E$392))</f>
        <v>0.18497354802252564</v>
      </c>
      <c r="E569">
        <f>(LN(C569/Option_Portfolio!$E$5) + (Option_Portfolio!$H$5 + (Option_Portfolio!$G$5^2)/2) * ($E$392)) / (Option_Portfolio!$G$5 * SQRT($E$392))</f>
        <v>1.4142196311047017</v>
      </c>
      <c r="F569">
        <f>D569-Option_Portfolio!$G$4*SQRT('Part 1'!$E$392)</f>
        <v>6.5247193363244374E-2</v>
      </c>
      <c r="G569">
        <f>E569-Option_Portfolio!$G$5*SQRT('Part 1'!$E$392)</f>
        <v>1.2592796427221025</v>
      </c>
      <c r="H569">
        <f t="shared" si="10"/>
        <v>-0.42662489157557704</v>
      </c>
      <c r="I569">
        <f t="shared" si="11"/>
        <v>0.92135128713424808</v>
      </c>
      <c r="J569" s="36">
        <f>Option_Portfolio!$E$4 * EXP(-Option_Portfolio!$H$4* $E$392) * _xlfn.NORM.S.DIST(-F569, TRUE) - B569 * _xlfn.NORM.S.DIST(-D569, TRUE)</f>
        <v>3.4614291927401553</v>
      </c>
      <c r="K569" s="36">
        <f>C569 * _xlfn.NORM.S.DIST(E569, TRUE) - Option_Portfolio!$E$5 * EXP(-'Part 1'!$H$5*'Part 1'!$E$392) * _xlfn.NORM.S.DIST(G569, TRUE)</f>
        <v>27.80813969655172</v>
      </c>
      <c r="L569" s="36">
        <f t="shared" si="12"/>
        <v>-31386275.04392235</v>
      </c>
      <c r="O569" s="36">
        <v>-25650705.967231009</v>
      </c>
      <c r="P569" s="36">
        <f t="shared" si="13"/>
        <v>-2575879.2337639034</v>
      </c>
      <c r="Q569" s="36">
        <f t="shared" si="14"/>
        <v>3159689.8429274373</v>
      </c>
    </row>
    <row r="570" spans="1:17" x14ac:dyDescent="0.2">
      <c r="A570">
        <v>175</v>
      </c>
      <c r="B570" s="36">
        <f>Underlying_Assets!$C$365*(1+Underlying_Assets!H288)</f>
        <v>86.133515118790498</v>
      </c>
      <c r="C570" s="36">
        <f>Underlying_Assets!$D$365 * (1 + Underlying_Assets!I288)</f>
        <v>146.24411200613736</v>
      </c>
      <c r="D570">
        <f>(LN(B570/Option_Portfolio!$E$4) + (Option_Portfolio!$H$4 + (Option_Portfolio!$G$4^2)/2) * ($E$392)) / (Option_Portfolio!$G$4 * SQRT($E$392))</f>
        <v>0.21193777537350292</v>
      </c>
      <c r="E570">
        <f>(LN(C570/Option_Portfolio!$E$5) + (Option_Portfolio!$H$5 + (Option_Portfolio!$G$5^2)/2) * ($E$392)) / (Option_Portfolio!$G$5 * SQRT($E$392))</f>
        <v>1.3860119971229814</v>
      </c>
      <c r="F570">
        <f>D570-Option_Portfolio!$G$4*SQRT('Part 1'!$E$392)</f>
        <v>9.2211420714221656E-2</v>
      </c>
      <c r="G570">
        <f>E570-Option_Portfolio!$G$5*SQRT('Part 1'!$E$392)</f>
        <v>1.2310720087403821</v>
      </c>
      <c r="H570">
        <f t="shared" si="10"/>
        <v>-0.41607778973125864</v>
      </c>
      <c r="I570">
        <f t="shared" si="11"/>
        <v>0.91712837991378215</v>
      </c>
      <c r="J570" s="36">
        <f>Option_Portfolio!$E$4 * EXP(-Option_Portfolio!$H$4* $E$392) * _xlfn.NORM.S.DIST(-F570, TRUE) - B570 * _xlfn.NORM.S.DIST(-D570, TRUE)</f>
        <v>3.3444561775638988</v>
      </c>
      <c r="K570" s="36">
        <f>C570 * _xlfn.NORM.S.DIST(E570, TRUE) - Option_Portfolio!$E$5 * EXP(-'Part 1'!$H$5*'Part 1'!$E$392) * _xlfn.NORM.S.DIST(G570, TRUE)</f>
        <v>27.222381523911878</v>
      </c>
      <c r="L570" s="36">
        <f t="shared" si="12"/>
        <v>-31033569.804876465</v>
      </c>
      <c r="O570" s="36">
        <v>-25637226.245675035</v>
      </c>
      <c r="P570" s="36">
        <f t="shared" si="13"/>
        <v>-2589358.9553198777</v>
      </c>
      <c r="Q570" s="36">
        <f t="shared" si="14"/>
        <v>2806984.6038815528</v>
      </c>
    </row>
    <row r="571" spans="1:17" x14ac:dyDescent="0.2">
      <c r="A571">
        <v>176</v>
      </c>
      <c r="B571" s="36">
        <f>Underlying_Assets!$C$365*(1+Underlying_Assets!H289)</f>
        <v>86.269970438054273</v>
      </c>
      <c r="C571" s="36">
        <f>Underlying_Assets!$D$365 * (1 + Underlying_Assets!I289)</f>
        <v>144.30505127231294</v>
      </c>
      <c r="D571">
        <f>(LN(B571/Option_Portfolio!$E$4) + (Option_Portfolio!$H$4 + (Option_Portfolio!$G$4^2)/2) * ($E$392)) / (Option_Portfolio!$G$4 * SQRT($E$392))</f>
        <v>0.22515939792112344</v>
      </c>
      <c r="E571">
        <f>(LN(C571/Option_Portfolio!$E$5) + (Option_Portfolio!$H$5 + (Option_Portfolio!$G$5^2)/2) * ($E$392)) / (Option_Portfolio!$G$5 * SQRT($E$392))</f>
        <v>1.2998640947352673</v>
      </c>
      <c r="F571">
        <f>D571-Option_Portfolio!$G$4*SQRT('Part 1'!$E$392)</f>
        <v>0.10543304326184218</v>
      </c>
      <c r="G571">
        <f>E571-Option_Portfolio!$G$5*SQRT('Part 1'!$E$392)</f>
        <v>1.1449241063526681</v>
      </c>
      <c r="H571">
        <f t="shared" si="10"/>
        <v>-0.41092763710834967</v>
      </c>
      <c r="I571">
        <f t="shared" si="11"/>
        <v>0.90317622346307869</v>
      </c>
      <c r="J571" s="36">
        <f>Option_Portfolio!$E$4 * EXP(-Option_Portfolio!$H$4* $E$392) * _xlfn.NORM.S.DIST(-F571, TRUE) - B571 * _xlfn.NORM.S.DIST(-D571, TRUE)</f>
        <v>3.288031794716197</v>
      </c>
      <c r="K571" s="36">
        <f>C571 * _xlfn.NORM.S.DIST(E571, TRUE) - Option_Portfolio!$E$5 * EXP(-'Part 1'!$H$5*'Part 1'!$E$392) * _xlfn.NORM.S.DIST(G571, TRUE)</f>
        <v>25.467327061495297</v>
      </c>
      <c r="L571" s="36">
        <f t="shared" si="12"/>
        <v>-27918431.559977215</v>
      </c>
      <c r="O571" s="36">
        <v>-25623076.235200025</v>
      </c>
      <c r="P571" s="36">
        <f t="shared" si="13"/>
        <v>-2603508.9657948874</v>
      </c>
      <c r="Q571" s="36">
        <f t="shared" si="14"/>
        <v>-308153.64101769775</v>
      </c>
    </row>
    <row r="572" spans="1:17" x14ac:dyDescent="0.2">
      <c r="A572">
        <v>177</v>
      </c>
      <c r="B572" s="36">
        <f>Underlying_Assets!$C$365*(1+Underlying_Assets!H290)</f>
        <v>85.533894230769235</v>
      </c>
      <c r="C572" s="36">
        <f>Underlying_Assets!$D$365 * (1 + Underlying_Assets!I290)</f>
        <v>146.45548780487806</v>
      </c>
      <c r="D572">
        <f>(LN(B572/Option_Portfolio!$E$4) + (Option_Portfolio!$H$4 + (Option_Portfolio!$G$4^2)/2) * ($E$392)) / (Option_Portfolio!$G$4 * SQRT($E$392))</f>
        <v>0.15358911328487673</v>
      </c>
      <c r="E572">
        <f>(LN(C572/Option_Portfolio!$E$5) + (Option_Portfolio!$H$5 + (Option_Portfolio!$G$5^2)/2) * ($E$392)) / (Option_Portfolio!$G$5 * SQRT($E$392))</f>
        <v>1.3953337950683813</v>
      </c>
      <c r="F572">
        <f>D572-Option_Portfolio!$G$4*SQRT('Part 1'!$E$392)</f>
        <v>3.3862758625595471E-2</v>
      </c>
      <c r="G572">
        <f>E572-Option_Portfolio!$G$5*SQRT('Part 1'!$E$392)</f>
        <v>1.240393806685782</v>
      </c>
      <c r="H572">
        <f t="shared" si="10"/>
        <v>-0.4389668607110363</v>
      </c>
      <c r="I572">
        <f t="shared" si="11"/>
        <v>0.91854239723766784</v>
      </c>
      <c r="J572" s="36">
        <f>Option_Portfolio!$E$4 * EXP(-Option_Portfolio!$H$4* $E$392) * _xlfn.NORM.S.DIST(-F572, TRUE) - B572 * _xlfn.NORM.S.DIST(-D572, TRUE)</f>
        <v>3.6007873081482771</v>
      </c>
      <c r="K572" s="36">
        <f>C572 * _xlfn.NORM.S.DIST(E572, TRUE) - Option_Portfolio!$E$5 * EXP(-'Part 1'!$H$5*'Part 1'!$E$392) * _xlfn.NORM.S.DIST(G572, TRUE)</f>
        <v>27.415361095058884</v>
      </c>
      <c r="L572" s="36">
        <f t="shared" si="12"/>
        <v>-29625211.033079829</v>
      </c>
      <c r="O572" s="36">
        <v>-25612632.625858348</v>
      </c>
      <c r="P572" s="36">
        <f t="shared" si="13"/>
        <v>-2613952.5751365647</v>
      </c>
      <c r="Q572" s="36">
        <f t="shared" si="14"/>
        <v>1398625.8320849165</v>
      </c>
    </row>
    <row r="573" spans="1:17" x14ac:dyDescent="0.2">
      <c r="A573">
        <v>178</v>
      </c>
      <c r="B573" s="36">
        <f>Underlying_Assets!$C$365*(1+Underlying_Assets!H291)</f>
        <v>84.959502008032118</v>
      </c>
      <c r="C573" s="36">
        <f>Underlying_Assets!$D$365 * (1 + Underlying_Assets!I291)</f>
        <v>144.69088168801812</v>
      </c>
      <c r="D573">
        <f>(LN(B573/Option_Portfolio!$E$4) + (Option_Portfolio!$H$4 + (Option_Portfolio!$G$4^2)/2) * ($E$392)) / (Option_Portfolio!$G$4 * SQRT($E$392))</f>
        <v>9.7310567350925276E-2</v>
      </c>
      <c r="E573">
        <f>(LN(C573/Option_Portfolio!$E$5) + (Option_Portfolio!$H$5 + (Option_Portfolio!$G$5^2)/2) * ($E$392)) / (Option_Portfolio!$G$5 * SQRT($E$392))</f>
        <v>1.3170975144211965</v>
      </c>
      <c r="F573">
        <f>D573-Option_Portfolio!$G$4*SQRT('Part 1'!$E$392)</f>
        <v>-2.2415787308355986E-2</v>
      </c>
      <c r="G573">
        <f>E573-Option_Portfolio!$G$5*SQRT('Part 1'!$E$392)</f>
        <v>1.1621575260385972</v>
      </c>
      <c r="H573">
        <f t="shared" si="10"/>
        <v>-0.46123988214876965</v>
      </c>
      <c r="I573">
        <f t="shared" si="11"/>
        <v>0.9060970299562614</v>
      </c>
      <c r="J573" s="36">
        <f>Option_Portfolio!$E$4 * EXP(-Option_Portfolio!$H$4* $E$392) * _xlfn.NORM.S.DIST(-F573, TRUE) - B573 * _xlfn.NORM.S.DIST(-D573, TRUE)</f>
        <v>3.8593084740582597</v>
      </c>
      <c r="K573" s="36">
        <f>C573 * _xlfn.NORM.S.DIST(E573, TRUE) - Option_Portfolio!$E$5 * EXP(-'Part 1'!$H$5*'Part 1'!$E$392) * _xlfn.NORM.S.DIST(G573, TRUE)</f>
        <v>25.814267196273079</v>
      </c>
      <c r="L573" s="36">
        <f t="shared" si="12"/>
        <v>-24613375.074138336</v>
      </c>
      <c r="O573" s="36">
        <v>-25532098.097175449</v>
      </c>
      <c r="P573" s="36">
        <f t="shared" si="13"/>
        <v>-2694487.1038194634</v>
      </c>
      <c r="Q573" s="36">
        <f t="shared" si="14"/>
        <v>-3613210.1268565767</v>
      </c>
    </row>
    <row r="574" spans="1:17" x14ac:dyDescent="0.2">
      <c r="A574">
        <v>179</v>
      </c>
      <c r="B574" s="36">
        <f>Underlying_Assets!$C$365*(1+Underlying_Assets!H292)</f>
        <v>86.805668738178866</v>
      </c>
      <c r="C574" s="36">
        <f>Underlying_Assets!$D$365 * (1 + Underlying_Assets!I292)</f>
        <v>147.25701357466065</v>
      </c>
      <c r="D574">
        <f>(LN(B574/Option_Portfolio!$E$4) + (Option_Portfolio!$H$4 + (Option_Portfolio!$G$4^2)/2) * ($E$392)) / (Option_Portfolio!$G$4 * SQRT($E$392))</f>
        <v>0.27686361270564441</v>
      </c>
      <c r="E574">
        <f>(LN(C574/Option_Portfolio!$E$5) + (Option_Portfolio!$H$5 + (Option_Portfolio!$G$5^2)/2) * ($E$392)) / (Option_Portfolio!$G$5 * SQRT($E$392))</f>
        <v>1.4305597368202696</v>
      </c>
      <c r="F574">
        <f>D574-Option_Portfolio!$G$4*SQRT('Part 1'!$E$392)</f>
        <v>0.15713725804636314</v>
      </c>
      <c r="G574">
        <f>E574-Option_Portfolio!$G$5*SQRT('Part 1'!$E$392)</f>
        <v>1.2756197484376703</v>
      </c>
      <c r="H574">
        <f t="shared" si="10"/>
        <v>-0.39094241681670128</v>
      </c>
      <c r="I574">
        <f t="shared" si="11"/>
        <v>0.92372178310153064</v>
      </c>
      <c r="J574" s="36">
        <f>Option_Portfolio!$E$4 * EXP(-Option_Portfolio!$H$4* $E$392) * _xlfn.NORM.S.DIST(-F574, TRUE) - B574 * _xlfn.NORM.S.DIST(-D574, TRUE)</f>
        <v>3.0732686832289247</v>
      </c>
      <c r="K574" s="36">
        <f>C574 * _xlfn.NORM.S.DIST(E574, TRUE) - Option_Portfolio!$E$5 * EXP(-'Part 1'!$H$5*'Part 1'!$E$392) * _xlfn.NORM.S.DIST(G574, TRUE)</f>
        <v>28.149909330477229</v>
      </c>
      <c r="L574" s="36">
        <f t="shared" si="12"/>
        <v>-34786937.878351986</v>
      </c>
      <c r="O574" s="36">
        <v>-25491229.124753386</v>
      </c>
      <c r="P574" s="36">
        <f t="shared" si="13"/>
        <v>-2735356.0762415268</v>
      </c>
      <c r="Q574" s="36">
        <f t="shared" si="14"/>
        <v>6560352.6773570739</v>
      </c>
    </row>
    <row r="575" spans="1:17" x14ac:dyDescent="0.2">
      <c r="A575">
        <v>180</v>
      </c>
      <c r="B575" s="36">
        <f>Underlying_Assets!$C$365*(1+Underlying_Assets!H293)</f>
        <v>86.220528422738198</v>
      </c>
      <c r="C575" s="36">
        <f>Underlying_Assets!$D$365 * (1 + Underlying_Assets!I293)</f>
        <v>144.74631071560998</v>
      </c>
      <c r="D575">
        <f>(LN(B575/Option_Portfolio!$E$4) + (Option_Portfolio!$H$4 + (Option_Portfolio!$G$4^2)/2) * ($E$392)) / (Option_Portfolio!$G$4 * SQRT($E$392))</f>
        <v>0.22037120947318187</v>
      </c>
      <c r="E575">
        <f>(LN(C575/Option_Portfolio!$E$5) + (Option_Portfolio!$H$5 + (Option_Portfolio!$G$5^2)/2) * ($E$392)) / (Option_Portfolio!$G$5 * SQRT($E$392))</f>
        <v>1.3195695197625261</v>
      </c>
      <c r="F575">
        <f>D575-Option_Portfolio!$G$4*SQRT('Part 1'!$E$392)</f>
        <v>0.10064485481390061</v>
      </c>
      <c r="G575">
        <f>E575-Option_Portfolio!$G$5*SQRT('Part 1'!$E$392)</f>
        <v>1.1646295313799269</v>
      </c>
      <c r="H575">
        <f t="shared" si="10"/>
        <v>-0.41279103289320362</v>
      </c>
      <c r="I575">
        <f t="shared" si="11"/>
        <v>0.90651060748998413</v>
      </c>
      <c r="J575" s="36">
        <f>Option_Portfolio!$E$4 * EXP(-Option_Portfolio!$H$4* $E$392) * _xlfn.NORM.S.DIST(-F575, TRUE) - B575 * _xlfn.NORM.S.DIST(-D575, TRUE)</f>
        <v>3.3083949376749331</v>
      </c>
      <c r="K575" s="36">
        <f>C575 * _xlfn.NORM.S.DIST(E575, TRUE) - Option_Portfolio!$E$5 * EXP(-'Part 1'!$H$5*'Part 1'!$E$392) * _xlfn.NORM.S.DIST(G575, TRUE)</f>
        <v>25.86420513748287</v>
      </c>
      <c r="L575" s="36">
        <f t="shared" si="12"/>
        <v>-28569645.711241208</v>
      </c>
      <c r="O575" s="36">
        <v>-25464190.297570813</v>
      </c>
      <c r="P575" s="36">
        <f t="shared" si="13"/>
        <v>-2762394.9034240991</v>
      </c>
      <c r="Q575" s="36">
        <f t="shared" si="14"/>
        <v>343060.51024629548</v>
      </c>
    </row>
    <row r="576" spans="1:17" x14ac:dyDescent="0.2">
      <c r="A576">
        <v>181</v>
      </c>
      <c r="B576" s="36">
        <f>Underlying_Assets!$C$365*(1+Underlying_Assets!H294)</f>
        <v>84.238184713375801</v>
      </c>
      <c r="C576" s="36">
        <f>Underlying_Assets!$D$365 * (1 + Underlying_Assets!I294)</f>
        <v>141.20148367952521</v>
      </c>
      <c r="D576">
        <f>(LN(B576/Option_Portfolio!$E$4) + (Option_Portfolio!$H$4 + (Option_Portfolio!$G$4^2)/2) * ($E$392)) / (Option_Portfolio!$G$4 * SQRT($E$392))</f>
        <v>2.6095024153995658E-2</v>
      </c>
      <c r="E576">
        <f>(LN(C576/Option_Portfolio!$E$5) + (Option_Portfolio!$H$5 + (Option_Portfolio!$G$5^2)/2) * ($E$392)) / (Option_Portfolio!$G$5 * SQRT($E$392))</f>
        <v>1.1595411342333002</v>
      </c>
      <c r="F576">
        <f>D576-Option_Portfolio!$G$4*SQRT('Part 1'!$E$392)</f>
        <v>-9.3631330505285604E-2</v>
      </c>
      <c r="G576">
        <f>E576-Option_Portfolio!$G$5*SQRT('Part 1'!$E$392)</f>
        <v>1.0046011458507009</v>
      </c>
      <c r="H576">
        <f t="shared" si="10"/>
        <v>-0.48959077293130382</v>
      </c>
      <c r="I576">
        <f t="shared" si="11"/>
        <v>0.87688216014550391</v>
      </c>
      <c r="J576" s="36">
        <f>Option_Portfolio!$E$4 * EXP(-Option_Portfolio!$H$4* $E$392) * _xlfn.NORM.S.DIST(-F576, TRUE) - B576 * _xlfn.NORM.S.DIST(-D576, TRUE)</f>
        <v>4.2022117532281058</v>
      </c>
      <c r="K576" s="36">
        <f>C576 * _xlfn.NORM.S.DIST(E576, TRUE) - Option_Portfolio!$E$5 * EXP(-'Part 1'!$H$5*'Part 1'!$E$392) * _xlfn.NORM.S.DIST(G576, TRUE)</f>
        <v>22.722398743029771</v>
      </c>
      <c r="L576" s="36">
        <f t="shared" si="12"/>
        <v>-16029315.213462796</v>
      </c>
      <c r="O576" s="36">
        <v>-25430792.208349783</v>
      </c>
      <c r="P576" s="36">
        <f t="shared" si="13"/>
        <v>-2795792.9926451296</v>
      </c>
      <c r="Q576" s="36">
        <f t="shared" si="14"/>
        <v>-12197269.987532116</v>
      </c>
    </row>
    <row r="577" spans="1:17" x14ac:dyDescent="0.2">
      <c r="A577">
        <v>182</v>
      </c>
      <c r="B577" s="36">
        <f>Underlying_Assets!$C$365*(1+Underlying_Assets!H295)</f>
        <v>85.971604538087504</v>
      </c>
      <c r="C577" s="36">
        <f>Underlying_Assets!$D$365 * (1 + Underlying_Assets!I295)</f>
        <v>144.41445416508179</v>
      </c>
      <c r="D577">
        <f>(LN(B577/Option_Portfolio!$E$4) + (Option_Portfolio!$H$4 + (Option_Portfolio!$G$4^2)/2) * ($E$392)) / (Option_Portfolio!$G$4 * SQRT($E$392))</f>
        <v>0.19622250689098031</v>
      </c>
      <c r="E577">
        <f>(LN(C577/Option_Portfolio!$E$5) + (Option_Portfolio!$H$5 + (Option_Portfolio!$G$5^2)/2) * ($E$392)) / (Option_Portfolio!$G$5 * SQRT($E$392))</f>
        <v>1.3047553370414331</v>
      </c>
      <c r="F577">
        <f>D577-Option_Portfolio!$G$4*SQRT('Part 1'!$E$392)</f>
        <v>7.6496152231699047E-2</v>
      </c>
      <c r="G577">
        <f>E577-Option_Portfolio!$G$5*SQRT('Part 1'!$E$392)</f>
        <v>1.1498153486588338</v>
      </c>
      <c r="H577">
        <f t="shared" si="10"/>
        <v>-0.4222180062648202</v>
      </c>
      <c r="I577">
        <f t="shared" si="11"/>
        <v>0.90401191407495773</v>
      </c>
      <c r="J577" s="36">
        <f>Option_Portfolio!$E$4 * EXP(-Option_Portfolio!$H$4* $E$392) * _xlfn.NORM.S.DIST(-F577, TRUE) - B577 * _xlfn.NORM.S.DIST(-D577, TRUE)</f>
        <v>3.4123202355459696</v>
      </c>
      <c r="K577" s="36">
        <f>C577 * _xlfn.NORM.S.DIST(E577, TRUE) - Option_Portfolio!$E$5 * EXP(-'Part 1'!$H$5*'Part 1'!$E$392) * _xlfn.NORM.S.DIST(G577, TRUE)</f>
        <v>25.565583059810194</v>
      </c>
      <c r="L577" s="36">
        <f t="shared" si="12"/>
        <v>-27244924.470798597</v>
      </c>
      <c r="O577" s="36">
        <v>-25352468.245443221</v>
      </c>
      <c r="P577" s="36">
        <f t="shared" si="13"/>
        <v>-2874116.9555516914</v>
      </c>
      <c r="Q577" s="36">
        <f t="shared" si="14"/>
        <v>-981660.7301963158</v>
      </c>
    </row>
    <row r="578" spans="1:17" x14ac:dyDescent="0.2">
      <c r="A578">
        <v>183</v>
      </c>
      <c r="B578" s="36">
        <f>Underlying_Assets!$C$365*(1+Underlying_Assets!H296)</f>
        <v>85.64760775862068</v>
      </c>
      <c r="C578" s="36">
        <f>Underlying_Assets!$D$365 * (1 + Underlying_Assets!I296)</f>
        <v>146.12540045766593</v>
      </c>
      <c r="D578">
        <f>(LN(B578/Option_Portfolio!$E$4) + (Option_Portfolio!$H$4 + (Option_Portfolio!$G$4^2)/2) * ($E$392)) / (Option_Portfolio!$G$4 * SQRT($E$392))</f>
        <v>0.16468585814109626</v>
      </c>
      <c r="E578">
        <f>(LN(C578/Option_Portfolio!$E$5) + (Option_Portfolio!$H$5 + (Option_Portfolio!$G$5^2)/2) * ($E$392)) / (Option_Portfolio!$G$5 * SQRT($E$392))</f>
        <v>1.3807708374970582</v>
      </c>
      <c r="F578">
        <f>D578-Option_Portfolio!$G$4*SQRT('Part 1'!$E$392)</f>
        <v>4.4959503481815002E-2</v>
      </c>
      <c r="G578">
        <f>E578-Option_Portfolio!$G$5*SQRT('Part 1'!$E$392)</f>
        <v>1.2258308491144589</v>
      </c>
      <c r="H578">
        <f t="shared" si="10"/>
        <v>-0.43459562427920306</v>
      </c>
      <c r="I578">
        <f t="shared" si="11"/>
        <v>0.91632528359018728</v>
      </c>
      <c r="J578" s="36">
        <f>Option_Portfolio!$E$4 * EXP(-Option_Portfolio!$H$4* $E$392) * _xlfn.NORM.S.DIST(-F578, TRUE) - B578 * _xlfn.NORM.S.DIST(-D578, TRUE)</f>
        <v>3.5511195003454219</v>
      </c>
      <c r="K578" s="36">
        <f>C578 * _xlfn.NORM.S.DIST(E578, TRUE) - Option_Portfolio!$E$5 * EXP(-'Part 1'!$H$5*'Part 1'!$E$392) * _xlfn.NORM.S.DIST(G578, TRUE)</f>
        <v>27.11413915050916</v>
      </c>
      <c r="L578" s="36">
        <f t="shared" si="12"/>
        <v>-29370441.798600364</v>
      </c>
      <c r="O578" s="36">
        <v>-25313404.905161399</v>
      </c>
      <c r="P578" s="36">
        <f t="shared" si="13"/>
        <v>-2913180.2958335131</v>
      </c>
      <c r="Q578" s="36">
        <f t="shared" si="14"/>
        <v>1143856.5976054519</v>
      </c>
    </row>
    <row r="579" spans="1:17" x14ac:dyDescent="0.2">
      <c r="A579">
        <v>184</v>
      </c>
      <c r="B579" s="36">
        <f>Underlying_Assets!$C$365*(1+Underlying_Assets!H297)</f>
        <v>85.161925566343044</v>
      </c>
      <c r="C579" s="36">
        <f>Underlying_Assets!$D$365 * (1 + Underlying_Assets!I297)</f>
        <v>146.66061980347692</v>
      </c>
      <c r="D579">
        <f>(LN(B579/Option_Portfolio!$E$4) + (Option_Portfolio!$H$4 + (Option_Portfolio!$G$4^2)/2) * ($E$392)) / (Option_Portfolio!$G$4 * SQRT($E$392))</f>
        <v>0.11718718471603086</v>
      </c>
      <c r="E579">
        <f>(LN(C579/Option_Portfolio!$E$5) + (Option_Portfolio!$H$5 + (Option_Portfolio!$G$5^2)/2) * ($E$392)) / (Option_Portfolio!$G$5 * SQRT($E$392))</f>
        <v>1.4043673829525609</v>
      </c>
      <c r="F579">
        <f>D579-Option_Portfolio!$G$4*SQRT('Part 1'!$E$392)</f>
        <v>-2.5391699432504022E-3</v>
      </c>
      <c r="G579">
        <f>E579-Option_Portfolio!$G$5*SQRT('Part 1'!$E$392)</f>
        <v>1.2494273945699617</v>
      </c>
      <c r="H579">
        <f t="shared" si="10"/>
        <v>-0.45335586103003012</v>
      </c>
      <c r="I579">
        <f t="shared" si="11"/>
        <v>0.91989526081140194</v>
      </c>
      <c r="J579" s="36">
        <f>Option_Portfolio!$E$4 * EXP(-Option_Portfolio!$H$4* $E$392) * _xlfn.NORM.S.DIST(-F579, TRUE) - B579 * _xlfn.NORM.S.DIST(-D579, TRUE)</f>
        <v>3.766741211677612</v>
      </c>
      <c r="K579" s="36">
        <f>C579 * _xlfn.NORM.S.DIST(E579, TRUE) - Option_Portfolio!$E$5 * EXP(-'Part 1'!$H$5*'Part 1'!$E$392) * _xlfn.NORM.S.DIST(G579, TRUE)</f>
        <v>27.602936739741992</v>
      </c>
      <c r="L579" s="36">
        <f t="shared" si="12"/>
        <v>-28838684.997740701</v>
      </c>
      <c r="O579" s="36">
        <v>-25261649.717779528</v>
      </c>
      <c r="P579" s="36">
        <f t="shared" si="13"/>
        <v>-2964935.4832153842</v>
      </c>
      <c r="Q579" s="36">
        <f t="shared" si="14"/>
        <v>612099.79674578831</v>
      </c>
    </row>
    <row r="580" spans="1:17" x14ac:dyDescent="0.2">
      <c r="A580">
        <v>185</v>
      </c>
      <c r="B580" s="36">
        <f>Underlying_Assets!$C$365*(1+Underlying_Assets!H298)</f>
        <v>86.019359218028782</v>
      </c>
      <c r="C580" s="36">
        <f>Underlying_Assets!$D$365 * (1 + Underlying_Assets!I298)</f>
        <v>146.09671641791044</v>
      </c>
      <c r="D580">
        <f>(LN(B580/Option_Portfolio!$E$4) + (Option_Portfolio!$H$4 + (Option_Portfolio!$G$4^2)/2) * ($E$392)) / (Option_Portfolio!$G$4 * SQRT($E$392))</f>
        <v>0.20086071847078754</v>
      </c>
      <c r="E580">
        <f>(LN(C580/Option_Portfolio!$E$5) + (Option_Portfolio!$H$5 + (Option_Portfolio!$G$5^2)/2) * ($E$392)) / (Option_Portfolio!$G$5 * SQRT($E$392))</f>
        <v>1.379503787619534</v>
      </c>
      <c r="F580">
        <f>D580-Option_Portfolio!$G$4*SQRT('Part 1'!$E$392)</f>
        <v>8.113436381150628E-2</v>
      </c>
      <c r="G580">
        <f>E580-Option_Portfolio!$G$5*SQRT('Part 1'!$E$392)</f>
        <v>1.2245637992369347</v>
      </c>
      <c r="H580">
        <f t="shared" si="10"/>
        <v>-0.42040374190107799</v>
      </c>
      <c r="I580">
        <f t="shared" si="11"/>
        <v>0.91613026038104184</v>
      </c>
      <c r="J580" s="36">
        <f>Option_Portfolio!$E$4 * EXP(-Option_Portfolio!$H$4* $E$392) * _xlfn.NORM.S.DIST(-F580, TRUE) - B580 * _xlfn.NORM.S.DIST(-D580, TRUE)</f>
        <v>3.3922006802564297</v>
      </c>
      <c r="K580" s="36">
        <f>C580 * _xlfn.NORM.S.DIST(E580, TRUE) - Option_Portfolio!$E$5 * EXP(-'Part 1'!$H$5*'Part 1'!$E$392) * _xlfn.NORM.S.DIST(G580, TRUE)</f>
        <v>27.087999722288956</v>
      </c>
      <c r="L580" s="36">
        <f t="shared" si="12"/>
        <v>-30430594.6827829</v>
      </c>
      <c r="O580" s="36">
        <v>-25246217.366276376</v>
      </c>
      <c r="P580" s="36">
        <f t="shared" si="13"/>
        <v>-2980367.8347185366</v>
      </c>
      <c r="Q580" s="36">
        <f t="shared" si="14"/>
        <v>2204009.4817879871</v>
      </c>
    </row>
    <row r="581" spans="1:17" x14ac:dyDescent="0.2">
      <c r="A581">
        <v>186</v>
      </c>
      <c r="B581" s="36">
        <f>Underlying_Assets!$C$365*(1+Underlying_Assets!H299)</f>
        <v>86.088064952638703</v>
      </c>
      <c r="C581" s="36">
        <f>Underlying_Assets!$D$365 * (1 + Underlying_Assets!I299)</f>
        <v>145.49615384615385</v>
      </c>
      <c r="D581">
        <f>(LN(B581/Option_Portfolio!$E$4) + (Option_Portfolio!$H$4 + (Option_Portfolio!$G$4^2)/2) * ($E$392)) / (Option_Portfolio!$G$4 * SQRT($E$392))</f>
        <v>0.20752930271202585</v>
      </c>
      <c r="E581">
        <f>(LN(C581/Option_Portfolio!$E$5) + (Option_Portfolio!$H$5 + (Option_Portfolio!$G$5^2)/2) * ($E$392)) / (Option_Portfolio!$G$5 * SQRT($E$392))</f>
        <v>1.3529180660284901</v>
      </c>
      <c r="F581">
        <f>D581-Option_Portfolio!$G$4*SQRT('Part 1'!$E$392)</f>
        <v>8.7802948052744592E-2</v>
      </c>
      <c r="G581">
        <f>E581-Option_Portfolio!$G$5*SQRT('Part 1'!$E$392)</f>
        <v>1.1979780776458908</v>
      </c>
      <c r="H581">
        <f t="shared" si="10"/>
        <v>-0.41779825525603509</v>
      </c>
      <c r="I581">
        <f t="shared" si="11"/>
        <v>0.91195909641365758</v>
      </c>
      <c r="J581" s="36">
        <f>Option_Portfolio!$E$4 * EXP(-Option_Portfolio!$H$4* $E$392) * _xlfn.NORM.S.DIST(-F581, TRUE) - B581 * _xlfn.NORM.S.DIST(-D581, TRUE)</f>
        <v>3.3634060704968931</v>
      </c>
      <c r="K581" s="36">
        <f>C581 * _xlfn.NORM.S.DIST(E581, TRUE) - Option_Portfolio!$E$5 * EXP(-'Part 1'!$H$5*'Part 1'!$E$392) * _xlfn.NORM.S.DIST(G581, TRUE)</f>
        <v>26.542074087275552</v>
      </c>
      <c r="L581" s="36">
        <f t="shared" si="12"/>
        <v>-29540305.681072854</v>
      </c>
      <c r="O581" s="36">
        <v>-25222758.609403245</v>
      </c>
      <c r="P581" s="36">
        <f t="shared" si="13"/>
        <v>-3003826.5915916674</v>
      </c>
      <c r="Q581" s="36">
        <f t="shared" si="14"/>
        <v>1313720.480077941</v>
      </c>
    </row>
    <row r="582" spans="1:17" x14ac:dyDescent="0.2">
      <c r="A582">
        <v>187</v>
      </c>
      <c r="B582" s="36">
        <f>Underlying_Assets!$C$365*(1+Underlying_Assets!H300)</f>
        <v>86.363983827493257</v>
      </c>
      <c r="C582" s="36">
        <f>Underlying_Assets!$D$365 * (1 + Underlying_Assets!I300)</f>
        <v>144.80000000000001</v>
      </c>
      <c r="D582">
        <f>(LN(B582/Option_Portfolio!$E$4) + (Option_Portfolio!$H$4 + (Option_Portfolio!$G$4^2)/2) * ($E$392)) / (Option_Portfolio!$G$4 * SQRT($E$392))</f>
        <v>0.23425651472754894</v>
      </c>
      <c r="E582">
        <f>(LN(C582/Option_Portfolio!$E$5) + (Option_Portfolio!$H$5 + (Option_Portfolio!$G$5^2)/2) * ($E$392)) / (Option_Portfolio!$G$5 * SQRT($E$392))</f>
        <v>1.3219630342541913</v>
      </c>
      <c r="F582">
        <f>D582-Option_Portfolio!$G$4*SQRT('Part 1'!$E$392)</f>
        <v>0.11453016006826768</v>
      </c>
      <c r="G582">
        <f>E582-Option_Portfolio!$G$5*SQRT('Part 1'!$E$392)</f>
        <v>1.167023045871592</v>
      </c>
      <c r="H582">
        <f t="shared" si="10"/>
        <v>-0.40739292146139394</v>
      </c>
      <c r="I582">
        <f t="shared" si="11"/>
        <v>0.90690976972115156</v>
      </c>
      <c r="J582" s="36">
        <f>Option_Portfolio!$E$4 * EXP(-Option_Portfolio!$H$4* $E$392) * _xlfn.NORM.S.DIST(-F582, TRUE) - B582 * _xlfn.NORM.S.DIST(-D582, TRUE)</f>
        <v>3.2495653380670149</v>
      </c>
      <c r="K582" s="36">
        <f>C582 * _xlfn.NORM.S.DIST(E582, TRUE) - Option_Portfolio!$E$5 * EXP(-'Part 1'!$H$5*'Part 1'!$E$392) * _xlfn.NORM.S.DIST(G582, TRUE)</f>
        <v>25.912598424623098</v>
      </c>
      <c r="L582" s="36">
        <f t="shared" si="12"/>
        <v>-29078239.482777093</v>
      </c>
      <c r="O582" s="36">
        <v>-24978087.555168815</v>
      </c>
      <c r="P582" s="36">
        <f t="shared" si="13"/>
        <v>-3248497.6458260976</v>
      </c>
      <c r="Q582" s="36">
        <f t="shared" si="14"/>
        <v>851654.28178218007</v>
      </c>
    </row>
    <row r="583" spans="1:17" x14ac:dyDescent="0.2">
      <c r="A583">
        <v>188</v>
      </c>
      <c r="B583" s="36">
        <f>Underlying_Assets!$C$365*(1+Underlying_Assets!H301)</f>
        <v>85.09758094728393</v>
      </c>
      <c r="C583" s="36">
        <f>Underlying_Assets!$D$365 * (1 + Underlying_Assets!I301)</f>
        <v>146.93176297386825</v>
      </c>
      <c r="D583">
        <f>(LN(B583/Option_Portfolio!$E$4) + (Option_Portfolio!$H$4 + (Option_Portfolio!$G$4^2)/2) * ($E$392)) / (Option_Portfolio!$G$4 * SQRT($E$392))</f>
        <v>0.11087410722057389</v>
      </c>
      <c r="E583">
        <f>(LN(C583/Option_Portfolio!$E$5) + (Option_Portfolio!$H$5 + (Option_Portfolio!$G$5^2)/2) * ($E$392)) / (Option_Portfolio!$G$5 * SQRT($E$392))</f>
        <v>1.4162885970092378</v>
      </c>
      <c r="F583">
        <f>D583-Option_Portfolio!$G$4*SQRT('Part 1'!$E$392)</f>
        <v>-8.8522474387073696E-3</v>
      </c>
      <c r="G583">
        <f>E583-Option_Portfolio!$G$5*SQRT('Part 1'!$E$392)</f>
        <v>1.2613486086266386</v>
      </c>
      <c r="H583">
        <f t="shared" si="10"/>
        <v>-0.4558580892139722</v>
      </c>
      <c r="I583">
        <f t="shared" si="11"/>
        <v>0.9216544874637187</v>
      </c>
      <c r="J583" s="36">
        <f>Option_Portfolio!$E$4 * EXP(-Option_Portfolio!$H$4* $E$392) * _xlfn.NORM.S.DIST(-F583, TRUE) - B583 * _xlfn.NORM.S.DIST(-D583, TRUE)</f>
        <v>3.7959927045135373</v>
      </c>
      <c r="K583" s="36">
        <f>C583 * _xlfn.NORM.S.DIST(E583, TRUE) - Option_Portfolio!$E$5 * EXP(-'Part 1'!$H$5*'Part 1'!$E$392) * _xlfn.NORM.S.DIST(G583, TRUE)</f>
        <v>27.851315212884643</v>
      </c>
      <c r="L583" s="36">
        <f t="shared" si="12"/>
        <v>-29130681.494174521</v>
      </c>
      <c r="O583" s="36">
        <v>-24975294.623308107</v>
      </c>
      <c r="P583" s="36">
        <f t="shared" si="13"/>
        <v>-3251290.5776868053</v>
      </c>
      <c r="Q583" s="36">
        <f t="shared" si="14"/>
        <v>904096.29317960888</v>
      </c>
    </row>
    <row r="584" spans="1:17" x14ac:dyDescent="0.2">
      <c r="A584">
        <v>189</v>
      </c>
      <c r="B584" s="36">
        <f>Underlying_Assets!$C$365*(1+Underlying_Assets!H302)</f>
        <v>86.341035319493116</v>
      </c>
      <c r="C584" s="36">
        <f>Underlying_Assets!$D$365 * (1 + Underlying_Assets!I302)</f>
        <v>145.58781284004354</v>
      </c>
      <c r="D584">
        <f>(LN(B584/Option_Portfolio!$E$4) + (Option_Portfolio!$H$4 + (Option_Portfolio!$G$4^2)/2) * ($E$392)) / (Option_Portfolio!$G$4 * SQRT($E$392))</f>
        <v>0.23203683797022601</v>
      </c>
      <c r="E584">
        <f>(LN(C584/Option_Portfolio!$E$5) + (Option_Portfolio!$H$5 + (Option_Portfolio!$G$5^2)/2) * ($E$392)) / (Option_Portfolio!$G$5 * SQRT($E$392))</f>
        <v>1.3569827173110831</v>
      </c>
      <c r="F584">
        <f>D584-Option_Portfolio!$G$4*SQRT('Part 1'!$E$392)</f>
        <v>0.11231048331094474</v>
      </c>
      <c r="G584">
        <f>E584-Option_Portfolio!$G$5*SQRT('Part 1'!$E$392)</f>
        <v>1.2020427289284839</v>
      </c>
      <c r="H584">
        <f t="shared" si="10"/>
        <v>-0.40825470096854344</v>
      </c>
      <c r="I584">
        <f t="shared" si="11"/>
        <v>0.91260664899257182</v>
      </c>
      <c r="J584" s="36">
        <f>Option_Portfolio!$E$4 * EXP(-Option_Portfolio!$H$4* $E$392) * _xlfn.NORM.S.DIST(-F584, TRUE) - B584 * _xlfn.NORM.S.DIST(-D584, TRUE)</f>
        <v>3.2589242847704796</v>
      </c>
      <c r="K584" s="36">
        <f>C584 * _xlfn.NORM.S.DIST(E584, TRUE) - Option_Portfolio!$E$5 * EXP(-'Part 1'!$H$5*'Part 1'!$E$392) * _xlfn.NORM.S.DIST(G584, TRUE)</f>
        <v>26.6252244262256</v>
      </c>
      <c r="L584" s="36">
        <f t="shared" si="12"/>
        <v>-30437978.859057844</v>
      </c>
      <c r="O584" s="36">
        <v>-24740715.075815998</v>
      </c>
      <c r="P584" s="36">
        <f t="shared" si="13"/>
        <v>-3485870.1251789145</v>
      </c>
      <c r="Q584" s="36">
        <f t="shared" si="14"/>
        <v>2211393.6580629312</v>
      </c>
    </row>
    <row r="585" spans="1:17" x14ac:dyDescent="0.2">
      <c r="A585">
        <v>190</v>
      </c>
      <c r="B585" s="36">
        <f>Underlying_Assets!$C$365*(1+Underlying_Assets!H303)</f>
        <v>85.717044176706821</v>
      </c>
      <c r="C585" s="36">
        <f>Underlying_Assets!$D$365 * (1 + Underlying_Assets!I303)</f>
        <v>144.22539682539684</v>
      </c>
      <c r="D585">
        <f>(LN(B585/Option_Portfolio!$E$4) + (Option_Portfolio!$H$4 + (Option_Portfolio!$G$4^2)/2) * ($E$392)) / (Option_Portfolio!$G$4 * SQRT($E$392))</f>
        <v>0.17145457466472161</v>
      </c>
      <c r="E585">
        <f>(LN(C585/Option_Portfolio!$E$5) + (Option_Portfolio!$H$5 + (Option_Portfolio!$G$5^2)/2) * ($E$392)) / (Option_Portfolio!$G$5 * SQRT($E$392))</f>
        <v>1.2963005282662539</v>
      </c>
      <c r="F585">
        <f>D585-Option_Portfolio!$G$4*SQRT('Part 1'!$E$392)</f>
        <v>5.1728220005440348E-2</v>
      </c>
      <c r="G585">
        <f>E585-Option_Portfolio!$G$5*SQRT('Part 1'!$E$392)</f>
        <v>1.1413605398836546</v>
      </c>
      <c r="H585">
        <f t="shared" si="10"/>
        <v>-0.43193317282168842</v>
      </c>
      <c r="I585">
        <f t="shared" si="11"/>
        <v>0.90256401666852148</v>
      </c>
      <c r="J585" s="36">
        <f>Option_Portfolio!$E$4 * EXP(-Option_Portfolio!$H$4* $E$392) * _xlfn.NORM.S.DIST(-F585, TRUE) - B585 * _xlfn.NORM.S.DIST(-D585, TRUE)</f>
        <v>3.5210352024367637</v>
      </c>
      <c r="K585" s="36">
        <f>C585 * _xlfn.NORM.S.DIST(E585, TRUE) - Option_Portfolio!$E$5 * EXP(-'Part 1'!$H$5*'Part 1'!$E$392) * _xlfn.NORM.S.DIST(G585, TRUE)</f>
        <v>25.395848576450732</v>
      </c>
      <c r="L585" s="36">
        <f t="shared" si="12"/>
        <v>-26144450.735844117</v>
      </c>
      <c r="O585" s="36">
        <v>-24630833.980489254</v>
      </c>
      <c r="P585" s="36">
        <f t="shared" si="13"/>
        <v>-3595751.2205056585</v>
      </c>
      <c r="Q585" s="36">
        <f t="shared" si="14"/>
        <v>-2082134.4651507959</v>
      </c>
    </row>
    <row r="586" spans="1:17" x14ac:dyDescent="0.2">
      <c r="A586">
        <v>191</v>
      </c>
      <c r="B586" s="36">
        <f>Underlying_Assets!$C$365*(1+Underlying_Assets!H304)</f>
        <v>89.046523835029447</v>
      </c>
      <c r="C586" s="36">
        <f>Underlying_Assets!$D$365 * (1 + Underlying_Assets!I304)</f>
        <v>146.68801159000361</v>
      </c>
      <c r="D586">
        <f>(LN(B586/Option_Portfolio!$E$4) + (Option_Portfolio!$H$4 + (Option_Portfolio!$G$4^2)/2) * ($E$392)) / (Option_Portfolio!$G$4 * SQRT($E$392))</f>
        <v>0.48974109791705972</v>
      </c>
      <c r="E586">
        <f>(LN(C586/Option_Portfolio!$E$5) + (Option_Portfolio!$H$5 + (Option_Portfolio!$G$5^2)/2) * ($E$392)) / (Option_Portfolio!$G$5 * SQRT($E$392))</f>
        <v>1.4055727040820745</v>
      </c>
      <c r="F586">
        <f>D586-Option_Portfolio!$G$4*SQRT('Part 1'!$E$392)</f>
        <v>0.37001474325777844</v>
      </c>
      <c r="G586">
        <f>E586-Option_Portfolio!$G$5*SQRT('Part 1'!$E$392)</f>
        <v>1.2506327156994752</v>
      </c>
      <c r="H586">
        <f t="shared" si="10"/>
        <v>-0.31215855798676029</v>
      </c>
      <c r="I586">
        <f t="shared" si="11"/>
        <v>0.92007447692607036</v>
      </c>
      <c r="J586" s="36">
        <f>Option_Portfolio!$E$4 * EXP(-Option_Portfolio!$H$4* $E$392) * _xlfn.NORM.S.DIST(-F586, TRUE) - B586 * _xlfn.NORM.S.DIST(-D586, TRUE)</f>
        <v>2.287068666424485</v>
      </c>
      <c r="K586" s="36">
        <f>C586 * _xlfn.NORM.S.DIST(E586, TRUE) - Option_Portfolio!$E$5 * EXP(-'Part 1'!$H$5*'Part 1'!$E$392) * _xlfn.NORM.S.DIST(G586, TRUE)</f>
        <v>27.628006065222948</v>
      </c>
      <c r="L586" s="36">
        <f t="shared" si="12"/>
        <v>-39246531.465474501</v>
      </c>
      <c r="O586" s="36">
        <v>-24613375.074138336</v>
      </c>
      <c r="P586" s="36">
        <f t="shared" si="13"/>
        <v>-3613210.1268565767</v>
      </c>
      <c r="Q586" s="36">
        <f t="shared" si="14"/>
        <v>11019946.264479589</v>
      </c>
    </row>
    <row r="587" spans="1:17" x14ac:dyDescent="0.2">
      <c r="A587">
        <v>192</v>
      </c>
      <c r="B587" s="36">
        <f>Underlying_Assets!$C$365*(1+Underlying_Assets!H305)</f>
        <v>86.425389375966986</v>
      </c>
      <c r="C587" s="36">
        <f>Underlying_Assets!$D$365 * (1 + Underlying_Assets!I305)</f>
        <v>144.80000000000001</v>
      </c>
      <c r="D587">
        <f>(LN(B587/Option_Portfolio!$E$4) + (Option_Portfolio!$H$4 + (Option_Portfolio!$G$4^2)/2) * ($E$392)) / (Option_Portfolio!$G$4 * SQRT($E$392))</f>
        <v>0.24019301975501151</v>
      </c>
      <c r="E587">
        <f>(LN(C587/Option_Portfolio!$E$5) + (Option_Portfolio!$H$5 + (Option_Portfolio!$G$5^2)/2) * ($E$392)) / (Option_Portfolio!$G$5 * SQRT($E$392))</f>
        <v>1.3219630342541913</v>
      </c>
      <c r="F587">
        <f>D587-Option_Portfolio!$G$4*SQRT('Part 1'!$E$392)</f>
        <v>0.12046666509573024</v>
      </c>
      <c r="G587">
        <f>E587-Option_Portfolio!$G$5*SQRT('Part 1'!$E$392)</f>
        <v>1.167023045871592</v>
      </c>
      <c r="H587">
        <f t="shared" ref="H587:H645" si="15">_xlfn.NORM.S.DIST(D587, TRUE) - 1</f>
        <v>-0.40509031237150661</v>
      </c>
      <c r="I587">
        <f t="shared" ref="I587:I645" si="16">_xlfn.NORM.S.DIST(E587, TRUE)</f>
        <v>0.90690976972115156</v>
      </c>
      <c r="J587" s="36">
        <f>Option_Portfolio!$E$4 * EXP(-Option_Portfolio!$H$4* $E$392) * _xlfn.NORM.S.DIST(-F587, TRUE) - B587 * _xlfn.NORM.S.DIST(-D587, TRUE)</f>
        <v>3.2246198737355272</v>
      </c>
      <c r="K587" s="36">
        <f>C587 * _xlfn.NORM.S.DIST(E587, TRUE) - Option_Portfolio!$E$5 * EXP(-'Part 1'!$H$5*'Part 1'!$E$392) * _xlfn.NORM.S.DIST(G587, TRUE)</f>
        <v>25.912598424623098</v>
      </c>
      <c r="L587" s="36">
        <f t="shared" ref="L587:L645" si="17">(K587 * -2000 * 1000) + (J587 * 7000 * 1000)</f>
        <v>-29252857.733097505</v>
      </c>
      <c r="O587" s="36">
        <v>-24548914.852284167</v>
      </c>
      <c r="P587" s="36">
        <f t="shared" si="13"/>
        <v>-3677670.3487107456</v>
      </c>
      <c r="Q587" s="36">
        <f t="shared" si="14"/>
        <v>1026272.5321025923</v>
      </c>
    </row>
    <row r="588" spans="1:17" x14ac:dyDescent="0.2">
      <c r="A588">
        <v>193</v>
      </c>
      <c r="B588" s="36">
        <f>Underlying_Assets!$C$365*(1+Underlying_Assets!H306)</f>
        <v>85.849669992325389</v>
      </c>
      <c r="C588" s="36">
        <f>Underlying_Assets!$D$365 * (1 + Underlying_Assets!I306)</f>
        <v>145.21415802645691</v>
      </c>
      <c r="D588">
        <f>(LN(B588/Option_Portfolio!$E$4) + (Option_Portfolio!$H$4 + (Option_Portfolio!$G$4^2)/2) * ($E$392)) / (Option_Portfolio!$G$4 * SQRT($E$392))</f>
        <v>0.18436781864276053</v>
      </c>
      <c r="E588">
        <f>(LN(C588/Option_Portfolio!$E$5) + (Option_Portfolio!$H$5 + (Option_Portfolio!$G$5^2)/2) * ($E$392)) / (Option_Portfolio!$G$5 * SQRT($E$392))</f>
        <v>1.3403967826018683</v>
      </c>
      <c r="F588">
        <f>D588-Option_Portfolio!$G$4*SQRT('Part 1'!$E$392)</f>
        <v>6.4641463983479266E-2</v>
      </c>
      <c r="G588">
        <f>E588-Option_Portfolio!$G$5*SQRT('Part 1'!$E$392)</f>
        <v>1.1854567942192691</v>
      </c>
      <c r="H588">
        <f t="shared" si="15"/>
        <v>-0.42686245701968883</v>
      </c>
      <c r="I588">
        <f t="shared" si="16"/>
        <v>0.90994180940795455</v>
      </c>
      <c r="J588" s="36">
        <f>Option_Portfolio!$E$4 * EXP(-Option_Portfolio!$H$4* $E$392) * _xlfn.NORM.S.DIST(-F588, TRUE) - B588 * _xlfn.NORM.S.DIST(-D588, TRUE)</f>
        <v>3.464086182404337</v>
      </c>
      <c r="K588" s="36">
        <f>C588 * _xlfn.NORM.S.DIST(E588, TRUE) - Option_Portfolio!$E$5 * EXP(-'Part 1'!$H$5*'Part 1'!$E$392) * _xlfn.NORM.S.DIST(G588, TRUE)</f>
        <v>26.286646971127325</v>
      </c>
      <c r="L588" s="36">
        <f t="shared" si="17"/>
        <v>-28324690.665424287</v>
      </c>
      <c r="O588" s="36">
        <v>-24411503.124165166</v>
      </c>
      <c r="P588" s="36">
        <f t="shared" si="13"/>
        <v>-3815082.0768297464</v>
      </c>
      <c r="Q588" s="36">
        <f t="shared" si="14"/>
        <v>98105.464429374784</v>
      </c>
    </row>
    <row r="589" spans="1:17" x14ac:dyDescent="0.2">
      <c r="A589">
        <v>194</v>
      </c>
      <c r="B589" s="36">
        <f>Underlying_Assets!$C$365*(1+Underlying_Assets!H307)</f>
        <v>86.178119570771585</v>
      </c>
      <c r="C589" s="36">
        <f>Underlying_Assets!$D$365 * (1 + Underlying_Assets!I307)</f>
        <v>144.64513368983958</v>
      </c>
      <c r="D589">
        <f>(LN(B589/Option_Portfolio!$E$4) + (Option_Portfolio!$H$4 + (Option_Portfolio!$G$4^2)/2) * ($E$392)) / (Option_Portfolio!$G$4 * SQRT($E$392))</f>
        <v>0.21626195624331701</v>
      </c>
      <c r="E589">
        <f>(LN(C589/Option_Portfolio!$E$5) + (Option_Portfolio!$H$5 + (Option_Portfolio!$G$5^2)/2) * ($E$392)) / (Option_Portfolio!$G$5 * SQRT($E$392))</f>
        <v>1.3150565469682751</v>
      </c>
      <c r="F589">
        <f>D589-Option_Portfolio!$G$4*SQRT('Part 1'!$E$392)</f>
        <v>9.6535601584035749E-2</v>
      </c>
      <c r="G589">
        <f>E589-Option_Portfolio!$G$5*SQRT('Part 1'!$E$392)</f>
        <v>1.1601165585856759</v>
      </c>
      <c r="H589">
        <f t="shared" si="15"/>
        <v>-0.41439178093750217</v>
      </c>
      <c r="I589">
        <f t="shared" si="16"/>
        <v>0.90575455058207233</v>
      </c>
      <c r="J589" s="36">
        <f>Option_Portfolio!$E$4 * EXP(-Option_Portfolio!$H$4* $E$392) * _xlfn.NORM.S.DIST(-F589, TRUE) - B589 * _xlfn.NORM.S.DIST(-D589, TRUE)</f>
        <v>3.3259348665670885</v>
      </c>
      <c r="K589" s="36">
        <f>C589 * _xlfn.NORM.S.DIST(E589, TRUE) - Option_Portfolio!$E$5 * EXP(-'Part 1'!$H$5*'Part 1'!$E$392) * _xlfn.NORM.S.DIST(G589, TRUE)</f>
        <v>25.773069258603797</v>
      </c>
      <c r="L589" s="36">
        <f t="shared" si="17"/>
        <v>-28264594.451237984</v>
      </c>
      <c r="O589" s="36">
        <v>-24398228.294661678</v>
      </c>
      <c r="P589" s="36">
        <f t="shared" ref="P589:P645" si="18">$L$395-O589</f>
        <v>-3828356.9063332342</v>
      </c>
      <c r="Q589" s="36">
        <f t="shared" ref="Q589:Q645" si="19">-L589+L$395</f>
        <v>38009.250243071467</v>
      </c>
    </row>
    <row r="590" spans="1:17" x14ac:dyDescent="0.2">
      <c r="A590">
        <v>195</v>
      </c>
      <c r="B590" s="36">
        <f>Underlying_Assets!$C$365*(1+Underlying_Assets!H308)</f>
        <v>84.432323335027945</v>
      </c>
      <c r="C590" s="36">
        <f>Underlying_Assets!$D$365 * (1 + Underlying_Assets!I308)</f>
        <v>144.07651677373306</v>
      </c>
      <c r="D590">
        <f>(LN(B590/Option_Portfolio!$E$4) + (Option_Portfolio!$H$4 + (Option_Portfolio!$G$4^2)/2) * ($E$392)) / (Option_Portfolio!$G$4 * SQRT($E$392))</f>
        <v>4.5322098988925877E-2</v>
      </c>
      <c r="E590">
        <f>(LN(C590/Option_Portfolio!$E$5) + (Option_Portfolio!$H$5 + (Option_Portfolio!$G$5^2)/2) * ($E$392)) / (Option_Portfolio!$G$5 * SQRT($E$392))</f>
        <v>1.2896346788126707</v>
      </c>
      <c r="F590">
        <f>D590-Option_Portfolio!$G$4*SQRT('Part 1'!$E$392)</f>
        <v>-7.4404255670355385E-2</v>
      </c>
      <c r="G590">
        <f>E590-Option_Portfolio!$G$5*SQRT('Part 1'!$E$392)</f>
        <v>1.1346946904300714</v>
      </c>
      <c r="H590">
        <f t="shared" si="15"/>
        <v>-0.48192528654453537</v>
      </c>
      <c r="I590">
        <f t="shared" si="16"/>
        <v>0.90141123542638457</v>
      </c>
      <c r="J590" s="36">
        <f>Option_Portfolio!$E$4 * EXP(-Option_Portfolio!$H$4* $E$392) * _xlfn.NORM.S.DIST(-F590, TRUE) - B590 * _xlfn.NORM.S.DIST(-D590, TRUE)</f>
        <v>4.1079077295018607</v>
      </c>
      <c r="K590" s="36">
        <f>C590 * _xlfn.NORM.S.DIST(E590, TRUE) - Option_Portfolio!$E$5 * EXP(-'Part 1'!$H$5*'Part 1'!$E$392) * _xlfn.NORM.S.DIST(G590, TRUE)</f>
        <v>25.262386746438366</v>
      </c>
      <c r="L590" s="36">
        <f t="shared" si="17"/>
        <v>-21769419.386363707</v>
      </c>
      <c r="O590" s="36">
        <v>-24330047.942126106</v>
      </c>
      <c r="P590" s="36">
        <f t="shared" si="18"/>
        <v>-3896537.2588688061</v>
      </c>
      <c r="Q590" s="36">
        <f t="shared" si="19"/>
        <v>-6457165.8146312051</v>
      </c>
    </row>
    <row r="591" spans="1:17" x14ac:dyDescent="0.2">
      <c r="A591">
        <v>196</v>
      </c>
      <c r="B591" s="36">
        <f>Underlying_Assets!$C$365*(1+Underlying_Assets!H309)</f>
        <v>86.160511099638612</v>
      </c>
      <c r="C591" s="36">
        <f>Underlying_Assets!$D$365 * (1 + Underlying_Assets!I309)</f>
        <v>144.2286944045911</v>
      </c>
      <c r="D591">
        <f>(LN(B591/Option_Portfolio!$E$4) + (Option_Portfolio!$H$4 + (Option_Portfolio!$G$4^2)/2) * ($E$392)) / (Option_Portfolio!$G$4 * SQRT($E$392))</f>
        <v>0.21455516954585269</v>
      </c>
      <c r="E591">
        <f>(LN(C591/Option_Portfolio!$E$5) + (Option_Portfolio!$H$5 + (Option_Portfolio!$G$5^2)/2) * ($E$392)) / (Option_Portfolio!$G$5 * SQRT($E$392))</f>
        <v>1.2964480938254295</v>
      </c>
      <c r="F591">
        <f>D591-Option_Portfolio!$G$4*SQRT('Part 1'!$E$392)</f>
        <v>9.4828814886571425E-2</v>
      </c>
      <c r="G591">
        <f>E591-Option_Portfolio!$G$5*SQRT('Part 1'!$E$392)</f>
        <v>1.1415081054428302</v>
      </c>
      <c r="H591">
        <f t="shared" si="15"/>
        <v>-0.41505707469519004</v>
      </c>
      <c r="I591">
        <f t="shared" si="16"/>
        <v>0.90258942407782283</v>
      </c>
      <c r="J591" s="36">
        <f>Option_Portfolio!$E$4 * EXP(-Option_Portfolio!$H$4* $E$392) * _xlfn.NORM.S.DIST(-F591, TRUE) - B591 * _xlfn.NORM.S.DIST(-D591, TRUE)</f>
        <v>3.3332375291240197</v>
      </c>
      <c r="K591" s="36">
        <f>C591 * _xlfn.NORM.S.DIST(E591, TRUE) - Option_Portfolio!$E$5 * EXP(-'Part 1'!$H$5*'Part 1'!$E$392) * _xlfn.NORM.S.DIST(G591, TRUE)</f>
        <v>25.398806673915971</v>
      </c>
      <c r="L591" s="36">
        <f t="shared" si="17"/>
        <v>-27464950.643963806</v>
      </c>
      <c r="O591" s="36">
        <v>-24140796.95579062</v>
      </c>
      <c r="P591" s="36">
        <f t="shared" si="18"/>
        <v>-4085788.2452042922</v>
      </c>
      <c r="Q591" s="36">
        <f t="shared" si="19"/>
        <v>-761634.5570311062</v>
      </c>
    </row>
    <row r="592" spans="1:17" x14ac:dyDescent="0.2">
      <c r="A592">
        <v>197</v>
      </c>
      <c r="B592" s="36">
        <f>Underlying_Assets!$C$365*(1+Underlying_Assets!H310)</f>
        <v>85.299517081941929</v>
      </c>
      <c r="C592" s="36">
        <f>Underlying_Assets!$D$365 * (1 + Underlying_Assets!I310)</f>
        <v>145.26928339935185</v>
      </c>
      <c r="D592">
        <f>(LN(B592/Option_Portfolio!$E$4) + (Option_Portfolio!$H$4 + (Option_Portfolio!$G$4^2)/2) * ($E$392)) / (Option_Portfolio!$G$4 * SQRT($E$392))</f>
        <v>0.1306707836243137</v>
      </c>
      <c r="E592">
        <f>(LN(C592/Option_Portfolio!$E$5) + (Option_Portfolio!$H$5 + (Option_Portfolio!$G$5^2)/2) * ($E$392)) / (Option_Portfolio!$G$5 * SQRT($E$392))</f>
        <v>1.3428463908797359</v>
      </c>
      <c r="F592">
        <f>D592-Option_Portfolio!$G$4*SQRT('Part 1'!$E$392)</f>
        <v>1.0944428965032435E-2</v>
      </c>
      <c r="G592">
        <f>E592-Option_Portfolio!$G$5*SQRT('Part 1'!$E$392)</f>
        <v>1.1879064024971366</v>
      </c>
      <c r="H592">
        <f t="shared" si="15"/>
        <v>-0.44801787271229054</v>
      </c>
      <c r="I592">
        <f t="shared" si="16"/>
        <v>0.91033914086230738</v>
      </c>
      <c r="J592" s="36">
        <f>Option_Portfolio!$E$4 * EXP(-Option_Portfolio!$H$4* $E$392) * _xlfn.NORM.S.DIST(-F592, TRUE) - B592 * _xlfn.NORM.S.DIST(-D592, TRUE)</f>
        <v>3.7047307236843849</v>
      </c>
      <c r="K592" s="36">
        <f>C592 * _xlfn.NORM.S.DIST(E592, TRUE) - Option_Portfolio!$E$5 * EXP(-'Part 1'!$H$5*'Part 1'!$E$392) * _xlfn.NORM.S.DIST(G592, TRUE)</f>
        <v>26.336531862730823</v>
      </c>
      <c r="L592" s="36">
        <f t="shared" si="17"/>
        <v>-26739948.659670953</v>
      </c>
      <c r="O592" s="36">
        <v>-24127404.266063131</v>
      </c>
      <c r="P592" s="36">
        <f t="shared" si="18"/>
        <v>-4099180.9349317811</v>
      </c>
      <c r="Q592" s="36">
        <f t="shared" si="19"/>
        <v>-1486636.5413239598</v>
      </c>
    </row>
    <row r="593" spans="1:17" x14ac:dyDescent="0.2">
      <c r="A593">
        <v>198</v>
      </c>
      <c r="B593" s="36">
        <f>Underlying_Assets!$C$365*(1+Underlying_Assets!H311)</f>
        <v>85.51862122385748</v>
      </c>
      <c r="C593" s="36">
        <f>Underlying_Assets!$D$365 * (1 + Underlying_Assets!I311)</f>
        <v>145.78750897343863</v>
      </c>
      <c r="D593">
        <f>(LN(B593/Option_Portfolio!$E$4) + (Option_Portfolio!$H$4 + (Option_Portfolio!$G$4^2)/2) * ($E$392)) / (Option_Portfolio!$G$4 * SQRT($E$392))</f>
        <v>0.15209757185764403</v>
      </c>
      <c r="E593">
        <f>(LN(C593/Option_Portfolio!$E$5) + (Option_Portfolio!$H$5 + (Option_Portfolio!$G$5^2)/2) * ($E$392)) / (Option_Portfolio!$G$5 * SQRT($E$392))</f>
        <v>1.3658294607848449</v>
      </c>
      <c r="F593">
        <f>D593-Option_Portfolio!$G$4*SQRT('Part 1'!$E$392)</f>
        <v>3.2371217198362764E-2</v>
      </c>
      <c r="G593">
        <f>E593-Option_Portfolio!$G$5*SQRT('Part 1'!$E$392)</f>
        <v>1.2108894724022456</v>
      </c>
      <c r="H593">
        <f t="shared" si="15"/>
        <v>-0.43955498965228701</v>
      </c>
      <c r="I593">
        <f t="shared" si="16"/>
        <v>0.91400375142736268</v>
      </c>
      <c r="J593" s="36">
        <f>Option_Portfolio!$E$4 * EXP(-Option_Portfolio!$H$4* $E$392) * _xlfn.NORM.S.DIST(-F593, TRUE) - B593 * _xlfn.NORM.S.DIST(-D593, TRUE)</f>
        <v>3.6074961429903212</v>
      </c>
      <c r="K593" s="36">
        <f>C593 * _xlfn.NORM.S.DIST(E593, TRUE) - Option_Portfolio!$E$5 * EXP(-'Part 1'!$H$5*'Part 1'!$E$392) * _xlfn.NORM.S.DIST(G593, TRUE)</f>
        <v>26.806596187592262</v>
      </c>
      <c r="L593" s="36">
        <f t="shared" si="17"/>
        <v>-28360719.374252271</v>
      </c>
      <c r="O593" s="36">
        <v>-24111906.970509503</v>
      </c>
      <c r="P593" s="36">
        <f t="shared" si="18"/>
        <v>-4114678.2304854095</v>
      </c>
      <c r="Q593" s="36">
        <f t="shared" si="19"/>
        <v>134134.17325735837</v>
      </c>
    </row>
    <row r="594" spans="1:17" x14ac:dyDescent="0.2">
      <c r="A594">
        <v>199</v>
      </c>
      <c r="B594" s="36">
        <f>Underlying_Assets!$C$365*(1+Underlying_Assets!H312)</f>
        <v>86.006342221071691</v>
      </c>
      <c r="C594" s="36">
        <f>Underlying_Assets!$D$365 * (1 + Underlying_Assets!I312)</f>
        <v>145.72919786096256</v>
      </c>
      <c r="D594">
        <f>(LN(B594/Option_Portfolio!$E$4) + (Option_Portfolio!$H$4 + (Option_Portfolio!$G$4^2)/2) * ($E$392)) / (Option_Portfolio!$G$4 * SQRT($E$392))</f>
        <v>0.19959668753539614</v>
      </c>
      <c r="E594">
        <f>(LN(C594/Option_Portfolio!$E$5) + (Option_Portfolio!$H$5 + (Option_Portfolio!$G$5^2)/2) * ($E$392)) / (Option_Portfolio!$G$5 * SQRT($E$392))</f>
        <v>1.3632474719482035</v>
      </c>
      <c r="F594">
        <f>D594-Option_Portfolio!$G$4*SQRT('Part 1'!$E$392)</f>
        <v>7.9870332876114877E-2</v>
      </c>
      <c r="G594">
        <f>E594-Option_Portfolio!$G$5*SQRT('Part 1'!$E$392)</f>
        <v>1.2083074835656042</v>
      </c>
      <c r="H594">
        <f t="shared" si="15"/>
        <v>-0.42089800931020216</v>
      </c>
      <c r="I594">
        <f t="shared" si="16"/>
        <v>0.91359773470737127</v>
      </c>
      <c r="J594" s="36">
        <f>Option_Portfolio!$E$4 * EXP(-Option_Portfolio!$H$4* $E$392) * _xlfn.NORM.S.DIST(-F594, TRUE) - B594 * _xlfn.NORM.S.DIST(-D594, TRUE)</f>
        <v>3.3976762912073397</v>
      </c>
      <c r="K594" s="36">
        <f>C594 * _xlfn.NORM.S.DIST(E594, TRUE) - Option_Portfolio!$E$5 * EXP(-'Part 1'!$H$5*'Part 1'!$E$392) * _xlfn.NORM.S.DIST(G594, TRUE)</f>
        <v>26.753605705503787</v>
      </c>
      <c r="L594" s="36">
        <f t="shared" si="17"/>
        <v>-29723477.372556198</v>
      </c>
      <c r="O594" s="36">
        <v>-24001958.563883401</v>
      </c>
      <c r="P594" s="36">
        <f t="shared" si="18"/>
        <v>-4224626.6371115111</v>
      </c>
      <c r="Q594" s="36">
        <f t="shared" si="19"/>
        <v>1496892.1715612859</v>
      </c>
    </row>
    <row r="595" spans="1:17" x14ac:dyDescent="0.2">
      <c r="A595">
        <v>200</v>
      </c>
      <c r="B595" s="36">
        <f>Underlying_Assets!$C$365*(1+Underlying_Assets!H313)</f>
        <v>85.74</v>
      </c>
      <c r="C595" s="36">
        <f>Underlying_Assets!$D$365 * (1 + Underlying_Assets!I313)</f>
        <v>145.31292950761602</v>
      </c>
      <c r="D595">
        <f>(LN(B595/Option_Portfolio!$E$4) + (Option_Portfolio!$H$4 + (Option_Portfolio!$G$4^2)/2) * ($E$392)) / (Option_Portfolio!$G$4 * SQRT($E$392))</f>
        <v>0.17369112037775097</v>
      </c>
      <c r="E595">
        <f>(LN(C595/Option_Portfolio!$E$5) + (Option_Portfolio!$H$5 + (Option_Portfolio!$G$5^2)/2) * ($E$392)) / (Option_Portfolio!$G$5 * SQRT($E$392))</f>
        <v>1.3447852353782508</v>
      </c>
      <c r="F595">
        <f>D595-Option_Portfolio!$G$4*SQRT('Part 1'!$E$392)</f>
        <v>5.3964765718469712E-2</v>
      </c>
      <c r="G595">
        <f>E595-Option_Portfolio!$G$5*SQRT('Part 1'!$E$392)</f>
        <v>1.1898452469956515</v>
      </c>
      <c r="H595">
        <f t="shared" si="15"/>
        <v>-0.43105410818182932</v>
      </c>
      <c r="I595">
        <f t="shared" si="16"/>
        <v>0.91065270018789357</v>
      </c>
      <c r="J595" s="36">
        <f>Option_Portfolio!$E$4 * EXP(-Option_Portfolio!$H$4* $E$392) * _xlfn.NORM.S.DIST(-F595, TRUE) - B595 * _xlfn.NORM.S.DIST(-D595, TRUE)</f>
        <v>3.5111299117726347</v>
      </c>
      <c r="K595" s="36">
        <f>C595 * _xlfn.NORM.S.DIST(E595, TRUE) - Option_Portfolio!$E$5 * EXP(-'Part 1'!$H$5*'Part 1'!$E$392) * _xlfn.NORM.S.DIST(G595, TRUE)</f>
        <v>26.376044943651266</v>
      </c>
      <c r="L595" s="36">
        <f t="shared" si="17"/>
        <v>-28174180.504894085</v>
      </c>
      <c r="O595" s="36">
        <v>-24000565.623675618</v>
      </c>
      <c r="P595" s="36">
        <f t="shared" si="18"/>
        <v>-4226019.5773192942</v>
      </c>
      <c r="Q595" s="36">
        <f t="shared" si="19"/>
        <v>-52404.696100827307</v>
      </c>
    </row>
    <row r="596" spans="1:17" x14ac:dyDescent="0.2">
      <c r="A596">
        <v>201</v>
      </c>
      <c r="B596" s="36">
        <f>Underlying_Assets!$C$365*(1+Underlying_Assets!H314)</f>
        <v>85.585114838709671</v>
      </c>
      <c r="C596" s="36">
        <f>Underlying_Assets!$D$365 * (1 + Underlying_Assets!I314)</f>
        <v>145.15778326861985</v>
      </c>
      <c r="D596">
        <f>(LN(B596/Option_Portfolio!$E$4) + (Option_Portfolio!$H$4 + (Option_Portfolio!$G$4^2)/2) * ($E$392)) / (Option_Portfolio!$G$4 * SQRT($E$392))</f>
        <v>0.15858930574881797</v>
      </c>
      <c r="E596">
        <f>(LN(C596/Option_Portfolio!$E$5) + (Option_Portfolio!$H$5 + (Option_Portfolio!$G$5^2)/2) * ($E$392)) / (Option_Portfolio!$G$5 * SQRT($E$392))</f>
        <v>1.3378906934111119</v>
      </c>
      <c r="F596">
        <f>D596-Option_Portfolio!$G$4*SQRT('Part 1'!$E$392)</f>
        <v>3.8862951089536704E-2</v>
      </c>
      <c r="G596">
        <f>E596-Option_Portfolio!$G$5*SQRT('Part 1'!$E$392)</f>
        <v>1.1829507050285126</v>
      </c>
      <c r="H596">
        <f t="shared" si="15"/>
        <v>-0.43699622746803191</v>
      </c>
      <c r="I596">
        <f t="shared" si="16"/>
        <v>0.90953396431646805</v>
      </c>
      <c r="J596" s="36">
        <f>Option_Portfolio!$E$4 * EXP(-Option_Portfolio!$H$4* $E$392) * _xlfn.NORM.S.DIST(-F596, TRUE) - B596 * _xlfn.NORM.S.DIST(-D596, TRUE)</f>
        <v>3.5783536387937716</v>
      </c>
      <c r="K596" s="36">
        <f>C596 * _xlfn.NORM.S.DIST(E596, TRUE) - Option_Portfolio!$E$5 * EXP(-'Part 1'!$H$5*'Part 1'!$E$392) * _xlfn.NORM.S.DIST(G596, TRUE)</f>
        <v>26.235655138820178</v>
      </c>
      <c r="L596" s="36">
        <f t="shared" si="17"/>
        <v>-27422834.806083955</v>
      </c>
      <c r="O596" s="36">
        <v>-23937507.826100271</v>
      </c>
      <c r="P596" s="36">
        <f t="shared" si="18"/>
        <v>-4289077.3748946413</v>
      </c>
      <c r="Q596" s="36">
        <f t="shared" si="19"/>
        <v>-803750.39491095766</v>
      </c>
    </row>
    <row r="597" spans="1:17" x14ac:dyDescent="0.2">
      <c r="A597">
        <v>202</v>
      </c>
      <c r="B597" s="36">
        <f>Underlying_Assets!$C$365*(1+Underlying_Assets!H315)</f>
        <v>86.67099276111685</v>
      </c>
      <c r="C597" s="36">
        <f>Underlying_Assets!$D$365 * (1 + Underlying_Assets!I315)</f>
        <v>144.49408450704226</v>
      </c>
      <c r="D597">
        <f>(LN(B597/Option_Portfolio!$E$4) + (Option_Portfolio!$H$4 + (Option_Portfolio!$G$4^2)/2) * ($E$392)) / (Option_Portfolio!$G$4 * SQRT($E$392))</f>
        <v>0.26389512297150552</v>
      </c>
      <c r="E597">
        <f>(LN(C597/Option_Portfolio!$E$5) + (Option_Portfolio!$H$5 + (Option_Portfolio!$G$5^2)/2) * ($E$392)) / (Option_Portfolio!$G$5 * SQRT($E$392))</f>
        <v>1.3083131629285032</v>
      </c>
      <c r="F597">
        <f>D597-Option_Portfolio!$G$4*SQRT('Part 1'!$E$392)</f>
        <v>0.14416876831222425</v>
      </c>
      <c r="G597">
        <f>E597-Option_Portfolio!$G$5*SQRT('Part 1'!$E$392)</f>
        <v>1.1533731745459039</v>
      </c>
      <c r="H597">
        <f t="shared" si="15"/>
        <v>-0.39593036689191541</v>
      </c>
      <c r="I597">
        <f t="shared" si="16"/>
        <v>0.90461644383393292</v>
      </c>
      <c r="J597" s="36">
        <f>Option_Portfolio!$E$4 * EXP(-Option_Portfolio!$H$4* $E$392) * _xlfn.NORM.S.DIST(-F597, TRUE) - B597 * _xlfn.NORM.S.DIST(-D597, TRUE)</f>
        <v>3.1262548305084152</v>
      </c>
      <c r="K597" s="36">
        <f>C597 * _xlfn.NORM.S.DIST(E597, TRUE) - Option_Portfolio!$E$5 * EXP(-'Part 1'!$H$5*'Part 1'!$E$392) * _xlfn.NORM.S.DIST(G597, TRUE)</f>
        <v>25.63715971066668</v>
      </c>
      <c r="L597" s="36">
        <f t="shared" si="17"/>
        <v>-29390535.607774459</v>
      </c>
      <c r="O597" s="36">
        <v>-23884857.389321297</v>
      </c>
      <c r="P597" s="36">
        <f t="shared" si="18"/>
        <v>-4341727.8116736151</v>
      </c>
      <c r="Q597" s="36">
        <f t="shared" si="19"/>
        <v>1163950.4067795463</v>
      </c>
    </row>
    <row r="598" spans="1:17" x14ac:dyDescent="0.2">
      <c r="A598">
        <v>203</v>
      </c>
      <c r="B598" s="36">
        <f>Underlying_Assets!$C$365*(1+Underlying_Assets!H316)</f>
        <v>86.375923273657278</v>
      </c>
      <c r="C598" s="36">
        <f>Underlying_Assets!$D$365 * (1 + Underlying_Assets!I316)</f>
        <v>144.80000000000001</v>
      </c>
      <c r="D598">
        <f>(LN(B598/Option_Portfolio!$E$4) + (Option_Portfolio!$H$4 + (Option_Portfolio!$G$4^2)/2) * ($E$392)) / (Option_Portfolio!$G$4 * SQRT($E$392))</f>
        <v>0.23541111521534092</v>
      </c>
      <c r="E598">
        <f>(LN(C598/Option_Portfolio!$E$5) + (Option_Portfolio!$H$5 + (Option_Portfolio!$G$5^2)/2) * ($E$392)) / (Option_Portfolio!$G$5 * SQRT($E$392))</f>
        <v>1.3219630342541913</v>
      </c>
      <c r="F598">
        <f>D598-Option_Portfolio!$G$4*SQRT('Part 1'!$E$392)</f>
        <v>0.11568476055605965</v>
      </c>
      <c r="G598">
        <f>E598-Option_Portfolio!$G$5*SQRT('Part 1'!$E$392)</f>
        <v>1.167023045871592</v>
      </c>
      <c r="H598">
        <f t="shared" si="15"/>
        <v>-0.40694482988680591</v>
      </c>
      <c r="I598">
        <f t="shared" si="16"/>
        <v>0.90690976972115156</v>
      </c>
      <c r="J598" s="36">
        <f>Option_Portfolio!$E$4 * EXP(-Option_Portfolio!$H$4* $E$392) * _xlfn.NORM.S.DIST(-F598, TRUE) - B598 * _xlfn.NORM.S.DIST(-D598, TRUE)</f>
        <v>3.2447039673787543</v>
      </c>
      <c r="K598" s="36">
        <f>C598 * _xlfn.NORM.S.DIST(E598, TRUE) - Option_Portfolio!$E$5 * EXP(-'Part 1'!$H$5*'Part 1'!$E$392) * _xlfn.NORM.S.DIST(G598, TRUE)</f>
        <v>25.912598424623098</v>
      </c>
      <c r="L598" s="36">
        <f t="shared" si="17"/>
        <v>-29112269.077594917</v>
      </c>
      <c r="O598" s="36">
        <v>-23821628.120520033</v>
      </c>
      <c r="P598" s="36">
        <f t="shared" si="18"/>
        <v>-4404957.0804748796</v>
      </c>
      <c r="Q598" s="36">
        <f t="shared" si="19"/>
        <v>885683.87660000473</v>
      </c>
    </row>
    <row r="599" spans="1:17" x14ac:dyDescent="0.2">
      <c r="A599">
        <v>204</v>
      </c>
      <c r="B599" s="36">
        <f>Underlying_Assets!$C$365*(1+Underlying_Assets!H317)</f>
        <v>91.07290175171363</v>
      </c>
      <c r="C599" s="36">
        <f>Underlying_Assets!$D$365 * (1 + Underlying_Assets!I317)</f>
        <v>144.1357798165138</v>
      </c>
      <c r="D599">
        <f>(LN(B599/Option_Portfolio!$E$4) + (Option_Portfolio!$H$4 + (Option_Portfolio!$G$4^2)/2) * ($E$392)) / (Option_Portfolio!$G$4 * SQRT($E$392))</f>
        <v>0.67768076364026963</v>
      </c>
      <c r="E599">
        <f>(LN(C599/Option_Portfolio!$E$5) + (Option_Portfolio!$H$5 + (Option_Portfolio!$G$5^2)/2) * ($E$392)) / (Option_Portfolio!$G$5 * SQRT($E$392))</f>
        <v>1.2922889049566217</v>
      </c>
      <c r="F599">
        <f>D599-Option_Portfolio!$G$4*SQRT('Part 1'!$E$392)</f>
        <v>0.55795440898098836</v>
      </c>
      <c r="G599">
        <f>E599-Option_Portfolio!$G$5*SQRT('Part 1'!$E$392)</f>
        <v>1.1373489165740225</v>
      </c>
      <c r="H599">
        <f t="shared" si="15"/>
        <v>-0.24898706287058137</v>
      </c>
      <c r="I599">
        <f t="shared" si="16"/>
        <v>0.90187144358616811</v>
      </c>
      <c r="J599" s="36">
        <f>Option_Portfolio!$E$4 * EXP(-Option_Portfolio!$H$4* $E$392) * _xlfn.NORM.S.DIST(-F599, TRUE) - B599 * _xlfn.NORM.S.DIST(-D599, TRUE)</f>
        <v>1.7199308657366466</v>
      </c>
      <c r="K599" s="36">
        <f>C599 * _xlfn.NORM.S.DIST(E599, TRUE) - Option_Portfolio!$E$5 * EXP(-'Part 1'!$H$5*'Part 1'!$E$392) * _xlfn.NORM.S.DIST(G599, TRUE)</f>
        <v>25.315491005981542</v>
      </c>
      <c r="L599" s="36">
        <f t="shared" si="17"/>
        <v>-38591465.95180656</v>
      </c>
      <c r="O599" s="36">
        <v>-23760440.347596545</v>
      </c>
      <c r="P599" s="36">
        <f t="shared" si="18"/>
        <v>-4466144.8533983678</v>
      </c>
      <c r="Q599" s="36">
        <f t="shared" si="19"/>
        <v>10364880.750811648</v>
      </c>
    </row>
    <row r="600" spans="1:17" x14ac:dyDescent="0.2">
      <c r="A600">
        <v>205</v>
      </c>
      <c r="B600" s="36">
        <f>Underlying_Assets!$C$365*(1+Underlying_Assets!H318)</f>
        <v>84.510458891013386</v>
      </c>
      <c r="C600" s="36">
        <f>Underlying_Assets!$D$365 * (1 + Underlying_Assets!I318)</f>
        <v>143.67075505140019</v>
      </c>
      <c r="D600">
        <f>(LN(B600/Option_Portfolio!$E$4) + (Option_Portfolio!$H$4 + (Option_Portfolio!$G$4^2)/2) * ($E$392)) / (Option_Portfolio!$G$4 * SQRT($E$392))</f>
        <v>5.3048003421475143E-2</v>
      </c>
      <c r="E600">
        <f>(LN(C600/Option_Portfolio!$E$5) + (Option_Portfolio!$H$5 + (Option_Portfolio!$G$5^2)/2) * ($E$392)) / (Option_Portfolio!$G$5 * SQRT($E$392))</f>
        <v>1.2714323638425606</v>
      </c>
      <c r="F600">
        <f>D600-Option_Portfolio!$G$4*SQRT('Part 1'!$E$392)</f>
        <v>-6.6678351237806119E-2</v>
      </c>
      <c r="G600">
        <f>E600-Option_Portfolio!$G$5*SQRT('Part 1'!$E$392)</f>
        <v>1.1164923754599614</v>
      </c>
      <c r="H600">
        <f t="shared" si="15"/>
        <v>-0.4788468301655695</v>
      </c>
      <c r="I600">
        <f t="shared" si="16"/>
        <v>0.89821256244289971</v>
      </c>
      <c r="J600" s="36">
        <f>Option_Portfolio!$E$4 * EXP(-Option_Portfolio!$H$4* $E$392) * _xlfn.NORM.S.DIST(-F600, TRUE) - B600 * _xlfn.NORM.S.DIST(-D600, TRUE)</f>
        <v>4.070372523902904</v>
      </c>
      <c r="K600" s="36">
        <f>C600 * _xlfn.NORM.S.DIST(E600, TRUE) - Option_Portfolio!$E$5 * EXP(-'Part 1'!$H$5*'Part 1'!$E$392) * _xlfn.NORM.S.DIST(G600, TRUE)</f>
        <v>24.899562966120428</v>
      </c>
      <c r="L600" s="36">
        <f t="shared" si="17"/>
        <v>-21306518.264920529</v>
      </c>
      <c r="O600" s="36">
        <v>-23669779.803160131</v>
      </c>
      <c r="P600" s="36">
        <f t="shared" si="18"/>
        <v>-4556805.3978347816</v>
      </c>
      <c r="Q600" s="36">
        <f t="shared" si="19"/>
        <v>-6920066.9360743836</v>
      </c>
    </row>
    <row r="601" spans="1:17" x14ac:dyDescent="0.2">
      <c r="A601">
        <v>206</v>
      </c>
      <c r="B601" s="36">
        <f>Underlying_Assets!$C$365*(1+Underlying_Assets!H319)</f>
        <v>85.636047526673124</v>
      </c>
      <c r="C601" s="36">
        <f>Underlying_Assets!$D$365 * (1 + Underlying_Assets!I319)</f>
        <v>147.59356913183282</v>
      </c>
      <c r="D601">
        <f>(LN(B601/Option_Portfolio!$E$4) + (Option_Portfolio!$H$4 + (Option_Portfolio!$G$4^2)/2) * ($E$392)) / (Option_Portfolio!$G$4 * SQRT($E$392))</f>
        <v>0.16355842483029012</v>
      </c>
      <c r="E601">
        <f>(LN(C601/Option_Portfolio!$E$5) + (Option_Portfolio!$H$5 + (Option_Portfolio!$G$5^2)/2) * ($E$392)) / (Option_Portfolio!$G$5 * SQRT($E$392))</f>
        <v>1.4452937631223273</v>
      </c>
      <c r="F601">
        <f>D601-Option_Portfolio!$G$4*SQRT('Part 1'!$E$392)</f>
        <v>4.3832070171008861E-2</v>
      </c>
      <c r="G601">
        <f>E601-Option_Portfolio!$G$5*SQRT('Part 1'!$E$392)</f>
        <v>1.290353774739728</v>
      </c>
      <c r="H601">
        <f t="shared" si="15"/>
        <v>-0.43503938801684638</v>
      </c>
      <c r="I601">
        <f t="shared" si="16"/>
        <v>0.92581230550409477</v>
      </c>
      <c r="J601" s="36">
        <f>Option_Portfolio!$E$4 * EXP(-Option_Portfolio!$H$4* $E$392) * _xlfn.NORM.S.DIST(-F601, TRUE) - B601 * _xlfn.NORM.S.DIST(-D601, TRUE)</f>
        <v>3.5561460914345489</v>
      </c>
      <c r="K601" s="36">
        <f>C601 * _xlfn.NORM.S.DIST(E601, TRUE) - Option_Portfolio!$E$5 * EXP(-'Part 1'!$H$5*'Part 1'!$E$392) * _xlfn.NORM.S.DIST(G601, TRUE)</f>
        <v>28.459613752322781</v>
      </c>
      <c r="L601" s="36">
        <f t="shared" si="17"/>
        <v>-32026204.864603721</v>
      </c>
      <c r="O601" s="36">
        <v>-23623627.114644494</v>
      </c>
      <c r="P601" s="36">
        <f t="shared" si="18"/>
        <v>-4602958.0863504186</v>
      </c>
      <c r="Q601" s="36">
        <f t="shared" si="19"/>
        <v>3799619.6636088081</v>
      </c>
    </row>
    <row r="602" spans="1:17" x14ac:dyDescent="0.2">
      <c r="A602">
        <v>207</v>
      </c>
      <c r="B602" s="36">
        <f>Underlying_Assets!$C$365*(1+Underlying_Assets!H320)</f>
        <v>85.864894391842668</v>
      </c>
      <c r="C602" s="36">
        <f>Underlying_Assets!$D$365 * (1 + Underlying_Assets!I320)</f>
        <v>141.24724851034</v>
      </c>
      <c r="D602">
        <f>(LN(B602/Option_Portfolio!$E$4) + (Option_Portfolio!$H$4 + (Option_Portfolio!$G$4^2)/2) * ($E$392)) / (Option_Portfolio!$G$4 * SQRT($E$392))</f>
        <v>0.18584888077096498</v>
      </c>
      <c r="E602">
        <f>(LN(C602/Option_Portfolio!$E$5) + (Option_Portfolio!$H$5 + (Option_Portfolio!$G$5^2)/2) * ($E$392)) / (Option_Portfolio!$G$5 * SQRT($E$392))</f>
        <v>1.16163263829297</v>
      </c>
      <c r="F602">
        <f>D602-Option_Portfolio!$G$4*SQRT('Part 1'!$E$392)</f>
        <v>6.6122526111683719E-2</v>
      </c>
      <c r="G602">
        <f>E602-Option_Portfolio!$G$5*SQRT('Part 1'!$E$392)</f>
        <v>1.0066926499103708</v>
      </c>
      <c r="H602">
        <f t="shared" si="15"/>
        <v>-0.42628163545533859</v>
      </c>
      <c r="I602">
        <f t="shared" si="16"/>
        <v>0.87730764072342582</v>
      </c>
      <c r="J602" s="36">
        <f>Option_Portfolio!$E$4 * EXP(-Option_Portfolio!$H$4* $E$392) * _xlfn.NORM.S.DIST(-F602, TRUE) - B602 * _xlfn.NORM.S.DIST(-D602, TRUE)</f>
        <v>3.4575918794822016</v>
      </c>
      <c r="K602" s="36">
        <f>C602 * _xlfn.NORM.S.DIST(E602, TRUE) - Option_Portfolio!$E$5 * EXP(-'Part 1'!$H$5*'Part 1'!$E$392) * _xlfn.NORM.S.DIST(G602, TRUE)</f>
        <v>22.762240069291224</v>
      </c>
      <c r="L602" s="36">
        <f t="shared" si="17"/>
        <v>-21321336.982207034</v>
      </c>
      <c r="O602" s="36">
        <v>-23575413.648813784</v>
      </c>
      <c r="P602" s="36">
        <f t="shared" si="18"/>
        <v>-4651171.5521811284</v>
      </c>
      <c r="Q602" s="36">
        <f t="shared" si="19"/>
        <v>-6905248.2187878788</v>
      </c>
    </row>
    <row r="603" spans="1:17" x14ac:dyDescent="0.2">
      <c r="A603">
        <v>208</v>
      </c>
      <c r="B603" s="36">
        <f>Underlying_Assets!$C$365*(1+Underlying_Assets!H321)</f>
        <v>85.573716363636365</v>
      </c>
      <c r="C603" s="36">
        <f>Underlying_Assets!$D$365 * (1 + Underlying_Assets!I321)</f>
        <v>143.96751706791233</v>
      </c>
      <c r="D603">
        <f>(LN(B603/Option_Portfolio!$E$4) + (Option_Portfolio!$H$4 + (Option_Portfolio!$G$4^2)/2) * ($E$392)) / (Option_Portfolio!$G$4 * SQRT($E$392))</f>
        <v>0.15747683736210932</v>
      </c>
      <c r="E603">
        <f>(LN(C603/Option_Portfolio!$E$5) + (Option_Portfolio!$H$5 + (Option_Portfolio!$G$5^2)/2) * ($E$392)) / (Option_Portfolio!$G$5 * SQRT($E$392))</f>
        <v>1.284750034568614</v>
      </c>
      <c r="F603">
        <f>D603-Option_Portfolio!$G$4*SQRT('Part 1'!$E$392)</f>
        <v>3.7750482702828062E-2</v>
      </c>
      <c r="G603">
        <f>E603-Option_Portfolio!$G$5*SQRT('Part 1'!$E$392)</f>
        <v>1.1298100461860148</v>
      </c>
      <c r="H603">
        <f t="shared" si="15"/>
        <v>-0.43743453061522763</v>
      </c>
      <c r="I603">
        <f t="shared" si="16"/>
        <v>0.90056017615615458</v>
      </c>
      <c r="J603" s="36">
        <f>Option_Portfolio!$E$4 * EXP(-Option_Portfolio!$H$4* $E$392) * _xlfn.NORM.S.DIST(-F603, TRUE) - B603 * _xlfn.NORM.S.DIST(-D603, TRUE)</f>
        <v>3.5833372272647992</v>
      </c>
      <c r="K603" s="36">
        <f>C603 * _xlfn.NORM.S.DIST(E603, TRUE) - Option_Portfolio!$E$5 * EXP(-'Part 1'!$H$5*'Part 1'!$E$392) * _xlfn.NORM.S.DIST(G603, TRUE)</f>
        <v>25.164788978564985</v>
      </c>
      <c r="L603" s="36">
        <f t="shared" si="17"/>
        <v>-25246217.366276376</v>
      </c>
      <c r="O603" s="36">
        <v>-23553603.813362867</v>
      </c>
      <c r="P603" s="36">
        <f t="shared" si="18"/>
        <v>-4672981.3876320459</v>
      </c>
      <c r="Q603" s="36">
        <f t="shared" si="19"/>
        <v>-2980367.8347185366</v>
      </c>
    </row>
    <row r="604" spans="1:17" x14ac:dyDescent="0.2">
      <c r="A604">
        <v>209</v>
      </c>
      <c r="B604" s="36">
        <f>Underlying_Assets!$C$365*(1+Underlying_Assets!H322)</f>
        <v>88.613966480446905</v>
      </c>
      <c r="C604" s="36">
        <f>Underlying_Assets!$D$365 * (1 + Underlying_Assets!I322)</f>
        <v>144.74766895554754</v>
      </c>
      <c r="D604">
        <f>(LN(B604/Option_Portfolio!$E$4) + (Option_Portfolio!$H$4 + (Option_Portfolio!$G$4^2)/2) * ($E$392)) / (Option_Portfolio!$G$4 * SQRT($E$392))</f>
        <v>0.44906924686791438</v>
      </c>
      <c r="E604">
        <f>(LN(C604/Option_Portfolio!$E$5) + (Option_Portfolio!$H$5 + (Option_Portfolio!$G$5^2)/2) * ($E$392)) / (Option_Portfolio!$G$5 * SQRT($E$392))</f>
        <v>1.3196300822125926</v>
      </c>
      <c r="F604">
        <f>D604-Option_Portfolio!$G$4*SQRT('Part 1'!$E$392)</f>
        <v>0.32934289220863311</v>
      </c>
      <c r="G604">
        <f>E604-Option_Portfolio!$G$5*SQRT('Part 1'!$E$392)</f>
        <v>1.1646900938299933</v>
      </c>
      <c r="H604">
        <f t="shared" si="15"/>
        <v>-0.32669085212190696</v>
      </c>
      <c r="I604">
        <f t="shared" si="16"/>
        <v>0.90652072294763819</v>
      </c>
      <c r="J604" s="36">
        <f>Option_Portfolio!$E$4 * EXP(-Option_Portfolio!$H$4* $E$392) * _xlfn.NORM.S.DIST(-F604, TRUE) - B604 * _xlfn.NORM.S.DIST(-D604, TRUE)</f>
        <v>2.4252256206851364</v>
      </c>
      <c r="K604" s="36">
        <f>C604 * _xlfn.NORM.S.DIST(E604, TRUE) - Option_Portfolio!$E$5 * EXP(-'Part 1'!$H$5*'Part 1'!$E$392) * _xlfn.NORM.S.DIST(G604, TRUE)</f>
        <v>25.865429122880144</v>
      </c>
      <c r="L604" s="36">
        <f t="shared" si="17"/>
        <v>-34754278.900964335</v>
      </c>
      <c r="O604" s="36">
        <v>-23314625.609496333</v>
      </c>
      <c r="P604" s="36">
        <f t="shared" si="18"/>
        <v>-4911959.5914985798</v>
      </c>
      <c r="Q604" s="36">
        <f t="shared" si="19"/>
        <v>6527693.6999694221</v>
      </c>
    </row>
    <row r="605" spans="1:17" x14ac:dyDescent="0.2">
      <c r="A605">
        <v>210</v>
      </c>
      <c r="B605" s="36">
        <f>Underlying_Assets!$C$365*(1+Underlying_Assets!H323)</f>
        <v>88.440155111633374</v>
      </c>
      <c r="C605" s="36">
        <f>Underlying_Assets!$D$365 * (1 + Underlying_Assets!I323)</f>
        <v>145.06174981923354</v>
      </c>
      <c r="D605">
        <f>(LN(B605/Option_Portfolio!$E$4) + (Option_Portfolio!$H$4 + (Option_Portfolio!$G$4^2)/2) * ($E$392)) / (Option_Portfolio!$G$4 * SQRT($E$392))</f>
        <v>0.43267043006272882</v>
      </c>
      <c r="E605">
        <f>(LN(C605/Option_Portfolio!$E$5) + (Option_Portfolio!$H$5 + (Option_Portfolio!$G$5^2)/2) * ($E$392)) / (Option_Portfolio!$G$5 * SQRT($E$392))</f>
        <v>1.3336193707308346</v>
      </c>
      <c r="F605">
        <f>D605-Option_Portfolio!$G$4*SQRT('Part 1'!$E$392)</f>
        <v>0.31294407540344754</v>
      </c>
      <c r="G605">
        <f>E605-Option_Portfolio!$G$5*SQRT('Part 1'!$E$392)</f>
        <v>1.1786793823482353</v>
      </c>
      <c r="H605">
        <f t="shared" si="15"/>
        <v>-0.33262710745114987</v>
      </c>
      <c r="I605">
        <f t="shared" si="16"/>
        <v>0.90883568434363626</v>
      </c>
      <c r="J605" s="36">
        <f>Option_Portfolio!$E$4 * EXP(-Option_Portfolio!$H$4* $E$392) * _xlfn.NORM.S.DIST(-F605, TRUE) - B605 * _xlfn.NORM.S.DIST(-D605, TRUE)</f>
        <v>2.4825233087631418</v>
      </c>
      <c r="K605" s="36">
        <f>C605 * _xlfn.NORM.S.DIST(E605, TRUE) - Option_Portfolio!$E$5 * EXP(-'Part 1'!$H$5*'Part 1'!$E$392) * _xlfn.NORM.S.DIST(G605, TRUE)</f>
        <v>26.148846779850757</v>
      </c>
      <c r="L605" s="36">
        <f t="shared" si="17"/>
        <v>-34920030.398359522</v>
      </c>
      <c r="O605" s="36">
        <v>-23297786.724305641</v>
      </c>
      <c r="P605" s="36">
        <f t="shared" si="18"/>
        <v>-4928798.4766892716</v>
      </c>
      <c r="Q605" s="36">
        <f t="shared" si="19"/>
        <v>6693445.1973646097</v>
      </c>
    </row>
    <row r="606" spans="1:17" x14ac:dyDescent="0.2">
      <c r="A606">
        <v>211</v>
      </c>
      <c r="B606" s="36">
        <f>Underlying_Assets!$C$365*(1+Underlying_Assets!H324)</f>
        <v>86.951182501708814</v>
      </c>
      <c r="C606" s="36">
        <f>Underlying_Assets!$D$365 * (1 + Underlying_Assets!I324)</f>
        <v>145.47932154456873</v>
      </c>
      <c r="D606">
        <f>(LN(B606/Option_Portfolio!$E$4) + (Option_Portfolio!$H$4 + (Option_Portfolio!$G$4^2)/2) * ($E$392)) / (Option_Portfolio!$G$4 * SQRT($E$392))</f>
        <v>0.29085312173943562</v>
      </c>
      <c r="E606">
        <f>(LN(C606/Option_Portfolio!$E$5) + (Option_Portfolio!$H$5 + (Option_Portfolio!$G$5^2)/2) * ($E$392)) / (Option_Portfolio!$G$5 * SQRT($E$392))</f>
        <v>1.352171353231046</v>
      </c>
      <c r="F606">
        <f>D606-Option_Portfolio!$G$4*SQRT('Part 1'!$E$392)</f>
        <v>0.17112676708015434</v>
      </c>
      <c r="G606">
        <f>E606-Option_Portfolio!$G$5*SQRT('Part 1'!$E$392)</f>
        <v>1.1972313648484467</v>
      </c>
      <c r="H606">
        <f t="shared" si="15"/>
        <v>-0.38558182770955951</v>
      </c>
      <c r="I606">
        <f t="shared" si="16"/>
        <v>0.91183974722832961</v>
      </c>
      <c r="J606" s="36">
        <f>Option_Portfolio!$E$4 * EXP(-Option_Portfolio!$H$4* $E$392) * _xlfn.NORM.S.DIST(-F606, TRUE) - B606 * _xlfn.NORM.S.DIST(-D606, TRUE)</f>
        <v>3.0167715675863178</v>
      </c>
      <c r="K606" s="36">
        <f>C606 * _xlfn.NORM.S.DIST(E606, TRUE) - Option_Portfolio!$E$5 * EXP(-'Part 1'!$H$5*'Part 1'!$E$392) * _xlfn.NORM.S.DIST(G606, TRUE)</f>
        <v>26.526811059606644</v>
      </c>
      <c r="L606" s="36">
        <f t="shared" si="17"/>
        <v>-31936221.146109067</v>
      </c>
      <c r="O606" s="36">
        <v>-23165331.238957476</v>
      </c>
      <c r="P606" s="36">
        <f t="shared" si="18"/>
        <v>-5061253.9620374367</v>
      </c>
      <c r="Q606" s="36">
        <f t="shared" si="19"/>
        <v>3709635.9451141544</v>
      </c>
    </row>
    <row r="607" spans="1:17" x14ac:dyDescent="0.2">
      <c r="A607">
        <v>212</v>
      </c>
      <c r="B607" s="36">
        <f>Underlying_Assets!$C$365*(1+Underlying_Assets!H325)</f>
        <v>84.372320826780495</v>
      </c>
      <c r="C607" s="36">
        <f>Underlying_Assets!$D$365 * (1 + Underlying_Assets!I325)</f>
        <v>150.26120689655173</v>
      </c>
      <c r="D607">
        <f>(LN(B607/Option_Portfolio!$E$4) + (Option_Portfolio!$H$4 + (Option_Portfolio!$G$4^2)/2) * ($E$392)) / (Option_Portfolio!$G$4 * SQRT($E$392))</f>
        <v>3.9384303043143346E-2</v>
      </c>
      <c r="E607">
        <f>(LN(C607/Option_Portfolio!$E$5) + (Option_Portfolio!$H$5 + (Option_Portfolio!$G$5^2)/2) * ($E$392)) / (Option_Portfolio!$G$5 * SQRT($E$392))</f>
        <v>1.560905087873725</v>
      </c>
      <c r="F607">
        <f>D607-Option_Portfolio!$G$4*SQRT('Part 1'!$E$392)</f>
        <v>-8.0342051616137916E-2</v>
      </c>
      <c r="G607">
        <f>E607-Option_Portfolio!$G$5*SQRT('Part 1'!$E$392)</f>
        <v>1.4059650994911257</v>
      </c>
      <c r="H607">
        <f t="shared" si="15"/>
        <v>-0.48429199727845729</v>
      </c>
      <c r="I607">
        <f t="shared" si="16"/>
        <v>0.94072692666288582</v>
      </c>
      <c r="J607" s="36">
        <f>Option_Portfolio!$E$4 * EXP(-Option_Portfolio!$H$4* $E$392) * _xlfn.NORM.S.DIST(-F607, TRUE) - B607 * _xlfn.NORM.S.DIST(-D607, TRUE)</f>
        <v>4.136895448383541</v>
      </c>
      <c r="K607" s="36">
        <f>C607 * _xlfn.NORM.S.DIST(E607, TRUE) - Option_Portfolio!$E$5 * EXP(-'Part 1'!$H$5*'Part 1'!$E$392) * _xlfn.NORM.S.DIST(G607, TRUE)</f>
        <v>30.938832673267981</v>
      </c>
      <c r="L607" s="36">
        <f t="shared" si="17"/>
        <v>-32919397.207851179</v>
      </c>
      <c r="O607" s="36">
        <v>-23071883.693735365</v>
      </c>
      <c r="P607" s="36">
        <f t="shared" si="18"/>
        <v>-5154701.5072595477</v>
      </c>
      <c r="Q607" s="36">
        <f t="shared" si="19"/>
        <v>4692812.0068562664</v>
      </c>
    </row>
    <row r="608" spans="1:17" x14ac:dyDescent="0.2">
      <c r="A608">
        <v>213</v>
      </c>
      <c r="B608" s="36">
        <f>Underlying_Assets!$C$365*(1+Underlying_Assets!H326)</f>
        <v>85.191890410958905</v>
      </c>
      <c r="C608" s="36">
        <f>Underlying_Assets!$D$365 * (1 + Underlying_Assets!I326)</f>
        <v>145.55181723779856</v>
      </c>
      <c r="D608">
        <f>(LN(B608/Option_Portfolio!$E$4) + (Option_Portfolio!$H$4 + (Option_Portfolio!$G$4^2)/2) * ($E$392)) / (Option_Portfolio!$G$4 * SQRT($E$392))</f>
        <v>0.12012551359916014</v>
      </c>
      <c r="E608">
        <f>(LN(C608/Option_Portfolio!$E$5) + (Option_Portfolio!$H$5 + (Option_Portfolio!$G$5^2)/2) * ($E$392)) / (Option_Portfolio!$G$5 * SQRT($E$392))</f>
        <v>1.3553867845236411</v>
      </c>
      <c r="F608">
        <f>D608-Option_Portfolio!$G$4*SQRT('Part 1'!$E$392)</f>
        <v>3.9915893987887974E-4</v>
      </c>
      <c r="G608">
        <f>E608-Option_Portfolio!$G$5*SQRT('Part 1'!$E$392)</f>
        <v>1.2004467961410419</v>
      </c>
      <c r="H608">
        <f t="shared" si="15"/>
        <v>-0.4521918609009894</v>
      </c>
      <c r="I608">
        <f t="shared" si="16"/>
        <v>0.91235282104124182</v>
      </c>
      <c r="J608" s="36">
        <f>Option_Portfolio!$E$4 * EXP(-Option_Portfolio!$H$4* $E$392) * _xlfn.NORM.S.DIST(-F608, TRUE) - B608 * _xlfn.NORM.S.DIST(-D608, TRUE)</f>
        <v>3.7531739153235648</v>
      </c>
      <c r="K608" s="36">
        <f>C608 * _xlfn.NORM.S.DIST(E608, TRUE) - Option_Portfolio!$E$5 * EXP(-'Part 1'!$H$5*'Part 1'!$E$392) * _xlfn.NORM.S.DIST(G608, TRUE)</f>
        <v>26.592562892497199</v>
      </c>
      <c r="L608" s="36">
        <f t="shared" si="17"/>
        <v>-26912908.377729438</v>
      </c>
      <c r="O608" s="36">
        <v>-22695377.028938435</v>
      </c>
      <c r="P608" s="36">
        <f t="shared" si="18"/>
        <v>-5531208.1720564775</v>
      </c>
      <c r="Q608" s="36">
        <f t="shared" si="19"/>
        <v>-1313676.8232654743</v>
      </c>
    </row>
    <row r="609" spans="1:17" x14ac:dyDescent="0.2">
      <c r="A609">
        <v>214</v>
      </c>
      <c r="B609" s="36">
        <f>Underlying_Assets!$C$365*(1+Underlying_Assets!H327)</f>
        <v>85.818805147058825</v>
      </c>
      <c r="C609" s="36">
        <f>Underlying_Assets!$D$365 * (1 + Underlying_Assets!I327)</f>
        <v>143.90247933884302</v>
      </c>
      <c r="D609">
        <f>(LN(B609/Option_Portfolio!$E$4) + (Option_Portfolio!$H$4 + (Option_Portfolio!$G$4^2)/2) * ($E$392)) / (Option_Portfolio!$G$4 * SQRT($E$392))</f>
        <v>0.18136441436291459</v>
      </c>
      <c r="E609">
        <f>(LN(C609/Option_Portfolio!$E$5) + (Option_Portfolio!$H$5 + (Option_Portfolio!$G$5^2)/2) * ($E$392)) / (Option_Portfolio!$G$5 * SQRT($E$392))</f>
        <v>1.2818337127292863</v>
      </c>
      <c r="F609">
        <f>D609-Option_Portfolio!$G$4*SQRT('Part 1'!$E$392)</f>
        <v>6.1638059703633327E-2</v>
      </c>
      <c r="G609">
        <f>E609-Option_Portfolio!$G$5*SQRT('Part 1'!$E$392)</f>
        <v>1.126893724346687</v>
      </c>
      <c r="H609">
        <f t="shared" si="15"/>
        <v>-0.42804077443362576</v>
      </c>
      <c r="I609">
        <f t="shared" si="16"/>
        <v>0.90004950740847844</v>
      </c>
      <c r="J609" s="36">
        <f>Option_Portfolio!$E$4 * EXP(-Option_Portfolio!$H$4* $E$392) * _xlfn.NORM.S.DIST(-F609, TRUE) - B609 * _xlfn.NORM.S.DIST(-D609, TRUE)</f>
        <v>3.4772794076283517</v>
      </c>
      <c r="K609" s="36">
        <f>C609 * _xlfn.NORM.S.DIST(E609, TRUE) - Option_Portfolio!$E$5 * EXP(-'Part 1'!$H$5*'Part 1'!$E$392) * _xlfn.NORM.S.DIST(G609, TRUE)</f>
        <v>25.106600665564741</v>
      </c>
      <c r="L609" s="36">
        <f t="shared" si="17"/>
        <v>-25872245.477731012</v>
      </c>
      <c r="O609" s="36">
        <v>-22674372.914595414</v>
      </c>
      <c r="P609" s="36">
        <f t="shared" si="18"/>
        <v>-5552212.2863994986</v>
      </c>
      <c r="Q609" s="36">
        <f t="shared" si="19"/>
        <v>-2354339.7232639007</v>
      </c>
    </row>
    <row r="610" spans="1:17" x14ac:dyDescent="0.2">
      <c r="A610">
        <v>215</v>
      </c>
      <c r="B610" s="36">
        <f>Underlying_Assets!$C$365*(1+Underlying_Assets!H328)</f>
        <v>87.19655647382919</v>
      </c>
      <c r="C610" s="36">
        <f>Underlying_Assets!$D$365 * (1 + Underlying_Assets!I328)</f>
        <v>147.55952875952877</v>
      </c>
      <c r="D610">
        <f>(LN(B610/Option_Portfolio!$E$4) + (Option_Portfolio!$H$4 + (Option_Portfolio!$G$4^2)/2) * ($E$392)) / (Option_Portfolio!$G$4 * SQRT($E$392))</f>
        <v>0.31439012549044326</v>
      </c>
      <c r="E610">
        <f>(LN(C610/Option_Portfolio!$E$5) + (Option_Portfolio!$H$5 + (Option_Portfolio!$G$5^2)/2) * ($E$392)) / (Option_Portfolio!$G$5 * SQRT($E$392))</f>
        <v>1.4438050417129897</v>
      </c>
      <c r="F610">
        <f>D610-Option_Portfolio!$G$4*SQRT('Part 1'!$E$392)</f>
        <v>0.19466377083116199</v>
      </c>
      <c r="G610">
        <f>E610-Option_Portfolio!$G$5*SQRT('Part 1'!$E$392)</f>
        <v>1.2888650533303905</v>
      </c>
      <c r="H610">
        <f t="shared" si="15"/>
        <v>-0.37661237747498122</v>
      </c>
      <c r="I610">
        <f t="shared" si="16"/>
        <v>0.92560308829397653</v>
      </c>
      <c r="J610" s="36">
        <f>Option_Portfolio!$E$4 * EXP(-Option_Portfolio!$H$4* $E$392) * _xlfn.NORM.S.DIST(-F610, TRUE) - B610 * _xlfn.NORM.S.DIST(-D610, TRUE)</f>
        <v>2.9232620809400487</v>
      </c>
      <c r="K610" s="36">
        <f>C610 * _xlfn.NORM.S.DIST(E610, TRUE) - Option_Portfolio!$E$5 * EXP(-'Part 1'!$H$5*'Part 1'!$E$392) * _xlfn.NORM.S.DIST(G610, TRUE)</f>
        <v>28.428255839425191</v>
      </c>
      <c r="L610" s="36">
        <f t="shared" si="17"/>
        <v>-36393677.112270042</v>
      </c>
      <c r="O610" s="36">
        <v>-22664163.699961759</v>
      </c>
      <c r="P610" s="36">
        <f t="shared" si="18"/>
        <v>-5562421.5010331534</v>
      </c>
      <c r="Q610" s="36">
        <f t="shared" si="19"/>
        <v>8167091.9112751298</v>
      </c>
    </row>
    <row r="611" spans="1:17" x14ac:dyDescent="0.2">
      <c r="A611">
        <v>216</v>
      </c>
      <c r="B611" s="36">
        <f>Underlying_Assets!$C$365*(1+Underlying_Assets!H329)</f>
        <v>86.862555304740411</v>
      </c>
      <c r="C611" s="36">
        <f>Underlying_Assets!$D$365 * (1 + Underlying_Assets!I329)</f>
        <v>143.71683100986058</v>
      </c>
      <c r="D611">
        <f>(LN(B611/Option_Portfolio!$E$4) + (Option_Portfolio!$H$4 + (Option_Portfolio!$G$4^2)/2) * ($E$392)) / (Option_Portfolio!$G$4 * SQRT($E$392))</f>
        <v>0.28233540509157251</v>
      </c>
      <c r="E611">
        <f>(LN(C611/Option_Portfolio!$E$5) + (Option_Portfolio!$H$5 + (Option_Portfolio!$G$5^2)/2) * ($E$392)) / (Option_Portfolio!$G$5 * SQRT($E$392))</f>
        <v>1.2735018992156417</v>
      </c>
      <c r="F611">
        <f>D611-Option_Portfolio!$G$4*SQRT('Part 1'!$E$392)</f>
        <v>0.16260905043229124</v>
      </c>
      <c r="G611">
        <f>E611-Option_Portfolio!$G$5*SQRT('Part 1'!$E$392)</f>
        <v>1.1185619108330425</v>
      </c>
      <c r="H611">
        <f t="shared" si="15"/>
        <v>-0.38884317001918189</v>
      </c>
      <c r="I611">
        <f t="shared" si="16"/>
        <v>0.89858000047360254</v>
      </c>
      <c r="J611" s="36">
        <f>Option_Portfolio!$E$4 * EXP(-Option_Portfolio!$H$4* $E$392) * _xlfn.NORM.S.DIST(-F611, TRUE) - B611 * _xlfn.NORM.S.DIST(-D611, TRUE)</f>
        <v>3.0510890426287602</v>
      </c>
      <c r="K611" s="36">
        <f>C611 * _xlfn.NORM.S.DIST(E611, TRUE) - Option_Portfolio!$E$5 * EXP(-'Part 1'!$H$5*'Part 1'!$E$392) * _xlfn.NORM.S.DIST(G611, TRUE)</f>
        <v>24.940694908635493</v>
      </c>
      <c r="L611" s="36">
        <f t="shared" si="17"/>
        <v>-28523766.518869665</v>
      </c>
      <c r="O611" s="36">
        <v>-22362712.923566151</v>
      </c>
      <c r="P611" s="36">
        <f t="shared" si="18"/>
        <v>-5863872.2774287611</v>
      </c>
      <c r="Q611" s="36">
        <f t="shared" si="19"/>
        <v>297181.31787475199</v>
      </c>
    </row>
    <row r="612" spans="1:17" x14ac:dyDescent="0.2">
      <c r="A612">
        <v>217</v>
      </c>
      <c r="B612" s="36">
        <f>Underlying_Assets!$C$365*(1+Underlying_Assets!H330)</f>
        <v>84.173449197860961</v>
      </c>
      <c r="C612" s="36">
        <f>Underlying_Assets!$D$365 * (1 + Underlying_Assets!I330)</f>
        <v>146.68502911956151</v>
      </c>
      <c r="D612">
        <f>(LN(B612/Option_Portfolio!$E$4) + (Option_Portfolio!$H$4 + (Option_Portfolio!$G$4^2)/2) * ($E$392)) / (Option_Portfolio!$G$4 * SQRT($E$392))</f>
        <v>1.9673904262549266E-2</v>
      </c>
      <c r="E612">
        <f>(LN(C612/Option_Portfolio!$E$5) + (Option_Portfolio!$H$5 + (Option_Portfolio!$G$5^2)/2) * ($E$392)) / (Option_Portfolio!$G$5 * SQRT($E$392))</f>
        <v>1.4054414773170867</v>
      </c>
      <c r="F612">
        <f>D612-Option_Portfolio!$G$4*SQRT('Part 1'!$E$392)</f>
        <v>-0.100052450396732</v>
      </c>
      <c r="G612">
        <f>E612-Option_Portfolio!$G$5*SQRT('Part 1'!$E$392)</f>
        <v>1.2505014889344874</v>
      </c>
      <c r="H612">
        <f t="shared" si="15"/>
        <v>-0.49215175406599188</v>
      </c>
      <c r="I612">
        <f t="shared" si="16"/>
        <v>0.92005497987487028</v>
      </c>
      <c r="J612" s="36">
        <f>Option_Portfolio!$E$4 * EXP(-Option_Portfolio!$H$4* $E$392) * _xlfn.NORM.S.DIST(-F612, TRUE) - B612 * _xlfn.NORM.S.DIST(-D612, TRUE)</f>
        <v>4.2339885448709325</v>
      </c>
      <c r="K612" s="36">
        <f>C612 * _xlfn.NORM.S.DIST(E612, TRUE) - Option_Portfolio!$E$5 * EXP(-'Part 1'!$H$5*'Part 1'!$E$392) * _xlfn.NORM.S.DIST(G612, TRUE)</f>
        <v>27.625276219977437</v>
      </c>
      <c r="L612" s="36">
        <f t="shared" si="17"/>
        <v>-25612632.625858348</v>
      </c>
      <c r="O612" s="36">
        <v>-22271549.811839245</v>
      </c>
      <c r="P612" s="36">
        <f t="shared" si="18"/>
        <v>-5955035.3891556673</v>
      </c>
      <c r="Q612" s="36">
        <f t="shared" si="19"/>
        <v>-2613952.5751365647</v>
      </c>
    </row>
    <row r="613" spans="1:17" x14ac:dyDescent="0.2">
      <c r="A613">
        <v>218</v>
      </c>
      <c r="B613" s="36">
        <f>Underlying_Assets!$C$365*(1+Underlying_Assets!H331)</f>
        <v>85.487022242396719</v>
      </c>
      <c r="C613" s="36">
        <f>Underlying_Assets!$D$365 * (1 + Underlying_Assets!I331)</f>
        <v>141.81291849847821</v>
      </c>
      <c r="D613">
        <f>(LN(B613/Option_Portfolio!$E$4) + (Option_Portfolio!$H$4 + (Option_Portfolio!$G$4^2)/2) * ($E$392)) / (Option_Portfolio!$G$4 * SQRT($E$392))</f>
        <v>0.14901081172793065</v>
      </c>
      <c r="E613">
        <f>(LN(C613/Option_Portfolio!$E$5) + (Option_Portfolio!$H$5 + (Option_Portfolio!$G$5^2)/2) * ($E$392)) / (Option_Portfolio!$G$5 * SQRT($E$392))</f>
        <v>1.187428582790329</v>
      </c>
      <c r="F613">
        <f>D613-Option_Portfolio!$G$4*SQRT('Part 1'!$E$392)</f>
        <v>2.9284457068649392E-2</v>
      </c>
      <c r="G613">
        <f>E613-Option_Portfolio!$G$5*SQRT('Part 1'!$E$392)</f>
        <v>1.0324885944077298</v>
      </c>
      <c r="H613">
        <f t="shared" si="15"/>
        <v>-0.44077255084491085</v>
      </c>
      <c r="I613">
        <f t="shared" si="16"/>
        <v>0.88247069439205617</v>
      </c>
      <c r="J613" s="36">
        <f>Option_Portfolio!$E$4 * EXP(-Option_Portfolio!$H$4* $E$392) * _xlfn.NORM.S.DIST(-F613, TRUE) - B613 * _xlfn.NORM.S.DIST(-D613, TRUE)</f>
        <v>3.621404867131254</v>
      </c>
      <c r="K613" s="36">
        <f>C613 * _xlfn.NORM.S.DIST(E613, TRUE) - Option_Portfolio!$E$5 * EXP(-'Part 1'!$H$5*'Part 1'!$E$392) * _xlfn.NORM.S.DIST(G613, TRUE)</f>
        <v>23.256341940861319</v>
      </c>
      <c r="L613" s="36">
        <f t="shared" si="17"/>
        <v>-21162849.811803859</v>
      </c>
      <c r="O613" s="36">
        <v>-22208022.427480031</v>
      </c>
      <c r="P613" s="36">
        <f t="shared" si="18"/>
        <v>-6018562.7735148817</v>
      </c>
      <c r="Q613" s="36">
        <f t="shared" si="19"/>
        <v>-7063735.3891910538</v>
      </c>
    </row>
    <row r="614" spans="1:17" x14ac:dyDescent="0.2">
      <c r="A614">
        <v>219</v>
      </c>
      <c r="B614" s="36">
        <f>Underlying_Assets!$C$365*(1+Underlying_Assets!H332)</f>
        <v>87.555119508308664</v>
      </c>
      <c r="C614" s="36">
        <f>Underlying_Assets!$D$365 * (1 + Underlying_Assets!I332)</f>
        <v>145.25</v>
      </c>
      <c r="D614">
        <f>(LN(B614/Option_Portfolio!$E$4) + (Option_Portfolio!$H$4 + (Option_Portfolio!$G$4^2)/2) * ($E$392)) / (Option_Portfolio!$G$4 * SQRT($E$392))</f>
        <v>0.3486657211161685</v>
      </c>
      <c r="E614">
        <f>(LN(C614/Option_Portfolio!$E$5) + (Option_Portfolio!$H$5 + (Option_Portfolio!$G$5^2)/2) * ($E$392)) / (Option_Portfolio!$G$5 * SQRT($E$392))</f>
        <v>1.3419895994604722</v>
      </c>
      <c r="F614">
        <f>D614-Option_Portfolio!$G$4*SQRT('Part 1'!$E$392)</f>
        <v>0.22893936645688723</v>
      </c>
      <c r="G614">
        <f>E614-Option_Portfolio!$G$5*SQRT('Part 1'!$E$392)</f>
        <v>1.187049611077873</v>
      </c>
      <c r="H614">
        <f t="shared" si="15"/>
        <v>-0.36367014087230098</v>
      </c>
      <c r="I614">
        <f t="shared" si="16"/>
        <v>0.91020031602729501</v>
      </c>
      <c r="J614" s="36">
        <f>Option_Portfolio!$E$4 * EXP(-Option_Portfolio!$H$4* $E$392) * _xlfn.NORM.S.DIST(-F614, TRUE) - B614 * _xlfn.NORM.S.DIST(-D614, TRUE)</f>
        <v>2.7905490890691915</v>
      </c>
      <c r="K614" s="36">
        <f>C614 * _xlfn.NORM.S.DIST(E614, TRUE) - Option_Portfolio!$E$5 * EXP(-'Part 1'!$H$5*'Part 1'!$E$392) * _xlfn.NORM.S.DIST(G614, TRUE)</f>
        <v>26.319079037819037</v>
      </c>
      <c r="L614" s="36">
        <f t="shared" si="17"/>
        <v>-33104314.452153731</v>
      </c>
      <c r="O614" s="36">
        <v>-22195748.257812146</v>
      </c>
      <c r="P614" s="36">
        <f t="shared" si="18"/>
        <v>-6030836.9431827664</v>
      </c>
      <c r="Q614" s="36">
        <f t="shared" si="19"/>
        <v>4877729.2511588186</v>
      </c>
    </row>
    <row r="615" spans="1:17" x14ac:dyDescent="0.2">
      <c r="A615">
        <v>220</v>
      </c>
      <c r="B615" s="36">
        <f>Underlying_Assets!$C$365*(1+Underlying_Assets!H333)</f>
        <v>86.485399019170757</v>
      </c>
      <c r="C615" s="36">
        <f>Underlying_Assets!$D$365 * (1 + Underlying_Assets!I333)</f>
        <v>145.99628227194492</v>
      </c>
      <c r="D615">
        <f>(LN(B615/Option_Portfolio!$E$4) + (Option_Portfolio!$H$4 + (Option_Portfolio!$G$4^2)/2) * ($E$392)) / (Option_Portfolio!$G$4 * SQRT($E$392))</f>
        <v>0.24599049906097106</v>
      </c>
      <c r="E615">
        <f>(LN(C615/Option_Portfolio!$E$5) + (Option_Portfolio!$H$5 + (Option_Portfolio!$G$5^2)/2) * ($E$392)) / (Option_Portfolio!$G$5 * SQRT($E$392))</f>
        <v>1.3750653845745289</v>
      </c>
      <c r="F615">
        <f>D615-Option_Portfolio!$G$4*SQRT('Part 1'!$E$392)</f>
        <v>0.12626414440168982</v>
      </c>
      <c r="G615">
        <f>E615-Option_Portfolio!$G$5*SQRT('Part 1'!$E$392)</f>
        <v>1.2201253961919296</v>
      </c>
      <c r="H615">
        <f t="shared" si="15"/>
        <v>-0.40284479361144809</v>
      </c>
      <c r="I615">
        <f t="shared" si="16"/>
        <v>0.9154444126040886</v>
      </c>
      <c r="J615" s="36">
        <f>Option_Portfolio!$E$4 * EXP(-Option_Portfolio!$H$4* $E$392) * _xlfn.NORM.S.DIST(-F615, TRUE) - B615 * _xlfn.NORM.S.DIST(-D615, TRUE)</f>
        <v>3.2003779486348591</v>
      </c>
      <c r="K615" s="36">
        <f>C615 * _xlfn.NORM.S.DIST(E615, TRUE) - Option_Portfolio!$E$5 * EXP(-'Part 1'!$H$5*'Part 1'!$E$392) * _xlfn.NORM.S.DIST(G615, TRUE)</f>
        <v>26.996521419896538</v>
      </c>
      <c r="L615" s="36">
        <f t="shared" si="17"/>
        <v>-31590397.199349057</v>
      </c>
      <c r="O615" s="36">
        <v>-22185621.298449703</v>
      </c>
      <c r="P615" s="36">
        <f t="shared" si="18"/>
        <v>-6040963.90254521</v>
      </c>
      <c r="Q615" s="36">
        <f t="shared" si="19"/>
        <v>3363811.9983541444</v>
      </c>
    </row>
    <row r="616" spans="1:17" x14ac:dyDescent="0.2">
      <c r="A616">
        <v>221</v>
      </c>
      <c r="B616" s="36">
        <f>Underlying_Assets!$C$365*(1+Underlying_Assets!H334)</f>
        <v>83.939933701657452</v>
      </c>
      <c r="C616" s="36">
        <f>Underlying_Assets!$D$365 * (1 + Underlying_Assets!I334)</f>
        <v>142.5259132809833</v>
      </c>
      <c r="D616">
        <f>(LN(B616/Option_Portfolio!$E$4) + (Option_Portfolio!$H$4 + (Option_Portfolio!$G$4^2)/2) * ($E$392)) / (Option_Portfolio!$G$4 * SQRT($E$392))</f>
        <v>-3.5296189926873906E-3</v>
      </c>
      <c r="E616">
        <f>(LN(C616/Option_Portfolio!$E$5) + (Option_Portfolio!$H$5 + (Option_Portfolio!$G$5^2)/2) * ($E$392)) / (Option_Portfolio!$G$5 * SQRT($E$392))</f>
        <v>1.2197967093785083</v>
      </c>
      <c r="F616">
        <f>D616-Option_Portfolio!$G$4*SQRT('Part 1'!$E$392)</f>
        <v>-0.12325597365196865</v>
      </c>
      <c r="G616">
        <f>E616-Option_Portfolio!$G$5*SQRT('Part 1'!$E$392)</f>
        <v>1.064856720995909</v>
      </c>
      <c r="H616">
        <f t="shared" si="15"/>
        <v>-0.5014081113261325</v>
      </c>
      <c r="I616">
        <f t="shared" si="16"/>
        <v>0.88872902542733645</v>
      </c>
      <c r="J616" s="36">
        <f>Option_Portfolio!$E$4 * EXP(-Option_Portfolio!$H$4* $E$392) * _xlfn.NORM.S.DIST(-F616, TRUE) - B616 * _xlfn.NORM.S.DIST(-D616, TRUE)</f>
        <v>4.3499938232156197</v>
      </c>
      <c r="K616" s="36">
        <f>C616 * _xlfn.NORM.S.DIST(E616, TRUE) - Option_Portfolio!$E$5 * EXP(-'Part 1'!$H$5*'Part 1'!$E$392) * _xlfn.NORM.S.DIST(G616, TRUE)</f>
        <v>23.883362362994148</v>
      </c>
      <c r="L616" s="36">
        <f t="shared" si="17"/>
        <v>-17316767.96347896</v>
      </c>
      <c r="O616" s="36">
        <v>-22067918.219476752</v>
      </c>
      <c r="P616" s="36">
        <f t="shared" si="18"/>
        <v>-6158666.9815181606</v>
      </c>
      <c r="Q616" s="36">
        <f t="shared" si="19"/>
        <v>-10909817.237515952</v>
      </c>
    </row>
    <row r="617" spans="1:17" x14ac:dyDescent="0.2">
      <c r="A617">
        <v>222</v>
      </c>
      <c r="B617" s="36">
        <f>Underlying_Assets!$C$365*(1+Underlying_Assets!H335)</f>
        <v>86.16579683972914</v>
      </c>
      <c r="C617" s="36">
        <f>Underlying_Assets!$D$365 * (1 + Underlying_Assets!I335)</f>
        <v>147.81352757544227</v>
      </c>
      <c r="D617">
        <f>(LN(B617/Option_Portfolio!$E$4) + (Option_Portfolio!$H$4 + (Option_Portfolio!$G$4^2)/2) * ($E$392)) / (Option_Portfolio!$G$4 * SQRT($E$392))</f>
        <v>0.21506755224483806</v>
      </c>
      <c r="E617">
        <f>(LN(C617/Option_Portfolio!$E$5) + (Option_Portfolio!$H$5 + (Option_Portfolio!$G$5^2)/2) * ($E$392)) / (Option_Portfolio!$G$5 * SQRT($E$392))</f>
        <v>1.4549051546847616</v>
      </c>
      <c r="F617">
        <f>D617-Option_Portfolio!$G$4*SQRT('Part 1'!$E$392)</f>
        <v>9.53411975855568E-2</v>
      </c>
      <c r="G617">
        <f>E617-Option_Portfolio!$G$5*SQRT('Part 1'!$E$392)</f>
        <v>1.2999651663021623</v>
      </c>
      <c r="H617">
        <f t="shared" si="15"/>
        <v>-0.41485732575064294</v>
      </c>
      <c r="I617">
        <f t="shared" si="16"/>
        <v>0.92715223970271921</v>
      </c>
      <c r="J617" s="36">
        <f>Option_Portfolio!$E$4 * EXP(-Option_Portfolio!$H$4* $E$392) * _xlfn.NORM.S.DIST(-F617, TRUE) - B617 * _xlfn.NORM.S.DIST(-D617, TRUE)</f>
        <v>3.3310441732300333</v>
      </c>
      <c r="K617" s="36">
        <f>C617 * _xlfn.NORM.S.DIST(E617, TRUE) - Option_Portfolio!$E$5 * EXP(-'Part 1'!$H$5*'Part 1'!$E$392) * _xlfn.NORM.S.DIST(G617, TRUE)</f>
        <v>28.662417644633848</v>
      </c>
      <c r="L617" s="36">
        <f t="shared" si="17"/>
        <v>-34007526.076657459</v>
      </c>
      <c r="O617" s="36">
        <v>-21964832.404661354</v>
      </c>
      <c r="P617" s="36">
        <f t="shared" si="18"/>
        <v>-6261752.7963335589</v>
      </c>
      <c r="Q617" s="36">
        <f t="shared" si="19"/>
        <v>5780940.8756625466</v>
      </c>
    </row>
    <row r="618" spans="1:17" x14ac:dyDescent="0.2">
      <c r="A618">
        <v>223</v>
      </c>
      <c r="B618" s="36">
        <f>Underlying_Assets!$C$365*(1+Underlying_Assets!H336)</f>
        <v>85.93258760107814</v>
      </c>
      <c r="C618" s="36">
        <f>Underlying_Assets!$D$365 * (1 + Underlying_Assets!I336)</f>
        <v>144.30798504926946</v>
      </c>
      <c r="D618">
        <f>(LN(B618/Option_Portfolio!$E$4) + (Option_Portfolio!$H$4 + (Option_Portfolio!$G$4^2)/2) * ($E$392)) / (Option_Portfolio!$G$4 * SQRT($E$392))</f>
        <v>0.19243104279021556</v>
      </c>
      <c r="E618">
        <f>(LN(C618/Option_Portfolio!$E$5) + (Option_Portfolio!$H$5 + (Option_Portfolio!$G$5^2)/2) * ($E$392)) / (Option_Portfolio!$G$5 * SQRT($E$392))</f>
        <v>1.2999953079651141</v>
      </c>
      <c r="F618">
        <f>D618-Option_Portfolio!$G$4*SQRT('Part 1'!$E$392)</f>
        <v>7.2704688130934295E-2</v>
      </c>
      <c r="G618">
        <f>E618-Option_Portfolio!$G$5*SQRT('Part 1'!$E$392)</f>
        <v>1.1450553195825148</v>
      </c>
      <c r="H618">
        <f t="shared" si="15"/>
        <v>-0.42370228906612284</v>
      </c>
      <c r="I618">
        <f t="shared" si="16"/>
        <v>0.90319871134452523</v>
      </c>
      <c r="J618" s="36">
        <f>Option_Portfolio!$E$4 * EXP(-Option_Portfolio!$H$4* $E$392) * _xlfn.NORM.S.DIST(-F618, TRUE) - B618 * _xlfn.NORM.S.DIST(-D618, TRUE)</f>
        <v>3.4288228392384639</v>
      </c>
      <c r="K618" s="36">
        <f>C618 * _xlfn.NORM.S.DIST(E618, TRUE) - Option_Portfolio!$E$5 * EXP(-'Part 1'!$H$5*'Part 1'!$E$392) * _xlfn.NORM.S.DIST(G618, TRUE)</f>
        <v>25.469960676158195</v>
      </c>
      <c r="L618" s="36">
        <f t="shared" si="17"/>
        <v>-26938161.477647148</v>
      </c>
      <c r="O618" s="36">
        <v>-21915489.307895891</v>
      </c>
      <c r="P618" s="36">
        <f t="shared" si="18"/>
        <v>-6311095.8930990212</v>
      </c>
      <c r="Q618" s="36">
        <f t="shared" si="19"/>
        <v>-1288423.7233477645</v>
      </c>
    </row>
    <row r="619" spans="1:17" x14ac:dyDescent="0.2">
      <c r="A619">
        <v>224</v>
      </c>
      <c r="B619" s="36">
        <f>Underlying_Assets!$C$365*(1+Underlying_Assets!H337)</f>
        <v>85.682353204840879</v>
      </c>
      <c r="C619" s="36">
        <f>Underlying_Assets!$D$365 * (1 + Underlying_Assets!I337)</f>
        <v>145.49116945107397</v>
      </c>
      <c r="D619">
        <f>(LN(B619/Option_Portfolio!$E$4) + (Option_Portfolio!$H$4 + (Option_Portfolio!$G$4^2)/2) * ($E$392)) / (Option_Portfolio!$G$4 * SQRT($E$392))</f>
        <v>0.16807355716942302</v>
      </c>
      <c r="E619">
        <f>(LN(C619/Option_Portfolio!$E$5) + (Option_Portfolio!$H$5 + (Option_Portfolio!$G$5^2)/2) * ($E$392)) / (Option_Portfolio!$G$5 * SQRT($E$392))</f>
        <v>1.3526969578200352</v>
      </c>
      <c r="F619">
        <f>D619-Option_Portfolio!$G$4*SQRT('Part 1'!$E$392)</f>
        <v>4.8347202510141754E-2</v>
      </c>
      <c r="G619">
        <f>E619-Option_Portfolio!$G$5*SQRT('Part 1'!$E$392)</f>
        <v>1.1977569694374359</v>
      </c>
      <c r="H619">
        <f t="shared" si="15"/>
        <v>-0.43326270586254723</v>
      </c>
      <c r="I619">
        <f t="shared" si="16"/>
        <v>0.91192376863451419</v>
      </c>
      <c r="J619" s="36">
        <f>Option_Portfolio!$E$4 * EXP(-Option_Portfolio!$H$4* $E$392) * _xlfn.NORM.S.DIST(-F619, TRUE) - B619 * _xlfn.NORM.S.DIST(-D619, TRUE)</f>
        <v>3.5360424416177736</v>
      </c>
      <c r="K619" s="36">
        <f>C619 * _xlfn.NORM.S.DIST(E619, TRUE) - Option_Portfolio!$E$5 * EXP(-'Part 1'!$H$5*'Part 1'!$E$392) * _xlfn.NORM.S.DIST(G619, TRUE)</f>
        <v>26.53755416845263</v>
      </c>
      <c r="L619" s="36">
        <f t="shared" si="17"/>
        <v>-28322811.245580841</v>
      </c>
      <c r="O619" s="36">
        <v>-21769419.386363707</v>
      </c>
      <c r="P619" s="36">
        <f t="shared" si="18"/>
        <v>-6457165.8146312051</v>
      </c>
      <c r="Q619" s="36">
        <f t="shared" si="19"/>
        <v>96226.044585928321</v>
      </c>
    </row>
    <row r="620" spans="1:17" x14ac:dyDescent="0.2">
      <c r="A620">
        <v>225</v>
      </c>
      <c r="B620" s="36">
        <f>Underlying_Assets!$C$365*(1+Underlying_Assets!H338)</f>
        <v>86.759111908499648</v>
      </c>
      <c r="C620" s="36">
        <f>Underlying_Assets!$D$365 * (1 + Underlying_Assets!I338)</f>
        <v>146.02836783169326</v>
      </c>
      <c r="D620">
        <f>(LN(B620/Option_Portfolio!$E$4) + (Option_Portfolio!$H$4 + (Option_Portfolio!$G$4^2)/2) * ($E$392)) / (Option_Portfolio!$G$4 * SQRT($E$392))</f>
        <v>0.27238274582683508</v>
      </c>
      <c r="E620">
        <f>(LN(C620/Option_Portfolio!$E$5) + (Option_Portfolio!$H$5 + (Option_Portfolio!$G$5^2)/2) * ($E$392)) / (Option_Portfolio!$G$5 * SQRT($E$392))</f>
        <v>1.3764836469645487</v>
      </c>
      <c r="F620">
        <f>D620-Option_Portfolio!$G$4*SQRT('Part 1'!$E$392)</f>
        <v>0.15265639116755381</v>
      </c>
      <c r="G620">
        <f>E620-Option_Portfolio!$G$5*SQRT('Part 1'!$E$392)</f>
        <v>1.2215436585819495</v>
      </c>
      <c r="H620">
        <f t="shared" si="15"/>
        <v>-0.39266386908300843</v>
      </c>
      <c r="I620">
        <f t="shared" si="16"/>
        <v>0.91566402661614943</v>
      </c>
      <c r="J620" s="36">
        <f>Option_Portfolio!$E$4 * EXP(-Option_Portfolio!$H$4* $E$392) * _xlfn.NORM.S.DIST(-F620, TRUE) - B620 * _xlfn.NORM.S.DIST(-D620, TRUE)</f>
        <v>3.09150978362144</v>
      </c>
      <c r="K620" s="36">
        <f>C620 * _xlfn.NORM.S.DIST(E620, TRUE) - Option_Portfolio!$E$5 * EXP(-'Part 1'!$H$5*'Part 1'!$E$392) * _xlfn.NORM.S.DIST(G620, TRUE)</f>
        <v>27.025738046590561</v>
      </c>
      <c r="L620" s="36">
        <f t="shared" si="17"/>
        <v>-32410907.607831046</v>
      </c>
      <c r="O620" s="36">
        <v>-21666648.313946553</v>
      </c>
      <c r="P620" s="36">
        <f t="shared" si="18"/>
        <v>-6559936.88704836</v>
      </c>
      <c r="Q620" s="36">
        <f t="shared" si="19"/>
        <v>4184322.4068361335</v>
      </c>
    </row>
    <row r="621" spans="1:17" x14ac:dyDescent="0.2">
      <c r="A621">
        <v>226</v>
      </c>
      <c r="B621" s="36">
        <f>Underlying_Assets!$C$365*(1+Underlying_Assets!H339)</f>
        <v>85.987034574468083</v>
      </c>
      <c r="C621" s="36">
        <f>Underlying_Assets!$D$365 * (1 + Underlying_Assets!I339)</f>
        <v>145.33593539703904</v>
      </c>
      <c r="D621">
        <f>(LN(B621/Option_Portfolio!$E$4) + (Option_Portfolio!$H$4 + (Option_Portfolio!$G$4^2)/2) * ($E$392)) / (Option_Portfolio!$G$4 * SQRT($E$392))</f>
        <v>0.19772144322788168</v>
      </c>
      <c r="E621">
        <f>(LN(C621/Option_Portfolio!$E$5) + (Option_Portfolio!$H$5 + (Option_Portfolio!$G$5^2)/2) * ($E$392)) / (Option_Portfolio!$G$5 * SQRT($E$392))</f>
        <v>1.345806967093375</v>
      </c>
      <c r="F621">
        <f>D621-Option_Portfolio!$G$4*SQRT('Part 1'!$E$392)</f>
        <v>7.7995088568600421E-2</v>
      </c>
      <c r="G621">
        <f>E621-Option_Portfolio!$G$5*SQRT('Part 1'!$E$392)</f>
        <v>1.1908669787107757</v>
      </c>
      <c r="H621">
        <f t="shared" si="15"/>
        <v>-0.42163150582139153</v>
      </c>
      <c r="I621">
        <f t="shared" si="16"/>
        <v>0.91081761102202996</v>
      </c>
      <c r="J621" s="36">
        <f>Option_Portfolio!$E$4 * EXP(-Option_Portfolio!$H$4* $E$392) * _xlfn.NORM.S.DIST(-F621, TRUE) - B621 * _xlfn.NORM.S.DIST(-D621, TRUE)</f>
        <v>3.4058099215683484</v>
      </c>
      <c r="K621" s="36">
        <f>C621 * _xlfn.NORM.S.DIST(E621, TRUE) - Option_Portfolio!$E$5 * EXP(-'Part 1'!$H$5*'Part 1'!$E$392) * _xlfn.NORM.S.DIST(G621, TRUE)</f>
        <v>26.396878051894134</v>
      </c>
      <c r="L621" s="36">
        <f t="shared" si="17"/>
        <v>-28953086.652809832</v>
      </c>
      <c r="O621" s="36">
        <v>-21321336.982207034</v>
      </c>
      <c r="P621" s="36">
        <f t="shared" si="18"/>
        <v>-6905248.2187878788</v>
      </c>
      <c r="Q621" s="36">
        <f t="shared" si="19"/>
        <v>726501.45181491971</v>
      </c>
    </row>
    <row r="622" spans="1:17" x14ac:dyDescent="0.2">
      <c r="A622">
        <v>227</v>
      </c>
      <c r="B622" s="36">
        <f>Underlying_Assets!$C$365*(1+Underlying_Assets!H340)</f>
        <v>85.038921546961333</v>
      </c>
      <c r="C622" s="36">
        <f>Underlying_Assets!$D$365 * (1 + Underlying_Assets!I340)</f>
        <v>144.75145826349313</v>
      </c>
      <c r="D622">
        <f>(LN(B622/Option_Portfolio!$E$4) + (Option_Portfolio!$H$4 + (Option_Portfolio!$G$4^2)/2) * ($E$392)) / (Option_Portfolio!$G$4 * SQRT($E$392))</f>
        <v>0.10511466572113526</v>
      </c>
      <c r="E622">
        <f>(LN(C622/Option_Portfolio!$E$5) + (Option_Portfolio!$H$5 + (Option_Portfolio!$G$5^2)/2) * ($E$392)) / (Option_Portfolio!$G$5 * SQRT($E$392))</f>
        <v>1.3197990403520046</v>
      </c>
      <c r="F622">
        <f>D622-Option_Portfolio!$G$4*SQRT('Part 1'!$E$392)</f>
        <v>-1.4611688938146003E-2</v>
      </c>
      <c r="G622">
        <f>E622-Option_Portfolio!$G$5*SQRT('Part 1'!$E$392)</f>
        <v>1.1648590519694053</v>
      </c>
      <c r="H622">
        <f t="shared" si="15"/>
        <v>-0.45814241110555887</v>
      </c>
      <c r="I622">
        <f t="shared" si="16"/>
        <v>0.9065489389476824</v>
      </c>
      <c r="J622" s="36">
        <f>Option_Portfolio!$E$4 * EXP(-Option_Portfolio!$H$4* $E$392) * _xlfn.NORM.S.DIST(-F622, TRUE) - B622 * _xlfn.NORM.S.DIST(-D622, TRUE)</f>
        <v>3.8228000504899313</v>
      </c>
      <c r="K622" s="36">
        <f>C622 * _xlfn.NORM.S.DIST(E622, TRUE) - Option_Portfolio!$E$5 * EXP(-'Part 1'!$H$5*'Part 1'!$E$392) * _xlfn.NORM.S.DIST(G622, TRUE)</f>
        <v>25.868843954299166</v>
      </c>
      <c r="L622" s="36">
        <f t="shared" si="17"/>
        <v>-24978087.555168815</v>
      </c>
      <c r="O622" s="36">
        <v>-21306518.264920529</v>
      </c>
      <c r="P622" s="36">
        <f t="shared" si="18"/>
        <v>-6920066.9360743836</v>
      </c>
      <c r="Q622" s="36">
        <f t="shared" si="19"/>
        <v>-3248497.6458260976</v>
      </c>
    </row>
    <row r="623" spans="1:17" x14ac:dyDescent="0.2">
      <c r="A623">
        <v>228</v>
      </c>
      <c r="B623" s="36">
        <f>Underlying_Assets!$C$365*(1+Underlying_Assets!H341)</f>
        <v>87.134612299465218</v>
      </c>
      <c r="C623" s="36">
        <f>Underlying_Assets!$D$365 * (1 + Underlying_Assets!I341)</f>
        <v>144.55720992622403</v>
      </c>
      <c r="D623">
        <f>(LN(B623/Option_Portfolio!$E$4) + (Option_Portfolio!$H$4 + (Option_Portfolio!$G$4^2)/2) * ($E$392)) / (Option_Portfolio!$G$4 * SQRT($E$392))</f>
        <v>0.3084545110705047</v>
      </c>
      <c r="E623">
        <f>(LN(C623/Option_Portfolio!$E$5) + (Option_Portfolio!$H$5 + (Option_Portfolio!$G$5^2)/2) * ($E$392)) / (Option_Portfolio!$G$5 * SQRT($E$392))</f>
        <v>1.3111321678882828</v>
      </c>
      <c r="F623">
        <f>D623-Option_Portfolio!$G$4*SQRT('Part 1'!$E$392)</f>
        <v>0.18872815641122342</v>
      </c>
      <c r="G623">
        <f>E623-Option_Portfolio!$G$5*SQRT('Part 1'!$E$392)</f>
        <v>1.1561921795056835</v>
      </c>
      <c r="H623">
        <f t="shared" si="15"/>
        <v>-0.37886825435699323</v>
      </c>
      <c r="I623">
        <f t="shared" si="16"/>
        <v>0.90509344275265136</v>
      </c>
      <c r="J623" s="36">
        <f>Option_Portfolio!$E$4 * EXP(-Option_Portfolio!$H$4* $E$392) * _xlfn.NORM.S.DIST(-F623, TRUE) - B623 * _xlfn.NORM.S.DIST(-D623, TRUE)</f>
        <v>2.9466608631327134</v>
      </c>
      <c r="K623" s="36">
        <f>C623 * _xlfn.NORM.S.DIST(E623, TRUE) - Option_Portfolio!$E$5 * EXP(-'Part 1'!$H$5*'Part 1'!$E$392) * _xlfn.NORM.S.DIST(G623, TRUE)</f>
        <v>25.693936283925026</v>
      </c>
      <c r="L623" s="36">
        <f t="shared" si="17"/>
        <v>-30761246.525921058</v>
      </c>
      <c r="O623" s="36">
        <v>-21162849.811803859</v>
      </c>
      <c r="P623" s="36">
        <f t="shared" si="18"/>
        <v>-7063735.3891910538</v>
      </c>
      <c r="Q623" s="36">
        <f t="shared" si="19"/>
        <v>2534661.3249261454</v>
      </c>
    </row>
    <row r="624" spans="1:17" x14ac:dyDescent="0.2">
      <c r="A624">
        <v>229</v>
      </c>
      <c r="B624" s="36">
        <f>Underlying_Assets!$C$365*(1+Underlying_Assets!H342)</f>
        <v>86.172365709274288</v>
      </c>
      <c r="C624" s="36">
        <f>Underlying_Assets!$D$365 * (1 + Underlying_Assets!I342)</f>
        <v>144.41088343970441</v>
      </c>
      <c r="D624">
        <f>(LN(B624/Option_Portfolio!$E$4) + (Option_Portfolio!$H$4 + (Option_Portfolio!$G$4^2)/2) * ($E$392)) / (Option_Portfolio!$G$4 * SQRT($E$392))</f>
        <v>0.21570427359860891</v>
      </c>
      <c r="E624">
        <f>(LN(C624/Option_Portfolio!$E$5) + (Option_Portfolio!$H$5 + (Option_Portfolio!$G$5^2)/2) * ($E$392)) / (Option_Portfolio!$G$5 * SQRT($E$392))</f>
        <v>1.3045957536695818</v>
      </c>
      <c r="F624">
        <f>D624-Option_Portfolio!$G$4*SQRT('Part 1'!$E$392)</f>
        <v>9.5977918939327653E-2</v>
      </c>
      <c r="G624">
        <f>E624-Option_Portfolio!$G$5*SQRT('Part 1'!$E$392)</f>
        <v>1.1496557652869825</v>
      </c>
      <c r="H624">
        <f t="shared" si="15"/>
        <v>-0.41460913489494866</v>
      </c>
      <c r="I624">
        <f t="shared" si="16"/>
        <v>0.90398473251443612</v>
      </c>
      <c r="J624" s="36">
        <f>Option_Portfolio!$E$4 * EXP(-Option_Portfolio!$H$4* $E$392) * _xlfn.NORM.S.DIST(-F624, TRUE) - B624 * _xlfn.NORM.S.DIST(-D624, TRUE)</f>
        <v>3.3283198447729916</v>
      </c>
      <c r="K624" s="36">
        <f>C624 * _xlfn.NORM.S.DIST(E624, TRUE) - Option_Portfolio!$E$5 * EXP(-'Part 1'!$H$5*'Part 1'!$E$392) * _xlfn.NORM.S.DIST(G624, TRUE)</f>
        <v>25.562374648213222</v>
      </c>
      <c r="L624" s="36">
        <f t="shared" si="17"/>
        <v>-27826510.383015506</v>
      </c>
      <c r="O624" s="36">
        <v>-21089223.331433669</v>
      </c>
      <c r="P624" s="36">
        <f t="shared" si="18"/>
        <v>-7137361.8695612438</v>
      </c>
      <c r="Q624" s="36">
        <f t="shared" si="19"/>
        <v>-400074.81797940657</v>
      </c>
    </row>
    <row r="625" spans="1:17" x14ac:dyDescent="0.2">
      <c r="A625">
        <v>230</v>
      </c>
      <c r="B625" s="36">
        <f>Underlying_Assets!$C$365*(1+Underlying_Assets!H343)</f>
        <v>83.794764397905737</v>
      </c>
      <c r="C625" s="36">
        <f>Underlying_Assets!$D$365 * (1 + Underlying_Assets!I343)</f>
        <v>146.60451330414284</v>
      </c>
      <c r="D625">
        <f>(LN(B625/Option_Portfolio!$E$4) + (Option_Portfolio!$H$4 + (Option_Portfolio!$G$4^2)/2) * ($E$392)) / (Option_Portfolio!$G$4 * SQRT($E$392))</f>
        <v>-1.7987086570528277E-2</v>
      </c>
      <c r="E625">
        <f>(LN(C625/Option_Portfolio!$E$5) + (Option_Portfolio!$H$5 + (Option_Portfolio!$G$5^2)/2) * ($E$392)) / (Option_Portfolio!$G$5 * SQRT($E$392))</f>
        <v>1.4018978249976703</v>
      </c>
      <c r="F625">
        <f>D625-Option_Portfolio!$G$4*SQRT('Part 1'!$E$392)</f>
        <v>-0.13771344122980955</v>
      </c>
      <c r="G625">
        <f>E625-Option_Portfolio!$G$5*SQRT('Part 1'!$E$392)</f>
        <v>1.2469578366150711</v>
      </c>
      <c r="H625">
        <f t="shared" si="15"/>
        <v>-0.5071754224150844</v>
      </c>
      <c r="I625">
        <f t="shared" si="16"/>
        <v>0.91952711996166892</v>
      </c>
      <c r="J625" s="36">
        <f>Option_Portfolio!$E$4 * EXP(-Option_Portfolio!$H$4* $E$392) * _xlfn.NORM.S.DIST(-F625, TRUE) - B625 * _xlfn.NORM.S.DIST(-D625, TRUE)</f>
        <v>4.4232013979841724</v>
      </c>
      <c r="K625" s="36">
        <f>C625 * _xlfn.NORM.S.DIST(E625, TRUE) - Option_Portfolio!$E$5 * EXP(-'Part 1'!$H$5*'Part 1'!$E$392) * _xlfn.NORM.S.DIST(G625, TRUE)</f>
        <v>27.551603370839914</v>
      </c>
      <c r="L625" s="36">
        <f t="shared" si="17"/>
        <v>-24140796.95579062</v>
      </c>
      <c r="O625" s="36">
        <v>-20595027.939498577</v>
      </c>
      <c r="P625" s="36">
        <f t="shared" si="18"/>
        <v>-7631557.2614963353</v>
      </c>
      <c r="Q625" s="36">
        <f t="shared" si="19"/>
        <v>-4085788.2452042922</v>
      </c>
    </row>
    <row r="626" spans="1:17" x14ac:dyDescent="0.2">
      <c r="A626">
        <v>231</v>
      </c>
      <c r="B626" s="36">
        <f>Underlying_Assets!$C$365*(1+Underlying_Assets!H344)</f>
        <v>85.012741071428579</v>
      </c>
      <c r="C626" s="36">
        <f>Underlying_Assets!$D$365 * (1 + Underlying_Assets!I344)</f>
        <v>146.53413173652694</v>
      </c>
      <c r="D626">
        <f>(LN(B626/Option_Portfolio!$E$4) + (Option_Portfolio!$H$4 + (Option_Portfolio!$G$4^2)/2) * ($E$392)) / (Option_Portfolio!$G$4 * SQRT($E$392))</f>
        <v>0.10254286752315149</v>
      </c>
      <c r="E626">
        <f>(LN(C626/Option_Portfolio!$E$5) + (Option_Portfolio!$H$5 + (Option_Portfolio!$G$5^2)/2) * ($E$392)) / (Option_Portfolio!$G$5 * SQRT($E$392))</f>
        <v>1.3987986054362476</v>
      </c>
      <c r="F626">
        <f>D626-Option_Portfolio!$G$4*SQRT('Part 1'!$E$392)</f>
        <v>-1.7183487136129771E-2</v>
      </c>
      <c r="G626">
        <f>E626-Option_Portfolio!$G$5*SQRT('Part 1'!$E$392)</f>
        <v>1.2438586170536483</v>
      </c>
      <c r="H626">
        <f t="shared" si="15"/>
        <v>-0.45916289439673386</v>
      </c>
      <c r="I626">
        <f t="shared" si="16"/>
        <v>0.91906330768516675</v>
      </c>
      <c r="J626" s="36">
        <f>Option_Portfolio!$E$4 * EXP(-Option_Portfolio!$H$4* $E$392) * _xlfn.NORM.S.DIST(-F626, TRUE) - B626 * _xlfn.NORM.S.DIST(-D626, TRUE)</f>
        <v>3.8348077937632823</v>
      </c>
      <c r="K626" s="36">
        <f>C626 * _xlfn.NORM.S.DIST(E626, TRUE) - Option_Portfolio!$E$5 * EXP(-'Part 1'!$H$5*'Part 1'!$E$392) * _xlfn.NORM.S.DIST(G626, TRUE)</f>
        <v>27.487239941041935</v>
      </c>
      <c r="L626" s="36">
        <f t="shared" si="17"/>
        <v>-28130825.325740896</v>
      </c>
      <c r="O626" s="36">
        <v>-20134492.327440798</v>
      </c>
      <c r="P626" s="36">
        <f t="shared" si="18"/>
        <v>-8092092.8735541143</v>
      </c>
      <c r="Q626" s="36">
        <f t="shared" si="19"/>
        <v>-95759.87525401637</v>
      </c>
    </row>
    <row r="627" spans="1:17" x14ac:dyDescent="0.2">
      <c r="A627">
        <v>232</v>
      </c>
      <c r="B627" s="36">
        <f>Underlying_Assets!$C$365*(1+Underlying_Assets!H345)</f>
        <v>85.83651058081945</v>
      </c>
      <c r="C627" s="36">
        <f>Underlying_Assets!$D$365 * (1 + Underlying_Assets!I345)</f>
        <v>145.27600262984882</v>
      </c>
      <c r="D627">
        <f>(LN(B627/Option_Portfolio!$E$4) + (Option_Portfolio!$H$4 + (Option_Portfolio!$G$4^2)/2) * ($E$392)) / (Option_Portfolio!$G$4 * SQRT($E$392))</f>
        <v>0.18308743131969296</v>
      </c>
      <c r="E627">
        <f>(LN(C627/Option_Portfolio!$E$5) + (Option_Portfolio!$H$5 + (Option_Portfolio!$G$5^2)/2) * ($E$392)) / (Option_Portfolio!$G$5 * SQRT($E$392))</f>
        <v>1.343144910020216</v>
      </c>
      <c r="F627">
        <f>D627-Option_Portfolio!$G$4*SQRT('Part 1'!$E$392)</f>
        <v>6.33610766604117E-2</v>
      </c>
      <c r="G627">
        <f>E627-Option_Portfolio!$G$5*SQRT('Part 1'!$E$392)</f>
        <v>1.1882049216376167</v>
      </c>
      <c r="H627">
        <f t="shared" si="15"/>
        <v>-0.42736470871945365</v>
      </c>
      <c r="I627">
        <f t="shared" si="16"/>
        <v>0.91038747204052717</v>
      </c>
      <c r="J627" s="36">
        <f>Option_Portfolio!$E$4 * EXP(-Option_Portfolio!$H$4* $E$392) * _xlfn.NORM.S.DIST(-F627, TRUE) - B627 * _xlfn.NORM.S.DIST(-D627, TRUE)</f>
        <v>3.4697067455870894</v>
      </c>
      <c r="K627" s="36">
        <f>C627 * _xlfn.NORM.S.DIST(E627, TRUE) - Option_Portfolio!$E$5 * EXP(-'Part 1'!$H$5*'Part 1'!$E$392) * _xlfn.NORM.S.DIST(G627, TRUE)</f>
        <v>26.342613891983603</v>
      </c>
      <c r="L627" s="36">
        <f t="shared" si="17"/>
        <v>-28397280.564857587</v>
      </c>
      <c r="O627" s="36">
        <v>-19976876.374878887</v>
      </c>
      <c r="P627" s="36">
        <f t="shared" si="18"/>
        <v>-8249708.8261160254</v>
      </c>
      <c r="Q627" s="36">
        <f t="shared" si="19"/>
        <v>170695.36386267468</v>
      </c>
    </row>
    <row r="628" spans="1:17" x14ac:dyDescent="0.2">
      <c r="A628">
        <v>233</v>
      </c>
      <c r="B628" s="36">
        <f>Underlying_Assets!$C$365*(1+Underlying_Assets!H346)</f>
        <v>86.3184124128626</v>
      </c>
      <c r="C628" s="36">
        <f>Underlying_Assets!$D$365 * (1 + Underlying_Assets!I346)</f>
        <v>144.46788990825689</v>
      </c>
      <c r="D628">
        <f>(LN(B628/Option_Portfolio!$E$4) + (Option_Portfolio!$H$4 + (Option_Portfolio!$G$4^2)/2) * ($E$392)) / (Option_Portfolio!$G$4 * SQRT($E$392))</f>
        <v>0.22984807720987716</v>
      </c>
      <c r="E628">
        <f>(LN(C628/Option_Portfolio!$E$5) + (Option_Portfolio!$H$5 + (Option_Portfolio!$G$5^2)/2) * ($E$392)) / (Option_Portfolio!$G$5 * SQRT($E$392))</f>
        <v>1.3071430237177237</v>
      </c>
      <c r="F628">
        <f>D628-Option_Portfolio!$G$4*SQRT('Part 1'!$E$392)</f>
        <v>0.11012172255059589</v>
      </c>
      <c r="G628">
        <f>E628-Option_Portfolio!$G$5*SQRT('Part 1'!$E$392)</f>
        <v>1.1522030353351245</v>
      </c>
      <c r="H628">
        <f t="shared" si="15"/>
        <v>-0.40910491223575918</v>
      </c>
      <c r="I628">
        <f t="shared" si="16"/>
        <v>0.90441792913874441</v>
      </c>
      <c r="J628" s="36">
        <f>Option_Portfolio!$E$4 * EXP(-Option_Portfolio!$H$4* $E$392) * _xlfn.NORM.S.DIST(-F628, TRUE) - B628 * _xlfn.NORM.S.DIST(-D628, TRUE)</f>
        <v>3.2681698086467748</v>
      </c>
      <c r="K628" s="36">
        <f>C628 * _xlfn.NORM.S.DIST(E628, TRUE) - Option_Portfolio!$E$5 * EXP(-'Part 1'!$H$5*'Part 1'!$E$392) * _xlfn.NORM.S.DIST(G628, TRUE)</f>
        <v>25.613608859249183</v>
      </c>
      <c r="L628" s="36">
        <f t="shared" si="17"/>
        <v>-28350029.057970941</v>
      </c>
      <c r="O628" s="36">
        <v>-19367068.032418057</v>
      </c>
      <c r="P628" s="36">
        <f t="shared" si="18"/>
        <v>-8859517.1685768552</v>
      </c>
      <c r="Q628" s="36">
        <f t="shared" si="19"/>
        <v>123443.85697602853</v>
      </c>
    </row>
    <row r="629" spans="1:17" x14ac:dyDescent="0.2">
      <c r="A629">
        <v>234</v>
      </c>
      <c r="B629" s="36">
        <f>Underlying_Assets!$C$365*(1+Underlying_Assets!H347)</f>
        <v>86.410292606656228</v>
      </c>
      <c r="C629" s="36">
        <f>Underlying_Assets!$D$365 * (1 + Underlying_Assets!I347)</f>
        <v>144.13425287356324</v>
      </c>
      <c r="D629">
        <f>(LN(B629/Option_Portfolio!$E$4) + (Option_Portfolio!$H$4 + (Option_Portfolio!$G$4^2)/2) * ($E$392)) / (Option_Portfolio!$G$4 * SQRT($E$392))</f>
        <v>0.23873390029943561</v>
      </c>
      <c r="E629">
        <f>(LN(C629/Option_Portfolio!$E$5) + (Option_Portfolio!$H$5 + (Option_Portfolio!$G$5^2)/2) * ($E$392)) / (Option_Portfolio!$G$5 * SQRT($E$392))</f>
        <v>1.2922205311450856</v>
      </c>
      <c r="F629">
        <f>D629-Option_Portfolio!$G$4*SQRT('Part 1'!$E$392)</f>
        <v>0.11900754564015435</v>
      </c>
      <c r="G629">
        <f>E629-Option_Portfolio!$G$5*SQRT('Part 1'!$E$392)</f>
        <v>1.1372805427624864</v>
      </c>
      <c r="H629">
        <f t="shared" si="15"/>
        <v>-0.40565596402128012</v>
      </c>
      <c r="I629">
        <f t="shared" si="16"/>
        <v>0.90185960824324596</v>
      </c>
      <c r="J629" s="36">
        <f>Option_Portfolio!$E$4 * EXP(-Option_Portfolio!$H$4* $E$392) * _xlfn.NORM.S.DIST(-F629, TRUE) - B629 * _xlfn.NORM.S.DIST(-D629, TRUE)</f>
        <v>3.2307396981146965</v>
      </c>
      <c r="K629" s="36">
        <f>C629 * _xlfn.NORM.S.DIST(E629, TRUE) - Option_Portfolio!$E$5 * EXP(-'Part 1'!$H$5*'Part 1'!$E$392) * _xlfn.NORM.S.DIST(G629, TRUE)</f>
        <v>25.314122390993973</v>
      </c>
      <c r="L629" s="36">
        <f t="shared" si="17"/>
        <v>-28013066.895185068</v>
      </c>
      <c r="O629" s="36">
        <v>-19318293.160130337</v>
      </c>
      <c r="P629" s="36">
        <f t="shared" si="18"/>
        <v>-8908292.0408645757</v>
      </c>
      <c r="Q629" s="36">
        <f t="shared" si="19"/>
        <v>-213518.30580984429</v>
      </c>
    </row>
    <row r="630" spans="1:17" x14ac:dyDescent="0.2">
      <c r="A630">
        <v>235</v>
      </c>
      <c r="B630" s="36">
        <f>Underlying_Assets!$C$365*(1+Underlying_Assets!H348)</f>
        <v>84.884880319148948</v>
      </c>
      <c r="C630" s="36">
        <f>Underlying_Assets!$D$365 * (1 + Underlying_Assets!I348)</f>
        <v>143.31903662157703</v>
      </c>
      <c r="D630">
        <f>(LN(B630/Option_Portfolio!$E$4) + (Option_Portfolio!$H$4 + (Option_Portfolio!$G$4^2)/2) * ($E$392)) / (Option_Portfolio!$G$4 * SQRT($E$392))</f>
        <v>8.9971275617582461E-2</v>
      </c>
      <c r="E630">
        <f>(LN(C630/Option_Portfolio!$E$5) + (Option_Portfolio!$H$5 + (Option_Portfolio!$G$5^2)/2) * ($E$392)) / (Option_Portfolio!$G$5 * SQRT($E$392))</f>
        <v>1.2556127684843827</v>
      </c>
      <c r="F630">
        <f>D630-Option_Portfolio!$G$4*SQRT('Part 1'!$E$392)</f>
        <v>-2.9755079041698801E-2</v>
      </c>
      <c r="G630">
        <f>E630-Option_Portfolio!$G$5*SQRT('Part 1'!$E$392)</f>
        <v>1.1006727801017835</v>
      </c>
      <c r="H630">
        <f t="shared" si="15"/>
        <v>-0.46415502048360691</v>
      </c>
      <c r="I630">
        <f t="shared" si="16"/>
        <v>0.89537180013885809</v>
      </c>
      <c r="J630" s="36">
        <f>Option_Portfolio!$E$4 * EXP(-Option_Portfolio!$H$4* $E$392) * _xlfn.NORM.S.DIST(-F630, TRUE) - B630 * _xlfn.NORM.S.DIST(-D630, TRUE)</f>
        <v>3.8938357109300696</v>
      </c>
      <c r="K630" s="36">
        <f>C630 * _xlfn.NORM.S.DIST(E630, TRUE) - Option_Portfolio!$E$5 * EXP(-'Part 1'!$H$5*'Part 1'!$E$392) * _xlfn.NORM.S.DIST(G630, TRUE)</f>
        <v>24.586169642203188</v>
      </c>
      <c r="L630" s="36">
        <f t="shared" si="17"/>
        <v>-21915489.307895891</v>
      </c>
      <c r="O630" s="36">
        <v>-18952277.075054631</v>
      </c>
      <c r="P630" s="36">
        <f t="shared" si="18"/>
        <v>-9274308.1259402819</v>
      </c>
      <c r="Q630" s="36">
        <f t="shared" si="19"/>
        <v>-6311095.8930990212</v>
      </c>
    </row>
    <row r="631" spans="1:17" x14ac:dyDescent="0.2">
      <c r="A631">
        <v>236</v>
      </c>
      <c r="B631" s="36">
        <f>Underlying_Assets!$C$365*(1+Underlying_Assets!H349)</f>
        <v>86.52695768972464</v>
      </c>
      <c r="C631" s="36">
        <f>Underlying_Assets!$D$365 * (1 + Underlying_Assets!I349)</f>
        <v>146.8272</v>
      </c>
      <c r="D631">
        <f>(LN(B631/Option_Portfolio!$E$4) + (Option_Portfolio!$H$4 + (Option_Portfolio!$G$4^2)/2) * ($E$392)) / (Option_Portfolio!$G$4 * SQRT($E$392))</f>
        <v>0.25000308889587031</v>
      </c>
      <c r="E631">
        <f>(LN(C631/Option_Portfolio!$E$5) + (Option_Portfolio!$H$5 + (Option_Portfolio!$G$5^2)/2) * ($E$392)) / (Option_Portfolio!$G$5 * SQRT($E$392))</f>
        <v>1.4116939379035469</v>
      </c>
      <c r="F631">
        <f>D631-Option_Portfolio!$G$4*SQRT('Part 1'!$E$392)</f>
        <v>0.13027673423658903</v>
      </c>
      <c r="G631">
        <f>E631-Option_Portfolio!$G$5*SQRT('Part 1'!$E$392)</f>
        <v>1.2567539495209477</v>
      </c>
      <c r="H631">
        <f t="shared" si="15"/>
        <v>-0.40129247993998818</v>
      </c>
      <c r="I631">
        <f t="shared" si="16"/>
        <v>0.92097995045833048</v>
      </c>
      <c r="J631" s="36">
        <f>Option_Portfolio!$E$4 * EXP(-Option_Portfolio!$H$4* $E$392) * _xlfn.NORM.S.DIST(-F631, TRUE) - B631 * _xlfn.NORM.S.DIST(-D631, TRUE)</f>
        <v>3.1836685185514639</v>
      </c>
      <c r="K631" s="36">
        <f>C631 * _xlfn.NORM.S.DIST(E631, TRUE) - Option_Portfolio!$E$5 * EXP(-'Part 1'!$H$5*'Part 1'!$E$392) * _xlfn.NORM.S.DIST(G631, TRUE)</f>
        <v>27.755472137942604</v>
      </c>
      <c r="L631" s="36">
        <f t="shared" si="17"/>
        <v>-33225264.646024965</v>
      </c>
      <c r="O631" s="36">
        <v>-18884613.041854385</v>
      </c>
      <c r="P631" s="36">
        <f t="shared" si="18"/>
        <v>-9341972.1591405272</v>
      </c>
      <c r="Q631" s="36">
        <f t="shared" si="19"/>
        <v>4998679.4450300522</v>
      </c>
    </row>
    <row r="632" spans="1:17" x14ac:dyDescent="0.2">
      <c r="A632">
        <v>237</v>
      </c>
      <c r="B632" s="36">
        <f>Underlying_Assets!$C$365*(1+Underlying_Assets!H350)</f>
        <v>85.397648624667255</v>
      </c>
      <c r="C632" s="36">
        <f>Underlying_Assets!$D$365 * (1 + Underlying_Assets!I350)</f>
        <v>144.70479947403027</v>
      </c>
      <c r="D632">
        <f>(LN(B632/Option_Portfolio!$E$4) + (Option_Portfolio!$H$4 + (Option_Portfolio!$G$4^2)/2) * ($E$392)) / (Option_Portfolio!$G$4 * SQRT($E$392))</f>
        <v>0.14027413015239351</v>
      </c>
      <c r="E632">
        <f>(LN(C632/Option_Portfolio!$E$5) + (Option_Portfolio!$H$5 + (Option_Portfolio!$G$5^2)/2) * ($E$392)) / (Option_Portfolio!$G$5 * SQRT($E$392))</f>
        <v>1.3177183042407439</v>
      </c>
      <c r="F632">
        <f>D632-Option_Portfolio!$G$4*SQRT('Part 1'!$E$392)</f>
        <v>2.054777549311225E-2</v>
      </c>
      <c r="G632">
        <f>E632-Option_Portfolio!$G$5*SQRT('Part 1'!$E$392)</f>
        <v>1.1627783158581446</v>
      </c>
      <c r="H632">
        <f t="shared" si="15"/>
        <v>-0.44422170167960107</v>
      </c>
      <c r="I632">
        <f t="shared" si="16"/>
        <v>0.9062010176173404</v>
      </c>
      <c r="J632" s="36">
        <f>Option_Portfolio!$E$4 * EXP(-Option_Portfolio!$H$4* $E$392) * _xlfn.NORM.S.DIST(-F632, TRUE) - B632 * _xlfn.NORM.S.DIST(-D632, TRUE)</f>
        <v>3.6609523768071526</v>
      </c>
      <c r="K632" s="36">
        <f>C632 * _xlfn.NORM.S.DIST(E632, TRUE) - Option_Portfolio!$E$5 * EXP(-'Part 1'!$H$5*'Part 1'!$E$392) * _xlfn.NORM.S.DIST(G632, TRUE)</f>
        <v>25.826803967119659</v>
      </c>
      <c r="L632" s="36">
        <f t="shared" si="17"/>
        <v>-26026941.296589252</v>
      </c>
      <c r="O632" s="36">
        <v>-18578770.384210866</v>
      </c>
      <c r="P632" s="36">
        <f t="shared" si="18"/>
        <v>-9647814.8167840466</v>
      </c>
      <c r="Q632" s="36">
        <f t="shared" si="19"/>
        <v>-2199643.9044056609</v>
      </c>
    </row>
    <row r="633" spans="1:17" x14ac:dyDescent="0.2">
      <c r="A633">
        <v>238</v>
      </c>
      <c r="B633" s="36">
        <f>Underlying_Assets!$C$365*(1+Underlying_Assets!H351)</f>
        <v>86.561118040089085</v>
      </c>
      <c r="C633" s="36">
        <f>Underlying_Assets!$D$365 * (1 + Underlying_Assets!I351)</f>
        <v>142.84710526315791</v>
      </c>
      <c r="D633">
        <f>(LN(B633/Option_Portfolio!$E$4) + (Option_Portfolio!$H$4 + (Option_Portfolio!$G$4^2)/2) * ($E$392)) / (Option_Portfolio!$G$4 * SQRT($E$392))</f>
        <v>0.25329991020246057</v>
      </c>
      <c r="E633">
        <f>(LN(C633/Option_Portfolio!$E$5) + (Option_Portfolio!$H$5 + (Option_Portfolio!$G$5^2)/2) * ($E$392)) / (Option_Portfolio!$G$5 * SQRT($E$392))</f>
        <v>1.2343251313925483</v>
      </c>
      <c r="F633">
        <f>D633-Option_Portfolio!$G$4*SQRT('Part 1'!$E$392)</f>
        <v>0.13357355554317929</v>
      </c>
      <c r="G633">
        <f>E633-Option_Portfolio!$G$5*SQRT('Part 1'!$E$392)</f>
        <v>1.079385143009949</v>
      </c>
      <c r="H633">
        <f t="shared" si="15"/>
        <v>-0.40001823274641957</v>
      </c>
      <c r="I633">
        <f t="shared" si="16"/>
        <v>0.89145911257969357</v>
      </c>
      <c r="J633" s="36">
        <f>Option_Portfolio!$E$4 * EXP(-Option_Portfolio!$H$4* $E$392) * _xlfn.NORM.S.DIST(-F633, TRUE) - B633 * _xlfn.NORM.S.DIST(-D633, TRUE)</f>
        <v>3.1699819956446476</v>
      </c>
      <c r="K633" s="36">
        <f>C633 * _xlfn.NORM.S.DIST(E633, TRUE) - Option_Portfolio!$E$5 * EXP(-'Part 1'!$H$5*'Part 1'!$E$392) * _xlfn.NORM.S.DIST(G633, TRUE)</f>
        <v>24.167317964977585</v>
      </c>
      <c r="L633" s="36">
        <f t="shared" si="17"/>
        <v>-26144761.960442636</v>
      </c>
      <c r="O633" s="36">
        <v>-18395147.94049941</v>
      </c>
      <c r="P633" s="36">
        <f t="shared" si="18"/>
        <v>-9831437.2604955025</v>
      </c>
      <c r="Q633" s="36">
        <f t="shared" si="19"/>
        <v>-2081823.2405522764</v>
      </c>
    </row>
    <row r="634" spans="1:17" x14ac:dyDescent="0.2">
      <c r="A634">
        <v>239</v>
      </c>
      <c r="B634" s="36">
        <f>Underlying_Assets!$C$365*(1+Underlying_Assets!H352)</f>
        <v>82.619086697551282</v>
      </c>
      <c r="C634" s="36">
        <f>Underlying_Assets!$D$365 * (1 + Underlying_Assets!I352)</f>
        <v>133.93637879293098</v>
      </c>
      <c r="D634">
        <f>(LN(B634/Option_Portfolio!$E$4) + (Option_Portfolio!$H$4 + (Option_Portfolio!$G$4^2)/2) * ($E$392)) / (Option_Portfolio!$G$4 * SQRT($E$392))</f>
        <v>-0.13600454873058729</v>
      </c>
      <c r="E634">
        <f>(LN(C634/Option_Portfolio!$E$5) + (Option_Portfolio!$H$5 + (Option_Portfolio!$G$5^2)/2) * ($E$392)) / (Option_Portfolio!$G$5 * SQRT($E$392))</f>
        <v>0.81861603721136156</v>
      </c>
      <c r="F634">
        <f>D634-Option_Portfolio!$G$4*SQRT('Part 1'!$E$392)</f>
        <v>-0.25573090338986854</v>
      </c>
      <c r="G634">
        <f>E634-Option_Portfolio!$G$5*SQRT('Part 1'!$E$392)</f>
        <v>0.6636760488287623</v>
      </c>
      <c r="H634">
        <f t="shared" si="15"/>
        <v>-0.55409115749324978</v>
      </c>
      <c r="I634">
        <f t="shared" si="16"/>
        <v>0.79349724290441614</v>
      </c>
      <c r="J634" s="36">
        <f>Option_Portfolio!$E$4 * EXP(-Option_Portfolio!$H$4* $E$392) * _xlfn.NORM.S.DIST(-F634, TRUE) - B634 * _xlfn.NORM.S.DIST(-D634, TRUE)</f>
        <v>5.0470319098692968</v>
      </c>
      <c r="K634" s="36">
        <f>C634 * _xlfn.NORM.S.DIST(E634, TRUE) - Option_Portfolio!$E$5 * EXP(-'Part 1'!$H$5*'Part 1'!$E$392) * _xlfn.NORM.S.DIST(G634, TRUE)</f>
        <v>16.692007618798698</v>
      </c>
      <c r="L634" s="36">
        <f t="shared" si="17"/>
        <v>1945208.131487675</v>
      </c>
      <c r="O634" s="36">
        <v>-17316767.96347896</v>
      </c>
      <c r="P634" s="36">
        <f t="shared" si="18"/>
        <v>-10909817.237515952</v>
      </c>
      <c r="Q634" s="36">
        <f t="shared" si="19"/>
        <v>-30171793.332482588</v>
      </c>
    </row>
    <row r="635" spans="1:17" x14ac:dyDescent="0.2">
      <c r="A635">
        <v>240</v>
      </c>
      <c r="B635" s="36">
        <f>Underlying_Assets!$C$365*(1+Underlying_Assets!H353)</f>
        <v>82.069354395604392</v>
      </c>
      <c r="C635" s="36">
        <f>Underlying_Assets!$D$365 * (1 + Underlying_Assets!I353)</f>
        <v>135.508579668349</v>
      </c>
      <c r="D635">
        <f>(LN(B635/Option_Portfolio!$E$4) + (Option_Portfolio!$H$4 + (Option_Portfolio!$G$4^2)/2) * ($E$392)) / (Option_Portfolio!$G$4 * SQRT($E$392))</f>
        <v>-0.19176547598061816</v>
      </c>
      <c r="E635">
        <f>(LN(C635/Option_Portfolio!$E$5) + (Option_Portfolio!$H$5 + (Option_Portfolio!$G$5^2)/2) * ($E$392)) / (Option_Portfolio!$G$5 * SQRT($E$392))</f>
        <v>0.89393587520320972</v>
      </c>
      <c r="F635">
        <f>D635-Option_Portfolio!$G$4*SQRT('Part 1'!$E$392)</f>
        <v>-0.31149183063989944</v>
      </c>
      <c r="G635">
        <f>E635-Option_Portfolio!$G$5*SQRT('Part 1'!$E$392)</f>
        <v>0.73899588682061046</v>
      </c>
      <c r="H635">
        <f t="shared" si="15"/>
        <v>-0.57603704240359677</v>
      </c>
      <c r="I635">
        <f t="shared" si="16"/>
        <v>0.81432189918805609</v>
      </c>
      <c r="J635" s="36">
        <f>Option_Portfolio!$E$4 * EXP(-Option_Portfolio!$H$4* $E$392) * _xlfn.NORM.S.DIST(-F635, TRUE) - B635 * _xlfn.NORM.S.DIST(-D635, TRUE)</f>
        <v>5.357668372510588</v>
      </c>
      <c r="K635" s="36">
        <f>C635 * _xlfn.NORM.S.DIST(E635, TRUE) - Option_Portfolio!$E$5 * EXP(-'Part 1'!$H$5*'Part 1'!$E$392) * _xlfn.NORM.S.DIST(G635, TRUE)</f>
        <v>17.942173651720722</v>
      </c>
      <c r="L635" s="36">
        <f t="shared" si="17"/>
        <v>1619331.3041326776</v>
      </c>
      <c r="O635" s="36">
        <v>-17058807.933874816</v>
      </c>
      <c r="P635" s="36">
        <f t="shared" si="18"/>
        <v>-11167777.267120097</v>
      </c>
      <c r="Q635" s="36">
        <f t="shared" si="19"/>
        <v>-29845916.50512759</v>
      </c>
    </row>
    <row r="636" spans="1:17" x14ac:dyDescent="0.2">
      <c r="A636">
        <v>241</v>
      </c>
      <c r="B636" s="36">
        <f>Underlying_Assets!$C$365*(1+Underlying_Assets!H354)</f>
        <v>87.431832097584305</v>
      </c>
      <c r="C636" s="36">
        <f>Underlying_Assets!$D$365 * (1 + Underlying_Assets!I354)</f>
        <v>153.16671802773499</v>
      </c>
      <c r="D636">
        <f>(LN(B636/Option_Portfolio!$E$4) + (Option_Portfolio!$H$4 + (Option_Portfolio!$G$4^2)/2) * ($E$392)) / (Option_Portfolio!$G$4 * SQRT($E$392))</f>
        <v>0.33689634683892888</v>
      </c>
      <c r="E636">
        <f>(LN(C636/Option_Portfolio!$E$5) + (Option_Portfolio!$H$5 + (Option_Portfolio!$G$5^2)/2) * ($E$392)) / (Option_Portfolio!$G$5 * SQRT($E$392))</f>
        <v>1.684513135685878</v>
      </c>
      <c r="F636">
        <f>D636-Option_Portfolio!$G$4*SQRT('Part 1'!$E$392)</f>
        <v>0.21716999217964761</v>
      </c>
      <c r="G636">
        <f>E636-Option_Portfolio!$G$5*SQRT('Part 1'!$E$392)</f>
        <v>1.5295731473032788</v>
      </c>
      <c r="H636">
        <f t="shared" si="15"/>
        <v>-0.36809751965527726</v>
      </c>
      <c r="I636">
        <f t="shared" si="16"/>
        <v>0.95395872848809959</v>
      </c>
      <c r="J636" s="36">
        <f>Option_Portfolio!$E$4 * EXP(-Option_Portfolio!$H$4* $E$392) * _xlfn.NORM.S.DIST(-F636, TRUE) - B636 * _xlfn.NORM.S.DIST(-D636, TRUE)</f>
        <v>2.8356577115259185</v>
      </c>
      <c r="K636" s="36">
        <f>C636 * _xlfn.NORM.S.DIST(E636, TRUE) - Option_Portfolio!$E$5 * EXP(-'Part 1'!$H$5*'Part 1'!$E$392) * _xlfn.NORM.S.DIST(G636, TRUE)</f>
        <v>33.682072800112309</v>
      </c>
      <c r="L636" s="36">
        <f t="shared" si="17"/>
        <v>-47514541.61954318</v>
      </c>
      <c r="O636" s="36">
        <v>-16880862.603575591</v>
      </c>
      <c r="P636" s="36">
        <f t="shared" si="18"/>
        <v>-11345722.597419322</v>
      </c>
      <c r="Q636" s="36">
        <f t="shared" si="19"/>
        <v>19287956.418548267</v>
      </c>
    </row>
    <row r="637" spans="1:17" x14ac:dyDescent="0.2">
      <c r="A637">
        <v>242</v>
      </c>
      <c r="B637" s="36">
        <f>Underlying_Assets!$C$365*(1+Underlying_Assets!H355)</f>
        <v>83.708865955201119</v>
      </c>
      <c r="C637" s="36">
        <f>Underlying_Assets!$D$365 * (1 + Underlying_Assets!I355)</f>
        <v>137.83947560087398</v>
      </c>
      <c r="D637">
        <f>(LN(B637/Option_Portfolio!$E$4) + (Option_Portfolio!$H$4 + (Option_Portfolio!$G$4^2)/2) * ($E$392)) / (Option_Portfolio!$G$4 * SQRT($E$392))</f>
        <v>-2.6553545565951558E-2</v>
      </c>
      <c r="E637">
        <f>(LN(C637/Option_Portfolio!$E$5) + (Option_Portfolio!$H$5 + (Option_Portfolio!$G$5^2)/2) * ($E$392)) / (Option_Portfolio!$G$5 * SQRT($E$392))</f>
        <v>1.0040096598025261</v>
      </c>
      <c r="F637">
        <f>D637-Option_Portfolio!$G$4*SQRT('Part 1'!$E$392)</f>
        <v>-0.14627990022523282</v>
      </c>
      <c r="G637">
        <f>E637-Option_Portfolio!$G$5*SQRT('Part 1'!$E$392)</f>
        <v>0.84906967141992684</v>
      </c>
      <c r="H637">
        <f t="shared" si="15"/>
        <v>-0.51059208727568239</v>
      </c>
      <c r="I637">
        <f t="shared" si="16"/>
        <v>0.84231302123460017</v>
      </c>
      <c r="J637" s="36">
        <f>Option_Portfolio!$E$4 * EXP(-Option_Portfolio!$H$4* $E$392) * _xlfn.NORM.S.DIST(-F637, TRUE) - B637 * _xlfn.NORM.S.DIST(-D637, TRUE)</f>
        <v>4.4669136996248611</v>
      </c>
      <c r="K637" s="36">
        <f>C637 * _xlfn.NORM.S.DIST(E637, TRUE) - Option_Portfolio!$E$5 * EXP(-'Part 1'!$H$5*'Part 1'!$E$392) * _xlfn.NORM.S.DIST(G637, TRUE)</f>
        <v>19.854536656923003</v>
      </c>
      <c r="L637" s="36">
        <f t="shared" si="17"/>
        <v>-8440677.4164719805</v>
      </c>
      <c r="O637" s="36">
        <v>-16689512.604339316</v>
      </c>
      <c r="P637" s="36">
        <f t="shared" si="18"/>
        <v>-11537072.596655596</v>
      </c>
      <c r="Q637" s="36">
        <f t="shared" si="19"/>
        <v>-19785907.784522932</v>
      </c>
    </row>
    <row r="638" spans="1:17" x14ac:dyDescent="0.2">
      <c r="A638">
        <v>243</v>
      </c>
      <c r="B638" s="36">
        <f>Underlying_Assets!$C$365*(1+Underlying_Assets!H356)</f>
        <v>86.821405405405386</v>
      </c>
      <c r="C638" s="36">
        <f>Underlying_Assets!$D$365 * (1 + Underlying_Assets!I356)</f>
        <v>154.21698546289213</v>
      </c>
      <c r="D638">
        <f>(LN(B638/Option_Portfolio!$E$4) + (Option_Portfolio!$H$4 + (Option_Portfolio!$G$4^2)/2) * ($E$392)) / (Option_Portfolio!$G$4 * SQRT($E$392))</f>
        <v>0.27837764643899321</v>
      </c>
      <c r="E638">
        <f>(LN(C638/Option_Portfolio!$E$5) + (Option_Portfolio!$H$5 + (Option_Portfolio!$G$5^2)/2) * ($E$392)) / (Option_Portfolio!$G$5 * SQRT($E$392))</f>
        <v>1.7286180748790625</v>
      </c>
      <c r="F638">
        <f>D638-Option_Portfolio!$G$4*SQRT('Part 1'!$E$392)</f>
        <v>0.15865129177971193</v>
      </c>
      <c r="G638">
        <f>E638-Option_Portfolio!$G$5*SQRT('Part 1'!$E$392)</f>
        <v>1.5736780864964632</v>
      </c>
      <c r="H638">
        <f t="shared" si="15"/>
        <v>-0.39036123857952598</v>
      </c>
      <c r="I638">
        <f t="shared" si="16"/>
        <v>0.95806126374255307</v>
      </c>
      <c r="J638" s="36">
        <f>Option_Portfolio!$E$4 * EXP(-Option_Portfolio!$H$4* $E$392) * _xlfn.NORM.S.DIST(-F638, TRUE) - B638 * _xlfn.NORM.S.DIST(-D638, TRUE)</f>
        <v>3.0671211258735056</v>
      </c>
      <c r="K638" s="36">
        <f>C638 * _xlfn.NORM.S.DIST(E638, TRUE) - Option_Portfolio!$E$5 * EXP(-'Part 1'!$H$5*'Part 1'!$E$392) * _xlfn.NORM.S.DIST(G638, TRUE)</f>
        <v>34.683033409496716</v>
      </c>
      <c r="L638" s="36">
        <f t="shared" si="17"/>
        <v>-47896218.937878892</v>
      </c>
      <c r="O638" s="36">
        <v>-16524437.91857408</v>
      </c>
      <c r="P638" s="36">
        <f t="shared" si="18"/>
        <v>-11702147.282420833</v>
      </c>
      <c r="Q638" s="36">
        <f t="shared" si="19"/>
        <v>19669633.736883979</v>
      </c>
    </row>
    <row r="639" spans="1:17" x14ac:dyDescent="0.2">
      <c r="A639">
        <v>244</v>
      </c>
      <c r="B639" s="36">
        <f>Underlying_Assets!$C$365*(1+Underlying_Assets!H357)</f>
        <v>86.431615658363</v>
      </c>
      <c r="C639" s="36">
        <f>Underlying_Assets!$D$365 * (1 + Underlying_Assets!I357)</f>
        <v>143.60373563218394</v>
      </c>
      <c r="D639">
        <f>(LN(B639/Option_Portfolio!$E$4) + (Option_Portfolio!$H$4 + (Option_Portfolio!$G$4^2)/2) * ($E$392)) / (Option_Portfolio!$G$4 * SQRT($E$392))</f>
        <v>0.24079472260233595</v>
      </c>
      <c r="E639">
        <f>(LN(C639/Option_Portfolio!$E$5) + (Option_Portfolio!$H$5 + (Option_Portfolio!$G$5^2)/2) * ($E$392)) / (Option_Portfolio!$G$5 * SQRT($E$392))</f>
        <v>1.2684209525052854</v>
      </c>
      <c r="F639">
        <f>D639-Option_Portfolio!$G$4*SQRT('Part 1'!$E$392)</f>
        <v>0.12106836794305469</v>
      </c>
      <c r="G639">
        <f>E639-Option_Portfolio!$G$5*SQRT('Part 1'!$E$392)</f>
        <v>1.1134809641226862</v>
      </c>
      <c r="H639">
        <f t="shared" si="15"/>
        <v>-0.40485711002517233</v>
      </c>
      <c r="I639">
        <f t="shared" si="16"/>
        <v>0.89767616844035258</v>
      </c>
      <c r="J639" s="36">
        <f>Option_Portfolio!$E$4 * EXP(-Option_Portfolio!$H$4* $E$392) * _xlfn.NORM.S.DIST(-F639, TRUE) - B639 * _xlfn.NORM.S.DIST(-D639, TRUE)</f>
        <v>3.2220983930728764</v>
      </c>
      <c r="K639" s="36">
        <f>C639 * _xlfn.NORM.S.DIST(E639, TRUE) - Option_Portfolio!$E$5 * EXP(-'Part 1'!$H$5*'Part 1'!$E$392) * _xlfn.NORM.S.DIST(G639, TRUE)</f>
        <v>24.839766341578482</v>
      </c>
      <c r="L639" s="36">
        <f t="shared" si="17"/>
        <v>-27124843.931646828</v>
      </c>
      <c r="O639" s="36">
        <v>-16029315.213462796</v>
      </c>
      <c r="P639" s="36">
        <f t="shared" si="18"/>
        <v>-12197269.987532116</v>
      </c>
      <c r="Q639" s="36">
        <f t="shared" si="19"/>
        <v>-1101741.2693480849</v>
      </c>
    </row>
    <row r="640" spans="1:17" x14ac:dyDescent="0.2">
      <c r="A640">
        <v>245</v>
      </c>
      <c r="B640" s="36">
        <f>Underlying_Assets!$C$365*(1+Underlying_Assets!H358)</f>
        <v>86.819569310425976</v>
      </c>
      <c r="C640" s="36">
        <f>Underlying_Assets!$D$365 * (1 + Underlying_Assets!I358)</f>
        <v>148.83824701195221</v>
      </c>
      <c r="D640">
        <f>(LN(B640/Option_Portfolio!$E$4) + (Option_Portfolio!$H$4 + (Option_Portfolio!$G$4^2)/2) * ($E$392)) / (Option_Portfolio!$G$4 * SQRT($E$392))</f>
        <v>0.27820100883540416</v>
      </c>
      <c r="E640">
        <f>(LN(C640/Option_Portfolio!$E$5) + (Option_Portfolio!$H$5 + (Option_Portfolio!$G$5^2)/2) * ($E$392)) / (Option_Portfolio!$G$5 * SQRT($E$392))</f>
        <v>1.4994940001266703</v>
      </c>
      <c r="F640">
        <f>D640-Option_Portfolio!$G$4*SQRT('Part 1'!$E$392)</f>
        <v>0.15847465417612289</v>
      </c>
      <c r="G640">
        <f>E640-Option_Portfolio!$G$5*SQRT('Part 1'!$E$392)</f>
        <v>1.3445540117440711</v>
      </c>
      <c r="H640">
        <f t="shared" si="15"/>
        <v>-0.39042903024010123</v>
      </c>
      <c r="I640">
        <f t="shared" si="16"/>
        <v>0.93312723796978281</v>
      </c>
      <c r="J640" s="36">
        <f>Option_Portfolio!$E$4 * EXP(-Option_Portfolio!$H$4* $E$392) * _xlfn.NORM.S.DIST(-F640, TRUE) - B640 * _xlfn.NORM.S.DIST(-D640, TRUE)</f>
        <v>3.0678379284190598</v>
      </c>
      <c r="K640" s="36">
        <f>C640 * _xlfn.NORM.S.DIST(E640, TRUE) - Option_Portfolio!$E$5 * EXP(-'Part 1'!$H$5*'Part 1'!$E$392) * _xlfn.NORM.S.DIST(G640, TRUE)</f>
        <v>29.611180520876147</v>
      </c>
      <c r="L640" s="36">
        <f t="shared" si="17"/>
        <v>-37747495.542818874</v>
      </c>
      <c r="O640" s="36">
        <v>-11422389.109589987</v>
      </c>
      <c r="P640" s="36">
        <f t="shared" si="18"/>
        <v>-16804196.091404926</v>
      </c>
      <c r="Q640" s="36">
        <f t="shared" si="19"/>
        <v>9520910.3418239616</v>
      </c>
    </row>
    <row r="641" spans="1:17" x14ac:dyDescent="0.2">
      <c r="A641">
        <v>246</v>
      </c>
      <c r="B641" s="36">
        <f>Underlying_Assets!$C$365*(1+Underlying_Assets!H359)</f>
        <v>86.068811156304463</v>
      </c>
      <c r="C641" s="36">
        <f>Underlying_Assets!$D$365 * (1 + Underlying_Assets!I359)</f>
        <v>142.6570824524313</v>
      </c>
      <c r="D641">
        <f>(LN(B641/Option_Portfolio!$E$4) + (Option_Portfolio!$H$4 + (Option_Portfolio!$G$4^2)/2) * ($E$392)) / (Option_Portfolio!$G$4 * SQRT($E$392))</f>
        <v>0.20566106455503261</v>
      </c>
      <c r="E641">
        <f>(LN(C641/Option_Portfolio!$E$5) + (Option_Portfolio!$H$5 + (Option_Portfolio!$G$5^2)/2) * ($E$392)) / (Option_Portfolio!$G$5 * SQRT($E$392))</f>
        <v>1.2257338133672639</v>
      </c>
      <c r="F641">
        <f>D641-Option_Portfolio!$G$4*SQRT('Part 1'!$E$392)</f>
        <v>8.5934709895751346E-2</v>
      </c>
      <c r="G641">
        <f>E641-Option_Portfolio!$G$5*SQRT('Part 1'!$E$392)</f>
        <v>1.0707938249846647</v>
      </c>
      <c r="H641">
        <f t="shared" si="15"/>
        <v>-0.41852783716769637</v>
      </c>
      <c r="I641">
        <f t="shared" si="16"/>
        <v>0.88985056933195161</v>
      </c>
      <c r="J641" s="36">
        <f>Option_Portfolio!$E$4 * EXP(-Option_Portfolio!$H$4* $E$392) * _xlfn.NORM.S.DIST(-F641, TRUE) - B641 * _xlfn.NORM.S.DIST(-D641, TRUE)</f>
        <v>3.3714572959095079</v>
      </c>
      <c r="K641" s="36">
        <f>C641 * _xlfn.NORM.S.DIST(E641, TRUE) - Option_Portfolio!$E$5 * EXP(-'Part 1'!$H$5*'Part 1'!$E$392) * _xlfn.NORM.S.DIST(G641, TRUE)</f>
        <v>23.999214683014117</v>
      </c>
      <c r="L641" s="36">
        <f t="shared" si="17"/>
        <v>-24398228.294661678</v>
      </c>
      <c r="O641" s="36">
        <v>-10030122.54167261</v>
      </c>
      <c r="P641" s="36">
        <f t="shared" si="18"/>
        <v>-18196462.659322303</v>
      </c>
      <c r="Q641" s="36">
        <f t="shared" si="19"/>
        <v>-3828356.9063332342</v>
      </c>
    </row>
    <row r="642" spans="1:17" x14ac:dyDescent="0.2">
      <c r="A642">
        <v>247</v>
      </c>
      <c r="B642" s="36">
        <f>Underlying_Assets!$C$365*(1+Underlying_Assets!H360)</f>
        <v>86.156888168557529</v>
      </c>
      <c r="C642" s="36">
        <f>Underlying_Assets!$D$365 * (1 + Underlying_Assets!I360)</f>
        <v>145.16251788268957</v>
      </c>
      <c r="D642">
        <f>(LN(B642/Option_Portfolio!$E$4) + (Option_Portfolio!$H$4 + (Option_Portfolio!$G$4^2)/2) * ($E$392)) / (Option_Portfolio!$G$4 * SQRT($E$392))</f>
        <v>0.21420395606503947</v>
      </c>
      <c r="E642">
        <f>(LN(C642/Option_Portfolio!$E$5) + (Option_Portfolio!$H$5 + (Option_Portfolio!$G$5^2)/2) * ($E$392)) / (Option_Portfolio!$G$5 * SQRT($E$392))</f>
        <v>1.3381012038590125</v>
      </c>
      <c r="F642">
        <f>D642-Option_Portfolio!$G$4*SQRT('Part 1'!$E$392)</f>
        <v>9.4477601405758213E-2</v>
      </c>
      <c r="G642">
        <f>E642-Option_Portfolio!$G$5*SQRT('Part 1'!$E$392)</f>
        <v>1.1831612154764133</v>
      </c>
      <c r="H642">
        <f t="shared" si="15"/>
        <v>-0.41519400559387853</v>
      </c>
      <c r="I642">
        <f t="shared" si="16"/>
        <v>0.90956827580273147</v>
      </c>
      <c r="J642" s="36">
        <f>Option_Portfolio!$E$4 * EXP(-Option_Portfolio!$H$4* $E$392) * _xlfn.NORM.S.DIST(-F642, TRUE) - B642 * _xlfn.NORM.S.DIST(-D642, TRUE)</f>
        <v>3.3347415003411172</v>
      </c>
      <c r="K642" s="36">
        <f>C642 * _xlfn.NORM.S.DIST(E642, TRUE) - Option_Portfolio!$E$5 * EXP(-'Part 1'!$H$5*'Part 1'!$E$392) * _xlfn.NORM.S.DIST(G642, TRUE)</f>
        <v>26.239936746910942</v>
      </c>
      <c r="L642" s="36">
        <f t="shared" si="17"/>
        <v>-29136682.99143406</v>
      </c>
      <c r="O642" s="36">
        <v>-8440677.4164719805</v>
      </c>
      <c r="P642" s="36">
        <f t="shared" si="18"/>
        <v>-19785907.784522932</v>
      </c>
      <c r="Q642" s="36">
        <f t="shared" si="19"/>
        <v>910097.7904391475</v>
      </c>
    </row>
    <row r="643" spans="1:17" x14ac:dyDescent="0.2">
      <c r="A643">
        <v>248</v>
      </c>
      <c r="B643" s="36">
        <f>Underlying_Assets!$C$365*(1+Underlying_Assets!H361)</f>
        <v>86.905589861751153</v>
      </c>
      <c r="C643" s="36">
        <f>Underlying_Assets!$D$365 * (1 + Underlying_Assets!I361)</f>
        <v>146.50474491616129</v>
      </c>
      <c r="D643">
        <f>(LN(B643/Option_Portfolio!$E$4) + (Option_Portfolio!$H$4 + (Option_Portfolio!$G$4^2)/2) * ($E$392)) / (Option_Portfolio!$G$4 * SQRT($E$392))</f>
        <v>0.28647242314685256</v>
      </c>
      <c r="E643">
        <f>(LN(C643/Option_Portfolio!$E$5) + (Option_Portfolio!$H$5 + (Option_Portfolio!$G$5^2)/2) * ($E$392)) / (Option_Portfolio!$G$5 * SQRT($E$392))</f>
        <v>1.397504129935236</v>
      </c>
      <c r="F643">
        <f>D643-Option_Portfolio!$G$4*SQRT('Part 1'!$E$392)</f>
        <v>0.16674606848757129</v>
      </c>
      <c r="G643">
        <f>E643-Option_Portfolio!$G$5*SQRT('Part 1'!$E$392)</f>
        <v>1.2425641415526367</v>
      </c>
      <c r="H643">
        <f t="shared" si="15"/>
        <v>-0.38725815597181334</v>
      </c>
      <c r="I643">
        <f t="shared" si="16"/>
        <v>0.91886898719958898</v>
      </c>
      <c r="J643" s="36">
        <f>Option_Portfolio!$E$4 * EXP(-Option_Portfolio!$H$4* $E$392) * _xlfn.NORM.S.DIST(-F643, TRUE) - B643 * _xlfn.NORM.S.DIST(-D643, TRUE)</f>
        <v>3.0343894637523903</v>
      </c>
      <c r="K643" s="36">
        <f>C643 * _xlfn.NORM.S.DIST(E643, TRUE) - Option_Portfolio!$E$5 * EXP(-'Part 1'!$H$5*'Part 1'!$E$392) * _xlfn.NORM.S.DIST(G643, TRUE)</f>
        <v>27.460376017561146</v>
      </c>
      <c r="L643" s="36">
        <f t="shared" si="17"/>
        <v>-33680025.78885556</v>
      </c>
      <c r="O643" s="36">
        <v>-4027371.5271636248</v>
      </c>
      <c r="P643" s="36">
        <f t="shared" si="18"/>
        <v>-24199213.673831288</v>
      </c>
      <c r="Q643" s="36">
        <f t="shared" si="19"/>
        <v>5453440.5878606476</v>
      </c>
    </row>
    <row r="644" spans="1:17" x14ac:dyDescent="0.2">
      <c r="A644">
        <v>249</v>
      </c>
      <c r="B644" s="36">
        <f>Underlying_Assets!$C$365*(1+Underlying_Assets!H362)</f>
        <v>84.453607638099555</v>
      </c>
      <c r="C644" s="36">
        <f>Underlying_Assets!$D$365 * (1 + Underlying_Assets!I362)</f>
        <v>146.63808180535966</v>
      </c>
      <c r="D644">
        <f>(LN(B644/Option_Portfolio!$E$4) + (Option_Portfolio!$H$4 + (Option_Portfolio!$G$4^2)/2) * ($E$392)) / (Option_Portfolio!$G$4 * SQRT($E$392))</f>
        <v>4.7427361226051762E-2</v>
      </c>
      <c r="E644">
        <f>(LN(C644/Option_Portfolio!$E$5) + (Option_Portfolio!$H$5 + (Option_Portfolio!$G$5^2)/2) * ($E$392)) / (Option_Portfolio!$G$5 * SQRT($E$392))</f>
        <v>1.4033754743077449</v>
      </c>
      <c r="F644">
        <f>D644-Option_Portfolio!$G$4*SQRT('Part 1'!$E$392)</f>
        <v>-7.22989934332295E-2</v>
      </c>
      <c r="G644">
        <f>E644-Option_Portfolio!$G$5*SQRT('Part 1'!$E$392)</f>
        <v>1.2484354859251456</v>
      </c>
      <c r="H644">
        <f t="shared" si="15"/>
        <v>-0.48108631122350731</v>
      </c>
      <c r="I644">
        <f t="shared" si="16"/>
        <v>0.91974754872400766</v>
      </c>
      <c r="J644" s="36">
        <f>Option_Portfolio!$E$4 * EXP(-Option_Portfolio!$H$4* $E$392) * _xlfn.NORM.S.DIST(-F644, TRUE) - B644 * _xlfn.NORM.S.DIST(-D644, TRUE)</f>
        <v>4.0976592146680488</v>
      </c>
      <c r="K644" s="36">
        <f>C644 * _xlfn.NORM.S.DIST(E644, TRUE) - Option_Portfolio!$E$5 * EXP(-'Part 1'!$H$5*'Part 1'!$E$392) * _xlfn.NORM.S.DIST(G644, TRUE)</f>
        <v>27.582313516054938</v>
      </c>
      <c r="L644" s="36">
        <f t="shared" si="17"/>
        <v>-26481012.529433537</v>
      </c>
      <c r="O644" s="36">
        <v>1619331.3041326776</v>
      </c>
      <c r="P644" s="36">
        <f t="shared" si="18"/>
        <v>-29845916.50512759</v>
      </c>
      <c r="Q644" s="36">
        <f t="shared" si="19"/>
        <v>-1745572.6715613753</v>
      </c>
    </row>
    <row r="645" spans="1:17" x14ac:dyDescent="0.2">
      <c r="A645">
        <v>250</v>
      </c>
      <c r="B645" s="36">
        <f>Underlying_Assets!$C$365*(1+Underlying_Assets!H363)</f>
        <v>86.472144011077773</v>
      </c>
      <c r="C645" s="36">
        <f>Underlying_Assets!$D$365 * (1 + Underlying_Assets!I363)</f>
        <v>146.31253481894151</v>
      </c>
      <c r="D645">
        <f>(LN(B645/Option_Portfolio!$E$4) + (Option_Portfolio!$H$4 + (Option_Portfolio!$G$4^2)/2) * ($E$392)) / (Option_Portfolio!$G$4 * SQRT($E$392))</f>
        <v>0.24471029050052004</v>
      </c>
      <c r="E645">
        <f>(LN(C645/Option_Portfolio!$E$5) + (Option_Portfolio!$H$5 + (Option_Portfolio!$G$5^2)/2) * ($E$392)) / (Option_Portfolio!$G$5 * SQRT($E$392))</f>
        <v>1.3890309576772795</v>
      </c>
      <c r="F645">
        <f>D645-Option_Portfolio!$G$4*SQRT('Part 1'!$E$392)</f>
        <v>0.12498393584123878</v>
      </c>
      <c r="G645">
        <f>E645-Option_Portfolio!$G$5*SQRT('Part 1'!$E$392)</f>
        <v>1.2340909692946802</v>
      </c>
      <c r="H645">
        <f t="shared" si="15"/>
        <v>-0.403340379797408</v>
      </c>
      <c r="I645">
        <f t="shared" si="16"/>
        <v>0.91758833173928522</v>
      </c>
      <c r="J645" s="36">
        <f>Option_Portfolio!$E$4 * EXP(-Option_Portfolio!$H$4* $E$392) * _xlfn.NORM.S.DIST(-F645, TRUE) - B645 * _xlfn.NORM.S.DIST(-D645, TRUE)</f>
        <v>3.2057209438779921</v>
      </c>
      <c r="K645" s="36">
        <f>C645 * _xlfn.NORM.S.DIST(E645, TRUE) - Option_Portfolio!$E$5 * EXP(-'Part 1'!$H$5*'Part 1'!$E$392) * _xlfn.NORM.S.DIST(G645, TRUE)</f>
        <v>27.284815232590077</v>
      </c>
      <c r="L645" s="36">
        <f t="shared" si="17"/>
        <v>-32129583.858034205</v>
      </c>
      <c r="O645" s="36">
        <v>1945208.131487675</v>
      </c>
      <c r="P645" s="36">
        <f t="shared" si="18"/>
        <v>-30171793.332482588</v>
      </c>
      <c r="Q645" s="36">
        <f t="shared" si="19"/>
        <v>3902998.6570392922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N10"/>
  <sheetViews>
    <sheetView zoomScale="160" zoomScaleNormal="160" workbookViewId="0">
      <selection activeCell="D4" sqref="D4:D6"/>
    </sheetView>
  </sheetViews>
  <sheetFormatPr baseColWidth="10" defaultColWidth="8.83203125" defaultRowHeight="16" x14ac:dyDescent="0.2"/>
  <cols>
    <col min="1" max="1" width="8.83203125" style="1"/>
    <col min="2" max="2" width="13.6640625" style="1" bestFit="1" customWidth="1"/>
    <col min="3" max="3" width="19" style="1" bestFit="1" customWidth="1"/>
    <col min="4" max="4" width="15" style="1" bestFit="1" customWidth="1"/>
    <col min="5" max="7" width="8.83203125" style="1"/>
    <col min="8" max="8" width="12.5" style="1" bestFit="1" customWidth="1"/>
    <col min="9" max="16384" width="8.83203125" style="1"/>
  </cols>
  <sheetData>
    <row r="2" spans="1:14" x14ac:dyDescent="0.2">
      <c r="I2"/>
      <c r="J2"/>
      <c r="K2"/>
      <c r="L2"/>
      <c r="M2"/>
      <c r="N2"/>
    </row>
    <row r="3" spans="1:14" x14ac:dyDescent="0.2">
      <c r="B3" s="5" t="s">
        <v>15</v>
      </c>
      <c r="C3" s="5" t="s">
        <v>16</v>
      </c>
      <c r="D3" s="5" t="s">
        <v>17</v>
      </c>
    </row>
    <row r="4" spans="1:14" x14ac:dyDescent="0.2">
      <c r="A4" s="1" t="s">
        <v>138</v>
      </c>
      <c r="B4" s="6">
        <v>2000000</v>
      </c>
      <c r="C4" s="4">
        <v>1</v>
      </c>
      <c r="D4" s="7" t="s">
        <v>18</v>
      </c>
    </row>
    <row r="5" spans="1:14" x14ac:dyDescent="0.2">
      <c r="A5" s="1" t="s">
        <v>139</v>
      </c>
      <c r="B5" s="6">
        <v>-1500000</v>
      </c>
      <c r="C5" s="4">
        <v>3</v>
      </c>
      <c r="D5" s="15">
        <v>5</v>
      </c>
    </row>
    <row r="6" spans="1:14" x14ac:dyDescent="0.2">
      <c r="A6" s="1" t="s">
        <v>140</v>
      </c>
      <c r="B6" s="6">
        <v>4000000</v>
      </c>
      <c r="C6" s="4">
        <v>5</v>
      </c>
      <c r="D6" s="15">
        <v>2</v>
      </c>
    </row>
    <row r="7" spans="1:14" x14ac:dyDescent="0.2">
      <c r="B7" s="6"/>
      <c r="C7" s="4"/>
      <c r="D7" s="4"/>
    </row>
    <row r="9" spans="1:14" x14ac:dyDescent="0.2">
      <c r="B9" s="3" t="s">
        <v>19</v>
      </c>
    </row>
    <row r="10" spans="1:14" x14ac:dyDescent="0.2">
      <c r="B10" s="1" t="s">
        <v>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1097"/>
  <sheetViews>
    <sheetView topLeftCell="AD1" zoomScale="99" zoomScaleNormal="70" workbookViewId="0">
      <selection activeCell="D1084" sqref="D1084"/>
    </sheetView>
  </sheetViews>
  <sheetFormatPr baseColWidth="10" defaultColWidth="8.83203125" defaultRowHeight="16" x14ac:dyDescent="0.2"/>
  <cols>
    <col min="1" max="1" width="30.1640625" style="1" bestFit="1" customWidth="1"/>
    <col min="2" max="6" width="11" style="19" bestFit="1" customWidth="1"/>
    <col min="7" max="7" width="17.33203125" style="1" customWidth="1"/>
    <col min="8" max="8" width="19.83203125" style="1" customWidth="1"/>
    <col min="9" max="9" width="13.1640625" style="1" customWidth="1"/>
    <col min="10" max="10" width="18.6640625" style="1" customWidth="1"/>
    <col min="11" max="11" width="22" style="1" customWidth="1"/>
    <col min="12" max="12" width="15.1640625" style="1" customWidth="1"/>
    <col min="13" max="13" width="14.5" style="1" customWidth="1"/>
    <col min="14" max="14" width="12.5" style="1" customWidth="1"/>
    <col min="15" max="15" width="13.6640625" style="1" customWidth="1"/>
    <col min="16" max="16" width="11.5" style="1" customWidth="1"/>
    <col min="17" max="17" width="14.83203125" style="1" customWidth="1"/>
    <col min="18" max="18" width="19.33203125" style="1" customWidth="1"/>
    <col min="19" max="19" width="19.6640625" style="1" customWidth="1"/>
    <col min="20" max="20" width="17.83203125" style="1" customWidth="1"/>
    <col min="21" max="21" width="21" style="1" customWidth="1"/>
    <col min="22" max="22" width="19" style="1" customWidth="1"/>
    <col min="23" max="23" width="8.83203125" style="1"/>
    <col min="24" max="24" width="17.83203125" style="1" customWidth="1"/>
    <col min="25" max="25" width="16.6640625" style="1" customWidth="1"/>
    <col min="26" max="26" width="12.6640625" style="1" customWidth="1"/>
    <col min="27" max="27" width="18" style="1" customWidth="1"/>
    <col min="28" max="28" width="15.5" style="1" customWidth="1"/>
    <col min="29" max="29" width="13.6640625" style="1" customWidth="1"/>
    <col min="30" max="30" width="15.5" style="1" customWidth="1"/>
    <col min="31" max="32" width="17.33203125" style="1" customWidth="1"/>
    <col min="33" max="33" width="17.1640625" style="1" customWidth="1"/>
    <col min="34" max="34" width="20.5" style="1" customWidth="1"/>
    <col min="35" max="35" width="18.83203125" style="1" customWidth="1"/>
    <col min="36" max="36" width="16.5" style="1" customWidth="1"/>
    <col min="37" max="37" width="25.6640625" style="1" customWidth="1"/>
    <col min="38" max="38" width="11.5" style="1" customWidth="1"/>
    <col min="39" max="39" width="18.6640625" style="1" customWidth="1"/>
    <col min="40" max="16384" width="8.83203125" style="1"/>
  </cols>
  <sheetData>
    <row r="1" spans="1:39" x14ac:dyDescent="0.2">
      <c r="A1" s="2"/>
      <c r="B1" s="23" t="s">
        <v>21</v>
      </c>
      <c r="C1" s="23" t="s">
        <v>22</v>
      </c>
      <c r="D1" s="23" t="s">
        <v>23</v>
      </c>
      <c r="E1" s="23" t="s">
        <v>24</v>
      </c>
      <c r="F1" s="23" t="s">
        <v>25</v>
      </c>
      <c r="G1" s="2" t="s">
        <v>26</v>
      </c>
      <c r="H1" s="2" t="s">
        <v>27</v>
      </c>
      <c r="I1" s="2" t="s">
        <v>28</v>
      </c>
      <c r="J1" s="2" t="s">
        <v>39</v>
      </c>
      <c r="K1" s="32"/>
      <c r="L1" s="2" t="s">
        <v>43</v>
      </c>
      <c r="M1" s="2" t="s">
        <v>44</v>
      </c>
      <c r="N1" s="2" t="s">
        <v>45</v>
      </c>
      <c r="O1" s="2" t="s">
        <v>46</v>
      </c>
      <c r="P1" s="2" t="s">
        <v>47</v>
      </c>
      <c r="Q1" s="2" t="s">
        <v>111</v>
      </c>
      <c r="R1" s="2" t="s">
        <v>48</v>
      </c>
      <c r="S1" s="2" t="s">
        <v>49</v>
      </c>
      <c r="T1" s="2" t="s">
        <v>50</v>
      </c>
      <c r="U1" s="2" t="s">
        <v>51</v>
      </c>
      <c r="V1" s="2" t="s">
        <v>52</v>
      </c>
      <c r="W1" s="2"/>
      <c r="X1" s="2" t="s">
        <v>112</v>
      </c>
      <c r="Y1" s="2" t="s">
        <v>113</v>
      </c>
      <c r="Z1" s="2" t="s">
        <v>114</v>
      </c>
      <c r="AA1" s="2" t="s">
        <v>39</v>
      </c>
      <c r="AB1" s="2" t="s">
        <v>116</v>
      </c>
      <c r="AC1" s="2" t="s">
        <v>118</v>
      </c>
      <c r="AD1" s="2" t="s">
        <v>115</v>
      </c>
      <c r="AE1" s="2" t="s">
        <v>119</v>
      </c>
      <c r="AF1" s="2" t="s">
        <v>129</v>
      </c>
      <c r="AG1" s="2" t="s">
        <v>120</v>
      </c>
      <c r="AH1" s="73" t="s">
        <v>15</v>
      </c>
      <c r="AI1" s="73" t="s">
        <v>123</v>
      </c>
      <c r="AJ1" s="73" t="s">
        <v>124</v>
      </c>
      <c r="AK1" s="73" t="s">
        <v>125</v>
      </c>
      <c r="AL1" s="73" t="s">
        <v>127</v>
      </c>
      <c r="AM1" s="73" t="s">
        <v>128</v>
      </c>
    </row>
    <row r="2" spans="1:39" x14ac:dyDescent="0.2">
      <c r="A2" s="8">
        <v>44200</v>
      </c>
      <c r="B2" s="24">
        <v>0.1</v>
      </c>
      <c r="C2" s="24">
        <v>0.11</v>
      </c>
      <c r="D2" s="24">
        <v>0.16</v>
      </c>
      <c r="E2" s="24">
        <v>0.26005083579250782</v>
      </c>
      <c r="F2" s="24">
        <v>0.36</v>
      </c>
      <c r="G2" s="83">
        <f t="shared" ref="G2:G65" si="0">100/((1+B2/100)^1)</f>
        <v>99.900099900099917</v>
      </c>
      <c r="H2" s="84">
        <f>SUM(5/(1+B2/100)^1, 5/(1+C2/100)^2, 105/(1+D2/100)^3)</f>
        <v>114.48163162792039</v>
      </c>
      <c r="I2" s="84">
        <f t="shared" ref="I2:I65" si="1">SUM(2/(1+B2/100)^1, 2/(1+C2/100)^2, 2/(1+D2/100)^3, 2/(1+E2/100)^4, 102/(1+F2/100)^5)</f>
        <v>108.14703380099242</v>
      </c>
      <c r="J2" s="84">
        <f t="shared" ref="J2:J65" si="2">G2*2000000+H2*-1500000+I2*4000000</f>
        <v>460665887.56228888</v>
      </c>
      <c r="K2" s="81" t="s">
        <v>161</v>
      </c>
      <c r="L2" s="1" t="s">
        <v>157</v>
      </c>
      <c r="M2" s="1" t="s">
        <v>158</v>
      </c>
      <c r="N2" s="1" t="s">
        <v>158</v>
      </c>
      <c r="O2" s="1" t="s">
        <v>159</v>
      </c>
      <c r="P2" s="1" t="s">
        <v>160</v>
      </c>
      <c r="R2" s="46" t="s">
        <v>162</v>
      </c>
      <c r="AH2" s="6">
        <v>2000000</v>
      </c>
      <c r="AI2" s="72">
        <v>1</v>
      </c>
      <c r="AJ2" s="7" t="s">
        <v>18</v>
      </c>
      <c r="AK2" s="24">
        <v>3.95</v>
      </c>
      <c r="AL2" s="27">
        <f>G1080</f>
        <v>96.200096200096198</v>
      </c>
      <c r="AM2" s="84">
        <f>AH2*AL2</f>
        <v>192400192.40019241</v>
      </c>
    </row>
    <row r="3" spans="1:39" x14ac:dyDescent="0.2">
      <c r="A3" s="8">
        <v>44201</v>
      </c>
      <c r="B3" s="24">
        <v>0.1</v>
      </c>
      <c r="C3" s="24">
        <v>0.13</v>
      </c>
      <c r="D3" s="24">
        <v>0.17</v>
      </c>
      <c r="E3" s="24">
        <v>0.27536132750021997</v>
      </c>
      <c r="F3" s="24">
        <v>0.38</v>
      </c>
      <c r="G3" s="83">
        <f t="shared" si="0"/>
        <v>99.900099900099917</v>
      </c>
      <c r="H3" s="84">
        <f t="shared" ref="H3:H66" si="3">SUM(5/(1+B3/100)^1, 5/(1+C3/100)^2, 105/(1+D3/100)^3)</f>
        <v>114.4483458556096</v>
      </c>
      <c r="I3" s="84">
        <f t="shared" si="1"/>
        <v>108.04466739844219</v>
      </c>
      <c r="J3" s="84">
        <f t="shared" si="2"/>
        <v>460306350.61055416</v>
      </c>
      <c r="L3" s="19">
        <f>B3-B2</f>
        <v>0</v>
      </c>
      <c r="M3" s="19">
        <f>C3-C2</f>
        <v>2.0000000000000004E-2</v>
      </c>
      <c r="N3" s="19">
        <f t="shared" ref="N3:P18" si="4">D3-D2</f>
        <v>1.0000000000000009E-2</v>
      </c>
      <c r="O3" s="19">
        <f t="shared" si="4"/>
        <v>1.5310491707712148E-2</v>
      </c>
      <c r="P3" s="19">
        <f>F3-F2</f>
        <v>2.0000000000000018E-2</v>
      </c>
      <c r="Q3" s="46">
        <v>1</v>
      </c>
      <c r="R3" s="82">
        <f>TSIR!$B$1080/100+TSIR!L830/100</f>
        <v>3.9800000000000002E-2</v>
      </c>
      <c r="S3" s="82">
        <f>TSIR!$C$1080/100+TSIR!M830/100</f>
        <v>3.7699999999999997E-2</v>
      </c>
      <c r="T3" s="82">
        <f>TSIR!$D$1080/100+TSIR!N830/100</f>
        <v>3.78E-2</v>
      </c>
      <c r="U3" s="82">
        <f>TSIR!$E$1080/100+TSIR!O830/100</f>
        <v>3.7644000000000004E-2</v>
      </c>
      <c r="V3" s="82">
        <f>TSIR!$F$1080/100+TSIR!P830/100</f>
        <v>3.8899999999999997E-2</v>
      </c>
      <c r="X3" s="84">
        <f>100/((1+R3)^1)</f>
        <v>96.172340834775909</v>
      </c>
      <c r="Y3" s="84">
        <f>SUM(5/(1+R3)^1, 5/(1+S3)^2, 105/(1+T3)^3)</f>
        <v>103.39142510146843</v>
      </c>
      <c r="Z3" s="84">
        <f>SUM(2/(1+R3)^1, 2/(1+S3)^2, 2/(1+T3)^3, 2/(1+U3)^4, 102/(1+V3)^5)</f>
        <v>91.576619113374051</v>
      </c>
      <c r="AA3" s="84">
        <f>X3*2000000+Y3*-1500000+Z3*4000000</f>
        <v>403564020.4708454</v>
      </c>
      <c r="AB3" s="1">
        <f>(AA3-J$1080)/J$1080</f>
        <v>-3.343636129338705E-4</v>
      </c>
      <c r="AC3" s="1" cm="1">
        <f t="array" ref="AC3:AC251">_xlfn._xlws.SORT(AB3:AB251)</f>
        <v>-6.4427646983685541E-3</v>
      </c>
      <c r="AD3" s="1">
        <f>_xlfn.PERCENTILE.INC(_xlfn.ANCHORARRAY(AC3),0.01)</f>
        <v>-5.2332242055812654E-3</v>
      </c>
      <c r="AE3" s="87">
        <f>ABS(AD3*AM5)</f>
        <v>2112647.3928448483</v>
      </c>
      <c r="AF3" s="1">
        <f>AVERAGEIF(_xlfn.ANCHORARRAY(AC3),"&lt;"&amp;AD3)</f>
        <v>-6.1727595849569881E-3</v>
      </c>
      <c r="AG3" s="87">
        <f>ABS(AM5*AF3)</f>
        <v>2491936.8885264401</v>
      </c>
      <c r="AH3" s="6">
        <v>-1500000</v>
      </c>
      <c r="AI3" s="72">
        <v>3</v>
      </c>
      <c r="AJ3" s="15">
        <v>5</v>
      </c>
      <c r="AK3" s="24">
        <v>3.76</v>
      </c>
      <c r="AL3" s="27">
        <f>H1080</f>
        <v>103.44983049675432</v>
      </c>
      <c r="AM3" s="84">
        <f>AL3*AH3</f>
        <v>-155174745.74513146</v>
      </c>
    </row>
    <row r="4" spans="1:39" x14ac:dyDescent="0.2">
      <c r="A4" s="8">
        <v>44202</v>
      </c>
      <c r="B4" s="24">
        <v>0.11</v>
      </c>
      <c r="C4" s="24">
        <v>0.14000000000000001</v>
      </c>
      <c r="D4" s="24">
        <v>0.2</v>
      </c>
      <c r="E4" s="24">
        <v>0.31523797062719949</v>
      </c>
      <c r="F4" s="24">
        <v>0.43</v>
      </c>
      <c r="G4" s="83">
        <f t="shared" si="0"/>
        <v>99.890120867046235</v>
      </c>
      <c r="H4" s="84">
        <f t="shared" si="3"/>
        <v>114.35304701369782</v>
      </c>
      <c r="I4" s="84">
        <f t="shared" si="1"/>
        <v>107.7902487442943</v>
      </c>
      <c r="J4" s="84">
        <f t="shared" si="2"/>
        <v>459411666.19072294</v>
      </c>
      <c r="L4" s="19">
        <f>B4-B3</f>
        <v>9.999999999999995E-3</v>
      </c>
      <c r="M4" s="19">
        <f>C4-C3</f>
        <v>1.0000000000000009E-2</v>
      </c>
      <c r="N4" s="19">
        <f t="shared" si="4"/>
        <v>0.03</v>
      </c>
      <c r="O4" s="19">
        <f t="shared" si="4"/>
        <v>3.9876643126979527E-2</v>
      </c>
      <c r="P4" s="19">
        <f t="shared" si="4"/>
        <v>4.9999999999999989E-2</v>
      </c>
      <c r="Q4" s="1">
        <v>2</v>
      </c>
      <c r="R4" s="82">
        <f>TSIR!$B$1080/100+TSIR!L831/100</f>
        <v>3.9899999999999998E-2</v>
      </c>
      <c r="S4" s="82">
        <f>TSIR!$C$1080/100+TSIR!M831/100</f>
        <v>3.8100000000000009E-2</v>
      </c>
      <c r="T4" s="82">
        <f>TSIR!$D$1080/100+TSIR!N831/100</f>
        <v>3.8299999999999987E-2</v>
      </c>
      <c r="U4" s="82">
        <f>TSIR!$E$1080/100+TSIR!O831/100</f>
        <v>3.8397000000000001E-2</v>
      </c>
      <c r="V4" s="82">
        <f>TSIR!$F$1080/100+TSIR!P831/100</f>
        <v>3.9400000000000004E-2</v>
      </c>
      <c r="X4" s="84">
        <f t="shared" ref="X4:X67" si="5">100/((1+R4)^1)</f>
        <v>96.163092605058168</v>
      </c>
      <c r="Y4" s="84">
        <f t="shared" ref="Y4:Y67" si="6">SUM(5/(1+R4)^1, 5/(1+S4)^2, 105/(1+T4)^3)</f>
        <v>103.25173890121445</v>
      </c>
      <c r="Z4" s="84">
        <f t="shared" ref="Z4:Z67" si="7">SUM(2/(1+R4)^1, 2/(1+S4)^2, 2/(1+T4)^3, 2/(1+U4)^4, 102/(1+V4)^5)</f>
        <v>91.364899291062343</v>
      </c>
      <c r="AA4" s="84">
        <f t="shared" ref="AA4:AA67" si="8">X4*2000000+Y4*-1500000+Z4*4000000</f>
        <v>402908174.02254403</v>
      </c>
      <c r="AB4" s="1">
        <f t="shared" ref="AB4:AB67" si="9">(AA4-J$1080)/J$1080</f>
        <v>-1.9589563017183144E-3</v>
      </c>
      <c r="AC4" s="1">
        <v>-6.3084013495275813E-3</v>
      </c>
      <c r="AE4" s="1" t="s">
        <v>162</v>
      </c>
      <c r="AG4" s="1" t="s">
        <v>162</v>
      </c>
      <c r="AH4" s="6">
        <v>4000000</v>
      </c>
      <c r="AI4" s="72">
        <v>5</v>
      </c>
      <c r="AJ4" s="15">
        <v>2</v>
      </c>
      <c r="AK4" s="24">
        <v>3.88</v>
      </c>
      <c r="AL4" s="27">
        <f>I1080</f>
        <v>91.618389018218593</v>
      </c>
      <c r="AM4" s="84">
        <f>AL4*AH4</f>
        <v>366473556.07287437</v>
      </c>
    </row>
    <row r="5" spans="1:39" x14ac:dyDescent="0.2">
      <c r="A5" s="8">
        <v>44203</v>
      </c>
      <c r="B5" s="24">
        <v>0.11</v>
      </c>
      <c r="C5" s="24">
        <v>0.14000000000000001</v>
      </c>
      <c r="D5" s="24">
        <v>0.22</v>
      </c>
      <c r="E5" s="24">
        <v>0.34002364394133383</v>
      </c>
      <c r="F5" s="24">
        <v>0.46</v>
      </c>
      <c r="G5" s="83">
        <f t="shared" si="0"/>
        <v>99.890120867046235</v>
      </c>
      <c r="H5" s="84">
        <f t="shared" si="3"/>
        <v>114.29057344495021</v>
      </c>
      <c r="I5" s="84">
        <f t="shared" si="1"/>
        <v>107.63813028174249</v>
      </c>
      <c r="J5" s="84">
        <f t="shared" si="2"/>
        <v>458896902.69363713</v>
      </c>
      <c r="L5" s="19">
        <f>B5-B4</f>
        <v>0</v>
      </c>
      <c r="M5" s="19">
        <f t="shared" ref="M5:P68" si="10">C5-C4</f>
        <v>0</v>
      </c>
      <c r="N5" s="19">
        <f t="shared" si="4"/>
        <v>1.999999999999999E-2</v>
      </c>
      <c r="O5" s="19">
        <f t="shared" si="4"/>
        <v>2.4785673314134338E-2</v>
      </c>
      <c r="P5" s="19">
        <f t="shared" si="4"/>
        <v>3.0000000000000027E-2</v>
      </c>
      <c r="Q5" s="1">
        <v>3</v>
      </c>
      <c r="R5" s="82">
        <f>TSIR!$B$1080/100+TSIR!L832/100</f>
        <v>3.95E-2</v>
      </c>
      <c r="S5" s="82">
        <f>TSIR!$C$1080/100+TSIR!M832/100</f>
        <v>3.7400000000000003E-2</v>
      </c>
      <c r="T5" s="82">
        <f>TSIR!$D$1080/100+TSIR!N832/100</f>
        <v>3.7499999999999999E-2</v>
      </c>
      <c r="U5" s="82">
        <f>TSIR!$E$1080/100+TSIR!O832/100</f>
        <v>3.7833000000000006E-2</v>
      </c>
      <c r="V5" s="82">
        <f>TSIR!$F$1080/100+TSIR!P832/100</f>
        <v>3.8599999999999995E-2</v>
      </c>
      <c r="X5" s="84">
        <f t="shared" si="5"/>
        <v>96.200096200096198</v>
      </c>
      <c r="Y5" s="84">
        <f t="shared" si="6"/>
        <v>103.4770120592665</v>
      </c>
      <c r="Z5" s="84">
        <f t="shared" si="7"/>
        <v>91.700338696562014</v>
      </c>
      <c r="AA5" s="84">
        <f t="shared" si="8"/>
        <v>403986029.09754068</v>
      </c>
      <c r="AB5" s="1">
        <f t="shared" si="9"/>
        <v>7.1099102961816817E-4</v>
      </c>
      <c r="AC5" s="1">
        <v>-5.7671127069748255E-3</v>
      </c>
      <c r="AH5" s="74" t="s">
        <v>126</v>
      </c>
      <c r="AI5"/>
      <c r="AJ5"/>
      <c r="AK5"/>
      <c r="AM5" s="84">
        <f>SUM(AM2:AM4)</f>
        <v>403699002.72793531</v>
      </c>
    </row>
    <row r="6" spans="1:39" x14ac:dyDescent="0.2">
      <c r="A6" s="8">
        <v>44204</v>
      </c>
      <c r="B6" s="24">
        <v>0.1</v>
      </c>
      <c r="C6" s="24">
        <v>0.14000000000000001</v>
      </c>
      <c r="D6" s="24">
        <v>0.24</v>
      </c>
      <c r="E6" s="24">
        <v>0.36533805332904562</v>
      </c>
      <c r="F6" s="24">
        <v>0.49</v>
      </c>
      <c r="G6" s="83">
        <f t="shared" si="0"/>
        <v>99.900099900099917</v>
      </c>
      <c r="H6" s="84">
        <f t="shared" si="3"/>
        <v>114.22864867710057</v>
      </c>
      <c r="I6" s="84">
        <f t="shared" si="1"/>
        <v>107.48643991515226</v>
      </c>
      <c r="J6" s="84">
        <f t="shared" si="2"/>
        <v>458402986.44515806</v>
      </c>
      <c r="L6" s="19">
        <f>B6-B5</f>
        <v>-9.999999999999995E-3</v>
      </c>
      <c r="M6" s="19">
        <f t="shared" si="10"/>
        <v>0</v>
      </c>
      <c r="N6" s="19">
        <f t="shared" si="4"/>
        <v>1.999999999999999E-2</v>
      </c>
      <c r="O6" s="19">
        <f t="shared" si="4"/>
        <v>2.5314409387711789E-2</v>
      </c>
      <c r="P6" s="19">
        <f t="shared" si="4"/>
        <v>2.9999999999999971E-2</v>
      </c>
      <c r="Q6" s="1">
        <v>4</v>
      </c>
      <c r="R6" s="82">
        <f>TSIR!$B$1080/100+TSIR!L833/100</f>
        <v>3.9400000000000004E-2</v>
      </c>
      <c r="S6" s="82">
        <f>TSIR!$C$1080/100+TSIR!M833/100</f>
        <v>3.7499999999999999E-2</v>
      </c>
      <c r="T6" s="82">
        <f>TSIR!$D$1080/100+TSIR!N833/100</f>
        <v>3.7199999999999997E-2</v>
      </c>
      <c r="U6" s="82">
        <f>TSIR!$E$1080/100+TSIR!O833/100</f>
        <v>3.7573000000000002E-2</v>
      </c>
      <c r="V6" s="82">
        <f>TSIR!$F$1080/100+TSIR!P833/100</f>
        <v>3.8500000000000006E-2</v>
      </c>
      <c r="X6" s="84">
        <f t="shared" si="5"/>
        <v>96.209351548970545</v>
      </c>
      <c r="Y6" s="84">
        <f t="shared" si="6"/>
        <v>103.55818685660157</v>
      </c>
      <c r="Z6" s="84">
        <f t="shared" si="7"/>
        <v>91.744093489267016</v>
      </c>
      <c r="AA6" s="84">
        <f t="shared" si="8"/>
        <v>404057796.77010685</v>
      </c>
      <c r="AB6" s="1">
        <f t="shared" si="9"/>
        <v>8.8876623362218153E-4</v>
      </c>
      <c r="AC6" s="1">
        <v>-4.6548449957382427E-3</v>
      </c>
    </row>
    <row r="7" spans="1:39" x14ac:dyDescent="0.2">
      <c r="A7" s="8">
        <v>44207</v>
      </c>
      <c r="B7" s="24">
        <v>0.1</v>
      </c>
      <c r="C7" s="24">
        <v>0.14000000000000001</v>
      </c>
      <c r="D7" s="24">
        <v>0.22</v>
      </c>
      <c r="E7" s="24">
        <v>0.36043964288626917</v>
      </c>
      <c r="F7" s="24">
        <v>0.5</v>
      </c>
      <c r="G7" s="83">
        <f t="shared" si="0"/>
        <v>99.900099900099917</v>
      </c>
      <c r="H7" s="84">
        <f t="shared" si="3"/>
        <v>114.2910723966029</v>
      </c>
      <c r="I7" s="84">
        <f t="shared" si="1"/>
        <v>107.43850257720145</v>
      </c>
      <c r="J7" s="84">
        <f t="shared" si="2"/>
        <v>458117601.51410127</v>
      </c>
      <c r="L7" s="19">
        <f t="shared" ref="L7:L68" si="11">B7-B6</f>
        <v>0</v>
      </c>
      <c r="M7" s="19">
        <f t="shared" si="10"/>
        <v>0</v>
      </c>
      <c r="N7" s="19">
        <f t="shared" si="4"/>
        <v>-1.999999999999999E-2</v>
      </c>
      <c r="O7" s="19">
        <f t="shared" si="4"/>
        <v>-4.8984104427764463E-3</v>
      </c>
      <c r="P7" s="19">
        <f t="shared" si="4"/>
        <v>1.0000000000000009E-2</v>
      </c>
      <c r="Q7" s="1">
        <v>5</v>
      </c>
      <c r="R7" s="82">
        <f>TSIR!$B$1080/100+TSIR!L834/100</f>
        <v>0.04</v>
      </c>
      <c r="S7" s="82">
        <f>TSIR!$C$1080/100+TSIR!M834/100</f>
        <v>3.8100000000000009E-2</v>
      </c>
      <c r="T7" s="82">
        <f>TSIR!$D$1080/100+TSIR!N834/100</f>
        <v>3.8300000000000001E-2</v>
      </c>
      <c r="U7" s="82">
        <f>TSIR!$E$1080/100+TSIR!O834/100</f>
        <v>3.8329000000000002E-2</v>
      </c>
      <c r="V7" s="82">
        <f>TSIR!$F$1080/100+TSIR!P834/100</f>
        <v>3.9499999999999993E-2</v>
      </c>
      <c r="X7" s="84">
        <f t="shared" si="5"/>
        <v>96.153846153846146</v>
      </c>
      <c r="Y7" s="84">
        <f t="shared" si="6"/>
        <v>103.25127657865386</v>
      </c>
      <c r="Z7" s="84">
        <f t="shared" si="7"/>
        <v>91.324730853354424</v>
      </c>
      <c r="AA7" s="84">
        <f t="shared" si="8"/>
        <v>402729700.85312921</v>
      </c>
      <c r="AB7" s="1">
        <f t="shared" si="9"/>
        <v>-2.4010509519622153E-3</v>
      </c>
      <c r="AC7" s="1">
        <v>-4.5379790088689569E-3</v>
      </c>
    </row>
    <row r="8" spans="1:39" x14ac:dyDescent="0.2">
      <c r="A8" s="8">
        <v>44208</v>
      </c>
      <c r="B8" s="24">
        <v>0.11</v>
      </c>
      <c r="C8" s="24">
        <v>0.14000000000000001</v>
      </c>
      <c r="D8" s="24">
        <v>0.23</v>
      </c>
      <c r="E8" s="24">
        <v>0.36541896512912647</v>
      </c>
      <c r="F8" s="24">
        <v>0.5</v>
      </c>
      <c r="G8" s="83">
        <f t="shared" si="0"/>
        <v>99.890120867046235</v>
      </c>
      <c r="H8" s="84">
        <f t="shared" si="3"/>
        <v>114.25935535715166</v>
      </c>
      <c r="I8" s="84">
        <f t="shared" si="1"/>
        <v>107.4373171710417</v>
      </c>
      <c r="J8" s="84">
        <f t="shared" si="2"/>
        <v>458140477.38253176</v>
      </c>
      <c r="L8" s="19">
        <f t="shared" si="11"/>
        <v>9.999999999999995E-3</v>
      </c>
      <c r="M8" s="19">
        <f t="shared" si="10"/>
        <v>0</v>
      </c>
      <c r="N8" s="19">
        <f t="shared" si="4"/>
        <v>1.0000000000000009E-2</v>
      </c>
      <c r="O8" s="19">
        <f t="shared" si="4"/>
        <v>4.9793222428572981E-3</v>
      </c>
      <c r="P8" s="19">
        <f t="shared" si="4"/>
        <v>0</v>
      </c>
      <c r="Q8" s="1">
        <v>6</v>
      </c>
      <c r="R8" s="82">
        <f>TSIR!$B$1080/100+TSIR!L835/100</f>
        <v>3.9100000000000003E-2</v>
      </c>
      <c r="S8" s="82">
        <f>TSIR!$C$1080/100+TSIR!M835/100</f>
        <v>3.6600000000000001E-2</v>
      </c>
      <c r="T8" s="82">
        <f>TSIR!$D$1080/100+TSIR!N835/100</f>
        <v>3.6799999999999992E-2</v>
      </c>
      <c r="U8" s="82">
        <f>TSIR!$E$1080/100+TSIR!O835/100</f>
        <v>3.7383E-2</v>
      </c>
      <c r="V8" s="82">
        <f>TSIR!$F$1080/100+TSIR!P835/100</f>
        <v>3.7999999999999999E-2</v>
      </c>
      <c r="X8" s="84">
        <f t="shared" si="5"/>
        <v>96.237128284092009</v>
      </c>
      <c r="Y8" s="84">
        <f t="shared" si="6"/>
        <v>103.67660224636276</v>
      </c>
      <c r="Z8" s="84">
        <f t="shared" si="7"/>
        <v>91.954793766782359</v>
      </c>
      <c r="AA8" s="84">
        <f t="shared" si="8"/>
        <v>404778528.2657693</v>
      </c>
      <c r="AB8" s="1">
        <f t="shared" si="9"/>
        <v>2.6740852232461738E-3</v>
      </c>
      <c r="AC8" s="1">
        <v>-4.2542090131214268E-3</v>
      </c>
      <c r="AI8" s="24"/>
      <c r="AK8" s="24"/>
    </row>
    <row r="9" spans="1:39" x14ac:dyDescent="0.2">
      <c r="A9" s="8">
        <v>44209</v>
      </c>
      <c r="B9" s="24">
        <v>0.12</v>
      </c>
      <c r="C9" s="24">
        <v>0.14000000000000001</v>
      </c>
      <c r="D9" s="24">
        <v>0.22</v>
      </c>
      <c r="E9" s="24">
        <v>0.35011297561366633</v>
      </c>
      <c r="F9" s="24">
        <v>0.48</v>
      </c>
      <c r="G9" s="83">
        <f t="shared" si="0"/>
        <v>99.880143827407096</v>
      </c>
      <c r="H9" s="84">
        <f t="shared" si="3"/>
        <v>114.29007459296827</v>
      </c>
      <c r="I9" s="84">
        <f t="shared" si="1"/>
        <v>107.53796704059712</v>
      </c>
      <c r="J9" s="84">
        <f t="shared" si="2"/>
        <v>458477043.92775029</v>
      </c>
      <c r="L9" s="19">
        <f t="shared" si="11"/>
        <v>9.999999999999995E-3</v>
      </c>
      <c r="M9" s="19">
        <f t="shared" si="10"/>
        <v>0</v>
      </c>
      <c r="N9" s="19">
        <f t="shared" si="4"/>
        <v>-1.0000000000000009E-2</v>
      </c>
      <c r="O9" s="19">
        <f t="shared" si="4"/>
        <v>-1.5305989515460139E-2</v>
      </c>
      <c r="P9" s="19">
        <f t="shared" si="4"/>
        <v>-2.0000000000000018E-2</v>
      </c>
      <c r="Q9" s="1">
        <v>7</v>
      </c>
      <c r="R9" s="82">
        <f>TSIR!$B$1080/100+TSIR!L836/100</f>
        <v>3.9E-2</v>
      </c>
      <c r="S9" s="82">
        <f>TSIR!$C$1080/100+TSIR!M836/100</f>
        <v>3.6500000000000005E-2</v>
      </c>
      <c r="T9" s="82">
        <f>TSIR!$D$1080/100+TSIR!N836/100</f>
        <v>3.6799999999999992E-2</v>
      </c>
      <c r="U9" s="82">
        <f>TSIR!$E$1080/100+TSIR!O836/100</f>
        <v>3.7272000000000007E-2</v>
      </c>
      <c r="V9" s="82">
        <f>TSIR!$F$1080/100+TSIR!P836/100</f>
        <v>3.8100000000000009E-2</v>
      </c>
      <c r="X9" s="84">
        <f t="shared" si="5"/>
        <v>96.2463907603465</v>
      </c>
      <c r="Y9" s="84">
        <f t="shared" si="6"/>
        <v>103.67796327278579</v>
      </c>
      <c r="Z9" s="84">
        <f t="shared" si="7"/>
        <v>91.915315024062096</v>
      </c>
      <c r="AA9" s="84">
        <f t="shared" si="8"/>
        <v>404637096.70776272</v>
      </c>
      <c r="AB9" s="1">
        <f t="shared" si="9"/>
        <v>2.3237460917375939E-3</v>
      </c>
      <c r="AC9" s="1">
        <v>-4.0958045124425404E-3</v>
      </c>
    </row>
    <row r="10" spans="1:39" x14ac:dyDescent="0.2">
      <c r="A10" s="8">
        <v>44210</v>
      </c>
      <c r="B10" s="24">
        <v>0.1</v>
      </c>
      <c r="C10" s="24">
        <v>0.16</v>
      </c>
      <c r="D10" s="24">
        <v>0.23</v>
      </c>
      <c r="E10" s="24">
        <v>0.36044743045889183</v>
      </c>
      <c r="F10" s="24">
        <v>0.49</v>
      </c>
      <c r="G10" s="83">
        <f t="shared" si="0"/>
        <v>99.900099900099917</v>
      </c>
      <c r="H10" s="84">
        <f t="shared" si="3"/>
        <v>114.257863281832</v>
      </c>
      <c r="I10" s="84">
        <f t="shared" si="1"/>
        <v>107.48662212472925</v>
      </c>
      <c r="J10" s="84">
        <f t="shared" si="2"/>
        <v>458359893.37636882</v>
      </c>
      <c r="L10" s="19">
        <f t="shared" si="11"/>
        <v>-1.999999999999999E-2</v>
      </c>
      <c r="M10" s="19">
        <f t="shared" si="10"/>
        <v>1.999999999999999E-2</v>
      </c>
      <c r="N10" s="19">
        <f t="shared" si="4"/>
        <v>1.0000000000000009E-2</v>
      </c>
      <c r="O10" s="19">
        <f t="shared" si="4"/>
        <v>1.0334454845225494E-2</v>
      </c>
      <c r="P10" s="19">
        <f t="shared" si="4"/>
        <v>1.0000000000000009E-2</v>
      </c>
      <c r="Q10" s="1">
        <v>8</v>
      </c>
      <c r="R10" s="82">
        <f>TSIR!$B$1080/100+TSIR!L837/100</f>
        <v>3.9100000000000003E-2</v>
      </c>
      <c r="S10" s="82">
        <f>TSIR!$C$1080/100+TSIR!M837/100</f>
        <v>3.6799999999999999E-2</v>
      </c>
      <c r="T10" s="82">
        <f>TSIR!$D$1080/100+TSIR!N837/100</f>
        <v>3.6799999999999992E-2</v>
      </c>
      <c r="U10" s="82">
        <f>TSIR!$E$1080/100+TSIR!O837/100</f>
        <v>3.7062999999999999E-2</v>
      </c>
      <c r="V10" s="82">
        <f>TSIR!$F$1080/100+TSIR!P837/100</f>
        <v>3.7900000000000003E-2</v>
      </c>
      <c r="X10" s="84">
        <f t="shared" si="5"/>
        <v>96.237128284092009</v>
      </c>
      <c r="Y10" s="84">
        <f t="shared" si="6"/>
        <v>103.67480722050885</v>
      </c>
      <c r="Z10" s="84">
        <f t="shared" si="7"/>
        <v>91.996994252766228</v>
      </c>
      <c r="AA10" s="84">
        <f t="shared" si="8"/>
        <v>404950022.74848562</v>
      </c>
      <c r="AB10" s="1">
        <f t="shared" si="9"/>
        <v>3.0988930170665046E-3</v>
      </c>
      <c r="AC10" s="1">
        <v>-3.9976162966101113E-3</v>
      </c>
    </row>
    <row r="11" spans="1:39" x14ac:dyDescent="0.2">
      <c r="A11" s="8">
        <v>44211</v>
      </c>
      <c r="B11" s="24">
        <v>0.1</v>
      </c>
      <c r="C11" s="24">
        <v>0.13</v>
      </c>
      <c r="D11" s="24">
        <v>0.2</v>
      </c>
      <c r="E11" s="24">
        <v>0.33023905314104968</v>
      </c>
      <c r="F11" s="24">
        <v>0.46</v>
      </c>
      <c r="G11" s="83">
        <f t="shared" si="0"/>
        <v>99.900099900099917</v>
      </c>
      <c r="H11" s="84">
        <f t="shared" si="3"/>
        <v>114.35454192626592</v>
      </c>
      <c r="I11" s="84">
        <f t="shared" si="1"/>
        <v>107.64068800113661</v>
      </c>
      <c r="J11" s="84">
        <f t="shared" si="2"/>
        <v>458831138.91534746</v>
      </c>
      <c r="L11" s="19">
        <f t="shared" si="11"/>
        <v>0</v>
      </c>
      <c r="M11" s="19">
        <f t="shared" si="10"/>
        <v>-0.03</v>
      </c>
      <c r="N11" s="19">
        <f t="shared" si="4"/>
        <v>-0.03</v>
      </c>
      <c r="O11" s="19">
        <f>E11-E10</f>
        <v>-3.020837731784215E-2</v>
      </c>
      <c r="P11" s="19">
        <f t="shared" si="4"/>
        <v>-2.9999999999999971E-2</v>
      </c>
      <c r="Q11" s="1">
        <v>9</v>
      </c>
      <c r="R11" s="82">
        <f>TSIR!$B$1080/100+TSIR!L838/100</f>
        <v>3.95E-2</v>
      </c>
      <c r="S11" s="82">
        <f>TSIR!$C$1080/100+TSIR!M838/100</f>
        <v>3.7500000000000012E-2</v>
      </c>
      <c r="T11" s="82">
        <f>TSIR!$D$1080/100+TSIR!N838/100</f>
        <v>3.769999999999999E-2</v>
      </c>
      <c r="U11" s="82">
        <f>TSIR!$E$1080/100+TSIR!O838/100</f>
        <v>3.7679000000000011E-2</v>
      </c>
      <c r="V11" s="82">
        <f>TSIR!$F$1080/100+TSIR!P838/100</f>
        <v>3.8800000000000001E-2</v>
      </c>
      <c r="X11" s="84">
        <f t="shared" si="5"/>
        <v>96.200096200096198</v>
      </c>
      <c r="Y11" s="84">
        <f t="shared" si="6"/>
        <v>103.42176384303731</v>
      </c>
      <c r="Z11" s="84">
        <f t="shared" si="7"/>
        <v>91.618749459309257</v>
      </c>
      <c r="AA11" s="84">
        <f t="shared" si="8"/>
        <v>403742544.47287345</v>
      </c>
      <c r="AB11" s="1">
        <f t="shared" si="9"/>
        <v>1.0785695442373737E-4</v>
      </c>
      <c r="AC11" s="1">
        <v>-3.9343892191646031E-3</v>
      </c>
    </row>
    <row r="12" spans="1:39" x14ac:dyDescent="0.2">
      <c r="A12" s="8">
        <v>44215</v>
      </c>
      <c r="B12" s="24">
        <v>0.1</v>
      </c>
      <c r="C12" s="24">
        <v>0.14000000000000001</v>
      </c>
      <c r="D12" s="24">
        <v>0.21</v>
      </c>
      <c r="E12" s="24">
        <v>0.33025797945418078</v>
      </c>
      <c r="F12" s="24">
        <v>0.45</v>
      </c>
      <c r="G12" s="83">
        <f t="shared" si="0"/>
        <v>99.900099900099917</v>
      </c>
      <c r="H12" s="84">
        <f t="shared" si="3"/>
        <v>114.32230294671182</v>
      </c>
      <c r="I12" s="84">
        <f t="shared" si="1"/>
        <v>107.68932262924683</v>
      </c>
      <c r="J12" s="84">
        <f t="shared" si="2"/>
        <v>459074035.8971194</v>
      </c>
      <c r="L12" s="19">
        <f t="shared" si="11"/>
        <v>0</v>
      </c>
      <c r="M12" s="19">
        <f t="shared" si="10"/>
        <v>1.0000000000000009E-2</v>
      </c>
      <c r="N12" s="19">
        <f t="shared" si="4"/>
        <v>9.9999999999999811E-3</v>
      </c>
      <c r="O12" s="19">
        <f t="shared" si="4"/>
        <v>1.892631313110682E-5</v>
      </c>
      <c r="P12" s="19">
        <f t="shared" si="4"/>
        <v>-1.0000000000000009E-2</v>
      </c>
      <c r="Q12" s="1">
        <v>10</v>
      </c>
      <c r="R12" s="82">
        <f>TSIR!$B$1080/100+TSIR!L839/100</f>
        <v>3.9599999999999996E-2</v>
      </c>
      <c r="S12" s="82">
        <f>TSIR!$C$1080/100+TSIR!M839/100</f>
        <v>3.7400000000000003E-2</v>
      </c>
      <c r="T12" s="82">
        <f>TSIR!$D$1080/100+TSIR!N839/100</f>
        <v>3.7199999999999997E-2</v>
      </c>
      <c r="U12" s="82">
        <f>TSIR!$E$1080/100+TSIR!O839/100</f>
        <v>3.7718000000000002E-2</v>
      </c>
      <c r="V12" s="82">
        <f>TSIR!$F$1080/100+TSIR!P839/100</f>
        <v>3.8800000000000001E-2</v>
      </c>
      <c r="X12" s="84">
        <f t="shared" si="5"/>
        <v>96.19084263178145</v>
      </c>
      <c r="Y12" s="84">
        <f t="shared" si="6"/>
        <v>103.55815697855603</v>
      </c>
      <c r="Z12" s="84">
        <f t="shared" si="7"/>
        <v>91.621253036350936</v>
      </c>
      <c r="AA12" s="84">
        <f t="shared" si="8"/>
        <v>403529461.94113255</v>
      </c>
      <c r="AB12" s="1">
        <f t="shared" si="9"/>
        <v>-4.1996830722177249E-4</v>
      </c>
      <c r="AC12" s="1">
        <v>-3.8349848323191581E-3</v>
      </c>
    </row>
    <row r="13" spans="1:39" x14ac:dyDescent="0.2">
      <c r="A13" s="8">
        <v>44216</v>
      </c>
      <c r="B13" s="24">
        <v>0.1</v>
      </c>
      <c r="C13" s="24">
        <v>0.13</v>
      </c>
      <c r="D13" s="24">
        <v>0.19</v>
      </c>
      <c r="E13" s="24">
        <v>0.32026831093250807</v>
      </c>
      <c r="F13" s="24">
        <v>0.45</v>
      </c>
      <c r="G13" s="83">
        <f t="shared" si="0"/>
        <v>99.900099900099917</v>
      </c>
      <c r="H13" s="84">
        <f t="shared" si="3"/>
        <v>114.38579741965739</v>
      </c>
      <c r="I13" s="84">
        <f t="shared" si="1"/>
        <v>107.69169776373653</v>
      </c>
      <c r="J13" s="84">
        <f t="shared" si="2"/>
        <v>458988294.72565985</v>
      </c>
      <c r="L13" s="19">
        <f t="shared" si="11"/>
        <v>0</v>
      </c>
      <c r="M13" s="19">
        <f t="shared" si="10"/>
        <v>-1.0000000000000009E-2</v>
      </c>
      <c r="N13" s="19">
        <f t="shared" si="4"/>
        <v>-1.999999999999999E-2</v>
      </c>
      <c r="O13" s="19">
        <f t="shared" si="4"/>
        <v>-9.9896685216727121E-3</v>
      </c>
      <c r="P13" s="19">
        <f t="shared" si="4"/>
        <v>0</v>
      </c>
      <c r="Q13" s="1">
        <v>11</v>
      </c>
      <c r="R13" s="82">
        <f>TSIR!$B$1080/100+TSIR!L840/100</f>
        <v>3.95E-2</v>
      </c>
      <c r="S13" s="82">
        <f>TSIR!$C$1080/100+TSIR!M840/100</f>
        <v>3.7600000000000001E-2</v>
      </c>
      <c r="T13" s="82">
        <f>TSIR!$D$1080/100+TSIR!N840/100</f>
        <v>3.7899999999999996E-2</v>
      </c>
      <c r="U13" s="82">
        <f>TSIR!$E$1080/100+TSIR!O840/100</f>
        <v>3.8011000000000003E-2</v>
      </c>
      <c r="V13" s="82">
        <f>TSIR!$F$1080/100+TSIR!P840/100</f>
        <v>3.9E-2</v>
      </c>
      <c r="X13" s="84">
        <f t="shared" si="5"/>
        <v>96.200096200096198</v>
      </c>
      <c r="Y13" s="84">
        <f t="shared" si="6"/>
        <v>103.36655777198125</v>
      </c>
      <c r="Z13" s="84">
        <f t="shared" si="7"/>
        <v>91.534025484819068</v>
      </c>
      <c r="AA13" s="84">
        <f t="shared" si="8"/>
        <v>403486457.68149686</v>
      </c>
      <c r="AB13" s="1">
        <f t="shared" si="9"/>
        <v>-5.2649386053028218E-4</v>
      </c>
      <c r="AC13" s="1">
        <v>-3.7940024348311115E-3</v>
      </c>
    </row>
    <row r="14" spans="1:39" x14ac:dyDescent="0.2">
      <c r="A14" s="8">
        <v>44217</v>
      </c>
      <c r="B14" s="24">
        <v>0.1</v>
      </c>
      <c r="C14" s="24">
        <v>0.13</v>
      </c>
      <c r="D14" s="24">
        <v>0.19</v>
      </c>
      <c r="E14" s="24">
        <v>0.32042424870175107</v>
      </c>
      <c r="F14" s="24">
        <v>0.45</v>
      </c>
      <c r="G14" s="83">
        <f t="shared" si="0"/>
        <v>99.900099900099917</v>
      </c>
      <c r="H14" s="84">
        <f t="shared" si="3"/>
        <v>114.38579741965739</v>
      </c>
      <c r="I14" s="84">
        <f t="shared" si="1"/>
        <v>107.69168548662527</v>
      </c>
      <c r="J14" s="84">
        <f t="shared" si="2"/>
        <v>458988245.6172148</v>
      </c>
      <c r="L14" s="19">
        <f t="shared" si="11"/>
        <v>0</v>
      </c>
      <c r="M14" s="19">
        <f t="shared" si="10"/>
        <v>0</v>
      </c>
      <c r="N14" s="19">
        <f t="shared" si="4"/>
        <v>0</v>
      </c>
      <c r="O14" s="19">
        <f t="shared" si="4"/>
        <v>1.5593776924299751E-4</v>
      </c>
      <c r="P14" s="19">
        <f t="shared" si="4"/>
        <v>0</v>
      </c>
      <c r="Q14" s="1">
        <v>12</v>
      </c>
      <c r="R14" s="82">
        <f>TSIR!$B$1080/100+TSIR!L841/100</f>
        <v>3.9400000000000004E-2</v>
      </c>
      <c r="S14" s="82">
        <f>TSIR!$C$1080/100+TSIR!M841/100</f>
        <v>3.7000000000000005E-2</v>
      </c>
      <c r="T14" s="82">
        <f>TSIR!$D$1080/100+TSIR!N841/100</f>
        <v>3.7299999999999993E-2</v>
      </c>
      <c r="U14" s="82">
        <f>TSIR!$E$1080/100+TSIR!O841/100</f>
        <v>3.7642000000000009E-2</v>
      </c>
      <c r="V14" s="82">
        <f>TSIR!$F$1080/100+TSIR!P841/100</f>
        <v>3.85E-2</v>
      </c>
      <c r="X14" s="84">
        <f t="shared" si="5"/>
        <v>96.209351548970545</v>
      </c>
      <c r="Y14" s="84">
        <f t="shared" si="6"/>
        <v>103.53545426423733</v>
      </c>
      <c r="Z14" s="84">
        <f t="shared" si="7"/>
        <v>91.744908359433012</v>
      </c>
      <c r="AA14" s="84">
        <f t="shared" si="8"/>
        <v>404095155.13931715</v>
      </c>
      <c r="AB14" s="1">
        <f t="shared" si="9"/>
        <v>9.8130639091228945E-4</v>
      </c>
      <c r="AC14" s="1">
        <v>-3.5473843467040246E-3</v>
      </c>
    </row>
    <row r="15" spans="1:39" x14ac:dyDescent="0.2">
      <c r="A15" s="8">
        <v>44218</v>
      </c>
      <c r="B15" s="24">
        <v>0.1</v>
      </c>
      <c r="C15" s="24">
        <v>0.13</v>
      </c>
      <c r="D15" s="24">
        <v>0.19</v>
      </c>
      <c r="E15" s="24">
        <v>0.31548957415942824</v>
      </c>
      <c r="F15" s="24">
        <v>0.44</v>
      </c>
      <c r="G15" s="83">
        <f t="shared" si="0"/>
        <v>99.900099900099917</v>
      </c>
      <c r="H15" s="84">
        <f t="shared" si="3"/>
        <v>114.38579741965739</v>
      </c>
      <c r="I15" s="84">
        <f t="shared" si="1"/>
        <v>107.74173330412098</v>
      </c>
      <c r="J15" s="84">
        <f t="shared" si="2"/>
        <v>459188436.88719773</v>
      </c>
      <c r="L15" s="19">
        <f t="shared" si="11"/>
        <v>0</v>
      </c>
      <c r="M15" s="19">
        <f t="shared" si="10"/>
        <v>0</v>
      </c>
      <c r="N15" s="19">
        <f t="shared" si="4"/>
        <v>0</v>
      </c>
      <c r="O15" s="19">
        <f t="shared" si="4"/>
        <v>-4.9346745423228255E-3</v>
      </c>
      <c r="P15" s="19">
        <f t="shared" si="4"/>
        <v>-1.0000000000000009E-2</v>
      </c>
      <c r="Q15" s="1">
        <v>13</v>
      </c>
      <c r="R15" s="82">
        <f>TSIR!$B$1080/100+TSIR!L842/100</f>
        <v>0.04</v>
      </c>
      <c r="S15" s="82">
        <f>TSIR!$C$1080/100+TSIR!M842/100</f>
        <v>3.8100000000000009E-2</v>
      </c>
      <c r="T15" s="82">
        <f>TSIR!$D$1080/100+TSIR!N842/100</f>
        <v>3.8100000000000002E-2</v>
      </c>
      <c r="U15" s="82">
        <f>TSIR!$E$1080/100+TSIR!O842/100</f>
        <v>3.8186999999999999E-2</v>
      </c>
      <c r="V15" s="82">
        <f>TSIR!$F$1080/100+TSIR!P842/100</f>
        <v>3.9300000000000002E-2</v>
      </c>
      <c r="X15" s="84">
        <f t="shared" si="5"/>
        <v>96.153846153846146</v>
      </c>
      <c r="Y15" s="84">
        <f t="shared" si="6"/>
        <v>103.30550368929246</v>
      </c>
      <c r="Z15" s="84">
        <f t="shared" si="7"/>
        <v>91.407597012183018</v>
      </c>
      <c r="AA15" s="84">
        <f t="shared" si="8"/>
        <v>402979824.82248569</v>
      </c>
      <c r="AB15" s="1">
        <f t="shared" si="9"/>
        <v>-1.7814706020819776E-3</v>
      </c>
      <c r="AC15" s="1">
        <v>-3.4760313296283147E-3</v>
      </c>
      <c r="AG15" s="27"/>
    </row>
    <row r="16" spans="1:39" x14ac:dyDescent="0.2">
      <c r="A16" s="8">
        <v>44221</v>
      </c>
      <c r="B16" s="24">
        <v>0.1</v>
      </c>
      <c r="C16" s="24">
        <v>0.13</v>
      </c>
      <c r="D16" s="24">
        <v>0.17</v>
      </c>
      <c r="E16" s="24">
        <v>0.29528304174197922</v>
      </c>
      <c r="F16" s="24">
        <v>0.42</v>
      </c>
      <c r="G16" s="83">
        <f t="shared" si="0"/>
        <v>99.900099900099917</v>
      </c>
      <c r="H16" s="84">
        <f t="shared" si="3"/>
        <v>114.4483458556096</v>
      </c>
      <c r="I16" s="84">
        <f t="shared" si="1"/>
        <v>107.84392432960898</v>
      </c>
      <c r="J16" s="84">
        <f t="shared" si="2"/>
        <v>459503378.33522135</v>
      </c>
      <c r="L16" s="19">
        <f t="shared" si="11"/>
        <v>0</v>
      </c>
      <c r="M16" s="19">
        <f t="shared" si="10"/>
        <v>0</v>
      </c>
      <c r="N16" s="19">
        <f t="shared" si="4"/>
        <v>-1.999999999999999E-2</v>
      </c>
      <c r="O16" s="19">
        <f t="shared" si="4"/>
        <v>-2.0206532417449019E-2</v>
      </c>
      <c r="P16" s="19">
        <f t="shared" si="4"/>
        <v>-2.0000000000000018E-2</v>
      </c>
      <c r="Q16" s="1">
        <v>14</v>
      </c>
      <c r="R16" s="82">
        <f>TSIR!$B$1080/100+TSIR!L843/100</f>
        <v>3.9400000000000004E-2</v>
      </c>
      <c r="S16" s="82">
        <f>TSIR!$C$1080/100+TSIR!M843/100</f>
        <v>3.7199999999999997E-2</v>
      </c>
      <c r="T16" s="82">
        <f>TSIR!$D$1080/100+TSIR!N843/100</f>
        <v>3.769999999999999E-2</v>
      </c>
      <c r="U16" s="82">
        <f>TSIR!$E$1080/100+TSIR!O843/100</f>
        <v>3.7834000000000007E-2</v>
      </c>
      <c r="V16" s="82">
        <f>TSIR!$F$1080/100+TSIR!P843/100</f>
        <v>3.8600000000000002E-2</v>
      </c>
      <c r="X16" s="84">
        <f t="shared" si="5"/>
        <v>96.209351548970545</v>
      </c>
      <c r="Y16" s="84">
        <f t="shared" si="6"/>
        <v>103.424914091088</v>
      </c>
      <c r="Z16" s="84">
        <f t="shared" si="7"/>
        <v>91.700198635779856</v>
      </c>
      <c r="AA16" s="84">
        <f t="shared" si="8"/>
        <v>404082126.50442851</v>
      </c>
      <c r="AB16" s="1">
        <f t="shared" si="9"/>
        <v>9.4903324978335443E-4</v>
      </c>
      <c r="AC16" s="1">
        <v>-3.4286488004069762E-3</v>
      </c>
    </row>
    <row r="17" spans="1:29" x14ac:dyDescent="0.2">
      <c r="A17" s="8">
        <v>44222</v>
      </c>
      <c r="B17" s="24">
        <v>0.09</v>
      </c>
      <c r="C17" s="24">
        <v>0.11</v>
      </c>
      <c r="D17" s="24">
        <v>0.18</v>
      </c>
      <c r="E17" s="24">
        <v>0.30007899943145272</v>
      </c>
      <c r="F17" s="24">
        <v>0.42</v>
      </c>
      <c r="G17" s="83">
        <f t="shared" si="0"/>
        <v>99.910080927165566</v>
      </c>
      <c r="H17" s="84">
        <f t="shared" si="3"/>
        <v>114.41955726266698</v>
      </c>
      <c r="I17" s="84">
        <f t="shared" si="1"/>
        <v>107.8439472421481</v>
      </c>
      <c r="J17" s="84">
        <f t="shared" si="2"/>
        <v>459566614.92892307</v>
      </c>
      <c r="L17" s="19">
        <f t="shared" si="11"/>
        <v>-1.0000000000000009E-2</v>
      </c>
      <c r="M17" s="19">
        <f t="shared" si="10"/>
        <v>-2.0000000000000004E-2</v>
      </c>
      <c r="N17" s="19">
        <f t="shared" si="4"/>
        <v>9.9999999999999811E-3</v>
      </c>
      <c r="O17" s="19">
        <f t="shared" si="4"/>
        <v>4.7959576894734957E-3</v>
      </c>
      <c r="P17" s="19">
        <f t="shared" si="4"/>
        <v>0</v>
      </c>
      <c r="Q17" s="1">
        <v>15</v>
      </c>
      <c r="R17" s="82">
        <f>TSIR!$B$1080/100+TSIR!L844/100</f>
        <v>3.95E-2</v>
      </c>
      <c r="S17" s="82">
        <f>TSIR!$C$1080/100+TSIR!M844/100</f>
        <v>3.7000000000000005E-2</v>
      </c>
      <c r="T17" s="82">
        <f>TSIR!$D$1080/100+TSIR!N844/100</f>
        <v>3.7199999999999997E-2</v>
      </c>
      <c r="U17" s="82">
        <f>TSIR!$E$1080/100+TSIR!O844/100</f>
        <v>3.7565000000000008E-2</v>
      </c>
      <c r="V17" s="82">
        <f>TSIR!$F$1080/100+TSIR!P844/100</f>
        <v>3.8400000000000004E-2</v>
      </c>
      <c r="X17" s="84">
        <f t="shared" si="5"/>
        <v>96.200096200096198</v>
      </c>
      <c r="Y17" s="84">
        <f t="shared" si="6"/>
        <v>103.56220451944444</v>
      </c>
      <c r="Z17" s="84">
        <f t="shared" si="7"/>
        <v>91.786422134986367</v>
      </c>
      <c r="AA17" s="84">
        <f t="shared" si="8"/>
        <v>404202574.16097128</v>
      </c>
      <c r="AB17" s="1">
        <f t="shared" si="9"/>
        <v>1.2473933044995441E-3</v>
      </c>
      <c r="AC17" s="1">
        <v>-3.1173841050893486E-3</v>
      </c>
    </row>
    <row r="18" spans="1:29" x14ac:dyDescent="0.2">
      <c r="A18" s="8">
        <v>44223</v>
      </c>
      <c r="B18" s="24">
        <v>0.09</v>
      </c>
      <c r="C18" s="24">
        <v>0.12</v>
      </c>
      <c r="D18" s="24">
        <v>0.18</v>
      </c>
      <c r="E18" s="24">
        <v>0.29516043212700738</v>
      </c>
      <c r="F18" s="24">
        <v>0.41</v>
      </c>
      <c r="G18" s="83">
        <f t="shared" si="0"/>
        <v>99.910080927165566</v>
      </c>
      <c r="H18" s="84">
        <f t="shared" si="3"/>
        <v>114.41856070474219</v>
      </c>
      <c r="I18" s="84">
        <f t="shared" si="1"/>
        <v>107.89368464475659</v>
      </c>
      <c r="J18" s="84">
        <f t="shared" si="2"/>
        <v>459767059.37624419</v>
      </c>
      <c r="L18" s="19">
        <f t="shared" si="11"/>
        <v>0</v>
      </c>
      <c r="M18" s="19">
        <f t="shared" si="10"/>
        <v>9.999999999999995E-3</v>
      </c>
      <c r="N18" s="19">
        <f t="shared" si="4"/>
        <v>0</v>
      </c>
      <c r="O18" s="19">
        <f t="shared" si="4"/>
        <v>-4.9185673044453426E-3</v>
      </c>
      <c r="P18" s="19">
        <f t="shared" si="4"/>
        <v>-1.0000000000000009E-2</v>
      </c>
      <c r="Q18" s="1">
        <v>16</v>
      </c>
      <c r="R18" s="82">
        <f>TSIR!$B$1080/100+TSIR!L845/100</f>
        <v>3.8899999999999997E-2</v>
      </c>
      <c r="S18" s="82">
        <f>TSIR!$C$1080/100+TSIR!M845/100</f>
        <v>3.6600000000000008E-2</v>
      </c>
      <c r="T18" s="82">
        <f>TSIR!$D$1080/100+TSIR!N845/100</f>
        <v>3.6499999999999991E-2</v>
      </c>
      <c r="U18" s="82">
        <f>TSIR!$E$1080/100+TSIR!O845/100</f>
        <v>3.7020999999999998E-2</v>
      </c>
      <c r="V18" s="82">
        <f>TSIR!$F$1080/100+TSIR!P845/100</f>
        <v>3.7699999999999997E-2</v>
      </c>
      <c r="X18" s="84">
        <f t="shared" si="5"/>
        <v>96.255655019732416</v>
      </c>
      <c r="Y18" s="84">
        <f t="shared" si="6"/>
        <v>103.75935682699831</v>
      </c>
      <c r="Z18" s="84">
        <f t="shared" si="7"/>
        <v>92.081564418181983</v>
      </c>
      <c r="AA18" s="84">
        <f t="shared" si="8"/>
        <v>405198532.4716953</v>
      </c>
      <c r="AB18" s="1">
        <f t="shared" si="9"/>
        <v>3.714474729011325E-3</v>
      </c>
      <c r="AC18" s="1">
        <v>-2.8031548070711586E-3</v>
      </c>
    </row>
    <row r="19" spans="1:29" x14ac:dyDescent="0.2">
      <c r="A19" s="8">
        <v>44224</v>
      </c>
      <c r="B19" s="24">
        <v>0.08</v>
      </c>
      <c r="C19" s="24">
        <v>0.12</v>
      </c>
      <c r="D19" s="24">
        <v>0.18</v>
      </c>
      <c r="E19" s="24">
        <v>0.30026378982482388</v>
      </c>
      <c r="F19" s="24">
        <v>0.42</v>
      </c>
      <c r="G19" s="83">
        <f t="shared" si="0"/>
        <v>99.920063948840934</v>
      </c>
      <c r="H19" s="84">
        <f t="shared" si="3"/>
        <v>114.41905985582596</v>
      </c>
      <c r="I19" s="84">
        <f t="shared" si="1"/>
        <v>107.84373371607128</v>
      </c>
      <c r="J19" s="84">
        <f t="shared" si="2"/>
        <v>459586472.97822803</v>
      </c>
      <c r="L19" s="19">
        <f t="shared" si="11"/>
        <v>-9.999999999999995E-3</v>
      </c>
      <c r="M19" s="19">
        <f t="shared" si="10"/>
        <v>0</v>
      </c>
      <c r="N19" s="19">
        <f t="shared" si="10"/>
        <v>0</v>
      </c>
      <c r="O19" s="19">
        <f t="shared" si="10"/>
        <v>5.1033576978165018E-3</v>
      </c>
      <c r="P19" s="19">
        <f t="shared" si="10"/>
        <v>1.0000000000000009E-2</v>
      </c>
      <c r="Q19" s="1">
        <v>17</v>
      </c>
      <c r="R19" s="82">
        <f>TSIR!$B$1080/100+TSIR!L846/100</f>
        <v>3.9800000000000002E-2</v>
      </c>
      <c r="S19" s="82">
        <f>TSIR!$C$1080/100+TSIR!M846/100</f>
        <v>3.7900000000000003E-2</v>
      </c>
      <c r="T19" s="82">
        <f>TSIR!$D$1080/100+TSIR!N846/100</f>
        <v>3.8300000000000001E-2</v>
      </c>
      <c r="U19" s="82">
        <f>TSIR!$E$1080/100+TSIR!O846/100</f>
        <v>3.8040000000000004E-2</v>
      </c>
      <c r="V19" s="82">
        <f>TSIR!$F$1080/100+TSIR!P846/100</f>
        <v>3.9300000000000009E-2</v>
      </c>
      <c r="X19" s="84">
        <f t="shared" si="5"/>
        <v>96.172340834775909</v>
      </c>
      <c r="Y19" s="84">
        <f t="shared" si="6"/>
        <v>103.25398960268049</v>
      </c>
      <c r="Z19" s="84">
        <f t="shared" si="7"/>
        <v>91.408624725318091</v>
      </c>
      <c r="AA19" s="84">
        <f t="shared" si="8"/>
        <v>403098196.16680348</v>
      </c>
      <c r="AB19" s="1">
        <f t="shared" si="9"/>
        <v>-1.4882537659790462E-3</v>
      </c>
      <c r="AC19" s="1">
        <v>-2.7569618538987222E-3</v>
      </c>
    </row>
    <row r="20" spans="1:29" x14ac:dyDescent="0.2">
      <c r="A20" s="8">
        <v>44225</v>
      </c>
      <c r="B20" s="24">
        <v>0.1</v>
      </c>
      <c r="C20" s="24">
        <v>0.11</v>
      </c>
      <c r="D20" s="24">
        <v>0.19</v>
      </c>
      <c r="E20" s="24">
        <v>0.32041193294019943</v>
      </c>
      <c r="F20" s="24">
        <v>0.45</v>
      </c>
      <c r="G20" s="83">
        <f t="shared" si="0"/>
        <v>99.900099900099917</v>
      </c>
      <c r="H20" s="84">
        <f t="shared" si="3"/>
        <v>114.38779023694265</v>
      </c>
      <c r="I20" s="84">
        <f t="shared" si="1"/>
        <v>107.69248358316614</v>
      </c>
      <c r="J20" s="84">
        <f t="shared" si="2"/>
        <v>458988448.77745044</v>
      </c>
      <c r="L20" s="19">
        <f t="shared" si="11"/>
        <v>2.0000000000000004E-2</v>
      </c>
      <c r="M20" s="19">
        <f t="shared" si="10"/>
        <v>-9.999999999999995E-3</v>
      </c>
      <c r="N20" s="19">
        <f t="shared" si="10"/>
        <v>1.0000000000000009E-2</v>
      </c>
      <c r="O20" s="19">
        <f t="shared" si="10"/>
        <v>2.014814311537555E-2</v>
      </c>
      <c r="P20" s="19">
        <f t="shared" si="10"/>
        <v>3.0000000000000027E-2</v>
      </c>
      <c r="Q20" s="1">
        <v>18</v>
      </c>
      <c r="R20" s="82">
        <f>TSIR!$B$1080/100+TSIR!L847/100</f>
        <v>3.9599999999999996E-2</v>
      </c>
      <c r="S20" s="82">
        <f>TSIR!$C$1080/100+TSIR!M847/100</f>
        <v>3.7900000000000003E-2</v>
      </c>
      <c r="T20" s="82">
        <f>TSIR!$D$1080/100+TSIR!N847/100</f>
        <v>3.7799999999999993E-2</v>
      </c>
      <c r="U20" s="82">
        <f>TSIR!$E$1080/100+TSIR!O847/100</f>
        <v>3.8124999999999999E-2</v>
      </c>
      <c r="V20" s="82">
        <f>TSIR!$F$1080/100+TSIR!P847/100</f>
        <v>3.9199999999999999E-2</v>
      </c>
      <c r="X20" s="84">
        <f t="shared" si="5"/>
        <v>96.19084263178145</v>
      </c>
      <c r="Y20" s="84">
        <f t="shared" si="6"/>
        <v>103.39056086724645</v>
      </c>
      <c r="Z20" s="84">
        <f t="shared" si="7"/>
        <v>91.45149529005343</v>
      </c>
      <c r="AA20" s="84">
        <f t="shared" si="8"/>
        <v>403101825.12290692</v>
      </c>
      <c r="AB20" s="1">
        <f t="shared" si="9"/>
        <v>-1.4792645039820584E-3</v>
      </c>
      <c r="AC20" s="1">
        <v>-2.5641883195004198E-3</v>
      </c>
    </row>
    <row r="21" spans="1:29" x14ac:dyDescent="0.2">
      <c r="A21" s="8">
        <v>44228</v>
      </c>
      <c r="B21" s="24">
        <v>0.08</v>
      </c>
      <c r="C21" s="24">
        <v>0.11</v>
      </c>
      <c r="D21" s="24">
        <v>0.17</v>
      </c>
      <c r="E21" s="24">
        <v>0.2953760344308532</v>
      </c>
      <c r="F21" s="24">
        <v>0.42</v>
      </c>
      <c r="G21" s="83">
        <f t="shared" si="0"/>
        <v>99.920063948840934</v>
      </c>
      <c r="H21" s="84">
        <f t="shared" si="3"/>
        <v>114.45133687533192</v>
      </c>
      <c r="I21" s="84">
        <f t="shared" si="1"/>
        <v>107.84511340697011</v>
      </c>
      <c r="J21" s="84">
        <f t="shared" si="2"/>
        <v>459543576.21256447</v>
      </c>
      <c r="L21" s="19">
        <f t="shared" si="11"/>
        <v>-2.0000000000000004E-2</v>
      </c>
      <c r="M21" s="19">
        <f t="shared" si="10"/>
        <v>0</v>
      </c>
      <c r="N21" s="19">
        <f t="shared" si="10"/>
        <v>-1.999999999999999E-2</v>
      </c>
      <c r="O21" s="19">
        <f t="shared" si="10"/>
        <v>-2.5035898509346233E-2</v>
      </c>
      <c r="P21" s="19">
        <f t="shared" si="10"/>
        <v>-3.0000000000000027E-2</v>
      </c>
      <c r="Q21" s="1">
        <v>19</v>
      </c>
      <c r="R21" s="82">
        <f>TSIR!$B$1080/100+TSIR!L848/100</f>
        <v>3.960000000000001E-2</v>
      </c>
      <c r="S21" s="82">
        <f>TSIR!$C$1080/100+TSIR!M848/100</f>
        <v>3.7300000000000007E-2</v>
      </c>
      <c r="T21" s="82">
        <f>TSIR!$D$1080/100+TSIR!N848/100</f>
        <v>3.78E-2</v>
      </c>
      <c r="U21" s="82">
        <f>TSIR!$E$1080/100+TSIR!O848/100</f>
        <v>3.8069000000000006E-2</v>
      </c>
      <c r="V21" s="82">
        <f>TSIR!$F$1080/100+TSIR!P848/100</f>
        <v>3.9E-2</v>
      </c>
      <c r="X21" s="84">
        <f t="shared" si="5"/>
        <v>96.19084263178145</v>
      </c>
      <c r="Y21" s="84">
        <f t="shared" si="6"/>
        <v>103.39593194493013</v>
      </c>
      <c r="Z21" s="84">
        <f t="shared" si="7"/>
        <v>91.53504725223695</v>
      </c>
      <c r="AA21" s="84">
        <f t="shared" si="8"/>
        <v>403427976.35511553</v>
      </c>
      <c r="AB21" s="1">
        <f t="shared" si="9"/>
        <v>-6.7135754854077251E-4</v>
      </c>
      <c r="AC21" s="1">
        <v>-2.5133756210365208E-3</v>
      </c>
    </row>
    <row r="22" spans="1:29" x14ac:dyDescent="0.2">
      <c r="A22" s="8">
        <v>44229</v>
      </c>
      <c r="B22" s="24">
        <v>0.08</v>
      </c>
      <c r="C22" s="24">
        <v>0.11</v>
      </c>
      <c r="D22" s="24">
        <v>0.18</v>
      </c>
      <c r="E22" s="24">
        <v>0.31546292604470183</v>
      </c>
      <c r="F22" s="24">
        <v>0.45</v>
      </c>
      <c r="G22" s="83">
        <f t="shared" si="0"/>
        <v>99.920063948840934</v>
      </c>
      <c r="H22" s="84">
        <f t="shared" si="3"/>
        <v>114.42005641375076</v>
      </c>
      <c r="I22" s="84">
        <f t="shared" si="1"/>
        <v>107.69386813084931</v>
      </c>
      <c r="J22" s="84">
        <f t="shared" si="2"/>
        <v>458985515.80045301</v>
      </c>
      <c r="L22" s="19">
        <f t="shared" si="11"/>
        <v>0</v>
      </c>
      <c r="M22" s="19">
        <f t="shared" si="10"/>
        <v>0</v>
      </c>
      <c r="N22" s="19">
        <f t="shared" si="10"/>
        <v>9.9999999999999811E-3</v>
      </c>
      <c r="O22" s="19">
        <f t="shared" si="10"/>
        <v>2.0086891613848634E-2</v>
      </c>
      <c r="P22" s="19">
        <f t="shared" si="10"/>
        <v>3.0000000000000027E-2</v>
      </c>
      <c r="Q22" s="1">
        <v>20</v>
      </c>
      <c r="R22" s="82">
        <f>TSIR!$B$1080/100+TSIR!L849/100</f>
        <v>3.9399999999999991E-2</v>
      </c>
      <c r="S22" s="82">
        <f>TSIR!$C$1080/100+TSIR!M849/100</f>
        <v>3.7400000000000003E-2</v>
      </c>
      <c r="T22" s="82">
        <f>TSIR!$D$1080/100+TSIR!N849/100</f>
        <v>3.7499999999999999E-2</v>
      </c>
      <c r="U22" s="82">
        <f>TSIR!$E$1080/100+TSIR!O849/100</f>
        <v>3.7740999999999997E-2</v>
      </c>
      <c r="V22" s="82">
        <f>TSIR!$F$1080/100+TSIR!P849/100</f>
        <v>3.85E-2</v>
      </c>
      <c r="X22" s="84">
        <f t="shared" si="5"/>
        <v>96.209351548970545</v>
      </c>
      <c r="Y22" s="84">
        <f t="shared" si="6"/>
        <v>103.47747482671022</v>
      </c>
      <c r="Z22" s="84">
        <f t="shared" si="7"/>
        <v>91.741780087876194</v>
      </c>
      <c r="AA22" s="84">
        <f t="shared" si="8"/>
        <v>404169611.20938057</v>
      </c>
      <c r="AB22" s="1">
        <f t="shared" si="9"/>
        <v>1.1657410057126394E-3</v>
      </c>
      <c r="AC22" s="1">
        <v>-2.4437053175105565E-3</v>
      </c>
    </row>
    <row r="23" spans="1:29" x14ac:dyDescent="0.2">
      <c r="A23" s="8">
        <v>44230</v>
      </c>
      <c r="B23" s="24">
        <v>0.08</v>
      </c>
      <c r="C23" s="24">
        <v>0.11</v>
      </c>
      <c r="D23" s="24">
        <v>0.19</v>
      </c>
      <c r="E23" s="24">
        <v>0.3253285173606304</v>
      </c>
      <c r="F23" s="24">
        <v>0.46</v>
      </c>
      <c r="G23" s="83">
        <f t="shared" si="0"/>
        <v>99.920063948840934</v>
      </c>
      <c r="H23" s="84">
        <f t="shared" si="3"/>
        <v>114.38878843937971</v>
      </c>
      <c r="I23" s="84">
        <f t="shared" si="1"/>
        <v>107.64286621907516</v>
      </c>
      <c r="J23" s="84">
        <f t="shared" si="2"/>
        <v>458828410.11491293</v>
      </c>
      <c r="L23" s="19">
        <f t="shared" si="11"/>
        <v>0</v>
      </c>
      <c r="M23" s="19">
        <f t="shared" si="10"/>
        <v>0</v>
      </c>
      <c r="N23" s="19">
        <f t="shared" si="10"/>
        <v>1.0000000000000009E-2</v>
      </c>
      <c r="O23" s="19">
        <f t="shared" si="10"/>
        <v>9.865591315928568E-3</v>
      </c>
      <c r="P23" s="19">
        <f t="shared" si="10"/>
        <v>1.0000000000000009E-2</v>
      </c>
      <c r="Q23" s="1">
        <v>21</v>
      </c>
      <c r="R23" s="82">
        <f>TSIR!$B$1080/100+TSIR!L850/100</f>
        <v>3.9700000000000006E-2</v>
      </c>
      <c r="S23" s="82">
        <f>TSIR!$C$1080/100+TSIR!M850/100</f>
        <v>3.78E-2</v>
      </c>
      <c r="T23" s="82">
        <f>TSIR!$D$1080/100+TSIR!N850/100</f>
        <v>3.7899999999999989E-2</v>
      </c>
      <c r="U23" s="82">
        <f>TSIR!$E$1080/100+TSIR!O850/100</f>
        <v>3.804600000000001E-2</v>
      </c>
      <c r="V23" s="82">
        <f>TSIR!$F$1080/100+TSIR!P850/100</f>
        <v>3.9199999999999999E-2</v>
      </c>
      <c r="X23" s="84">
        <f t="shared" si="5"/>
        <v>96.181590843512552</v>
      </c>
      <c r="Y23" s="84">
        <f t="shared" si="6"/>
        <v>103.36384266273477</v>
      </c>
      <c r="Z23" s="84">
        <f t="shared" si="7"/>
        <v>91.451675187419838</v>
      </c>
      <c r="AA23" s="84">
        <f t="shared" si="8"/>
        <v>403124118.44260228</v>
      </c>
      <c r="AB23" s="1">
        <f t="shared" si="9"/>
        <v>-1.4240418763691346E-3</v>
      </c>
      <c r="AC23" s="1">
        <v>-2.4091879269672713E-3</v>
      </c>
    </row>
    <row r="24" spans="1:29" x14ac:dyDescent="0.2">
      <c r="A24" s="8">
        <v>44231</v>
      </c>
      <c r="B24" s="24">
        <v>7.0000000000000007E-2</v>
      </c>
      <c r="C24" s="24">
        <v>0.11</v>
      </c>
      <c r="D24" s="24">
        <v>0.18</v>
      </c>
      <c r="E24" s="24">
        <v>0.32039533947540055</v>
      </c>
      <c r="F24" s="24">
        <v>0.46</v>
      </c>
      <c r="G24" s="83">
        <f t="shared" si="0"/>
        <v>99.930048965723998</v>
      </c>
      <c r="H24" s="84">
        <f t="shared" si="3"/>
        <v>114.4205556645949</v>
      </c>
      <c r="I24" s="84">
        <f t="shared" si="1"/>
        <v>107.64404984441387</v>
      </c>
      <c r="J24" s="84">
        <f t="shared" si="2"/>
        <v>458805463.81221116</v>
      </c>
      <c r="L24" s="19">
        <f t="shared" si="11"/>
        <v>-9.999999999999995E-3</v>
      </c>
      <c r="M24" s="19">
        <f t="shared" si="10"/>
        <v>0</v>
      </c>
      <c r="N24" s="19">
        <f t="shared" si="10"/>
        <v>-1.0000000000000009E-2</v>
      </c>
      <c r="O24" s="19">
        <f t="shared" si="10"/>
        <v>-4.9331778852298447E-3</v>
      </c>
      <c r="P24" s="19">
        <f t="shared" si="10"/>
        <v>0</v>
      </c>
      <c r="Q24" s="1">
        <v>22</v>
      </c>
      <c r="R24" s="82">
        <f>TSIR!$B$1080/100+TSIR!L851/100</f>
        <v>3.9899999999999998E-2</v>
      </c>
      <c r="S24" s="82">
        <f>TSIR!$C$1080/100+TSIR!M851/100</f>
        <v>3.7900000000000003E-2</v>
      </c>
      <c r="T24" s="82">
        <f>TSIR!$D$1080/100+TSIR!N851/100</f>
        <v>3.8300000000000001E-2</v>
      </c>
      <c r="U24" s="82">
        <f>TSIR!$E$1080/100+TSIR!O851/100</f>
        <v>3.8461000000000002E-2</v>
      </c>
      <c r="V24" s="82">
        <f>TSIR!$F$1080/100+TSIR!P851/100</f>
        <v>3.9300000000000002E-2</v>
      </c>
      <c r="X24" s="84">
        <f t="shared" si="5"/>
        <v>96.163092605058168</v>
      </c>
      <c r="Y24" s="84">
        <f t="shared" si="6"/>
        <v>103.25352719119459</v>
      </c>
      <c r="Z24" s="84">
        <f t="shared" si="7"/>
        <v>91.405648107771682</v>
      </c>
      <c r="AA24" s="84">
        <f t="shared" si="8"/>
        <v>403068486.85441113</v>
      </c>
      <c r="AB24" s="1">
        <f t="shared" si="9"/>
        <v>-1.5618464976717128E-3</v>
      </c>
      <c r="AC24" s="1">
        <v>-2.4010871407807708E-3</v>
      </c>
    </row>
    <row r="25" spans="1:29" x14ac:dyDescent="0.2">
      <c r="A25" s="8">
        <v>44232</v>
      </c>
      <c r="B25" s="24">
        <v>0.06</v>
      </c>
      <c r="C25" s="24">
        <v>0.09</v>
      </c>
      <c r="D25" s="24">
        <v>0.19</v>
      </c>
      <c r="E25" s="24">
        <v>0.3303918290423446</v>
      </c>
      <c r="F25" s="24">
        <v>0.47</v>
      </c>
      <c r="G25" s="83">
        <f t="shared" si="0"/>
        <v>99.940035978412965</v>
      </c>
      <c r="H25" s="84">
        <f t="shared" si="3"/>
        <v>114.39178105287814</v>
      </c>
      <c r="I25" s="84">
        <f t="shared" si="1"/>
        <v>107.59406480057733</v>
      </c>
      <c r="J25" s="84">
        <f t="shared" si="2"/>
        <v>458668659.57981801</v>
      </c>
      <c r="L25" s="19">
        <f t="shared" si="11"/>
        <v>-1.0000000000000009E-2</v>
      </c>
      <c r="M25" s="19">
        <f t="shared" si="10"/>
        <v>-2.0000000000000004E-2</v>
      </c>
      <c r="N25" s="19">
        <f t="shared" si="10"/>
        <v>1.0000000000000009E-2</v>
      </c>
      <c r="O25" s="19">
        <f t="shared" si="10"/>
        <v>9.9964895669440446E-3</v>
      </c>
      <c r="P25" s="19">
        <f t="shared" si="10"/>
        <v>9.9999999999999534E-3</v>
      </c>
      <c r="Q25" s="1">
        <v>23</v>
      </c>
      <c r="R25" s="82">
        <f>TSIR!$B$1080/100+TSIR!L852/100</f>
        <v>3.9599999999999996E-2</v>
      </c>
      <c r="S25" s="82">
        <f>TSIR!$C$1080/100+TSIR!M852/100</f>
        <v>3.7600000000000001E-2</v>
      </c>
      <c r="T25" s="82">
        <f>TSIR!$D$1080/100+TSIR!N852/100</f>
        <v>3.7599999999999995E-2</v>
      </c>
      <c r="U25" s="82">
        <f>TSIR!$E$1080/100+TSIR!O852/100</f>
        <v>3.8052000000000002E-2</v>
      </c>
      <c r="V25" s="82">
        <f>TSIR!$F$1080/100+TSIR!P852/100</f>
        <v>3.8900000000000011E-2</v>
      </c>
      <c r="X25" s="84">
        <f t="shared" si="5"/>
        <v>96.19084263178145</v>
      </c>
      <c r="Y25" s="84">
        <f t="shared" si="6"/>
        <v>103.4475769416327</v>
      </c>
      <c r="Z25" s="84">
        <f t="shared" si="7"/>
        <v>91.575671358780241</v>
      </c>
      <c r="AA25" s="84">
        <f t="shared" si="8"/>
        <v>403513005.28623474</v>
      </c>
      <c r="AB25" s="1">
        <f t="shared" si="9"/>
        <v>-4.6073297294203845E-4</v>
      </c>
      <c r="AC25" s="1">
        <v>-2.4010509519622153E-3</v>
      </c>
    </row>
    <row r="26" spans="1:29" x14ac:dyDescent="0.2">
      <c r="A26" s="8">
        <v>44235</v>
      </c>
      <c r="B26" s="24">
        <v>7.0000000000000007E-2</v>
      </c>
      <c r="C26" s="24">
        <v>0.11</v>
      </c>
      <c r="D26" s="24">
        <v>0.2</v>
      </c>
      <c r="E26" s="24">
        <v>0.34021979469572167</v>
      </c>
      <c r="F26" s="24">
        <v>0.48</v>
      </c>
      <c r="G26" s="83">
        <f t="shared" si="0"/>
        <v>99.930048965723998</v>
      </c>
      <c r="H26" s="84">
        <f t="shared" si="3"/>
        <v>114.35803219683238</v>
      </c>
      <c r="I26" s="84">
        <f t="shared" si="1"/>
        <v>107.54212856299999</v>
      </c>
      <c r="J26" s="84">
        <f t="shared" si="2"/>
        <v>458491563.88819939</v>
      </c>
      <c r="L26" s="19">
        <f t="shared" si="11"/>
        <v>1.0000000000000009E-2</v>
      </c>
      <c r="M26" s="19">
        <f t="shared" si="10"/>
        <v>2.0000000000000004E-2</v>
      </c>
      <c r="N26" s="19">
        <f t="shared" si="10"/>
        <v>1.0000000000000009E-2</v>
      </c>
      <c r="O26" s="19">
        <f t="shared" si="10"/>
        <v>9.8279656533770687E-3</v>
      </c>
      <c r="P26" s="19">
        <f t="shared" si="10"/>
        <v>1.0000000000000009E-2</v>
      </c>
      <c r="Q26" s="1">
        <v>24</v>
      </c>
      <c r="R26" s="82">
        <f>TSIR!$B$1080/100+TSIR!L853/100</f>
        <v>3.95E-2</v>
      </c>
      <c r="S26" s="82">
        <f>TSIR!$C$1080/100+TSIR!M853/100</f>
        <v>3.7500000000000012E-2</v>
      </c>
      <c r="T26" s="82">
        <f>TSIR!$D$1080/100+TSIR!N853/100</f>
        <v>3.7999999999999992E-2</v>
      </c>
      <c r="U26" s="82">
        <f>TSIR!$E$1080/100+TSIR!O853/100</f>
        <v>3.8196000000000001E-2</v>
      </c>
      <c r="V26" s="82">
        <f>TSIR!$F$1080/100+TSIR!P853/100</f>
        <v>3.9099999999999996E-2</v>
      </c>
      <c r="X26" s="84">
        <f t="shared" si="5"/>
        <v>96.200096200096198</v>
      </c>
      <c r="Y26" s="84">
        <f t="shared" si="6"/>
        <v>103.34031339452694</v>
      </c>
      <c r="Z26" s="84">
        <f t="shared" si="7"/>
        <v>91.492111399943028</v>
      </c>
      <c r="AA26" s="84">
        <f t="shared" si="8"/>
        <v>403358167.9081741</v>
      </c>
      <c r="AB26" s="1">
        <f t="shared" si="9"/>
        <v>-8.4427956833699517E-4</v>
      </c>
      <c r="AC26" s="1">
        <v>-2.320809439202686E-3</v>
      </c>
    </row>
    <row r="27" spans="1:29" x14ac:dyDescent="0.2">
      <c r="A27" s="8">
        <v>44236</v>
      </c>
      <c r="B27" s="24">
        <v>7.0000000000000007E-2</v>
      </c>
      <c r="C27" s="24">
        <v>0.11</v>
      </c>
      <c r="D27" s="24">
        <v>0.19</v>
      </c>
      <c r="E27" s="24">
        <v>0.33512482216850636</v>
      </c>
      <c r="F27" s="24">
        <v>0.48</v>
      </c>
      <c r="G27" s="83">
        <f t="shared" si="0"/>
        <v>99.930048965723998</v>
      </c>
      <c r="H27" s="84">
        <f t="shared" si="3"/>
        <v>114.38928769022385</v>
      </c>
      <c r="I27" s="84">
        <f t="shared" si="1"/>
        <v>107.54312469097763</v>
      </c>
      <c r="J27" s="84">
        <f t="shared" si="2"/>
        <v>458448665.16002274</v>
      </c>
      <c r="L27" s="19">
        <f t="shared" si="11"/>
        <v>0</v>
      </c>
      <c r="M27" s="19">
        <f t="shared" si="10"/>
        <v>0</v>
      </c>
      <c r="N27" s="19">
        <f t="shared" si="10"/>
        <v>-1.0000000000000009E-2</v>
      </c>
      <c r="O27" s="19">
        <f t="shared" si="10"/>
        <v>-5.0949725272153024E-3</v>
      </c>
      <c r="P27" s="19">
        <f t="shared" si="10"/>
        <v>0</v>
      </c>
      <c r="Q27" s="1">
        <v>25</v>
      </c>
      <c r="R27" s="82">
        <f>TSIR!$B$1080/100+TSIR!L854/100</f>
        <v>3.9599999999999996E-2</v>
      </c>
      <c r="S27" s="82">
        <f>TSIR!$C$1080/100+TSIR!M854/100</f>
        <v>3.7600000000000001E-2</v>
      </c>
      <c r="T27" s="82">
        <f>TSIR!$D$1080/100+TSIR!N854/100</f>
        <v>3.7999999999999992E-2</v>
      </c>
      <c r="U27" s="82">
        <f>TSIR!$E$1080/100+TSIR!O854/100</f>
        <v>3.8485000000000005E-2</v>
      </c>
      <c r="V27" s="82">
        <f>TSIR!$F$1080/100+TSIR!P854/100</f>
        <v>3.9500000000000007E-2</v>
      </c>
      <c r="X27" s="84">
        <f t="shared" si="5"/>
        <v>96.19084263178145</v>
      </c>
      <c r="Y27" s="84">
        <f t="shared" si="6"/>
        <v>103.33895540721923</v>
      </c>
      <c r="Z27" s="84">
        <f t="shared" si="7"/>
        <v>91.327775835877034</v>
      </c>
      <c r="AA27" s="84">
        <f t="shared" si="8"/>
        <v>402684355.49624217</v>
      </c>
      <c r="AB27" s="1">
        <f t="shared" si="9"/>
        <v>-2.5133756210365208E-3</v>
      </c>
      <c r="AC27" s="1">
        <v>-2.3166397914864256E-3</v>
      </c>
    </row>
    <row r="28" spans="1:29" x14ac:dyDescent="0.2">
      <c r="A28" s="8">
        <v>44237</v>
      </c>
      <c r="B28" s="24">
        <v>7.0000000000000007E-2</v>
      </c>
      <c r="C28" s="24">
        <v>0.11</v>
      </c>
      <c r="D28" s="24">
        <v>0.19</v>
      </c>
      <c r="E28" s="24">
        <v>0.32521123904550792</v>
      </c>
      <c r="F28" s="24">
        <v>0.46</v>
      </c>
      <c r="G28" s="83">
        <f t="shared" si="0"/>
        <v>99.930048965723998</v>
      </c>
      <c r="H28" s="84">
        <f t="shared" si="3"/>
        <v>114.38928769022385</v>
      </c>
      <c r="I28" s="84">
        <f t="shared" si="1"/>
        <v>107.64307515056737</v>
      </c>
      <c r="J28" s="84">
        <f t="shared" si="2"/>
        <v>458848466.99838167</v>
      </c>
      <c r="L28" s="19">
        <f t="shared" si="11"/>
        <v>0</v>
      </c>
      <c r="M28" s="19">
        <f t="shared" si="10"/>
        <v>0</v>
      </c>
      <c r="N28" s="19">
        <f t="shared" si="10"/>
        <v>0</v>
      </c>
      <c r="O28" s="19">
        <f t="shared" si="10"/>
        <v>-9.9135831229984483E-3</v>
      </c>
      <c r="P28" s="19">
        <f t="shared" si="10"/>
        <v>-1.9999999999999962E-2</v>
      </c>
      <c r="Q28" s="1">
        <v>26</v>
      </c>
      <c r="R28" s="82">
        <f>TSIR!$B$1080/100+TSIR!L855/100</f>
        <v>3.9200000000000006E-2</v>
      </c>
      <c r="S28" s="82">
        <f>TSIR!$C$1080/100+TSIR!M855/100</f>
        <v>3.7000000000000005E-2</v>
      </c>
      <c r="T28" s="82">
        <f>TSIR!$D$1080/100+TSIR!N855/100</f>
        <v>3.7099999999999994E-2</v>
      </c>
      <c r="U28" s="82">
        <f>TSIR!$E$1080/100+TSIR!O855/100</f>
        <v>3.7541999999999999E-2</v>
      </c>
      <c r="V28" s="82">
        <f>TSIR!$F$1080/100+TSIR!P855/100</f>
        <v>3.8200000000000005E-2</v>
      </c>
      <c r="X28" s="84">
        <f t="shared" si="5"/>
        <v>96.22786759045421</v>
      </c>
      <c r="Y28" s="84">
        <f t="shared" si="6"/>
        <v>103.59081660843955</v>
      </c>
      <c r="Z28" s="84">
        <f t="shared" si="7"/>
        <v>91.869056380498989</v>
      </c>
      <c r="AA28" s="84">
        <f t="shared" si="8"/>
        <v>404545735.79024506</v>
      </c>
      <c r="AB28" s="1">
        <f t="shared" si="9"/>
        <v>2.0974365965436394E-3</v>
      </c>
      <c r="AC28" s="1">
        <v>-2.2757280049470925E-3</v>
      </c>
    </row>
    <row r="29" spans="1:29" x14ac:dyDescent="0.2">
      <c r="A29" s="8">
        <v>44238</v>
      </c>
      <c r="B29" s="24">
        <v>7.0000000000000007E-2</v>
      </c>
      <c r="C29" s="24">
        <v>0.11</v>
      </c>
      <c r="D29" s="24">
        <v>0.19</v>
      </c>
      <c r="E29" s="24">
        <v>0.32547046829643239</v>
      </c>
      <c r="F29" s="24">
        <v>0.46</v>
      </c>
      <c r="G29" s="83">
        <f t="shared" si="0"/>
        <v>99.930048965723998</v>
      </c>
      <c r="H29" s="84">
        <f t="shared" si="3"/>
        <v>114.38928769022385</v>
      </c>
      <c r="I29" s="84">
        <f t="shared" si="1"/>
        <v>107.64305474631095</v>
      </c>
      <c r="J29" s="84">
        <f t="shared" si="2"/>
        <v>458848385.381356</v>
      </c>
      <c r="L29" s="19">
        <f t="shared" si="11"/>
        <v>0</v>
      </c>
      <c r="M29" s="19">
        <f t="shared" si="10"/>
        <v>0</v>
      </c>
      <c r="N29" s="19">
        <f t="shared" si="10"/>
        <v>0</v>
      </c>
      <c r="O29" s="19">
        <f t="shared" si="10"/>
        <v>2.5922925092447535E-4</v>
      </c>
      <c r="P29" s="19">
        <f t="shared" si="10"/>
        <v>0</v>
      </c>
      <c r="Q29" s="1">
        <v>27</v>
      </c>
      <c r="R29" s="82">
        <f>TSIR!$B$1080/100+TSIR!L856/100</f>
        <v>3.9399999999999991E-2</v>
      </c>
      <c r="S29" s="82">
        <f>TSIR!$C$1080/100+TSIR!M856/100</f>
        <v>3.7100000000000001E-2</v>
      </c>
      <c r="T29" s="82">
        <f>TSIR!$D$1080/100+TSIR!N856/100</f>
        <v>3.7099999999999994E-2</v>
      </c>
      <c r="U29" s="82">
        <f>TSIR!$E$1080/100+TSIR!O856/100</f>
        <v>3.7429000000000004E-2</v>
      </c>
      <c r="V29" s="82">
        <f>TSIR!$F$1080/100+TSIR!P856/100</f>
        <v>3.8299999999999994E-2</v>
      </c>
      <c r="X29" s="84">
        <f t="shared" si="5"/>
        <v>96.209351548970545</v>
      </c>
      <c r="Y29" s="84">
        <f t="shared" si="6"/>
        <v>103.58899420186476</v>
      </c>
      <c r="Z29" s="84">
        <f t="shared" si="7"/>
        <v>91.828364102982363</v>
      </c>
      <c r="AA29" s="84">
        <f t="shared" si="8"/>
        <v>404348668.20707339</v>
      </c>
      <c r="AB29" s="1">
        <f t="shared" si="9"/>
        <v>1.6092818529351311E-3</v>
      </c>
      <c r="AC29" s="1">
        <v>-2.2630255163996961E-3</v>
      </c>
    </row>
    <row r="30" spans="1:29" x14ac:dyDescent="0.2">
      <c r="A30" s="8">
        <v>44239</v>
      </c>
      <c r="B30" s="24">
        <v>0.06</v>
      </c>
      <c r="C30" s="24">
        <v>0.11</v>
      </c>
      <c r="D30" s="24">
        <v>0.2</v>
      </c>
      <c r="E30" s="24">
        <v>0.35035299059573155</v>
      </c>
      <c r="F30" s="24">
        <v>0.5</v>
      </c>
      <c r="G30" s="83">
        <f t="shared" si="0"/>
        <v>99.940035978412965</v>
      </c>
      <c r="H30" s="84">
        <f t="shared" si="3"/>
        <v>114.35853154746684</v>
      </c>
      <c r="I30" s="84">
        <f t="shared" si="1"/>
        <v>107.44247952756538</v>
      </c>
      <c r="J30" s="84">
        <f t="shared" si="2"/>
        <v>458112192.74588716</v>
      </c>
      <c r="L30" s="19">
        <f t="shared" si="11"/>
        <v>-1.0000000000000009E-2</v>
      </c>
      <c r="M30" s="19">
        <f t="shared" si="10"/>
        <v>0</v>
      </c>
      <c r="N30" s="19">
        <f t="shared" si="10"/>
        <v>1.0000000000000009E-2</v>
      </c>
      <c r="O30" s="19">
        <f t="shared" si="10"/>
        <v>2.4882522299299159E-2</v>
      </c>
      <c r="P30" s="19">
        <f t="shared" si="10"/>
        <v>3.999999999999998E-2</v>
      </c>
      <c r="Q30" s="1">
        <v>28</v>
      </c>
      <c r="R30" s="82">
        <f>TSIR!$B$1080/100+TSIR!L857/100</f>
        <v>3.9100000000000003E-2</v>
      </c>
      <c r="S30" s="82">
        <f>TSIR!$C$1080/100+TSIR!M857/100</f>
        <v>3.670000000000001E-2</v>
      </c>
      <c r="T30" s="82">
        <f>TSIR!$D$1080/100+TSIR!N857/100</f>
        <v>3.6899999999999988E-2</v>
      </c>
      <c r="U30" s="82">
        <f>TSIR!$E$1080/100+TSIR!O857/100</f>
        <v>3.6975999999999995E-2</v>
      </c>
      <c r="V30" s="82">
        <f>TSIR!$F$1080/100+TSIR!P857/100</f>
        <v>3.7800000000000007E-2</v>
      </c>
      <c r="X30" s="84">
        <f t="shared" si="5"/>
        <v>96.237128284092009</v>
      </c>
      <c r="Y30" s="84">
        <f t="shared" si="6"/>
        <v>103.6484495632368</v>
      </c>
      <c r="Z30" s="84">
        <f t="shared" si="7"/>
        <v>92.038224020708185</v>
      </c>
      <c r="AA30" s="84">
        <f t="shared" si="8"/>
        <v>405154478.30616158</v>
      </c>
      <c r="AB30" s="1">
        <f t="shared" si="9"/>
        <v>3.6053484610839037E-3</v>
      </c>
      <c r="AC30" s="1">
        <v>-2.2218723339257696E-3</v>
      </c>
    </row>
    <row r="31" spans="1:29" x14ac:dyDescent="0.2">
      <c r="A31" s="8">
        <v>44243</v>
      </c>
      <c r="B31" s="24">
        <v>0.08</v>
      </c>
      <c r="C31" s="24">
        <v>0.13</v>
      </c>
      <c r="D31" s="24">
        <v>0.23</v>
      </c>
      <c r="E31" s="24">
        <v>0.40039289391643107</v>
      </c>
      <c r="F31" s="24">
        <v>0.56999999999999995</v>
      </c>
      <c r="G31" s="83">
        <f t="shared" si="0"/>
        <v>99.920063948840934</v>
      </c>
      <c r="H31" s="84">
        <f t="shared" si="3"/>
        <v>114.26184847215681</v>
      </c>
      <c r="I31" s="84">
        <f t="shared" si="1"/>
        <v>107.08981730805019</v>
      </c>
      <c r="J31" s="84">
        <f t="shared" si="2"/>
        <v>456806624.42164737</v>
      </c>
      <c r="L31" s="19">
        <f t="shared" si="11"/>
        <v>2.0000000000000004E-2</v>
      </c>
      <c r="M31" s="19">
        <f t="shared" si="10"/>
        <v>2.0000000000000004E-2</v>
      </c>
      <c r="N31" s="19">
        <f t="shared" si="10"/>
        <v>0.03</v>
      </c>
      <c r="O31" s="19">
        <f t="shared" si="10"/>
        <v>5.0039903320699519E-2</v>
      </c>
      <c r="P31" s="19">
        <f t="shared" si="10"/>
        <v>6.9999999999999951E-2</v>
      </c>
      <c r="Q31" s="1">
        <v>29</v>
      </c>
      <c r="R31" s="82">
        <f>TSIR!$B$1080/100+TSIR!L858/100</f>
        <v>3.9200000000000006E-2</v>
      </c>
      <c r="S31" s="82">
        <f>TSIR!$C$1080/100+TSIR!M858/100</f>
        <v>3.6899999999999995E-2</v>
      </c>
      <c r="T31" s="82">
        <f>TSIR!$D$1080/100+TSIR!N858/100</f>
        <v>3.6899999999999988E-2</v>
      </c>
      <c r="U31" s="82">
        <f>TSIR!$E$1080/100+TSIR!O858/100</f>
        <v>3.7137999999999997E-2</v>
      </c>
      <c r="V31" s="82">
        <f>TSIR!$F$1080/100+TSIR!P858/100</f>
        <v>3.8099999999999995E-2</v>
      </c>
      <c r="X31" s="84">
        <f t="shared" si="5"/>
        <v>96.22786759045421</v>
      </c>
      <c r="Y31" s="84">
        <f t="shared" si="6"/>
        <v>103.64619202204496</v>
      </c>
      <c r="Z31" s="84">
        <f t="shared" si="7"/>
        <v>91.91388243807323</v>
      </c>
      <c r="AA31" s="84">
        <f t="shared" si="8"/>
        <v>404641976.90013391</v>
      </c>
      <c r="AB31" s="1">
        <f t="shared" si="9"/>
        <v>2.3358347824160761E-3</v>
      </c>
      <c r="AC31" s="1">
        <v>-2.2118208791233806E-3</v>
      </c>
    </row>
    <row r="32" spans="1:29" x14ac:dyDescent="0.2">
      <c r="A32" s="8">
        <v>44244</v>
      </c>
      <c r="B32" s="24">
        <v>7.0000000000000007E-2</v>
      </c>
      <c r="C32" s="24">
        <v>0.11</v>
      </c>
      <c r="D32" s="24">
        <v>0.21</v>
      </c>
      <c r="E32" s="24">
        <v>0.3904681890119297</v>
      </c>
      <c r="F32" s="24">
        <v>0.56999999999999995</v>
      </c>
      <c r="G32" s="83">
        <f t="shared" si="0"/>
        <v>99.930048965723998</v>
      </c>
      <c r="H32" s="84">
        <f t="shared" si="3"/>
        <v>114.32678917819369</v>
      </c>
      <c r="I32" s="84">
        <f t="shared" si="1"/>
        <v>107.09278209596377</v>
      </c>
      <c r="J32" s="84">
        <f t="shared" si="2"/>
        <v>456741042.54801255</v>
      </c>
      <c r="L32" s="19">
        <f t="shared" si="11"/>
        <v>-9.999999999999995E-3</v>
      </c>
      <c r="M32" s="19">
        <f t="shared" si="10"/>
        <v>-2.0000000000000004E-2</v>
      </c>
      <c r="N32" s="19">
        <f t="shared" si="10"/>
        <v>-2.0000000000000018E-2</v>
      </c>
      <c r="O32" s="19">
        <f t="shared" si="10"/>
        <v>-9.9247049045013691E-3</v>
      </c>
      <c r="P32" s="19">
        <f t="shared" si="10"/>
        <v>0</v>
      </c>
      <c r="Q32" s="1">
        <v>30</v>
      </c>
      <c r="R32" s="82">
        <f>TSIR!$B$1080/100+TSIR!L859/100</f>
        <v>3.9199999999999999E-2</v>
      </c>
      <c r="S32" s="82">
        <f>TSIR!$C$1080/100+TSIR!M859/100</f>
        <v>3.6900000000000002E-2</v>
      </c>
      <c r="T32" s="82">
        <f>TSIR!$D$1080/100+TSIR!N859/100</f>
        <v>3.7099999999999994E-2</v>
      </c>
      <c r="U32" s="82">
        <f>TSIR!$E$1080/100+TSIR!O859/100</f>
        <v>3.7396000000000006E-2</v>
      </c>
      <c r="V32" s="82">
        <f>TSIR!$F$1080/100+TSIR!P859/100</f>
        <v>3.8400000000000004E-2</v>
      </c>
      <c r="X32" s="84">
        <f t="shared" si="5"/>
        <v>96.22786759045421</v>
      </c>
      <c r="Y32" s="84">
        <f t="shared" si="6"/>
        <v>103.59171347236183</v>
      </c>
      <c r="Z32" s="84">
        <f t="shared" si="7"/>
        <v>91.788979655954677</v>
      </c>
      <c r="AA32" s="84">
        <f t="shared" si="8"/>
        <v>404224083.59618437</v>
      </c>
      <c r="AB32" s="1">
        <f t="shared" si="9"/>
        <v>1.3006741772976988E-3</v>
      </c>
      <c r="AC32" s="1">
        <v>-2.1564180520572307E-3</v>
      </c>
    </row>
    <row r="33" spans="1:29" x14ac:dyDescent="0.2">
      <c r="A33" s="8">
        <v>44245</v>
      </c>
      <c r="B33" s="24">
        <v>0.06</v>
      </c>
      <c r="C33" s="24">
        <v>0.11</v>
      </c>
      <c r="D33" s="24">
        <v>0.21</v>
      </c>
      <c r="E33" s="24">
        <v>0.38506701561906442</v>
      </c>
      <c r="F33" s="24">
        <v>0.56000000000000005</v>
      </c>
      <c r="G33" s="83">
        <f t="shared" si="0"/>
        <v>99.940035978412965</v>
      </c>
      <c r="H33" s="84">
        <f t="shared" si="3"/>
        <v>114.32728852882815</v>
      </c>
      <c r="I33" s="84">
        <f t="shared" si="1"/>
        <v>107.14271043028374</v>
      </c>
      <c r="J33" s="84">
        <f t="shared" si="2"/>
        <v>456959980.88471866</v>
      </c>
      <c r="L33" s="19">
        <f t="shared" si="11"/>
        <v>-1.0000000000000009E-2</v>
      </c>
      <c r="M33" s="19">
        <f t="shared" si="10"/>
        <v>0</v>
      </c>
      <c r="N33" s="19">
        <f t="shared" si="10"/>
        <v>0</v>
      </c>
      <c r="O33" s="19">
        <f t="shared" si="10"/>
        <v>-5.4011733928652772E-3</v>
      </c>
      <c r="P33" s="19">
        <f t="shared" si="10"/>
        <v>-9.9999999999998979E-3</v>
      </c>
      <c r="Q33" s="1">
        <v>31</v>
      </c>
      <c r="R33" s="82">
        <f>TSIR!$B$1080/100+TSIR!L860/100</f>
        <v>3.95E-2</v>
      </c>
      <c r="S33" s="82">
        <f>TSIR!$C$1080/100+TSIR!M860/100</f>
        <v>3.7400000000000003E-2</v>
      </c>
      <c r="T33" s="82">
        <f>TSIR!$D$1080/100+TSIR!N860/100</f>
        <v>3.7499999999999999E-2</v>
      </c>
      <c r="U33" s="82">
        <f>TSIR!$E$1080/100+TSIR!O860/100</f>
        <v>3.7626000000000007E-2</v>
      </c>
      <c r="V33" s="82">
        <f>TSIR!$F$1080/100+TSIR!P860/100</f>
        <v>3.8600000000000002E-2</v>
      </c>
      <c r="X33" s="84">
        <f t="shared" si="5"/>
        <v>96.200096200096198</v>
      </c>
      <c r="Y33" s="84">
        <f t="shared" si="6"/>
        <v>103.4770120592665</v>
      </c>
      <c r="Z33" s="84">
        <f t="shared" si="7"/>
        <v>91.701714763435575</v>
      </c>
      <c r="AA33" s="84">
        <f t="shared" si="8"/>
        <v>403991533.36503494</v>
      </c>
      <c r="AB33" s="1">
        <f t="shared" si="9"/>
        <v>7.2462561245604249E-4</v>
      </c>
      <c r="AC33" s="1">
        <v>-2.1444647433680034E-3</v>
      </c>
    </row>
    <row r="34" spans="1:29" x14ac:dyDescent="0.2">
      <c r="A34" s="8">
        <v>44246</v>
      </c>
      <c r="B34" s="24">
        <v>7.0000000000000007E-2</v>
      </c>
      <c r="C34" s="24">
        <v>0.11</v>
      </c>
      <c r="D34" s="24">
        <v>0.22</v>
      </c>
      <c r="E34" s="24">
        <v>0.40532614265738581</v>
      </c>
      <c r="F34" s="24">
        <v>0.59</v>
      </c>
      <c r="G34" s="83">
        <f t="shared" si="0"/>
        <v>99.930048965723998</v>
      </c>
      <c r="H34" s="84">
        <f t="shared" si="3"/>
        <v>114.29555862808478</v>
      </c>
      <c r="I34" s="84">
        <f t="shared" si="1"/>
        <v>106.99250059649407</v>
      </c>
      <c r="J34" s="84">
        <f t="shared" si="2"/>
        <v>456386762.37529707</v>
      </c>
      <c r="L34" s="19">
        <f t="shared" si="11"/>
        <v>1.0000000000000009E-2</v>
      </c>
      <c r="M34" s="19">
        <f t="shared" si="10"/>
        <v>0</v>
      </c>
      <c r="N34" s="19">
        <f t="shared" si="10"/>
        <v>1.0000000000000009E-2</v>
      </c>
      <c r="O34" s="19">
        <f t="shared" si="10"/>
        <v>2.025912703832139E-2</v>
      </c>
      <c r="P34" s="19">
        <f t="shared" si="10"/>
        <v>2.9999999999999916E-2</v>
      </c>
      <c r="Q34" s="1">
        <v>32</v>
      </c>
      <c r="R34" s="82">
        <f>TSIR!$B$1080/100+TSIR!L861/100</f>
        <v>4.0399999999999998E-2</v>
      </c>
      <c r="S34" s="82">
        <f>TSIR!$C$1080/100+TSIR!M861/100</f>
        <v>3.8900000000000004E-2</v>
      </c>
      <c r="T34" s="82">
        <f>TSIR!$D$1080/100+TSIR!N861/100</f>
        <v>3.9199999999999999E-2</v>
      </c>
      <c r="U34" s="82">
        <f>TSIR!$E$1080/100+TSIR!O861/100</f>
        <v>3.9028E-2</v>
      </c>
      <c r="V34" s="82">
        <f>TSIR!$F$1080/100+TSIR!P861/100</f>
        <v>4.0500000000000001E-2</v>
      </c>
      <c r="X34" s="84">
        <f t="shared" si="5"/>
        <v>96.116878123798543</v>
      </c>
      <c r="Y34" s="84">
        <f t="shared" si="6"/>
        <v>102.99877961078766</v>
      </c>
      <c r="Z34" s="84">
        <f t="shared" si="7"/>
        <v>90.908809562023592</v>
      </c>
      <c r="AA34" s="84">
        <f t="shared" si="8"/>
        <v>401370825.07950997</v>
      </c>
      <c r="AB34" s="1">
        <f t="shared" si="9"/>
        <v>-5.7671127069748255E-3</v>
      </c>
      <c r="AC34" s="1">
        <v>-2.0485888984542256E-3</v>
      </c>
    </row>
    <row r="35" spans="1:29" x14ac:dyDescent="0.2">
      <c r="A35" s="8">
        <v>44249</v>
      </c>
      <c r="B35" s="24">
        <v>0.06</v>
      </c>
      <c r="C35" s="24">
        <v>0.11</v>
      </c>
      <c r="D35" s="24">
        <v>0.22</v>
      </c>
      <c r="E35" s="24">
        <v>0.41515875274314901</v>
      </c>
      <c r="F35" s="24">
        <v>0.61</v>
      </c>
      <c r="G35" s="83">
        <f t="shared" si="0"/>
        <v>99.940035978412965</v>
      </c>
      <c r="H35" s="84">
        <f t="shared" si="3"/>
        <v>114.29605797871923</v>
      </c>
      <c r="I35" s="84">
        <f t="shared" si="1"/>
        <v>106.8935257647824</v>
      </c>
      <c r="J35" s="84">
        <f t="shared" si="2"/>
        <v>456010088.04787672</v>
      </c>
      <c r="L35" s="19">
        <f t="shared" si="11"/>
        <v>-1.0000000000000009E-2</v>
      </c>
      <c r="M35" s="19">
        <f t="shared" si="10"/>
        <v>0</v>
      </c>
      <c r="N35" s="19">
        <f t="shared" si="10"/>
        <v>0</v>
      </c>
      <c r="O35" s="19">
        <f t="shared" si="10"/>
        <v>9.8326100857631937E-3</v>
      </c>
      <c r="P35" s="19">
        <f t="shared" si="10"/>
        <v>2.0000000000000018E-2</v>
      </c>
      <c r="Q35" s="1">
        <v>33</v>
      </c>
      <c r="R35" s="82">
        <f>TSIR!$B$1080/100+TSIR!L862/100</f>
        <v>3.9400000000000004E-2</v>
      </c>
      <c r="S35" s="82">
        <f>TSIR!$C$1080/100+TSIR!M862/100</f>
        <v>3.7400000000000003E-2</v>
      </c>
      <c r="T35" s="82">
        <f>TSIR!$D$1080/100+TSIR!N862/100</f>
        <v>3.7299999999999993E-2</v>
      </c>
      <c r="U35" s="82">
        <f>TSIR!$E$1080/100+TSIR!O862/100</f>
        <v>3.8372000000000003E-2</v>
      </c>
      <c r="V35" s="82">
        <f>TSIR!$F$1080/100+TSIR!P862/100</f>
        <v>3.9000000000000007E-2</v>
      </c>
      <c r="X35" s="84">
        <f t="shared" si="5"/>
        <v>96.209351548970545</v>
      </c>
      <c r="Y35" s="84">
        <f t="shared" si="6"/>
        <v>103.53186940176467</v>
      </c>
      <c r="Z35" s="84">
        <f t="shared" si="7"/>
        <v>91.535638336059606</v>
      </c>
      <c r="AA35" s="84">
        <f t="shared" si="8"/>
        <v>403263452.33953249</v>
      </c>
      <c r="AB35" s="1">
        <f t="shared" si="9"/>
        <v>-1.0788988465655189E-3</v>
      </c>
      <c r="AC35" s="1">
        <v>-1.9589563017183144E-3</v>
      </c>
    </row>
    <row r="36" spans="1:29" x14ac:dyDescent="0.2">
      <c r="A36" s="8">
        <v>44250</v>
      </c>
      <c r="B36" s="24">
        <v>0.08</v>
      </c>
      <c r="C36" s="24">
        <v>0.11</v>
      </c>
      <c r="D36" s="24">
        <v>0.22</v>
      </c>
      <c r="E36" s="24">
        <v>0.40547882689728015</v>
      </c>
      <c r="F36" s="24">
        <v>0.59</v>
      </c>
      <c r="G36" s="83">
        <f t="shared" si="0"/>
        <v>99.920063948840934</v>
      </c>
      <c r="H36" s="84">
        <f t="shared" si="3"/>
        <v>114.29505937724062</v>
      </c>
      <c r="I36" s="84">
        <f t="shared" si="1"/>
        <v>106.99228892602849</v>
      </c>
      <c r="J36" s="84">
        <f t="shared" si="2"/>
        <v>456366694.53593493</v>
      </c>
      <c r="L36" s="19">
        <f t="shared" si="11"/>
        <v>2.0000000000000004E-2</v>
      </c>
      <c r="M36" s="19">
        <f t="shared" si="10"/>
        <v>0</v>
      </c>
      <c r="N36" s="19">
        <f t="shared" si="10"/>
        <v>0</v>
      </c>
      <c r="O36" s="19">
        <f t="shared" si="10"/>
        <v>-9.6799258458688531E-3</v>
      </c>
      <c r="P36" s="19">
        <f t="shared" si="10"/>
        <v>-2.0000000000000018E-2</v>
      </c>
      <c r="Q36" s="1">
        <v>34</v>
      </c>
      <c r="R36" s="82">
        <f>TSIR!$B$1080/100+TSIR!L863/100</f>
        <v>3.9599999999999996E-2</v>
      </c>
      <c r="S36" s="82">
        <f>TSIR!$C$1080/100+TSIR!M863/100</f>
        <v>3.6799999999999999E-2</v>
      </c>
      <c r="T36" s="82">
        <f>TSIR!$D$1080/100+TSIR!N863/100</f>
        <v>3.7099999999999994E-2</v>
      </c>
      <c r="U36" s="82">
        <f>TSIR!$E$1080/100+TSIR!O863/100</f>
        <v>3.7388000000000005E-2</v>
      </c>
      <c r="V36" s="82">
        <f>TSIR!$F$1080/100+TSIR!P863/100</f>
        <v>3.8099999999999995E-2</v>
      </c>
      <c r="X36" s="84">
        <f t="shared" si="5"/>
        <v>96.19084263178145</v>
      </c>
      <c r="Y36" s="84">
        <f t="shared" si="6"/>
        <v>103.59075934787222</v>
      </c>
      <c r="Z36" s="84">
        <f t="shared" si="7"/>
        <v>91.910797444539284</v>
      </c>
      <c r="AA36" s="84">
        <f t="shared" si="8"/>
        <v>404638736.01991165</v>
      </c>
      <c r="AB36" s="1">
        <f t="shared" si="9"/>
        <v>2.3278068204930558E-3</v>
      </c>
      <c r="AC36" s="1">
        <v>-1.9544585231228971E-3</v>
      </c>
    </row>
    <row r="37" spans="1:29" x14ac:dyDescent="0.2">
      <c r="A37" s="8">
        <v>44251</v>
      </c>
      <c r="B37" s="24">
        <v>0.08</v>
      </c>
      <c r="C37" s="24">
        <v>0.12</v>
      </c>
      <c r="D37" s="24">
        <v>0.24</v>
      </c>
      <c r="E37" s="24">
        <v>0.43023658583468588</v>
      </c>
      <c r="F37" s="24">
        <v>0.62</v>
      </c>
      <c r="G37" s="83">
        <f t="shared" si="0"/>
        <v>99.920063948840934</v>
      </c>
      <c r="H37" s="84">
        <f t="shared" si="3"/>
        <v>114.23163909981351</v>
      </c>
      <c r="I37" s="84">
        <f t="shared" si="1"/>
        <v>106.84119967095378</v>
      </c>
      <c r="J37" s="84">
        <f t="shared" si="2"/>
        <v>455857467.93177676</v>
      </c>
      <c r="L37" s="19">
        <f t="shared" si="11"/>
        <v>0</v>
      </c>
      <c r="M37" s="19">
        <f t="shared" si="10"/>
        <v>9.999999999999995E-3</v>
      </c>
      <c r="N37" s="19">
        <f t="shared" si="10"/>
        <v>1.999999999999999E-2</v>
      </c>
      <c r="O37" s="19">
        <f t="shared" si="10"/>
        <v>2.4757758937405727E-2</v>
      </c>
      <c r="P37" s="19">
        <f t="shared" si="10"/>
        <v>3.0000000000000027E-2</v>
      </c>
      <c r="Q37" s="1">
        <v>35</v>
      </c>
      <c r="R37" s="82">
        <f>TSIR!$B$1080/100+TSIR!L864/100</f>
        <v>3.9100000000000003E-2</v>
      </c>
      <c r="S37" s="82">
        <f>TSIR!$C$1080/100+TSIR!M864/100</f>
        <v>3.6800000000000006E-2</v>
      </c>
      <c r="T37" s="82">
        <f>TSIR!$D$1080/100+TSIR!N864/100</f>
        <v>3.6699999999999997E-2</v>
      </c>
      <c r="U37" s="82">
        <f>TSIR!$E$1080/100+TSIR!O864/100</f>
        <v>3.7142999999999995E-2</v>
      </c>
      <c r="V37" s="82">
        <f>TSIR!$F$1080/100+TSIR!P864/100</f>
        <v>3.7900000000000003E-2</v>
      </c>
      <c r="X37" s="84">
        <f t="shared" si="5"/>
        <v>96.237128284092009</v>
      </c>
      <c r="Y37" s="84">
        <f t="shared" si="6"/>
        <v>103.70207277793736</v>
      </c>
      <c r="Z37" s="84">
        <f t="shared" si="7"/>
        <v>91.996980175207142</v>
      </c>
      <c r="AA37" s="84">
        <f t="shared" si="8"/>
        <v>404909068.10210657</v>
      </c>
      <c r="AB37" s="1">
        <f t="shared" si="9"/>
        <v>2.9974445465419091E-3</v>
      </c>
      <c r="AC37" s="1">
        <v>-1.9193949380510672E-3</v>
      </c>
    </row>
    <row r="38" spans="1:29" x14ac:dyDescent="0.2">
      <c r="A38" s="8">
        <v>44252</v>
      </c>
      <c r="B38" s="24">
        <v>0.09</v>
      </c>
      <c r="C38" s="24">
        <v>0.17</v>
      </c>
      <c r="D38" s="24">
        <v>0.34</v>
      </c>
      <c r="E38" s="24">
        <v>0.5752038298333777</v>
      </c>
      <c r="F38" s="24">
        <v>0.81</v>
      </c>
      <c r="G38" s="83">
        <f t="shared" si="0"/>
        <v>99.910080927165566</v>
      </c>
      <c r="H38" s="84">
        <f t="shared" si="3"/>
        <v>113.91478903858221</v>
      </c>
      <c r="I38" s="84">
        <f t="shared" si="1"/>
        <v>105.8933110820421</v>
      </c>
      <c r="J38" s="84">
        <f t="shared" si="2"/>
        <v>452521222.62462622</v>
      </c>
      <c r="L38" s="19">
        <f t="shared" si="11"/>
        <v>9.999999999999995E-3</v>
      </c>
      <c r="M38" s="19">
        <f t="shared" si="10"/>
        <v>5.0000000000000017E-2</v>
      </c>
      <c r="N38" s="19">
        <f t="shared" si="10"/>
        <v>0.10000000000000003</v>
      </c>
      <c r="O38" s="19">
        <f t="shared" si="10"/>
        <v>0.14496724399869182</v>
      </c>
      <c r="P38" s="19">
        <f t="shared" si="10"/>
        <v>0.19000000000000006</v>
      </c>
      <c r="Q38" s="1">
        <v>36</v>
      </c>
      <c r="R38" s="82">
        <f>TSIR!$B$1080/100+TSIR!L865/100</f>
        <v>3.8900000000000004E-2</v>
      </c>
      <c r="S38" s="82">
        <f>TSIR!$C$1080/100+TSIR!M865/100</f>
        <v>3.6699999999999997E-2</v>
      </c>
      <c r="T38" s="82">
        <f>TSIR!$D$1080/100+TSIR!N865/100</f>
        <v>3.6999999999999991E-2</v>
      </c>
      <c r="U38" s="82">
        <f>TSIR!$E$1080/100+TSIR!O865/100</f>
        <v>3.7108000000000009E-2</v>
      </c>
      <c r="V38" s="82">
        <f>TSIR!$F$1080/100+TSIR!P865/100</f>
        <v>3.7999999999999999E-2</v>
      </c>
      <c r="X38" s="84">
        <f t="shared" si="5"/>
        <v>96.255655019732416</v>
      </c>
      <c r="Y38" s="84">
        <f t="shared" si="6"/>
        <v>103.62213137170093</v>
      </c>
      <c r="Z38" s="84">
        <f t="shared" si="7"/>
        <v>91.955599534739065</v>
      </c>
      <c r="AA38" s="84">
        <f t="shared" si="8"/>
        <v>404900511.1208697</v>
      </c>
      <c r="AB38" s="1">
        <f t="shared" si="9"/>
        <v>2.9762481076628122E-3</v>
      </c>
      <c r="AC38" s="1">
        <v>-1.8839585577898616E-3</v>
      </c>
    </row>
    <row r="39" spans="1:29" x14ac:dyDescent="0.2">
      <c r="A39" s="8">
        <v>44253</v>
      </c>
      <c r="B39" s="24">
        <v>0.08</v>
      </c>
      <c r="C39" s="24">
        <v>0.14000000000000001</v>
      </c>
      <c r="D39" s="24">
        <v>0.3</v>
      </c>
      <c r="E39" s="24">
        <v>0.52519018577760768</v>
      </c>
      <c r="F39" s="24">
        <v>0.75</v>
      </c>
      <c r="G39" s="83">
        <f t="shared" si="0"/>
        <v>99.920063948840934</v>
      </c>
      <c r="H39" s="84">
        <f t="shared" si="3"/>
        <v>114.04267431969927</v>
      </c>
      <c r="I39" s="84">
        <f t="shared" si="1"/>
        <v>106.19302986891719</v>
      </c>
      <c r="J39" s="84">
        <f t="shared" si="2"/>
        <v>453548235.89380175</v>
      </c>
      <c r="L39" s="19">
        <f t="shared" si="11"/>
        <v>-9.999999999999995E-3</v>
      </c>
      <c r="M39" s="19">
        <f t="shared" si="10"/>
        <v>-0.03</v>
      </c>
      <c r="N39" s="19">
        <f t="shared" si="10"/>
        <v>-4.0000000000000036E-2</v>
      </c>
      <c r="O39" s="19">
        <f t="shared" si="10"/>
        <v>-5.0013644055770023E-2</v>
      </c>
      <c r="P39" s="19">
        <f t="shared" si="10"/>
        <v>-6.0000000000000053E-2</v>
      </c>
      <c r="Q39" s="1">
        <v>37</v>
      </c>
      <c r="R39" s="82">
        <f>TSIR!$B$1080/100+TSIR!L866/100</f>
        <v>3.95E-2</v>
      </c>
      <c r="S39" s="82">
        <f>TSIR!$C$1080/100+TSIR!M866/100</f>
        <v>3.7300000000000007E-2</v>
      </c>
      <c r="T39" s="82">
        <f>TSIR!$D$1080/100+TSIR!N866/100</f>
        <v>3.7499999999999999E-2</v>
      </c>
      <c r="U39" s="82">
        <f>TSIR!$E$1080/100+TSIR!O866/100</f>
        <v>3.7602000000000003E-2</v>
      </c>
      <c r="V39" s="82">
        <f>TSIR!$F$1080/100+TSIR!P866/100</f>
        <v>3.8599999999999995E-2</v>
      </c>
      <c r="X39" s="84">
        <f t="shared" si="5"/>
        <v>96.200096200096198</v>
      </c>
      <c r="Y39" s="84">
        <f t="shared" si="6"/>
        <v>103.47790788610219</v>
      </c>
      <c r="Z39" s="84">
        <f t="shared" si="7"/>
        <v>91.702232726963786</v>
      </c>
      <c r="AA39" s="84">
        <f t="shared" si="8"/>
        <v>403992261.47889429</v>
      </c>
      <c r="AB39" s="1">
        <f t="shared" si="9"/>
        <v>7.2642921824757356E-4</v>
      </c>
      <c r="AC39" s="1">
        <v>-1.7895791357418667E-3</v>
      </c>
    </row>
    <row r="40" spans="1:29" x14ac:dyDescent="0.2">
      <c r="A40" s="8">
        <v>44256</v>
      </c>
      <c r="B40" s="24">
        <v>0.08</v>
      </c>
      <c r="C40" s="24">
        <v>0.13</v>
      </c>
      <c r="D40" s="24">
        <v>0.27</v>
      </c>
      <c r="E40" s="24">
        <v>0.49023509886666083</v>
      </c>
      <c r="F40" s="24">
        <v>0.71</v>
      </c>
      <c r="G40" s="83">
        <f t="shared" si="0"/>
        <v>99.920063948840934</v>
      </c>
      <c r="H40" s="84">
        <f t="shared" si="3"/>
        <v>114.13710061981004</v>
      </c>
      <c r="I40" s="84">
        <f t="shared" si="1"/>
        <v>106.39322314223624</v>
      </c>
      <c r="J40" s="84">
        <f t="shared" si="2"/>
        <v>454207369.53691173</v>
      </c>
      <c r="L40" s="19">
        <f t="shared" si="11"/>
        <v>0</v>
      </c>
      <c r="M40" s="19">
        <f t="shared" si="10"/>
        <v>-1.0000000000000009E-2</v>
      </c>
      <c r="N40" s="19">
        <f t="shared" si="10"/>
        <v>-2.9999999999999971E-2</v>
      </c>
      <c r="O40" s="19">
        <f t="shared" si="10"/>
        <v>-3.4955086910946842E-2</v>
      </c>
      <c r="P40" s="19">
        <f t="shared" si="10"/>
        <v>-4.0000000000000036E-2</v>
      </c>
      <c r="Q40" s="1">
        <v>38</v>
      </c>
      <c r="R40" s="82">
        <f>TSIR!$B$1080/100+TSIR!L867/100</f>
        <v>3.9899999999999998E-2</v>
      </c>
      <c r="S40" s="82">
        <f>TSIR!$C$1080/100+TSIR!M867/100</f>
        <v>3.8200000000000005E-2</v>
      </c>
      <c r="T40" s="82">
        <f>TSIR!$D$1080/100+TSIR!N867/100</f>
        <v>3.8499999999999993E-2</v>
      </c>
      <c r="U40" s="82">
        <f>TSIR!$E$1080/100+TSIR!O867/100</f>
        <v>3.8322000000000002E-2</v>
      </c>
      <c r="V40" s="82">
        <f>TSIR!$F$1080/100+TSIR!P867/100</f>
        <v>3.9600000000000003E-2</v>
      </c>
      <c r="X40" s="84">
        <f t="shared" si="5"/>
        <v>96.163092605058168</v>
      </c>
      <c r="Y40" s="84">
        <f t="shared" si="6"/>
        <v>103.19665979848881</v>
      </c>
      <c r="Z40" s="84">
        <f t="shared" si="7"/>
        <v>91.283161737040814</v>
      </c>
      <c r="AA40" s="84">
        <f t="shared" si="8"/>
        <v>402663842.46054637</v>
      </c>
      <c r="AB40" s="1">
        <f t="shared" si="9"/>
        <v>-2.5641883195004198E-3</v>
      </c>
      <c r="AC40" s="1">
        <v>-1.7814706020819776E-3</v>
      </c>
    </row>
    <row r="41" spans="1:29" x14ac:dyDescent="0.2">
      <c r="A41" s="8">
        <v>44257</v>
      </c>
      <c r="B41" s="24">
        <v>0.08</v>
      </c>
      <c r="C41" s="24">
        <v>0.13</v>
      </c>
      <c r="D41" s="24">
        <v>0.26</v>
      </c>
      <c r="E41" s="24">
        <v>0.46500165109561042</v>
      </c>
      <c r="F41" s="24">
        <v>0.67</v>
      </c>
      <c r="G41" s="83">
        <f t="shared" si="0"/>
        <v>99.920063948840934</v>
      </c>
      <c r="H41" s="84">
        <f t="shared" si="3"/>
        <v>114.168268920486</v>
      </c>
      <c r="I41" s="84">
        <f t="shared" si="1"/>
        <v>106.59154269530652</v>
      </c>
      <c r="J41" s="84">
        <f t="shared" si="2"/>
        <v>454953895.29817891</v>
      </c>
      <c r="L41" s="19">
        <f t="shared" si="11"/>
        <v>0</v>
      </c>
      <c r="M41" s="19">
        <f t="shared" si="10"/>
        <v>0</v>
      </c>
      <c r="N41" s="19">
        <f t="shared" si="10"/>
        <v>-1.0000000000000009E-2</v>
      </c>
      <c r="O41" s="19">
        <f t="shared" si="10"/>
        <v>-2.523344777105041E-2</v>
      </c>
      <c r="P41" s="19">
        <f t="shared" si="10"/>
        <v>-3.9999999999999925E-2</v>
      </c>
      <c r="Q41" s="1">
        <v>39</v>
      </c>
      <c r="R41" s="82">
        <f>TSIR!$B$1080/100+TSIR!L868/100</f>
        <v>3.9299999999999995E-2</v>
      </c>
      <c r="S41" s="82">
        <f>TSIR!$C$1080/100+TSIR!M868/100</f>
        <v>3.6800000000000006E-2</v>
      </c>
      <c r="T41" s="82">
        <f>TSIR!$D$1080/100+TSIR!N868/100</f>
        <v>3.6899999999999988E-2</v>
      </c>
      <c r="U41" s="82">
        <f>TSIR!$E$1080/100+TSIR!O868/100</f>
        <v>3.7519000000000004E-2</v>
      </c>
      <c r="V41" s="82">
        <f>TSIR!$F$1080/100+TSIR!P868/100</f>
        <v>3.8200000000000005E-2</v>
      </c>
      <c r="X41" s="84">
        <f t="shared" si="5"/>
        <v>96.218608678918514</v>
      </c>
      <c r="Y41" s="84">
        <f t="shared" si="6"/>
        <v>103.64662619991221</v>
      </c>
      <c r="Z41" s="84">
        <f t="shared" si="7"/>
        <v>91.870779526872226</v>
      </c>
      <c r="AA41" s="84">
        <f t="shared" si="8"/>
        <v>404450396.16545761</v>
      </c>
      <c r="AB41" s="1">
        <f t="shared" si="9"/>
        <v>1.861271473164075E-3</v>
      </c>
      <c r="AC41" s="1">
        <v>-1.7735884961745257E-3</v>
      </c>
    </row>
    <row r="42" spans="1:29" x14ac:dyDescent="0.2">
      <c r="A42" s="8">
        <v>44258</v>
      </c>
      <c r="B42" s="24">
        <v>0.08</v>
      </c>
      <c r="C42" s="24">
        <v>0.14000000000000001</v>
      </c>
      <c r="D42" s="24">
        <v>0.28999999999999998</v>
      </c>
      <c r="E42" s="24">
        <v>0.5100631916899151</v>
      </c>
      <c r="F42" s="24">
        <v>0.73</v>
      </c>
      <c r="G42" s="83">
        <f t="shared" si="0"/>
        <v>99.920063948840934</v>
      </c>
      <c r="H42" s="84">
        <f t="shared" si="3"/>
        <v>114.07380534515417</v>
      </c>
      <c r="I42" s="84">
        <f t="shared" si="1"/>
        <v>106.29238838639148</v>
      </c>
      <c r="J42" s="84">
        <f t="shared" si="2"/>
        <v>453898973.42551649</v>
      </c>
      <c r="L42" s="19">
        <f t="shared" si="11"/>
        <v>0</v>
      </c>
      <c r="M42" s="19">
        <f t="shared" si="10"/>
        <v>1.0000000000000009E-2</v>
      </c>
      <c r="N42" s="19">
        <f t="shared" si="10"/>
        <v>2.9999999999999971E-2</v>
      </c>
      <c r="O42" s="19">
        <f t="shared" si="10"/>
        <v>4.5061540594304672E-2</v>
      </c>
      <c r="P42" s="19">
        <f t="shared" si="10"/>
        <v>5.9999999999999942E-2</v>
      </c>
      <c r="Q42" s="1">
        <v>40</v>
      </c>
      <c r="R42" s="82">
        <f>TSIR!$B$1080/100+TSIR!L869/100</f>
        <v>3.9599999999999996E-2</v>
      </c>
      <c r="S42" s="82">
        <f>TSIR!$C$1080/100+TSIR!M869/100</f>
        <v>3.7499999999999999E-2</v>
      </c>
      <c r="T42" s="82">
        <f>TSIR!$D$1080/100+TSIR!N869/100</f>
        <v>3.78E-2</v>
      </c>
      <c r="U42" s="82">
        <f>TSIR!$E$1080/100+TSIR!O869/100</f>
        <v>3.7988000000000001E-2</v>
      </c>
      <c r="V42" s="82">
        <f>TSIR!$F$1080/100+TSIR!P869/100</f>
        <v>3.9E-2</v>
      </c>
      <c r="X42" s="84">
        <f t="shared" si="5"/>
        <v>96.19084263178145</v>
      </c>
      <c r="Y42" s="84">
        <f t="shared" si="6"/>
        <v>103.39414055028053</v>
      </c>
      <c r="Z42" s="84">
        <f t="shared" si="7"/>
        <v>91.534868380243893</v>
      </c>
      <c r="AA42" s="84">
        <f t="shared" si="8"/>
        <v>403429947.95911765</v>
      </c>
      <c r="AB42" s="1">
        <f t="shared" si="9"/>
        <v>-6.6647370194022285E-4</v>
      </c>
      <c r="AC42" s="1">
        <v>-1.7403343723421667E-3</v>
      </c>
    </row>
    <row r="43" spans="1:29" x14ac:dyDescent="0.2">
      <c r="A43" s="8">
        <v>44259</v>
      </c>
      <c r="B43" s="24">
        <v>0.08</v>
      </c>
      <c r="C43" s="24">
        <v>0.14000000000000001</v>
      </c>
      <c r="D43" s="24">
        <v>0.32</v>
      </c>
      <c r="E43" s="24">
        <v>0.5452826124550213</v>
      </c>
      <c r="F43" s="24">
        <v>0.77</v>
      </c>
      <c r="G43" s="83">
        <f t="shared" si="0"/>
        <v>99.920063948840934</v>
      </c>
      <c r="H43" s="84">
        <f t="shared" si="3"/>
        <v>113.9804495006719</v>
      </c>
      <c r="I43" s="84">
        <f t="shared" si="1"/>
        <v>106.09280951121568</v>
      </c>
      <c r="J43" s="84">
        <f t="shared" si="2"/>
        <v>453240691.69153666</v>
      </c>
      <c r="L43" s="19">
        <f t="shared" si="11"/>
        <v>0</v>
      </c>
      <c r="M43" s="19">
        <f t="shared" si="10"/>
        <v>0</v>
      </c>
      <c r="N43" s="19">
        <f t="shared" si="10"/>
        <v>3.0000000000000027E-2</v>
      </c>
      <c r="O43" s="19">
        <f t="shared" si="10"/>
        <v>3.5219420765106202E-2</v>
      </c>
      <c r="P43" s="19">
        <f t="shared" si="10"/>
        <v>4.0000000000000036E-2</v>
      </c>
      <c r="Q43" s="1">
        <v>41</v>
      </c>
      <c r="R43" s="82">
        <f>TSIR!$B$1080/100+TSIR!L870/100</f>
        <v>3.95E-2</v>
      </c>
      <c r="S43" s="82">
        <f>TSIR!$C$1080/100+TSIR!M870/100</f>
        <v>3.7400000000000003E-2</v>
      </c>
      <c r="T43" s="82">
        <f>TSIR!$D$1080/100+TSIR!N870/100</f>
        <v>3.7599999999999995E-2</v>
      </c>
      <c r="U43" s="82">
        <f>TSIR!$E$1080/100+TSIR!O870/100</f>
        <v>3.7892000000000002E-2</v>
      </c>
      <c r="V43" s="82">
        <f>TSIR!$F$1080/100+TSIR!P870/100</f>
        <v>3.8800000000000001E-2</v>
      </c>
      <c r="X43" s="84">
        <f t="shared" si="5"/>
        <v>96.200096200096198</v>
      </c>
      <c r="Y43" s="84">
        <f t="shared" si="6"/>
        <v>103.44983049675432</v>
      </c>
      <c r="Z43" s="84">
        <f t="shared" si="7"/>
        <v>91.618209660044499</v>
      </c>
      <c r="AA43" s="84">
        <f t="shared" si="8"/>
        <v>403698285.29523897</v>
      </c>
      <c r="AB43" s="1">
        <f t="shared" si="9"/>
        <v>-1.7771475567056759E-6</v>
      </c>
      <c r="AC43" s="1">
        <v>-1.694952571762243E-3</v>
      </c>
    </row>
    <row r="44" spans="1:29" x14ac:dyDescent="0.2">
      <c r="A44" s="8">
        <v>44260</v>
      </c>
      <c r="B44" s="24">
        <v>0.08</v>
      </c>
      <c r="C44" s="24">
        <v>0.14000000000000001</v>
      </c>
      <c r="D44" s="24">
        <v>0.32</v>
      </c>
      <c r="E44" s="24">
        <v>0.55544335391675492</v>
      </c>
      <c r="F44" s="24">
        <v>0.79</v>
      </c>
      <c r="G44" s="83">
        <f t="shared" si="0"/>
        <v>99.920063948840934</v>
      </c>
      <c r="H44" s="84">
        <f t="shared" si="3"/>
        <v>113.9804495006719</v>
      </c>
      <c r="I44" s="84">
        <f t="shared" si="1"/>
        <v>105.99466459345297</v>
      </c>
      <c r="J44" s="84">
        <f t="shared" si="2"/>
        <v>452848112.02048588</v>
      </c>
      <c r="L44" s="19">
        <f t="shared" si="11"/>
        <v>0</v>
      </c>
      <c r="M44" s="19">
        <f t="shared" si="10"/>
        <v>0</v>
      </c>
      <c r="N44" s="19">
        <f t="shared" si="10"/>
        <v>0</v>
      </c>
      <c r="O44" s="19">
        <f t="shared" si="10"/>
        <v>1.0160741461733624E-2</v>
      </c>
      <c r="P44" s="19">
        <f t="shared" si="10"/>
        <v>2.0000000000000018E-2</v>
      </c>
      <c r="Q44" s="1">
        <v>42</v>
      </c>
      <c r="R44" s="82">
        <f>TSIR!$B$1080/100+TSIR!L871/100</f>
        <v>3.95E-2</v>
      </c>
      <c r="S44" s="82">
        <f>TSIR!$C$1080/100+TSIR!M871/100</f>
        <v>3.7499999999999999E-2</v>
      </c>
      <c r="T44" s="82">
        <f>TSIR!$D$1080/100+TSIR!N871/100</f>
        <v>3.769999999999999E-2</v>
      </c>
      <c r="U44" s="82">
        <f>TSIR!$E$1080/100+TSIR!O871/100</f>
        <v>3.7885000000000002E-2</v>
      </c>
      <c r="V44" s="82">
        <f>TSIR!$F$1080/100+TSIR!P871/100</f>
        <v>3.8899999999999997E-2</v>
      </c>
      <c r="X44" s="84">
        <f t="shared" si="5"/>
        <v>96.200096200096198</v>
      </c>
      <c r="Y44" s="84">
        <f t="shared" si="6"/>
        <v>103.42176384303731</v>
      </c>
      <c r="Z44" s="84">
        <f t="shared" si="7"/>
        <v>91.576805891897024</v>
      </c>
      <c r="AA44" s="84">
        <f t="shared" si="8"/>
        <v>403574770.20322454</v>
      </c>
      <c r="AB44" s="1">
        <f t="shared" si="9"/>
        <v>-3.0773552540702806E-4</v>
      </c>
      <c r="AC44" s="1">
        <v>-1.690988131760874E-3</v>
      </c>
    </row>
    <row r="45" spans="1:29" x14ac:dyDescent="0.2">
      <c r="A45" s="8">
        <v>44263</v>
      </c>
      <c r="B45" s="24">
        <v>0.09</v>
      </c>
      <c r="C45" s="24">
        <v>0.17</v>
      </c>
      <c r="D45" s="24">
        <v>0.34</v>
      </c>
      <c r="E45" s="24">
        <v>0.60023969041671721</v>
      </c>
      <c r="F45" s="24">
        <v>0.86</v>
      </c>
      <c r="G45" s="83">
        <f t="shared" si="0"/>
        <v>99.910080927165566</v>
      </c>
      <c r="H45" s="84">
        <f t="shared" si="3"/>
        <v>113.91478903858221</v>
      </c>
      <c r="I45" s="84">
        <f t="shared" si="1"/>
        <v>105.64877623743274</v>
      </c>
      <c r="J45" s="84">
        <f t="shared" si="2"/>
        <v>451543083.24618882</v>
      </c>
      <c r="L45" s="19">
        <f t="shared" si="11"/>
        <v>9.999999999999995E-3</v>
      </c>
      <c r="M45" s="19">
        <f t="shared" si="10"/>
        <v>0.03</v>
      </c>
      <c r="N45" s="19">
        <f t="shared" si="10"/>
        <v>2.0000000000000018E-2</v>
      </c>
      <c r="O45" s="19">
        <f t="shared" si="10"/>
        <v>4.4796336499962286E-2</v>
      </c>
      <c r="P45" s="19">
        <f t="shared" si="10"/>
        <v>6.9999999999999951E-2</v>
      </c>
      <c r="Q45" s="1">
        <v>43</v>
      </c>
      <c r="R45" s="82">
        <f>TSIR!$B$1080/100+TSIR!L872/100</f>
        <v>3.95E-2</v>
      </c>
      <c r="S45" s="82">
        <f>TSIR!$C$1080/100+TSIR!M872/100</f>
        <v>3.6800000000000006E-2</v>
      </c>
      <c r="T45" s="82">
        <f>TSIR!$D$1080/100+TSIR!N872/100</f>
        <v>3.7499999999999999E-2</v>
      </c>
      <c r="U45" s="82">
        <f>TSIR!$E$1080/100+TSIR!O872/100</f>
        <v>3.7784000000000005E-2</v>
      </c>
      <c r="V45" s="82">
        <f>TSIR!$F$1080/100+TSIR!P872/100</f>
        <v>3.8600000000000002E-2</v>
      </c>
      <c r="X45" s="84">
        <f t="shared" si="5"/>
        <v>96.200096200096198</v>
      </c>
      <c r="Y45" s="84">
        <f t="shared" si="6"/>
        <v>103.48239090910548</v>
      </c>
      <c r="Z45" s="84">
        <f t="shared" si="7"/>
        <v>91.702815848159773</v>
      </c>
      <c r="AA45" s="84">
        <f t="shared" si="8"/>
        <v>403987869.42917329</v>
      </c>
      <c r="AB45" s="1">
        <f t="shared" si="9"/>
        <v>7.15549702342595E-4</v>
      </c>
      <c r="AC45" s="1">
        <v>-1.6033437184224126E-3</v>
      </c>
    </row>
    <row r="46" spans="1:29" x14ac:dyDescent="0.2">
      <c r="A46" s="8">
        <v>44264</v>
      </c>
      <c r="B46" s="24">
        <v>0.1</v>
      </c>
      <c r="C46" s="24">
        <v>0.17</v>
      </c>
      <c r="D46" s="24">
        <v>0.35</v>
      </c>
      <c r="E46" s="24">
        <v>0.5904909278023116</v>
      </c>
      <c r="F46" s="24">
        <v>0.83</v>
      </c>
      <c r="G46" s="83">
        <f t="shared" si="0"/>
        <v>99.900099900099917</v>
      </c>
      <c r="H46" s="84">
        <f t="shared" si="3"/>
        <v>113.88322096339907</v>
      </c>
      <c r="I46" s="84">
        <f t="shared" si="1"/>
        <v>105.79420918555036</v>
      </c>
      <c r="J46" s="84">
        <f t="shared" si="2"/>
        <v>452152205.09730268</v>
      </c>
      <c r="L46" s="19">
        <f t="shared" si="11"/>
        <v>1.0000000000000009E-2</v>
      </c>
      <c r="M46" s="19">
        <f t="shared" si="10"/>
        <v>0</v>
      </c>
      <c r="N46" s="19">
        <f t="shared" si="10"/>
        <v>9.9999999999999534E-3</v>
      </c>
      <c r="O46" s="19">
        <f t="shared" si="10"/>
        <v>-9.7487626144056039E-3</v>
      </c>
      <c r="P46" s="19">
        <f t="shared" si="10"/>
        <v>-3.0000000000000027E-2</v>
      </c>
      <c r="Q46" s="1">
        <v>44</v>
      </c>
      <c r="R46" s="82">
        <f>TSIR!$B$1080/100+TSIR!L873/100</f>
        <v>3.9800000000000002E-2</v>
      </c>
      <c r="S46" s="82">
        <f>TSIR!$C$1080/100+TSIR!M873/100</f>
        <v>3.7999999999999999E-2</v>
      </c>
      <c r="T46" s="82">
        <f>TSIR!$D$1080/100+TSIR!N873/100</f>
        <v>3.8399999999999997E-2</v>
      </c>
      <c r="U46" s="82">
        <f>TSIR!$E$1080/100+TSIR!O873/100</f>
        <v>3.8458000000000006E-2</v>
      </c>
      <c r="V46" s="82">
        <f>TSIR!$F$1080/100+TSIR!P873/100</f>
        <v>3.9500000000000007E-2</v>
      </c>
      <c r="X46" s="84">
        <f t="shared" si="5"/>
        <v>96.172340834775909</v>
      </c>
      <c r="Y46" s="84">
        <f t="shared" si="6"/>
        <v>103.2259974376859</v>
      </c>
      <c r="Z46" s="84">
        <f t="shared" si="7"/>
        <v>91.32408739237944</v>
      </c>
      <c r="AA46" s="84">
        <f t="shared" si="8"/>
        <v>402802035.08254069</v>
      </c>
      <c r="AB46" s="1">
        <f t="shared" si="9"/>
        <v>-2.2218723339257696E-3</v>
      </c>
      <c r="AC46" s="1">
        <v>-1.5984404891359158E-3</v>
      </c>
    </row>
    <row r="47" spans="1:29" x14ac:dyDescent="0.2">
      <c r="A47" s="8">
        <v>44265</v>
      </c>
      <c r="B47" s="24">
        <v>0.08</v>
      </c>
      <c r="C47" s="24">
        <v>0.16</v>
      </c>
      <c r="D47" s="24">
        <v>0.32</v>
      </c>
      <c r="E47" s="24">
        <v>0.56030293478029924</v>
      </c>
      <c r="F47" s="24">
        <v>0.8</v>
      </c>
      <c r="G47" s="83">
        <f t="shared" si="0"/>
        <v>99.920063948840934</v>
      </c>
      <c r="H47" s="84">
        <f t="shared" si="3"/>
        <v>113.97845847369955</v>
      </c>
      <c r="I47" s="84">
        <f t="shared" si="1"/>
        <v>105.94485650020297</v>
      </c>
      <c r="J47" s="84">
        <f t="shared" si="2"/>
        <v>452651866.18794441</v>
      </c>
      <c r="L47" s="19">
        <f t="shared" si="11"/>
        <v>-2.0000000000000004E-2</v>
      </c>
      <c r="M47" s="19">
        <f t="shared" si="10"/>
        <v>-1.0000000000000009E-2</v>
      </c>
      <c r="N47" s="19">
        <f t="shared" si="10"/>
        <v>-2.9999999999999971E-2</v>
      </c>
      <c r="O47" s="19">
        <f t="shared" si="10"/>
        <v>-3.018799302201236E-2</v>
      </c>
      <c r="P47" s="19">
        <f t="shared" si="10"/>
        <v>-2.9999999999999916E-2</v>
      </c>
      <c r="Q47" s="1">
        <v>45</v>
      </c>
      <c r="R47" s="82">
        <f>TSIR!$B$1080/100+TSIR!L874/100</f>
        <v>3.9199999999999999E-2</v>
      </c>
      <c r="S47" s="82">
        <f>TSIR!$C$1080/100+TSIR!M874/100</f>
        <v>3.7300000000000007E-2</v>
      </c>
      <c r="T47" s="82">
        <f>TSIR!$D$1080/100+TSIR!N874/100</f>
        <v>3.7199999999999997E-2</v>
      </c>
      <c r="U47" s="82">
        <f>TSIR!$E$1080/100+TSIR!O874/100</f>
        <v>3.7733999999999997E-2</v>
      </c>
      <c r="V47" s="82">
        <f>TSIR!$F$1080/100+TSIR!P874/100</f>
        <v>3.85E-2</v>
      </c>
      <c r="X47" s="84">
        <f t="shared" si="5"/>
        <v>96.22786759045421</v>
      </c>
      <c r="Y47" s="84">
        <f t="shared" si="6"/>
        <v>103.56090405332534</v>
      </c>
      <c r="Z47" s="84">
        <f t="shared" si="7"/>
        <v>91.744109701739077</v>
      </c>
      <c r="AA47" s="84">
        <f t="shared" si="8"/>
        <v>404090817.90787673</v>
      </c>
      <c r="AB47" s="1">
        <f t="shared" si="9"/>
        <v>9.7056266498996436E-4</v>
      </c>
      <c r="AC47" s="1">
        <v>-1.5618464976717128E-3</v>
      </c>
    </row>
    <row r="48" spans="1:29" x14ac:dyDescent="0.2">
      <c r="A48" s="8">
        <v>44266</v>
      </c>
      <c r="B48" s="24">
        <v>0.08</v>
      </c>
      <c r="C48" s="24">
        <v>0.14000000000000001</v>
      </c>
      <c r="D48" s="24">
        <v>0.31</v>
      </c>
      <c r="E48" s="24">
        <v>0.5450282782848298</v>
      </c>
      <c r="F48" s="24">
        <v>0.78</v>
      </c>
      <c r="G48" s="83">
        <f t="shared" si="0"/>
        <v>99.920063948840934</v>
      </c>
      <c r="H48" s="84">
        <f t="shared" si="3"/>
        <v>114.01155570693376</v>
      </c>
      <c r="I48" s="84">
        <f t="shared" si="1"/>
        <v>106.04473029028513</v>
      </c>
      <c r="J48" s="84">
        <f t="shared" si="2"/>
        <v>453001715.49842173</v>
      </c>
      <c r="L48" s="19">
        <f t="shared" si="11"/>
        <v>0</v>
      </c>
      <c r="M48" s="19">
        <f t="shared" si="10"/>
        <v>-1.999999999999999E-2</v>
      </c>
      <c r="N48" s="19">
        <f t="shared" si="10"/>
        <v>-1.0000000000000009E-2</v>
      </c>
      <c r="O48" s="19">
        <f t="shared" si="10"/>
        <v>-1.5274656495469441E-2</v>
      </c>
      <c r="P48" s="19">
        <f t="shared" si="10"/>
        <v>-2.0000000000000018E-2</v>
      </c>
      <c r="Q48" s="1">
        <v>46</v>
      </c>
      <c r="R48" s="82">
        <f>TSIR!$B$1080/100+TSIR!L875/100</f>
        <v>3.9400000000000004E-2</v>
      </c>
      <c r="S48" s="82">
        <f>TSIR!$C$1080/100+TSIR!M875/100</f>
        <v>3.7499999999999999E-2</v>
      </c>
      <c r="T48" s="82">
        <f>TSIR!$D$1080/100+TSIR!N875/100</f>
        <v>3.7899999999999989E-2</v>
      </c>
      <c r="U48" s="82">
        <f>TSIR!$E$1080/100+TSIR!O875/100</f>
        <v>3.8134000000000008E-2</v>
      </c>
      <c r="V48" s="82">
        <f>TSIR!$F$1080/100+TSIR!P875/100</f>
        <v>3.9199999999999999E-2</v>
      </c>
      <c r="X48" s="84">
        <f t="shared" si="5"/>
        <v>96.209351548970545</v>
      </c>
      <c r="Y48" s="84">
        <f t="shared" si="6"/>
        <v>103.36791584831694</v>
      </c>
      <c r="Z48" s="84">
        <f t="shared" si="7"/>
        <v>91.452720482120753</v>
      </c>
      <c r="AA48" s="84">
        <f t="shared" si="8"/>
        <v>403177711.25394869</v>
      </c>
      <c r="AB48" s="1">
        <f t="shared" si="9"/>
        <v>-1.2912874950497201E-3</v>
      </c>
      <c r="AC48" s="1">
        <v>-1.5261048127083838E-3</v>
      </c>
    </row>
    <row r="49" spans="1:29" x14ac:dyDescent="0.2">
      <c r="A49" s="8">
        <v>44267</v>
      </c>
      <c r="B49" s="24">
        <v>0.09</v>
      </c>
      <c r="C49" s="24">
        <v>0.14000000000000001</v>
      </c>
      <c r="D49" s="24">
        <v>0.34</v>
      </c>
      <c r="E49" s="24">
        <v>0.59518799726707583</v>
      </c>
      <c r="F49" s="24">
        <v>0.85</v>
      </c>
      <c r="G49" s="83">
        <f t="shared" si="0"/>
        <v>99.910080927165566</v>
      </c>
      <c r="H49" s="84">
        <f t="shared" si="3"/>
        <v>113.91777513184972</v>
      </c>
      <c r="I49" s="84">
        <f t="shared" si="1"/>
        <v>105.69882318821186</v>
      </c>
      <c r="J49" s="84">
        <f t="shared" si="2"/>
        <v>451738791.90940398</v>
      </c>
      <c r="L49" s="19">
        <f t="shared" si="11"/>
        <v>9.999999999999995E-3</v>
      </c>
      <c r="M49" s="19">
        <f t="shared" si="10"/>
        <v>0</v>
      </c>
      <c r="N49" s="19">
        <f t="shared" si="10"/>
        <v>3.0000000000000027E-2</v>
      </c>
      <c r="O49" s="19">
        <f t="shared" si="10"/>
        <v>5.0159718982246027E-2</v>
      </c>
      <c r="P49" s="19">
        <f t="shared" si="10"/>
        <v>6.9999999999999951E-2</v>
      </c>
      <c r="Q49" s="1">
        <v>47</v>
      </c>
      <c r="R49" s="82">
        <f>TSIR!$B$1080/100+TSIR!L876/100</f>
        <v>3.9599999999999996E-2</v>
      </c>
      <c r="S49" s="82">
        <f>TSIR!$C$1080/100+TSIR!M876/100</f>
        <v>3.7999999999999999E-2</v>
      </c>
      <c r="T49" s="82">
        <f>TSIR!$D$1080/100+TSIR!N876/100</f>
        <v>3.8199999999999998E-2</v>
      </c>
      <c r="U49" s="82">
        <f>TSIR!$E$1080/100+TSIR!O876/100</f>
        <v>3.8655999999999996E-2</v>
      </c>
      <c r="V49" s="82">
        <f>TSIR!$F$1080/100+TSIR!P876/100</f>
        <v>3.9900000000000005E-2</v>
      </c>
      <c r="X49" s="84">
        <f t="shared" si="5"/>
        <v>96.19084263178145</v>
      </c>
      <c r="Y49" s="84">
        <f t="shared" si="6"/>
        <v>103.28112875046294</v>
      </c>
      <c r="Z49" s="84">
        <f t="shared" si="7"/>
        <v>91.162675396486634</v>
      </c>
      <c r="AA49" s="84">
        <f t="shared" si="8"/>
        <v>402110693.72381502</v>
      </c>
      <c r="AB49" s="1">
        <f t="shared" si="9"/>
        <v>-3.9343892191646031E-3</v>
      </c>
      <c r="AC49" s="1">
        <v>-1.4882537659790462E-3</v>
      </c>
    </row>
    <row r="50" spans="1:29" x14ac:dyDescent="0.2">
      <c r="A50" s="8">
        <v>44270</v>
      </c>
      <c r="B50" s="24">
        <v>0.08</v>
      </c>
      <c r="C50" s="24">
        <v>0.14000000000000001</v>
      </c>
      <c r="D50" s="24">
        <v>0.33</v>
      </c>
      <c r="E50" s="24">
        <v>0.58514200708193642</v>
      </c>
      <c r="F50" s="24">
        <v>0.84</v>
      </c>
      <c r="G50" s="83">
        <f t="shared" si="0"/>
        <v>99.920063948840934</v>
      </c>
      <c r="H50" s="84">
        <f t="shared" si="3"/>
        <v>113.9493556947313</v>
      </c>
      <c r="I50" s="84">
        <f t="shared" si="1"/>
        <v>105.74888433571316</v>
      </c>
      <c r="J50" s="84">
        <f t="shared" si="2"/>
        <v>451911631.69843757</v>
      </c>
      <c r="L50" s="19">
        <f t="shared" si="11"/>
        <v>-9.999999999999995E-3</v>
      </c>
      <c r="M50" s="19">
        <f t="shared" si="10"/>
        <v>0</v>
      </c>
      <c r="N50" s="19">
        <f t="shared" si="10"/>
        <v>-1.0000000000000009E-2</v>
      </c>
      <c r="O50" s="19">
        <f t="shared" si="10"/>
        <v>-1.0045990185139408E-2</v>
      </c>
      <c r="P50" s="19">
        <f t="shared" si="10"/>
        <v>-1.0000000000000009E-2</v>
      </c>
      <c r="Q50" s="1">
        <v>48</v>
      </c>
      <c r="R50" s="82">
        <f>TSIR!$B$1080/100+TSIR!L877/100</f>
        <v>3.9200000000000006E-2</v>
      </c>
      <c r="S50" s="82">
        <f>TSIR!$C$1080/100+TSIR!M877/100</f>
        <v>3.7100000000000008E-2</v>
      </c>
      <c r="T50" s="82">
        <f>TSIR!$D$1080/100+TSIR!N877/100</f>
        <v>3.7199999999999997E-2</v>
      </c>
      <c r="U50" s="82">
        <f>TSIR!$E$1080/100+TSIR!O877/100</f>
        <v>3.7635000000000009E-2</v>
      </c>
      <c r="V50" s="82">
        <f>TSIR!$F$1080/100+TSIR!P877/100</f>
        <v>3.8299999999999994E-2</v>
      </c>
      <c r="X50" s="84">
        <f t="shared" si="5"/>
        <v>96.22786759045421</v>
      </c>
      <c r="Y50" s="84">
        <f t="shared" si="6"/>
        <v>103.56269648446171</v>
      </c>
      <c r="Z50" s="84">
        <f t="shared" si="7"/>
        <v>91.826845157497814</v>
      </c>
      <c r="AA50" s="84">
        <f t="shared" si="8"/>
        <v>404419071.08420706</v>
      </c>
      <c r="AB50" s="1">
        <f t="shared" si="9"/>
        <v>1.7836763316381515E-3</v>
      </c>
      <c r="AC50" s="1">
        <v>-1.4854412521965344E-3</v>
      </c>
    </row>
    <row r="51" spans="1:29" x14ac:dyDescent="0.2">
      <c r="A51" s="8">
        <v>44271</v>
      </c>
      <c r="B51" s="24">
        <v>7.0000000000000007E-2</v>
      </c>
      <c r="C51" s="24">
        <v>0.15</v>
      </c>
      <c r="D51" s="24">
        <v>0.33</v>
      </c>
      <c r="E51" s="24">
        <v>0.58011828926991482</v>
      </c>
      <c r="F51" s="24">
        <v>0.83</v>
      </c>
      <c r="G51" s="83">
        <f t="shared" si="0"/>
        <v>99.930048965723998</v>
      </c>
      <c r="H51" s="84">
        <f t="shared" si="3"/>
        <v>113.94885928298591</v>
      </c>
      <c r="I51" s="84">
        <f t="shared" si="1"/>
        <v>105.79759410409697</v>
      </c>
      <c r="J51" s="84">
        <f t="shared" si="2"/>
        <v>452127185.42335701</v>
      </c>
      <c r="L51" s="19">
        <f t="shared" si="11"/>
        <v>-9.999999999999995E-3</v>
      </c>
      <c r="M51" s="19">
        <f t="shared" si="10"/>
        <v>9.9999999999999811E-3</v>
      </c>
      <c r="N51" s="19">
        <f t="shared" si="10"/>
        <v>0</v>
      </c>
      <c r="O51" s="19">
        <f t="shared" si="10"/>
        <v>-5.0237178120215997E-3</v>
      </c>
      <c r="P51" s="19">
        <f t="shared" si="10"/>
        <v>-1.0000000000000009E-2</v>
      </c>
      <c r="Q51" s="1">
        <v>49</v>
      </c>
      <c r="R51" s="82">
        <f>TSIR!$B$1080/100+TSIR!L878/100</f>
        <v>3.9199999999999999E-2</v>
      </c>
      <c r="S51" s="82">
        <f>TSIR!$C$1080/100+TSIR!M878/100</f>
        <v>3.7100000000000001E-2</v>
      </c>
      <c r="T51" s="82">
        <f>TSIR!$D$1080/100+TSIR!N878/100</f>
        <v>3.6999999999999998E-2</v>
      </c>
      <c r="U51" s="82">
        <f>TSIR!$E$1080/100+TSIR!O878/100</f>
        <v>3.7360000000000004E-2</v>
      </c>
      <c r="V51" s="82">
        <f>TSIR!$F$1080/100+TSIR!P878/100</f>
        <v>3.8200000000000005E-2</v>
      </c>
      <c r="X51" s="84">
        <f t="shared" si="5"/>
        <v>96.22786759045421</v>
      </c>
      <c r="Y51" s="84">
        <f t="shared" si="6"/>
        <v>103.61715402530419</v>
      </c>
      <c r="Z51" s="84">
        <f t="shared" si="7"/>
        <v>91.870427981976775</v>
      </c>
      <c r="AA51" s="84">
        <f t="shared" si="8"/>
        <v>404511716.07085925</v>
      </c>
      <c r="AB51" s="1">
        <f t="shared" si="9"/>
        <v>2.0131665855802243E-3</v>
      </c>
      <c r="AC51" s="1">
        <v>-1.4792645039820584E-3</v>
      </c>
    </row>
    <row r="52" spans="1:29" x14ac:dyDescent="0.2">
      <c r="A52" s="8">
        <v>44272</v>
      </c>
      <c r="B52" s="24">
        <v>7.0000000000000007E-2</v>
      </c>
      <c r="C52" s="24">
        <v>0.13</v>
      </c>
      <c r="D52" s="24">
        <v>0.28999999999999998</v>
      </c>
      <c r="E52" s="24">
        <v>0.54508118024096319</v>
      </c>
      <c r="F52" s="24">
        <v>0.8</v>
      </c>
      <c r="G52" s="83">
        <f t="shared" si="0"/>
        <v>99.930048965723998</v>
      </c>
      <c r="H52" s="84">
        <f t="shared" si="3"/>
        <v>114.07530055691375</v>
      </c>
      <c r="I52" s="84">
        <f t="shared" si="1"/>
        <v>105.94921384173811</v>
      </c>
      <c r="J52" s="84">
        <f t="shared" si="2"/>
        <v>452544002.46302986</v>
      </c>
      <c r="L52" s="19">
        <f t="shared" si="11"/>
        <v>0</v>
      </c>
      <c r="M52" s="19">
        <f t="shared" si="10"/>
        <v>-1.999999999999999E-2</v>
      </c>
      <c r="N52" s="19">
        <f t="shared" si="10"/>
        <v>-4.0000000000000036E-2</v>
      </c>
      <c r="O52" s="19">
        <f t="shared" si="10"/>
        <v>-3.503710902895163E-2</v>
      </c>
      <c r="P52" s="19">
        <f t="shared" si="10"/>
        <v>-2.9999999999999916E-2</v>
      </c>
      <c r="Q52" s="1">
        <v>50</v>
      </c>
      <c r="R52" s="82">
        <f>TSIR!$B$1080/100+TSIR!L879/100</f>
        <v>3.8900000000000004E-2</v>
      </c>
      <c r="S52" s="82">
        <f>TSIR!$C$1080/100+TSIR!M879/100</f>
        <v>3.6299999999999999E-2</v>
      </c>
      <c r="T52" s="82">
        <f>TSIR!$D$1080/100+TSIR!N879/100</f>
        <v>3.669999999999999E-2</v>
      </c>
      <c r="U52" s="82">
        <f>TSIR!$E$1080/100+TSIR!O879/100</f>
        <v>3.6940000000000001E-2</v>
      </c>
      <c r="V52" s="82">
        <f>TSIR!$F$1080/100+TSIR!P879/100</f>
        <v>3.7699999999999997E-2</v>
      </c>
      <c r="X52" s="84">
        <f t="shared" si="5"/>
        <v>96.255655019732416</v>
      </c>
      <c r="Y52" s="84">
        <f t="shared" si="6"/>
        <v>103.70748862827233</v>
      </c>
      <c r="Z52" s="84">
        <f t="shared" si="7"/>
        <v>92.082143332358456</v>
      </c>
      <c r="AA52" s="84">
        <f t="shared" si="8"/>
        <v>405278650.42649013</v>
      </c>
      <c r="AB52" s="1">
        <f t="shared" si="9"/>
        <v>3.912934359214618E-3</v>
      </c>
      <c r="AC52" s="1">
        <v>-1.4758381089739875E-3</v>
      </c>
    </row>
    <row r="53" spans="1:29" x14ac:dyDescent="0.2">
      <c r="A53" s="8">
        <v>44273</v>
      </c>
      <c r="B53" s="24">
        <v>0.08</v>
      </c>
      <c r="C53" s="24">
        <v>0.16</v>
      </c>
      <c r="D53" s="24">
        <v>0.33</v>
      </c>
      <c r="E53" s="24">
        <v>0.5954562591698167</v>
      </c>
      <c r="F53" s="24">
        <v>0.86</v>
      </c>
      <c r="G53" s="83">
        <f t="shared" si="0"/>
        <v>99.920063948840934</v>
      </c>
      <c r="H53" s="84">
        <f t="shared" si="3"/>
        <v>113.94736466775895</v>
      </c>
      <c r="I53" s="84">
        <f t="shared" si="1"/>
        <v>105.65033738905416</v>
      </c>
      <c r="J53" s="84">
        <f t="shared" si="2"/>
        <v>451520430.45226014</v>
      </c>
      <c r="L53" s="19">
        <f t="shared" si="11"/>
        <v>9.999999999999995E-3</v>
      </c>
      <c r="M53" s="19">
        <f t="shared" si="10"/>
        <v>0.03</v>
      </c>
      <c r="N53" s="19">
        <f t="shared" si="10"/>
        <v>4.0000000000000036E-2</v>
      </c>
      <c r="O53" s="19">
        <f t="shared" si="10"/>
        <v>5.0375078928853512E-2</v>
      </c>
      <c r="P53" s="19">
        <f t="shared" si="10"/>
        <v>5.9999999999999942E-2</v>
      </c>
      <c r="Q53" s="1">
        <v>51</v>
      </c>
      <c r="R53" s="82">
        <f>TSIR!$B$1080/100+TSIR!L880/100</f>
        <v>3.9599999999999996E-2</v>
      </c>
      <c r="S53" s="82">
        <f>TSIR!$C$1080/100+TSIR!M880/100</f>
        <v>3.7600000000000008E-2</v>
      </c>
      <c r="T53" s="82">
        <f>TSIR!$D$1080/100+TSIR!N880/100</f>
        <v>3.7700000000000004E-2</v>
      </c>
      <c r="U53" s="82">
        <f>TSIR!$E$1080/100+TSIR!O880/100</f>
        <v>3.7683000000000001E-2</v>
      </c>
      <c r="V53" s="82">
        <f>TSIR!$F$1080/100+TSIR!P880/100</f>
        <v>3.8900000000000011E-2</v>
      </c>
      <c r="X53" s="84">
        <f t="shared" si="5"/>
        <v>96.19084263178145</v>
      </c>
      <c r="Y53" s="84">
        <f t="shared" si="6"/>
        <v>103.4204058557296</v>
      </c>
      <c r="Z53" s="84">
        <f t="shared" si="7"/>
        <v>91.577605172952843</v>
      </c>
      <c r="AA53" s="84">
        <f t="shared" si="8"/>
        <v>403561497.17177987</v>
      </c>
      <c r="AB53" s="1">
        <f t="shared" si="9"/>
        <v>-3.4061405954998667E-4</v>
      </c>
      <c r="AC53" s="1">
        <v>-1.4590595069062533E-3</v>
      </c>
    </row>
    <row r="54" spans="1:29" x14ac:dyDescent="0.2">
      <c r="A54" s="8">
        <v>44274</v>
      </c>
      <c r="B54" s="24">
        <v>7.0000000000000007E-2</v>
      </c>
      <c r="C54" s="24">
        <v>0.16</v>
      </c>
      <c r="D54" s="24">
        <v>0.33</v>
      </c>
      <c r="E54" s="24">
        <v>0.61543154901397701</v>
      </c>
      <c r="F54" s="24">
        <v>0.9</v>
      </c>
      <c r="G54" s="83">
        <f t="shared" si="0"/>
        <v>99.930048965723998</v>
      </c>
      <c r="H54" s="84">
        <f t="shared" si="3"/>
        <v>113.9478639186031</v>
      </c>
      <c r="I54" s="84">
        <f t="shared" si="1"/>
        <v>105.45543360284616</v>
      </c>
      <c r="J54" s="84">
        <f t="shared" si="2"/>
        <v>450760036.46492797</v>
      </c>
      <c r="L54" s="19">
        <f t="shared" si="11"/>
        <v>-9.999999999999995E-3</v>
      </c>
      <c r="M54" s="19">
        <f t="shared" si="10"/>
        <v>0</v>
      </c>
      <c r="N54" s="19">
        <f t="shared" si="10"/>
        <v>0</v>
      </c>
      <c r="O54" s="19">
        <f t="shared" si="10"/>
        <v>1.9975289844160304E-2</v>
      </c>
      <c r="P54" s="19">
        <f t="shared" si="10"/>
        <v>4.0000000000000036E-2</v>
      </c>
      <c r="Q54" s="1">
        <v>52</v>
      </c>
      <c r="R54" s="82">
        <f>TSIR!$B$1080/100+TSIR!L881/100</f>
        <v>3.9799999999999995E-2</v>
      </c>
      <c r="S54" s="82">
        <f>TSIR!$C$1080/100+TSIR!M881/100</f>
        <v>3.7400000000000003E-2</v>
      </c>
      <c r="T54" s="82">
        <f>TSIR!$D$1080/100+TSIR!N881/100</f>
        <v>3.7299999999999993E-2</v>
      </c>
      <c r="U54" s="82">
        <f>TSIR!$E$1080/100+TSIR!O881/100</f>
        <v>3.7948000000000003E-2</v>
      </c>
      <c r="V54" s="82">
        <f>TSIR!$F$1080/100+TSIR!P881/100</f>
        <v>3.8899999999999997E-2</v>
      </c>
      <c r="X54" s="84">
        <f t="shared" si="5"/>
        <v>96.172340834775909</v>
      </c>
      <c r="Y54" s="84">
        <f t="shared" si="6"/>
        <v>103.53001886605493</v>
      </c>
      <c r="Z54" s="84">
        <f t="shared" si="7"/>
        <v>91.578261961598542</v>
      </c>
      <c r="AA54" s="84">
        <f t="shared" si="8"/>
        <v>403362701.21686363</v>
      </c>
      <c r="AB54" s="1">
        <f t="shared" si="9"/>
        <v>-8.3305014082069831E-4</v>
      </c>
      <c r="AC54" s="1">
        <v>-1.4337229083898862E-3</v>
      </c>
    </row>
    <row r="55" spans="1:29" x14ac:dyDescent="0.2">
      <c r="A55" s="8">
        <v>44277</v>
      </c>
      <c r="B55" s="24">
        <v>0.06</v>
      </c>
      <c r="C55" s="24">
        <v>0.15</v>
      </c>
      <c r="D55" s="24">
        <v>0.32</v>
      </c>
      <c r="E55" s="24">
        <v>0.59502036672516123</v>
      </c>
      <c r="F55" s="24">
        <v>0.87</v>
      </c>
      <c r="G55" s="83">
        <f t="shared" si="0"/>
        <v>99.940035978412965</v>
      </c>
      <c r="H55" s="84">
        <f t="shared" si="3"/>
        <v>113.98045243956096</v>
      </c>
      <c r="I55" s="84">
        <f t="shared" si="1"/>
        <v>105.60332966755519</v>
      </c>
      <c r="J55" s="84">
        <f t="shared" si="2"/>
        <v>451322711.96770525</v>
      </c>
      <c r="L55" s="19">
        <f t="shared" si="11"/>
        <v>-1.0000000000000009E-2</v>
      </c>
      <c r="M55" s="19">
        <f t="shared" si="10"/>
        <v>-1.0000000000000009E-2</v>
      </c>
      <c r="N55" s="19">
        <f t="shared" si="10"/>
        <v>-1.0000000000000009E-2</v>
      </c>
      <c r="O55" s="19">
        <f t="shared" si="10"/>
        <v>-2.0411182288815777E-2</v>
      </c>
      <c r="P55" s="19">
        <f t="shared" si="10"/>
        <v>-3.0000000000000027E-2</v>
      </c>
      <c r="Q55" s="1">
        <v>53</v>
      </c>
      <c r="R55" s="82">
        <f>TSIR!$B$1080/100+TSIR!L882/100</f>
        <v>3.9400000000000004E-2</v>
      </c>
      <c r="S55" s="82">
        <f>TSIR!$C$1080/100+TSIR!M882/100</f>
        <v>3.7400000000000003E-2</v>
      </c>
      <c r="T55" s="82">
        <f>TSIR!$D$1080/100+TSIR!N882/100</f>
        <v>3.769999999999999E-2</v>
      </c>
      <c r="U55" s="82">
        <f>TSIR!$E$1080/100+TSIR!O882/100</f>
        <v>3.7801000000000001E-2</v>
      </c>
      <c r="V55" s="82">
        <f>TSIR!$F$1080/100+TSIR!P882/100</f>
        <v>3.8800000000000001E-2</v>
      </c>
      <c r="X55" s="84">
        <f t="shared" si="5"/>
        <v>96.209351548970545</v>
      </c>
      <c r="Y55" s="84">
        <f t="shared" si="6"/>
        <v>103.42312217829493</v>
      </c>
      <c r="Z55" s="84">
        <f t="shared" si="7"/>
        <v>91.618481819208824</v>
      </c>
      <c r="AA55" s="84">
        <f t="shared" si="8"/>
        <v>403757947.10733402</v>
      </c>
      <c r="AB55" s="1">
        <f t="shared" si="9"/>
        <v>1.460107134285589E-4</v>
      </c>
      <c r="AC55" s="1">
        <v>-1.4240765671736874E-3</v>
      </c>
    </row>
    <row r="56" spans="1:29" x14ac:dyDescent="0.2">
      <c r="A56" s="8">
        <v>44278</v>
      </c>
      <c r="B56" s="24">
        <v>0.08</v>
      </c>
      <c r="C56" s="24">
        <v>0.15</v>
      </c>
      <c r="D56" s="24">
        <v>0.31</v>
      </c>
      <c r="E56" s="24">
        <v>0.57025640141372413</v>
      </c>
      <c r="F56" s="24">
        <v>0.83</v>
      </c>
      <c r="G56" s="83">
        <f t="shared" si="0"/>
        <v>99.920063948840934</v>
      </c>
      <c r="H56" s="84">
        <f t="shared" si="3"/>
        <v>114.01056004434423</v>
      </c>
      <c r="I56" s="84">
        <f t="shared" si="1"/>
        <v>105.79934581353238</v>
      </c>
      <c r="J56" s="84">
        <f t="shared" si="2"/>
        <v>452021671.08529508</v>
      </c>
      <c r="L56" s="19">
        <f t="shared" si="11"/>
        <v>2.0000000000000004E-2</v>
      </c>
      <c r="M56" s="19">
        <f t="shared" si="10"/>
        <v>0</v>
      </c>
      <c r="N56" s="19">
        <f t="shared" si="10"/>
        <v>-1.0000000000000009E-2</v>
      </c>
      <c r="O56" s="19">
        <f t="shared" si="10"/>
        <v>-2.4763965311437097E-2</v>
      </c>
      <c r="P56" s="19">
        <f t="shared" si="10"/>
        <v>-4.0000000000000036E-2</v>
      </c>
      <c r="Q56" s="1">
        <v>54</v>
      </c>
      <c r="R56" s="82">
        <f>TSIR!$B$1080/100+TSIR!L883/100</f>
        <v>3.8500000000000006E-2</v>
      </c>
      <c r="S56" s="82">
        <f>TSIR!$C$1080/100+TSIR!M883/100</f>
        <v>3.6200000000000003E-2</v>
      </c>
      <c r="T56" s="82">
        <f>TSIR!$D$1080/100+TSIR!N883/100</f>
        <v>3.6399999999999995E-2</v>
      </c>
      <c r="U56" s="82">
        <f>TSIR!$E$1080/100+TSIR!O883/100</f>
        <v>3.6924000000000005E-2</v>
      </c>
      <c r="V56" s="82">
        <f>TSIR!$F$1080/100+TSIR!P883/100</f>
        <v>3.7699999999999997E-2</v>
      </c>
      <c r="X56" s="84">
        <f t="shared" si="5"/>
        <v>96.292729898892631</v>
      </c>
      <c r="Y56" s="84">
        <f t="shared" si="6"/>
        <v>103.79210088048657</v>
      </c>
      <c r="Z56" s="84">
        <f t="shared" si="7"/>
        <v>92.08491031008279</v>
      </c>
      <c r="AA56" s="84">
        <f t="shared" si="8"/>
        <v>405236949.7173866</v>
      </c>
      <c r="AB56" s="1">
        <f t="shared" si="9"/>
        <v>3.8096378218891889E-3</v>
      </c>
      <c r="AC56" s="1">
        <v>-1.4240418763691346E-3</v>
      </c>
    </row>
    <row r="57" spans="1:29" x14ac:dyDescent="0.2">
      <c r="A57" s="8">
        <v>44279</v>
      </c>
      <c r="B57" s="24">
        <v>7.0000000000000007E-2</v>
      </c>
      <c r="C57" s="24">
        <v>0.14000000000000001</v>
      </c>
      <c r="D57" s="24">
        <v>0.31</v>
      </c>
      <c r="E57" s="24">
        <v>0.57036423433508743</v>
      </c>
      <c r="F57" s="24">
        <v>0.83</v>
      </c>
      <c r="G57" s="83">
        <f t="shared" si="0"/>
        <v>99.930048965723998</v>
      </c>
      <c r="H57" s="84">
        <f t="shared" si="3"/>
        <v>114.01205495777792</v>
      </c>
      <c r="I57" s="84">
        <f t="shared" si="1"/>
        <v>105.79993539411167</v>
      </c>
      <c r="J57" s="84">
        <f t="shared" si="2"/>
        <v>452041757.07122779</v>
      </c>
      <c r="L57" s="19">
        <f t="shared" si="11"/>
        <v>-9.999999999999995E-3</v>
      </c>
      <c r="M57" s="19">
        <f t="shared" si="10"/>
        <v>-9.9999999999999811E-3</v>
      </c>
      <c r="N57" s="19">
        <f t="shared" si="10"/>
        <v>0</v>
      </c>
      <c r="O57" s="19">
        <f t="shared" si="10"/>
        <v>1.0783292136329337E-4</v>
      </c>
      <c r="P57" s="19">
        <f t="shared" si="10"/>
        <v>0</v>
      </c>
      <c r="Q57" s="1">
        <v>55</v>
      </c>
      <c r="R57" s="82">
        <f>TSIR!$B$1080/100+TSIR!L884/100</f>
        <v>3.9100000000000003E-2</v>
      </c>
      <c r="S57" s="82">
        <f>TSIR!$C$1080/100+TSIR!M884/100</f>
        <v>3.6900000000000002E-2</v>
      </c>
      <c r="T57" s="82">
        <f>TSIR!$D$1080/100+TSIR!N884/100</f>
        <v>3.7199999999999997E-2</v>
      </c>
      <c r="U57" s="82">
        <f>TSIR!$E$1080/100+TSIR!O884/100</f>
        <v>3.7405000000000008E-2</v>
      </c>
      <c r="V57" s="82">
        <f>TSIR!$F$1080/100+TSIR!P884/100</f>
        <v>3.85E-2</v>
      </c>
      <c r="X57" s="84">
        <f t="shared" si="5"/>
        <v>96.237128284092009</v>
      </c>
      <c r="Y57" s="84">
        <f t="shared" si="6"/>
        <v>103.5649529875665</v>
      </c>
      <c r="Z57" s="84">
        <f t="shared" si="7"/>
        <v>91.747918044566106</v>
      </c>
      <c r="AA57" s="84">
        <f t="shared" si="8"/>
        <v>404118499.26509869</v>
      </c>
      <c r="AB57" s="1">
        <f t="shared" si="9"/>
        <v>1.0391319629939435E-3</v>
      </c>
      <c r="AC57" s="1">
        <v>-1.3770254539201621E-3</v>
      </c>
    </row>
    <row r="58" spans="1:29" x14ac:dyDescent="0.2">
      <c r="A58" s="8">
        <v>44280</v>
      </c>
      <c r="B58" s="24">
        <v>7.0000000000000007E-2</v>
      </c>
      <c r="C58" s="24">
        <v>0.14000000000000001</v>
      </c>
      <c r="D58" s="24">
        <v>0.3</v>
      </c>
      <c r="E58" s="24">
        <v>0.56047035518406174</v>
      </c>
      <c r="F58" s="24">
        <v>0.82</v>
      </c>
      <c r="G58" s="83">
        <f t="shared" si="0"/>
        <v>99.930048965723998</v>
      </c>
      <c r="H58" s="84">
        <f t="shared" si="3"/>
        <v>114.04317357054343</v>
      </c>
      <c r="I58" s="84">
        <f t="shared" si="1"/>
        <v>105.8498444592353</v>
      </c>
      <c r="J58" s="84">
        <f t="shared" si="2"/>
        <v>452194715.41257405</v>
      </c>
      <c r="L58" s="19">
        <f t="shared" si="11"/>
        <v>0</v>
      </c>
      <c r="M58" s="19">
        <f t="shared" si="10"/>
        <v>0</v>
      </c>
      <c r="N58" s="19">
        <f t="shared" si="10"/>
        <v>-1.0000000000000009E-2</v>
      </c>
      <c r="O58" s="19">
        <f t="shared" si="10"/>
        <v>-9.8938791510256863E-3</v>
      </c>
      <c r="P58" s="19">
        <f t="shared" si="10"/>
        <v>-1.0000000000000009E-2</v>
      </c>
      <c r="Q58" s="1">
        <v>56</v>
      </c>
      <c r="R58" s="82">
        <f>TSIR!$B$1080/100+TSIR!L885/100</f>
        <v>3.9299999999999995E-2</v>
      </c>
      <c r="S58" s="82">
        <f>TSIR!$C$1080/100+TSIR!M885/100</f>
        <v>3.7300000000000007E-2</v>
      </c>
      <c r="T58" s="82">
        <f>TSIR!$D$1080/100+TSIR!N885/100</f>
        <v>3.7700000000000004E-2</v>
      </c>
      <c r="U58" s="82">
        <f>TSIR!$E$1080/100+TSIR!O885/100</f>
        <v>3.7909999999999992E-2</v>
      </c>
      <c r="V58" s="82">
        <f>TSIR!$F$1080/100+TSIR!P885/100</f>
        <v>3.9100000000000003E-2</v>
      </c>
      <c r="X58" s="84">
        <f t="shared" si="5"/>
        <v>96.218608678918514</v>
      </c>
      <c r="Y58" s="84">
        <f t="shared" si="6"/>
        <v>103.42448086162801</v>
      </c>
      <c r="Z58" s="84">
        <f t="shared" si="7"/>
        <v>91.496647916406246</v>
      </c>
      <c r="AA58" s="84">
        <f t="shared" si="8"/>
        <v>403287087.73101997</v>
      </c>
      <c r="AB58" s="1">
        <f t="shared" si="9"/>
        <v>-1.0203517822236041E-3</v>
      </c>
      <c r="AC58" s="1">
        <v>-1.322665530305239E-3</v>
      </c>
    </row>
    <row r="59" spans="1:29" x14ac:dyDescent="0.2">
      <c r="A59" s="8">
        <v>44281</v>
      </c>
      <c r="B59" s="24">
        <v>0.06</v>
      </c>
      <c r="C59" s="24">
        <v>0.14000000000000001</v>
      </c>
      <c r="D59" s="24">
        <v>0.31</v>
      </c>
      <c r="E59" s="24">
        <v>0.58002596170512633</v>
      </c>
      <c r="F59" s="24">
        <v>0.85</v>
      </c>
      <c r="G59" s="83">
        <f t="shared" si="0"/>
        <v>99.940035978412965</v>
      </c>
      <c r="H59" s="84">
        <f t="shared" si="3"/>
        <v>114.01255430841238</v>
      </c>
      <c r="I59" s="84">
        <f t="shared" si="1"/>
        <v>105.70237702358013</v>
      </c>
      <c r="J59" s="84">
        <f t="shared" si="2"/>
        <v>451670748.58852792</v>
      </c>
      <c r="L59" s="19">
        <f t="shared" si="11"/>
        <v>-1.0000000000000009E-2</v>
      </c>
      <c r="M59" s="19">
        <f t="shared" si="10"/>
        <v>0</v>
      </c>
      <c r="N59" s="19">
        <f t="shared" si="10"/>
        <v>1.0000000000000009E-2</v>
      </c>
      <c r="O59" s="19">
        <f t="shared" si="10"/>
        <v>1.9555606521064584E-2</v>
      </c>
      <c r="P59" s="19">
        <f t="shared" si="10"/>
        <v>3.0000000000000027E-2</v>
      </c>
      <c r="Q59" s="1">
        <v>57</v>
      </c>
      <c r="R59" s="82">
        <f>TSIR!$B$1080/100+TSIR!L886/100</f>
        <v>3.95E-2</v>
      </c>
      <c r="S59" s="82">
        <f>TSIR!$C$1080/100+TSIR!M886/100</f>
        <v>3.7299999999999993E-2</v>
      </c>
      <c r="T59" s="82">
        <f>TSIR!$D$1080/100+TSIR!N886/100</f>
        <v>3.7399999999999989E-2</v>
      </c>
      <c r="U59" s="82">
        <f>TSIR!$E$1080/100+TSIR!O886/100</f>
        <v>3.7505000000000004E-2</v>
      </c>
      <c r="V59" s="82">
        <f>TSIR!$F$1080/100+TSIR!P886/100</f>
        <v>3.8400000000000004E-2</v>
      </c>
      <c r="X59" s="84">
        <f t="shared" si="5"/>
        <v>96.200096200096198</v>
      </c>
      <c r="Y59" s="84">
        <f t="shared" si="6"/>
        <v>103.5050999302735</v>
      </c>
      <c r="Z59" s="84">
        <f t="shared" si="7"/>
        <v>91.78470926794148</v>
      </c>
      <c r="AA59" s="84">
        <f t="shared" si="8"/>
        <v>404281379.5765481</v>
      </c>
      <c r="AB59" s="1">
        <f t="shared" si="9"/>
        <v>1.4426016529083831E-3</v>
      </c>
      <c r="AC59" s="1">
        <v>-1.293239405015648E-3</v>
      </c>
    </row>
    <row r="60" spans="1:29" x14ac:dyDescent="0.2">
      <c r="A60" s="8">
        <v>44284</v>
      </c>
      <c r="B60" s="24">
        <v>0.06</v>
      </c>
      <c r="C60" s="24">
        <v>0.14000000000000001</v>
      </c>
      <c r="D60" s="24">
        <v>0.32</v>
      </c>
      <c r="E60" s="24">
        <v>0.60549405486833052</v>
      </c>
      <c r="F60" s="24">
        <v>0.89</v>
      </c>
      <c r="G60" s="83">
        <f t="shared" si="0"/>
        <v>99.940035978412965</v>
      </c>
      <c r="H60" s="84">
        <f t="shared" si="3"/>
        <v>113.98144810215049</v>
      </c>
      <c r="I60" s="84">
        <f t="shared" si="1"/>
        <v>105.50613827226533</v>
      </c>
      <c r="J60" s="84">
        <f t="shared" si="2"/>
        <v>450932452.89266151</v>
      </c>
      <c r="L60" s="19">
        <f t="shared" si="11"/>
        <v>0</v>
      </c>
      <c r="M60" s="19">
        <f t="shared" si="10"/>
        <v>0</v>
      </c>
      <c r="N60" s="19">
        <f t="shared" si="10"/>
        <v>1.0000000000000009E-2</v>
      </c>
      <c r="O60" s="19">
        <f t="shared" si="10"/>
        <v>2.5468093163204197E-2</v>
      </c>
      <c r="P60" s="19">
        <f t="shared" si="10"/>
        <v>4.0000000000000036E-2</v>
      </c>
      <c r="Q60" s="1">
        <v>58</v>
      </c>
      <c r="R60" s="82">
        <f>TSIR!$B$1080/100+TSIR!L887/100</f>
        <v>3.95E-2</v>
      </c>
      <c r="S60" s="82">
        <f>TSIR!$C$1080/100+TSIR!M887/100</f>
        <v>3.7300000000000007E-2</v>
      </c>
      <c r="T60" s="82">
        <f>TSIR!$D$1080/100+TSIR!N887/100</f>
        <v>3.7399999999999996E-2</v>
      </c>
      <c r="U60" s="82">
        <f>TSIR!$E$1080/100+TSIR!O887/100</f>
        <v>3.7687999999999999E-2</v>
      </c>
      <c r="V60" s="82">
        <f>TSIR!$F$1080/100+TSIR!P887/100</f>
        <v>3.8600000000000002E-2</v>
      </c>
      <c r="X60" s="84">
        <f t="shared" si="5"/>
        <v>96.200096200096198</v>
      </c>
      <c r="Y60" s="84">
        <f t="shared" si="6"/>
        <v>103.50509993027343</v>
      </c>
      <c r="Z60" s="84">
        <f t="shared" si="7"/>
        <v>91.702178738587151</v>
      </c>
      <c r="AA60" s="84">
        <f t="shared" si="8"/>
        <v>403951257.45913088</v>
      </c>
      <c r="AB60" s="1">
        <f t="shared" si="9"/>
        <v>6.2485844525499352E-4</v>
      </c>
      <c r="AC60" s="1">
        <v>-1.2912874950497201E-3</v>
      </c>
    </row>
    <row r="61" spans="1:29" x14ac:dyDescent="0.2">
      <c r="A61" s="8">
        <v>44285</v>
      </c>
      <c r="B61" s="24">
        <v>0.06</v>
      </c>
      <c r="C61" s="24">
        <v>0.16</v>
      </c>
      <c r="D61" s="24">
        <v>0.33</v>
      </c>
      <c r="E61" s="24">
        <v>0.61520567161519546</v>
      </c>
      <c r="F61" s="24">
        <v>0.9</v>
      </c>
      <c r="G61" s="83">
        <f t="shared" si="0"/>
        <v>99.940035978412965</v>
      </c>
      <c r="H61" s="84">
        <f t="shared" si="3"/>
        <v>113.94836326923755</v>
      </c>
      <c r="I61" s="84">
        <f t="shared" si="1"/>
        <v>105.45565086746254</v>
      </c>
      <c r="J61" s="84">
        <f t="shared" si="2"/>
        <v>450780130.52281976</v>
      </c>
      <c r="L61" s="19">
        <f t="shared" si="11"/>
        <v>0</v>
      </c>
      <c r="M61" s="19">
        <f t="shared" si="10"/>
        <v>1.999999999999999E-2</v>
      </c>
      <c r="N61" s="19">
        <f t="shared" si="10"/>
        <v>1.0000000000000009E-2</v>
      </c>
      <c r="O61" s="19">
        <f t="shared" si="10"/>
        <v>9.7116167468649373E-3</v>
      </c>
      <c r="P61" s="19">
        <f t="shared" si="10"/>
        <v>1.0000000000000009E-2</v>
      </c>
      <c r="Q61" s="1">
        <v>59</v>
      </c>
      <c r="R61" s="82">
        <f>TSIR!$B$1080/100+TSIR!L888/100</f>
        <v>3.960000000000001E-2</v>
      </c>
      <c r="S61" s="82">
        <f>TSIR!$C$1080/100+TSIR!M888/100</f>
        <v>3.78E-2</v>
      </c>
      <c r="T61" s="82">
        <f>TSIR!$D$1080/100+TSIR!N888/100</f>
        <v>3.8099999999999995E-2</v>
      </c>
      <c r="U61" s="82">
        <f>TSIR!$E$1080/100+TSIR!O888/100</f>
        <v>3.8152000000000012E-2</v>
      </c>
      <c r="V61" s="82">
        <f>TSIR!$F$1080/100+TSIR!P888/100</f>
        <v>3.9199999999999999E-2</v>
      </c>
      <c r="X61" s="84">
        <f t="shared" si="5"/>
        <v>96.19084263178145</v>
      </c>
      <c r="Y61" s="84">
        <f t="shared" si="6"/>
        <v>103.31003633589417</v>
      </c>
      <c r="Z61" s="84">
        <f t="shared" si="7"/>
        <v>91.450123130140753</v>
      </c>
      <c r="AA61" s="84">
        <f t="shared" si="8"/>
        <v>403217123.28028464</v>
      </c>
      <c r="AB61" s="1">
        <f t="shared" si="9"/>
        <v>-1.1936602379357965E-3</v>
      </c>
      <c r="AC61" s="1">
        <v>-1.2826117261752531E-3</v>
      </c>
    </row>
    <row r="62" spans="1:29" x14ac:dyDescent="0.2">
      <c r="A62" s="8">
        <v>44286</v>
      </c>
      <c r="B62" s="24">
        <v>7.0000000000000007E-2</v>
      </c>
      <c r="C62" s="24">
        <v>0.16</v>
      </c>
      <c r="D62" s="24">
        <v>0.35</v>
      </c>
      <c r="E62" s="24">
        <v>0.63536262062985049</v>
      </c>
      <c r="F62" s="24">
        <v>0.92</v>
      </c>
      <c r="G62" s="83">
        <f t="shared" si="0"/>
        <v>99.930048965723998</v>
      </c>
      <c r="H62" s="84">
        <f t="shared" si="3"/>
        <v>113.88571348297542</v>
      </c>
      <c r="I62" s="84">
        <f t="shared" si="1"/>
        <v>105.35610026876306</v>
      </c>
      <c r="J62" s="84">
        <f t="shared" si="2"/>
        <v>450455928.78203702</v>
      </c>
      <c r="L62" s="19">
        <f t="shared" si="11"/>
        <v>1.0000000000000009E-2</v>
      </c>
      <c r="M62" s="19">
        <f t="shared" si="10"/>
        <v>0</v>
      </c>
      <c r="N62" s="19">
        <f t="shared" si="10"/>
        <v>1.9999999999999962E-2</v>
      </c>
      <c r="O62" s="19">
        <f t="shared" si="10"/>
        <v>2.0156949014655035E-2</v>
      </c>
      <c r="P62" s="19">
        <f t="shared" si="10"/>
        <v>2.0000000000000018E-2</v>
      </c>
      <c r="Q62" s="1">
        <v>60</v>
      </c>
      <c r="R62" s="82">
        <f>TSIR!$B$1080/100+TSIR!L889/100</f>
        <v>3.9599999999999996E-2</v>
      </c>
      <c r="S62" s="82">
        <f>TSIR!$C$1080/100+TSIR!M889/100</f>
        <v>3.7700000000000004E-2</v>
      </c>
      <c r="T62" s="82">
        <f>TSIR!$D$1080/100+TSIR!N889/100</f>
        <v>3.7999999999999992E-2</v>
      </c>
      <c r="U62" s="82">
        <f>TSIR!$E$1080/100+TSIR!O889/100</f>
        <v>3.8224000000000001E-2</v>
      </c>
      <c r="V62" s="82">
        <f>TSIR!$F$1080/100+TSIR!P889/100</f>
        <v>3.9300000000000002E-2</v>
      </c>
      <c r="X62" s="84">
        <f t="shared" si="5"/>
        <v>96.19084263178145</v>
      </c>
      <c r="Y62" s="84">
        <f t="shared" si="6"/>
        <v>103.33806035714939</v>
      </c>
      <c r="Z62" s="84">
        <f t="shared" si="7"/>
        <v>91.410039334301231</v>
      </c>
      <c r="AA62" s="84">
        <f t="shared" si="8"/>
        <v>403014752.06504375</v>
      </c>
      <c r="AB62" s="1">
        <f t="shared" si="9"/>
        <v>-1.694952571762243E-3</v>
      </c>
      <c r="AC62" s="1">
        <v>-1.2810143636012815E-3</v>
      </c>
    </row>
    <row r="63" spans="1:29" x14ac:dyDescent="0.2">
      <c r="A63" s="8">
        <v>44287</v>
      </c>
      <c r="B63" s="24">
        <v>0.06</v>
      </c>
      <c r="C63" s="24">
        <v>0.17</v>
      </c>
      <c r="D63" s="24">
        <v>0.35</v>
      </c>
      <c r="E63" s="24">
        <v>0.62538728907975916</v>
      </c>
      <c r="F63" s="24">
        <v>0.9</v>
      </c>
      <c r="G63" s="83">
        <f t="shared" si="0"/>
        <v>99.940035978412965</v>
      </c>
      <c r="H63" s="84">
        <f t="shared" si="3"/>
        <v>113.88521776731471</v>
      </c>
      <c r="I63" s="84">
        <f t="shared" si="1"/>
        <v>105.45327929281537</v>
      </c>
      <c r="J63" s="84">
        <f t="shared" si="2"/>
        <v>450865362.47711539</v>
      </c>
      <c r="L63" s="19">
        <f t="shared" si="11"/>
        <v>-1.0000000000000009E-2</v>
      </c>
      <c r="M63" s="19">
        <f t="shared" si="10"/>
        <v>1.0000000000000009E-2</v>
      </c>
      <c r="N63" s="19">
        <f t="shared" si="10"/>
        <v>0</v>
      </c>
      <c r="O63" s="19">
        <f t="shared" si="10"/>
        <v>-9.9753315500913375E-3</v>
      </c>
      <c r="P63" s="19">
        <f t="shared" si="10"/>
        <v>-2.0000000000000018E-2</v>
      </c>
      <c r="Q63" s="1">
        <v>61</v>
      </c>
      <c r="R63" s="82">
        <f>TSIR!$B$1080/100+TSIR!L890/100</f>
        <v>3.9599999999999996E-2</v>
      </c>
      <c r="S63" s="82">
        <f>TSIR!$C$1080/100+TSIR!M890/100</f>
        <v>3.7499999999999999E-2</v>
      </c>
      <c r="T63" s="82">
        <f>TSIR!$D$1080/100+TSIR!N890/100</f>
        <v>3.769999999999999E-2</v>
      </c>
      <c r="U63" s="82">
        <f>TSIR!$E$1080/100+TSIR!O890/100</f>
        <v>3.8045000000000002E-2</v>
      </c>
      <c r="V63" s="82">
        <f>TSIR!$F$1080/100+TSIR!P890/100</f>
        <v>3.8899999999999997E-2</v>
      </c>
      <c r="X63" s="84">
        <f t="shared" si="5"/>
        <v>96.19084263178145</v>
      </c>
      <c r="Y63" s="84">
        <f t="shared" si="6"/>
        <v>103.42130116462157</v>
      </c>
      <c r="Z63" s="84">
        <f t="shared" si="7"/>
        <v>91.575558400046958</v>
      </c>
      <c r="AA63" s="84">
        <f t="shared" si="8"/>
        <v>403551967.11681837</v>
      </c>
      <c r="AB63" s="1">
        <f t="shared" si="9"/>
        <v>-3.6422089260408055E-4</v>
      </c>
      <c r="AC63" s="1">
        <v>-1.1999064050353322E-3</v>
      </c>
    </row>
    <row r="64" spans="1:29" x14ac:dyDescent="0.2">
      <c r="A64" s="8">
        <v>44288</v>
      </c>
      <c r="B64" s="24">
        <v>7.0000000000000007E-2</v>
      </c>
      <c r="C64" s="24">
        <v>0.19</v>
      </c>
      <c r="D64" s="24">
        <v>0.39</v>
      </c>
      <c r="E64" s="24">
        <v>0.68004749795212982</v>
      </c>
      <c r="F64" s="24">
        <v>0.97</v>
      </c>
      <c r="G64" s="83">
        <f t="shared" si="0"/>
        <v>99.930048965723998</v>
      </c>
      <c r="H64" s="84">
        <f t="shared" si="3"/>
        <v>113.75857683886908</v>
      </c>
      <c r="I64" s="84">
        <f t="shared" si="1"/>
        <v>105.10807420386693</v>
      </c>
      <c r="J64" s="84">
        <f t="shared" si="2"/>
        <v>449654529.48861206</v>
      </c>
      <c r="L64" s="19">
        <f t="shared" si="11"/>
        <v>1.0000000000000009E-2</v>
      </c>
      <c r="M64" s="19">
        <f t="shared" si="10"/>
        <v>1.999999999999999E-2</v>
      </c>
      <c r="N64" s="19">
        <f t="shared" si="10"/>
        <v>4.0000000000000036E-2</v>
      </c>
      <c r="O64" s="19">
        <f t="shared" si="10"/>
        <v>5.4660208872370664E-2</v>
      </c>
      <c r="P64" s="19">
        <f t="shared" si="10"/>
        <v>6.9999999999999951E-2</v>
      </c>
      <c r="Q64" s="1">
        <v>62</v>
      </c>
      <c r="R64" s="82">
        <f>TSIR!$B$1080/100+TSIR!L891/100</f>
        <v>3.9199999999999999E-2</v>
      </c>
      <c r="S64" s="82">
        <f>TSIR!$C$1080/100+TSIR!M891/100</f>
        <v>3.6400000000000009E-2</v>
      </c>
      <c r="T64" s="82">
        <f>TSIR!$D$1080/100+TSIR!N891/100</f>
        <v>3.7299999999999993E-2</v>
      </c>
      <c r="U64" s="82">
        <f>TSIR!$E$1080/100+TSIR!O891/100</f>
        <v>3.7693999999999998E-2</v>
      </c>
      <c r="V64" s="82">
        <f>TSIR!$F$1080/100+TSIR!P891/100</f>
        <v>3.8600000000000002E-2</v>
      </c>
      <c r="X64" s="84">
        <f t="shared" si="5"/>
        <v>96.22786759045421</v>
      </c>
      <c r="Y64" s="84">
        <f t="shared" si="6"/>
        <v>103.54176514467493</v>
      </c>
      <c r="Z64" s="84">
        <f t="shared" si="7"/>
        <v>91.706442062045795</v>
      </c>
      <c r="AA64" s="84">
        <f t="shared" si="8"/>
        <v>403968855.71207923</v>
      </c>
      <c r="AB64" s="1">
        <f t="shared" si="9"/>
        <v>6.6845095558924305E-4</v>
      </c>
      <c r="AC64" s="1">
        <v>-1.1936602379357965E-3</v>
      </c>
    </row>
    <row r="65" spans="1:29" x14ac:dyDescent="0.2">
      <c r="A65" s="8">
        <v>44291</v>
      </c>
      <c r="B65" s="24">
        <v>0.06</v>
      </c>
      <c r="C65" s="24">
        <v>0.17</v>
      </c>
      <c r="D65" s="24">
        <v>0.37</v>
      </c>
      <c r="E65" s="24">
        <v>0.65537488422176704</v>
      </c>
      <c r="F65" s="24">
        <v>0.94</v>
      </c>
      <c r="G65" s="83">
        <f t="shared" si="0"/>
        <v>99.940035978412965</v>
      </c>
      <c r="H65" s="84">
        <f t="shared" si="3"/>
        <v>113.82311685887784</v>
      </c>
      <c r="I65" s="84">
        <f t="shared" si="1"/>
        <v>105.25667963459692</v>
      </c>
      <c r="J65" s="84">
        <f t="shared" si="2"/>
        <v>450172115.20689684</v>
      </c>
      <c r="L65" s="19">
        <f t="shared" si="11"/>
        <v>-1.0000000000000009E-2</v>
      </c>
      <c r="M65" s="19">
        <f t="shared" si="10"/>
        <v>-1.999999999999999E-2</v>
      </c>
      <c r="N65" s="19">
        <f t="shared" si="10"/>
        <v>-2.0000000000000018E-2</v>
      </c>
      <c r="O65" s="19">
        <f t="shared" si="10"/>
        <v>-2.467261373036278E-2</v>
      </c>
      <c r="P65" s="19">
        <f t="shared" si="10"/>
        <v>-3.0000000000000027E-2</v>
      </c>
      <c r="Q65" s="1">
        <v>63</v>
      </c>
      <c r="R65" s="82">
        <f>TSIR!$B$1080/100+TSIR!L892/100</f>
        <v>3.9200000000000006E-2</v>
      </c>
      <c r="S65" s="82">
        <f>TSIR!$C$1080/100+TSIR!M892/100</f>
        <v>3.7100000000000001E-2</v>
      </c>
      <c r="T65" s="82">
        <f>TSIR!$D$1080/100+TSIR!N892/100</f>
        <v>3.7399999999999996E-2</v>
      </c>
      <c r="U65" s="82">
        <f>TSIR!$E$1080/100+TSIR!O892/100</f>
        <v>3.7802000000000009E-2</v>
      </c>
      <c r="V65" s="82">
        <f>TSIR!$F$1080/100+TSIR!P892/100</f>
        <v>3.85E-2</v>
      </c>
      <c r="X65" s="84">
        <f t="shared" si="5"/>
        <v>96.22786759045421</v>
      </c>
      <c r="Y65" s="84">
        <f t="shared" si="6"/>
        <v>103.5082809309277</v>
      </c>
      <c r="Z65" s="84">
        <f t="shared" si="7"/>
        <v>91.743338230032734</v>
      </c>
      <c r="AA65" s="84">
        <f t="shared" si="8"/>
        <v>404166666.70464778</v>
      </c>
      <c r="AB65" s="1">
        <f t="shared" si="9"/>
        <v>1.1584471934592265E-3</v>
      </c>
      <c r="AC65" s="1">
        <v>-1.159182603352641E-3</v>
      </c>
    </row>
    <row r="66" spans="1:29" x14ac:dyDescent="0.2">
      <c r="A66" s="8">
        <v>44292</v>
      </c>
      <c r="B66" s="24">
        <v>0.06</v>
      </c>
      <c r="C66" s="24">
        <v>0.16</v>
      </c>
      <c r="D66" s="24">
        <v>0.35</v>
      </c>
      <c r="E66" s="24">
        <v>0.61521640494628282</v>
      </c>
      <c r="F66" s="24">
        <v>0.88</v>
      </c>
      <c r="G66" s="83">
        <f t="shared" ref="G66:G129" si="12">100/((1+B66/100)^1)</f>
        <v>99.940035978412965</v>
      </c>
      <c r="H66" s="84">
        <f t="shared" si="3"/>
        <v>113.88621283360986</v>
      </c>
      <c r="I66" s="84">
        <f t="shared" ref="I66:I129" si="13">SUM(2/(1+B66/100)^1, 2/(1+C66/100)^2, 2/(1+D66/100)^3, 2/(1+E66/100)^4, 102/(1+F66/100)^5)</f>
        <v>105.55118514381959</v>
      </c>
      <c r="J66" s="84">
        <f t="shared" ref="J66:J129" si="14">G66*2000000+H66*-1500000+I66*4000000</f>
        <v>451255493.28168952</v>
      </c>
      <c r="L66" s="19">
        <f t="shared" si="11"/>
        <v>0</v>
      </c>
      <c r="M66" s="19">
        <f t="shared" si="10"/>
        <v>-1.0000000000000009E-2</v>
      </c>
      <c r="N66" s="19">
        <f t="shared" si="10"/>
        <v>-2.0000000000000018E-2</v>
      </c>
      <c r="O66" s="19">
        <f t="shared" si="10"/>
        <v>-4.0158479275484216E-2</v>
      </c>
      <c r="P66" s="19">
        <f t="shared" si="10"/>
        <v>-5.9999999999999942E-2</v>
      </c>
      <c r="Q66" s="1">
        <v>64</v>
      </c>
      <c r="R66" s="82">
        <f>TSIR!$B$1080/100+TSIR!L893/100</f>
        <v>3.9599999999999996E-2</v>
      </c>
      <c r="S66" s="82">
        <f>TSIR!$C$1080/100+TSIR!M893/100</f>
        <v>3.78E-2</v>
      </c>
      <c r="T66" s="82">
        <f>TSIR!$D$1080/100+TSIR!N893/100</f>
        <v>3.7799999999999993E-2</v>
      </c>
      <c r="U66" s="82">
        <f>TSIR!$E$1080/100+TSIR!O893/100</f>
        <v>3.7897E-2</v>
      </c>
      <c r="V66" s="82">
        <f>TSIR!$F$1080/100+TSIR!P893/100</f>
        <v>3.8899999999999997E-2</v>
      </c>
      <c r="X66" s="84">
        <f t="shared" si="5"/>
        <v>96.19084263178145</v>
      </c>
      <c r="Y66" s="84">
        <f t="shared" si="6"/>
        <v>103.39145539997125</v>
      </c>
      <c r="Z66" s="84">
        <f t="shared" si="7"/>
        <v>91.574949705428125</v>
      </c>
      <c r="AA66" s="84">
        <f t="shared" si="8"/>
        <v>403594300.98531854</v>
      </c>
      <c r="AB66" s="1">
        <f t="shared" si="9"/>
        <v>-2.5935596052818158E-4</v>
      </c>
      <c r="AC66" s="1">
        <v>-1.1536174051516529E-3</v>
      </c>
    </row>
    <row r="67" spans="1:29" x14ac:dyDescent="0.2">
      <c r="A67" s="8">
        <v>44293</v>
      </c>
      <c r="B67" s="24">
        <v>0.06</v>
      </c>
      <c r="C67" s="24">
        <v>0.16</v>
      </c>
      <c r="D67" s="24">
        <v>0.34</v>
      </c>
      <c r="E67" s="24">
        <v>0.60541616031616274</v>
      </c>
      <c r="F67" s="24">
        <v>0.87</v>
      </c>
      <c r="G67" s="83">
        <f t="shared" si="12"/>
        <v>99.940035978412965</v>
      </c>
      <c r="H67" s="84">
        <f t="shared" ref="H67:H130" si="15">SUM(5/(1+B67/100)^1, 5/(1+C67/100)^2, 105/(1+D67/100)^3)</f>
        <v>113.91728185743973</v>
      </c>
      <c r="I67" s="84">
        <f t="shared" si="13"/>
        <v>105.60094008421746</v>
      </c>
      <c r="J67" s="84">
        <f t="shared" si="14"/>
        <v>451407909.50753617</v>
      </c>
      <c r="L67" s="19">
        <f t="shared" si="11"/>
        <v>0</v>
      </c>
      <c r="M67" s="19">
        <f t="shared" si="10"/>
        <v>0</v>
      </c>
      <c r="N67" s="19">
        <f t="shared" si="10"/>
        <v>-9.9999999999999534E-3</v>
      </c>
      <c r="O67" s="19">
        <f t="shared" si="10"/>
        <v>-9.8002446301200807E-3</v>
      </c>
      <c r="P67" s="19">
        <f t="shared" si="10"/>
        <v>-1.0000000000000009E-2</v>
      </c>
      <c r="Q67" s="1">
        <v>65</v>
      </c>
      <c r="R67" s="82">
        <f>TSIR!$B$1080/100+TSIR!L894/100</f>
        <v>3.9100000000000003E-2</v>
      </c>
      <c r="S67" s="82">
        <f>TSIR!$C$1080/100+TSIR!M894/100</f>
        <v>3.6900000000000002E-2</v>
      </c>
      <c r="T67" s="82">
        <f>TSIR!$D$1080/100+TSIR!N894/100</f>
        <v>3.6999999999999998E-2</v>
      </c>
      <c r="U67" s="82">
        <f>TSIR!$E$1080/100+TSIR!O894/100</f>
        <v>3.7317000000000003E-2</v>
      </c>
      <c r="V67" s="82">
        <f>TSIR!$F$1080/100+TSIR!P894/100</f>
        <v>3.8099999999999995E-2</v>
      </c>
      <c r="X67" s="84">
        <f t="shared" si="5"/>
        <v>96.237128284092009</v>
      </c>
      <c r="Y67" s="84">
        <f t="shared" si="6"/>
        <v>103.61941052840896</v>
      </c>
      <c r="Z67" s="84">
        <f t="shared" si="7"/>
        <v>91.91235589401964</v>
      </c>
      <c r="AA67" s="84">
        <f t="shared" si="8"/>
        <v>404694564.35164911</v>
      </c>
      <c r="AB67" s="1">
        <f t="shared" si="9"/>
        <v>2.4660987938697728E-3</v>
      </c>
      <c r="AC67" s="1">
        <v>-1.1415110142787223E-3</v>
      </c>
    </row>
    <row r="68" spans="1:29" x14ac:dyDescent="0.2">
      <c r="A68" s="8">
        <v>44294</v>
      </c>
      <c r="B68" s="24">
        <v>0.05</v>
      </c>
      <c r="C68" s="24">
        <v>0.14000000000000001</v>
      </c>
      <c r="D68" s="24">
        <v>0.33</v>
      </c>
      <c r="E68" s="24">
        <v>0.59035133260649997</v>
      </c>
      <c r="F68" s="24">
        <v>0.85</v>
      </c>
      <c r="G68" s="83">
        <f t="shared" si="12"/>
        <v>99.950024987506254</v>
      </c>
      <c r="H68" s="84">
        <f t="shared" si="15"/>
        <v>113.95085374666456</v>
      </c>
      <c r="I68" s="84">
        <f t="shared" si="13"/>
        <v>105.70058976252245</v>
      </c>
      <c r="J68" s="84">
        <f t="shared" si="14"/>
        <v>451776128.40510547</v>
      </c>
      <c r="L68" s="19">
        <f t="shared" si="11"/>
        <v>-9.999999999999995E-3</v>
      </c>
      <c r="M68" s="19">
        <f t="shared" si="10"/>
        <v>-1.999999999999999E-2</v>
      </c>
      <c r="N68" s="19">
        <f t="shared" si="10"/>
        <v>-1.0000000000000009E-2</v>
      </c>
      <c r="O68" s="19">
        <f t="shared" si="10"/>
        <v>-1.5064827709662776E-2</v>
      </c>
      <c r="P68" s="19">
        <f t="shared" si="10"/>
        <v>-2.0000000000000018E-2</v>
      </c>
      <c r="Q68" s="1">
        <v>66</v>
      </c>
      <c r="R68" s="82">
        <f>TSIR!$B$1080/100+TSIR!L895/100</f>
        <v>3.95E-2</v>
      </c>
      <c r="S68" s="82">
        <f>TSIR!$C$1080/100+TSIR!M895/100</f>
        <v>3.7400000000000003E-2</v>
      </c>
      <c r="T68" s="82">
        <f>TSIR!$D$1080/100+TSIR!N895/100</f>
        <v>3.7499999999999999E-2</v>
      </c>
      <c r="U68" s="82">
        <f>TSIR!$E$1080/100+TSIR!O895/100</f>
        <v>3.7617000000000005E-2</v>
      </c>
      <c r="V68" s="82">
        <f>TSIR!$F$1080/100+TSIR!P895/100</f>
        <v>3.8700000000000005E-2</v>
      </c>
      <c r="X68" s="84">
        <f t="shared" ref="X68:X131" si="16">100/((1+R68)^1)</f>
        <v>96.200096200096198</v>
      </c>
      <c r="Y68" s="84">
        <f t="shared" ref="Y68:Y131" si="17">SUM(5/(1+R68)^1, 5/(1+S68)^2, 105/(1+T68)^3)</f>
        <v>103.4770120592665</v>
      </c>
      <c r="Z68" s="84">
        <f t="shared" ref="Z68:Z131" si="18">SUM(2/(1+R68)^1, 2/(1+S68)^2, 2/(1+T68)^3, 2/(1+U68)^4, 102/(1+V68)^5)</f>
        <v>91.661153228866226</v>
      </c>
      <c r="AA68" s="84">
        <f t="shared" ref="AA68:AA131" si="19">X68*2000000+Y68*-1500000+Z68*4000000</f>
        <v>403829287.22675753</v>
      </c>
      <c r="AB68" s="1">
        <f t="shared" ref="AB68:AB131" si="20">(AA68-J$1080)/J$1080</f>
        <v>3.2272682850795843E-4</v>
      </c>
      <c r="AC68" s="1">
        <v>-1.1075458437022198E-3</v>
      </c>
    </row>
    <row r="69" spans="1:29" x14ac:dyDescent="0.2">
      <c r="A69" s="8">
        <v>44295</v>
      </c>
      <c r="B69" s="24">
        <v>0.06</v>
      </c>
      <c r="C69" s="24">
        <v>0.16</v>
      </c>
      <c r="D69" s="24">
        <v>0.35</v>
      </c>
      <c r="E69" s="24">
        <v>0.61035179640523518</v>
      </c>
      <c r="F69" s="24">
        <v>0.87</v>
      </c>
      <c r="G69" s="83">
        <f t="shared" si="12"/>
        <v>99.940035978412965</v>
      </c>
      <c r="H69" s="84">
        <f t="shared" si="15"/>
        <v>113.88621283360986</v>
      </c>
      <c r="I69" s="84">
        <f t="shared" si="13"/>
        <v>105.59996522778276</v>
      </c>
      <c r="J69" s="84">
        <f t="shared" si="14"/>
        <v>451450613.61754215</v>
      </c>
      <c r="L69" s="19">
        <f t="shared" ref="L69:L132" si="21">B69-B68</f>
        <v>9.999999999999995E-3</v>
      </c>
      <c r="M69" s="19">
        <f t="shared" ref="M69:P132" si="22">C69-C68</f>
        <v>1.999999999999999E-2</v>
      </c>
      <c r="N69" s="19">
        <f t="shared" si="22"/>
        <v>1.9999999999999962E-2</v>
      </c>
      <c r="O69" s="19">
        <f t="shared" si="22"/>
        <v>2.0000463798735213E-2</v>
      </c>
      <c r="P69" s="19">
        <f t="shared" si="22"/>
        <v>2.0000000000000018E-2</v>
      </c>
      <c r="Q69" s="1">
        <v>67</v>
      </c>
      <c r="R69" s="82">
        <f>TSIR!$B$1080/100+TSIR!L896/100</f>
        <v>3.9400000000000004E-2</v>
      </c>
      <c r="S69" s="82">
        <f>TSIR!$C$1080/100+TSIR!M896/100</f>
        <v>3.7299999999999993E-2</v>
      </c>
      <c r="T69" s="82">
        <f>TSIR!$D$1080/100+TSIR!N896/100</f>
        <v>3.7299999999999993E-2</v>
      </c>
      <c r="U69" s="82">
        <f>TSIR!$E$1080/100+TSIR!O896/100</f>
        <v>3.7610000000000005E-2</v>
      </c>
      <c r="V69" s="82">
        <f>TSIR!$F$1080/100+TSIR!P896/100</f>
        <v>3.8600000000000002E-2</v>
      </c>
      <c r="X69" s="84">
        <f t="shared" si="16"/>
        <v>96.209351548970545</v>
      </c>
      <c r="Y69" s="84">
        <f t="shared" si="17"/>
        <v>103.53276522860035</v>
      </c>
      <c r="Z69" s="84">
        <f t="shared" si="18"/>
        <v>91.703400708102563</v>
      </c>
      <c r="AA69" s="84">
        <f t="shared" si="19"/>
        <v>403933158.08745086</v>
      </c>
      <c r="AB69" s="1">
        <f t="shared" si="20"/>
        <v>5.8002461718576989E-4</v>
      </c>
      <c r="AC69" s="1">
        <v>-1.1030760387253267E-3</v>
      </c>
    </row>
    <row r="70" spans="1:29" x14ac:dyDescent="0.2">
      <c r="A70" s="8">
        <v>44298</v>
      </c>
      <c r="B70" s="24">
        <v>0.06</v>
      </c>
      <c r="C70" s="24">
        <v>0.18</v>
      </c>
      <c r="D70" s="24">
        <v>0.38</v>
      </c>
      <c r="E70" s="24">
        <v>0.63511999930040064</v>
      </c>
      <c r="F70" s="24">
        <v>0.89</v>
      </c>
      <c r="G70" s="83">
        <f t="shared" si="12"/>
        <v>99.940035978412965</v>
      </c>
      <c r="H70" s="84">
        <f t="shared" si="15"/>
        <v>113.79109019361312</v>
      </c>
      <c r="I70" s="84">
        <f t="shared" si="13"/>
        <v>105.49869797317785</v>
      </c>
      <c r="J70" s="84">
        <f t="shared" si="14"/>
        <v>451188228.55911767</v>
      </c>
      <c r="L70" s="19">
        <f t="shared" si="21"/>
        <v>0</v>
      </c>
      <c r="M70" s="19">
        <f t="shared" si="22"/>
        <v>1.999999999999999E-2</v>
      </c>
      <c r="N70" s="19">
        <f t="shared" si="22"/>
        <v>3.0000000000000027E-2</v>
      </c>
      <c r="O70" s="19">
        <f t="shared" si="22"/>
        <v>2.4768202895165459E-2</v>
      </c>
      <c r="P70" s="19">
        <f t="shared" si="22"/>
        <v>2.0000000000000018E-2</v>
      </c>
      <c r="Q70" s="1">
        <v>68</v>
      </c>
      <c r="R70" s="82">
        <f>TSIR!$B$1080/100+TSIR!L897/100</f>
        <v>3.9E-2</v>
      </c>
      <c r="S70" s="82">
        <f>TSIR!$C$1080/100+TSIR!M897/100</f>
        <v>3.6800000000000006E-2</v>
      </c>
      <c r="T70" s="82">
        <f>TSIR!$D$1080/100+TSIR!N897/100</f>
        <v>3.6999999999999991E-2</v>
      </c>
      <c r="U70" s="82">
        <f>TSIR!$E$1080/100+TSIR!O897/100</f>
        <v>3.7287000000000008E-2</v>
      </c>
      <c r="V70" s="82">
        <f>TSIR!$F$1080/100+TSIR!P897/100</f>
        <v>3.8199999999999998E-2</v>
      </c>
      <c r="X70" s="84">
        <f t="shared" si="16"/>
        <v>96.2463907603465</v>
      </c>
      <c r="Y70" s="84">
        <f t="shared" si="17"/>
        <v>103.62077077566572</v>
      </c>
      <c r="Z70" s="84">
        <f t="shared" si="18"/>
        <v>91.872360912138504</v>
      </c>
      <c r="AA70" s="84">
        <f t="shared" si="19"/>
        <v>404551069.00574845</v>
      </c>
      <c r="AB70" s="1">
        <f t="shared" si="20"/>
        <v>2.1106474676811852E-3</v>
      </c>
      <c r="AC70" s="1">
        <v>-1.0788988465655189E-3</v>
      </c>
    </row>
    <row r="71" spans="1:29" x14ac:dyDescent="0.2">
      <c r="A71" s="8">
        <v>44299</v>
      </c>
      <c r="B71" s="24">
        <v>0.06</v>
      </c>
      <c r="C71" s="24">
        <v>0.16</v>
      </c>
      <c r="D71" s="24">
        <v>0.35</v>
      </c>
      <c r="E71" s="24">
        <v>0.60016405943225515</v>
      </c>
      <c r="F71" s="24">
        <v>0.85</v>
      </c>
      <c r="G71" s="83">
        <f t="shared" si="12"/>
        <v>99.940035978412965</v>
      </c>
      <c r="H71" s="84">
        <f t="shared" si="15"/>
        <v>113.88621283360986</v>
      </c>
      <c r="I71" s="84">
        <f t="shared" si="13"/>
        <v>105.69764768847131</v>
      </c>
      <c r="J71" s="84">
        <f t="shared" si="14"/>
        <v>451841343.46029639</v>
      </c>
      <c r="L71" s="19">
        <f t="shared" si="21"/>
        <v>0</v>
      </c>
      <c r="M71" s="19">
        <f t="shared" si="22"/>
        <v>-1.999999999999999E-2</v>
      </c>
      <c r="N71" s="19">
        <f t="shared" si="22"/>
        <v>-3.0000000000000027E-2</v>
      </c>
      <c r="O71" s="19">
        <f t="shared" si="22"/>
        <v>-3.4955939868145491E-2</v>
      </c>
      <c r="P71" s="19">
        <f t="shared" si="22"/>
        <v>-4.0000000000000036E-2</v>
      </c>
      <c r="Q71" s="1">
        <v>69</v>
      </c>
      <c r="R71" s="82">
        <f>TSIR!$B$1080/100+TSIR!L898/100</f>
        <v>3.8399999999999997E-2</v>
      </c>
      <c r="S71" s="82">
        <f>TSIR!$C$1080/100+TSIR!M898/100</f>
        <v>3.6100000000000007E-2</v>
      </c>
      <c r="T71" s="82">
        <f>TSIR!$D$1080/100+TSIR!N898/100</f>
        <v>3.6199999999999996E-2</v>
      </c>
      <c r="U71" s="82">
        <f>TSIR!$E$1080/100+TSIR!O898/100</f>
        <v>3.6702000000000005E-2</v>
      </c>
      <c r="V71" s="82">
        <f>TSIR!$F$1080/100+TSIR!P898/100</f>
        <v>3.7499999999999999E-2</v>
      </c>
      <c r="X71" s="84">
        <f t="shared" si="16"/>
        <v>96.302003081664097</v>
      </c>
      <c r="Y71" s="84">
        <f t="shared" si="17"/>
        <v>103.84808937812221</v>
      </c>
      <c r="Z71" s="84">
        <f t="shared" si="18"/>
        <v>92.16971548540586</v>
      </c>
      <c r="AA71" s="84">
        <f t="shared" si="19"/>
        <v>405510734.03776836</v>
      </c>
      <c r="AB71" s="1">
        <f t="shared" si="20"/>
        <v>4.4878270632093412E-3</v>
      </c>
      <c r="AC71" s="1">
        <v>-1.0764447320859981E-3</v>
      </c>
    </row>
    <row r="72" spans="1:29" x14ac:dyDescent="0.2">
      <c r="A72" s="8">
        <v>44300</v>
      </c>
      <c r="B72" s="24">
        <v>0.06</v>
      </c>
      <c r="C72" s="24">
        <v>0.16</v>
      </c>
      <c r="D72" s="24">
        <v>0.35</v>
      </c>
      <c r="E72" s="24">
        <v>0.610104232849914</v>
      </c>
      <c r="F72" s="24">
        <v>0.87</v>
      </c>
      <c r="G72" s="83">
        <f t="shared" si="12"/>
        <v>99.940035978412965</v>
      </c>
      <c r="H72" s="84">
        <f t="shared" si="15"/>
        <v>113.88621283360986</v>
      </c>
      <c r="I72" s="84">
        <f t="shared" si="13"/>
        <v>105.59998443949318</v>
      </c>
      <c r="J72" s="84">
        <f t="shared" si="14"/>
        <v>451450690.46438384</v>
      </c>
      <c r="L72" s="19">
        <f t="shared" si="21"/>
        <v>0</v>
      </c>
      <c r="M72" s="19">
        <f t="shared" si="22"/>
        <v>0</v>
      </c>
      <c r="N72" s="19">
        <f t="shared" si="22"/>
        <v>0</v>
      </c>
      <c r="O72" s="19">
        <f t="shared" si="22"/>
        <v>9.9401734176588485E-3</v>
      </c>
      <c r="P72" s="19">
        <f t="shared" si="22"/>
        <v>2.0000000000000018E-2</v>
      </c>
      <c r="Q72" s="1">
        <v>70</v>
      </c>
      <c r="R72" s="82">
        <f>TSIR!$B$1080/100+TSIR!L899/100</f>
        <v>3.6600000000000001E-2</v>
      </c>
      <c r="S72" s="82">
        <f>TSIR!$C$1080/100+TSIR!M899/100</f>
        <v>3.4599999999999999E-2</v>
      </c>
      <c r="T72" s="82">
        <f>TSIR!$D$1080/100+TSIR!N899/100</f>
        <v>3.4999999999999996E-2</v>
      </c>
      <c r="U72" s="82">
        <f>TSIR!$E$1080/100+TSIR!O899/100</f>
        <v>3.5529000000000005E-2</v>
      </c>
      <c r="V72" s="82">
        <f>TSIR!$F$1080/100+TSIR!P899/100</f>
        <v>3.6600000000000001E-2</v>
      </c>
      <c r="X72" s="84">
        <f t="shared" si="16"/>
        <v>96.469226316804949</v>
      </c>
      <c r="Y72" s="84">
        <f t="shared" si="17"/>
        <v>104.19860877617687</v>
      </c>
      <c r="Z72" s="84">
        <f t="shared" si="18"/>
        <v>92.56157504985606</v>
      </c>
      <c r="AA72" s="84">
        <f t="shared" si="19"/>
        <v>406886839.66876888</v>
      </c>
      <c r="AB72" s="1">
        <f t="shared" si="20"/>
        <v>7.8965687784518651E-3</v>
      </c>
      <c r="AC72" s="1">
        <v>-1.0729809265114393E-3</v>
      </c>
    </row>
    <row r="73" spans="1:29" x14ac:dyDescent="0.2">
      <c r="A73" s="8">
        <v>44301</v>
      </c>
      <c r="B73" s="24">
        <v>0.06</v>
      </c>
      <c r="C73" s="24">
        <v>0.16</v>
      </c>
      <c r="D73" s="24">
        <v>0.32</v>
      </c>
      <c r="E73" s="24">
        <v>0.5651863218876414</v>
      </c>
      <c r="F73" s="24">
        <v>0.81</v>
      </c>
      <c r="G73" s="83">
        <f t="shared" si="12"/>
        <v>99.940035978412965</v>
      </c>
      <c r="H73" s="84">
        <f t="shared" si="15"/>
        <v>113.97945707517815</v>
      </c>
      <c r="I73" s="84">
        <f t="shared" si="13"/>
        <v>105.89627143804616</v>
      </c>
      <c r="J73" s="84">
        <f t="shared" si="14"/>
        <v>452495972.09624338</v>
      </c>
      <c r="L73" s="19">
        <f t="shared" si="21"/>
        <v>0</v>
      </c>
      <c r="M73" s="19">
        <f t="shared" si="22"/>
        <v>0</v>
      </c>
      <c r="N73" s="19">
        <f t="shared" si="22"/>
        <v>-2.9999999999999971E-2</v>
      </c>
      <c r="O73" s="19">
        <f t="shared" si="22"/>
        <v>-4.49179109622726E-2</v>
      </c>
      <c r="P73" s="19">
        <f t="shared" si="22"/>
        <v>-5.9999999999999942E-2</v>
      </c>
      <c r="Q73" s="1">
        <v>71</v>
      </c>
      <c r="R73" s="82">
        <f>TSIR!$B$1080/100+TSIR!L900/100</f>
        <v>3.9599999999999996E-2</v>
      </c>
      <c r="S73" s="82">
        <f>TSIR!$C$1080/100+TSIR!M900/100</f>
        <v>3.7500000000000006E-2</v>
      </c>
      <c r="T73" s="82">
        <f>TSIR!$D$1080/100+TSIR!N900/100</f>
        <v>3.769999999999999E-2</v>
      </c>
      <c r="U73" s="82">
        <f>TSIR!$E$1080/100+TSIR!O900/100</f>
        <v>3.7388999999999999E-2</v>
      </c>
      <c r="V73" s="82">
        <f>TSIR!$F$1080/100+TSIR!P900/100</f>
        <v>3.8800000000000001E-2</v>
      </c>
      <c r="X73" s="84">
        <f t="shared" si="16"/>
        <v>96.19084263178145</v>
      </c>
      <c r="Y73" s="84">
        <f t="shared" si="17"/>
        <v>103.42130116462157</v>
      </c>
      <c r="Z73" s="84">
        <f t="shared" si="18"/>
        <v>91.620494028151285</v>
      </c>
      <c r="AA73" s="84">
        <f t="shared" si="19"/>
        <v>403731709.62923568</v>
      </c>
      <c r="AB73" s="1">
        <f t="shared" si="20"/>
        <v>8.1018038388400087E-5</v>
      </c>
      <c r="AC73" s="1">
        <v>-1.0706953048665773E-3</v>
      </c>
    </row>
    <row r="74" spans="1:29" x14ac:dyDescent="0.2">
      <c r="A74" s="8">
        <v>44302</v>
      </c>
      <c r="B74" s="24">
        <v>0.06</v>
      </c>
      <c r="C74" s="24">
        <v>0.16</v>
      </c>
      <c r="D74" s="24">
        <v>0.34</v>
      </c>
      <c r="E74" s="24">
        <v>0.59042095308389686</v>
      </c>
      <c r="F74" s="24">
        <v>0.84</v>
      </c>
      <c r="G74" s="83">
        <f t="shared" si="12"/>
        <v>99.940035978412965</v>
      </c>
      <c r="H74" s="84">
        <f t="shared" si="15"/>
        <v>113.91728185743973</v>
      </c>
      <c r="I74" s="84">
        <f t="shared" si="13"/>
        <v>105.74748521851924</v>
      </c>
      <c r="J74" s="84">
        <f t="shared" si="14"/>
        <v>451994090.0447433</v>
      </c>
      <c r="L74" s="19">
        <f t="shared" si="21"/>
        <v>0</v>
      </c>
      <c r="M74" s="19">
        <f t="shared" si="22"/>
        <v>0</v>
      </c>
      <c r="N74" s="19">
        <f t="shared" si="22"/>
        <v>2.0000000000000018E-2</v>
      </c>
      <c r="O74" s="19">
        <f t="shared" si="22"/>
        <v>2.5234631196255464E-2</v>
      </c>
      <c r="P74" s="19">
        <f t="shared" si="22"/>
        <v>2.9999999999999916E-2</v>
      </c>
      <c r="Q74" s="1">
        <v>72</v>
      </c>
      <c r="R74" s="82">
        <f>TSIR!$B$1080/100+TSIR!L901/100</f>
        <v>4.07E-2</v>
      </c>
      <c r="S74" s="82">
        <f>TSIR!$C$1080/100+TSIR!M901/100</f>
        <v>3.8400000000000004E-2</v>
      </c>
      <c r="T74" s="82">
        <f>TSIR!$D$1080/100+TSIR!N901/100</f>
        <v>3.8099999999999995E-2</v>
      </c>
      <c r="U74" s="82">
        <f>TSIR!$E$1080/100+TSIR!O901/100</f>
        <v>3.8688E-2</v>
      </c>
      <c r="V74" s="82">
        <f>TSIR!$F$1080/100+TSIR!P901/100</f>
        <v>3.9899999999999998E-2</v>
      </c>
      <c r="X74" s="84">
        <f t="shared" si="16"/>
        <v>96.089170750456432</v>
      </c>
      <c r="Y74" s="84">
        <f t="shared" si="17"/>
        <v>103.29958942133294</v>
      </c>
      <c r="Z74" s="84">
        <f t="shared" si="18"/>
        <v>91.15951693968529</v>
      </c>
      <c r="AA74" s="84">
        <f t="shared" si="19"/>
        <v>401867025.12765461</v>
      </c>
      <c r="AB74" s="1">
        <f t="shared" si="20"/>
        <v>-4.5379790088689569E-3</v>
      </c>
      <c r="AC74" s="1">
        <v>-1.0700080670014731E-3</v>
      </c>
    </row>
    <row r="75" spans="1:29" x14ac:dyDescent="0.2">
      <c r="A75" s="8">
        <v>44305</v>
      </c>
      <c r="B75" s="24">
        <v>0.08</v>
      </c>
      <c r="C75" s="24">
        <v>0.16</v>
      </c>
      <c r="D75" s="24">
        <v>0.34</v>
      </c>
      <c r="E75" s="24">
        <v>0.59536171758966816</v>
      </c>
      <c r="F75" s="24">
        <v>0.85</v>
      </c>
      <c r="G75" s="83">
        <f t="shared" si="12"/>
        <v>99.920063948840934</v>
      </c>
      <c r="H75" s="84">
        <f t="shared" si="15"/>
        <v>113.91628325596113</v>
      </c>
      <c r="I75" s="84">
        <f t="shared" si="13"/>
        <v>105.69821294659039</v>
      </c>
      <c r="J75" s="84">
        <f t="shared" si="14"/>
        <v>451758554.80010176</v>
      </c>
      <c r="L75" s="19">
        <f t="shared" si="21"/>
        <v>2.0000000000000004E-2</v>
      </c>
      <c r="M75" s="19">
        <f t="shared" si="22"/>
        <v>0</v>
      </c>
      <c r="N75" s="19">
        <f t="shared" si="22"/>
        <v>0</v>
      </c>
      <c r="O75" s="19">
        <f t="shared" si="22"/>
        <v>4.9407645057713001E-3</v>
      </c>
      <c r="P75" s="19">
        <f t="shared" si="22"/>
        <v>1.0000000000000009E-2</v>
      </c>
      <c r="Q75" s="1">
        <v>73</v>
      </c>
      <c r="R75" s="82">
        <f>TSIR!$B$1080/100+TSIR!L902/100</f>
        <v>3.9400000000000004E-2</v>
      </c>
      <c r="S75" s="82">
        <f>TSIR!$C$1080/100+TSIR!M902/100</f>
        <v>3.7499999999999999E-2</v>
      </c>
      <c r="T75" s="82">
        <f>TSIR!$D$1080/100+TSIR!N902/100</f>
        <v>3.8099999999999995E-2</v>
      </c>
      <c r="U75" s="82">
        <f>TSIR!$E$1080/100+TSIR!O902/100</f>
        <v>3.8401000000000005E-2</v>
      </c>
      <c r="V75" s="82">
        <f>TSIR!$F$1080/100+TSIR!P902/100</f>
        <v>3.9400000000000004E-2</v>
      </c>
      <c r="X75" s="84">
        <f t="shared" si="16"/>
        <v>96.209351548970545</v>
      </c>
      <c r="Y75" s="84">
        <f t="shared" si="17"/>
        <v>103.31364693206289</v>
      </c>
      <c r="Z75" s="84">
        <f t="shared" si="18"/>
        <v>91.368978051439072</v>
      </c>
      <c r="AA75" s="84">
        <f t="shared" si="19"/>
        <v>402924144.90560305</v>
      </c>
      <c r="AB75" s="1">
        <f t="shared" si="20"/>
        <v>-1.9193949380510672E-3</v>
      </c>
      <c r="AC75" s="1">
        <v>-1.0688901081908125E-3</v>
      </c>
    </row>
    <row r="76" spans="1:29" x14ac:dyDescent="0.2">
      <c r="A76" s="8">
        <v>44306</v>
      </c>
      <c r="B76" s="24">
        <v>7.0000000000000007E-2</v>
      </c>
      <c r="C76" s="24">
        <v>0.15</v>
      </c>
      <c r="D76" s="24">
        <v>0.31</v>
      </c>
      <c r="E76" s="24">
        <v>0.56031136991136532</v>
      </c>
      <c r="F76" s="24">
        <v>0.81</v>
      </c>
      <c r="G76" s="83">
        <f t="shared" si="12"/>
        <v>99.930048965723998</v>
      </c>
      <c r="H76" s="84">
        <f t="shared" si="15"/>
        <v>114.01105929518837</v>
      </c>
      <c r="I76" s="84">
        <f t="shared" si="13"/>
        <v>105.89744154823136</v>
      </c>
      <c r="J76" s="84">
        <f t="shared" si="14"/>
        <v>452433275.18159091</v>
      </c>
      <c r="L76" s="19">
        <f t="shared" si="21"/>
        <v>-9.999999999999995E-3</v>
      </c>
      <c r="M76" s="19">
        <f t="shared" si="22"/>
        <v>-1.0000000000000009E-2</v>
      </c>
      <c r="N76" s="19">
        <f t="shared" si="22"/>
        <v>-3.0000000000000027E-2</v>
      </c>
      <c r="O76" s="19">
        <f t="shared" si="22"/>
        <v>-3.505034767830284E-2</v>
      </c>
      <c r="P76" s="19">
        <f t="shared" si="22"/>
        <v>-3.9999999999999925E-2</v>
      </c>
      <c r="Q76" s="1">
        <v>74</v>
      </c>
      <c r="R76" s="82">
        <f>TSIR!$B$1080/100+TSIR!L903/100</f>
        <v>3.9800000000000002E-2</v>
      </c>
      <c r="S76" s="82">
        <f>TSIR!$C$1080/100+TSIR!M903/100</f>
        <v>3.78E-2</v>
      </c>
      <c r="T76" s="82">
        <f>TSIR!$D$1080/100+TSIR!N903/100</f>
        <v>3.8099999999999995E-2</v>
      </c>
      <c r="U76" s="82">
        <f>TSIR!$E$1080/100+TSIR!O903/100</f>
        <v>3.8269000000000004E-2</v>
      </c>
      <c r="V76" s="82">
        <f>TSIR!$F$1080/100+TSIR!P903/100</f>
        <v>3.9199999999999999E-2</v>
      </c>
      <c r="X76" s="84">
        <f t="shared" si="16"/>
        <v>96.172340834775909</v>
      </c>
      <c r="Y76" s="84">
        <f t="shared" si="17"/>
        <v>103.30911124604388</v>
      </c>
      <c r="Z76" s="84">
        <f t="shared" si="18"/>
        <v>91.448977117338998</v>
      </c>
      <c r="AA76" s="84">
        <f t="shared" si="19"/>
        <v>403176923.26984203</v>
      </c>
      <c r="AB76" s="1">
        <f t="shared" si="20"/>
        <v>-1.293239405015648E-3</v>
      </c>
      <c r="AC76" s="1">
        <v>-1.0203517822236041E-3</v>
      </c>
    </row>
    <row r="77" spans="1:29" x14ac:dyDescent="0.2">
      <c r="A77" s="8">
        <v>44307</v>
      </c>
      <c r="B77" s="24">
        <v>7.0000000000000007E-2</v>
      </c>
      <c r="C77" s="24">
        <v>0.15</v>
      </c>
      <c r="D77" s="24">
        <v>0.32</v>
      </c>
      <c r="E77" s="24">
        <v>0.56528814803649041</v>
      </c>
      <c r="F77" s="24">
        <v>0.81</v>
      </c>
      <c r="G77" s="83">
        <f t="shared" si="12"/>
        <v>99.930048965723998</v>
      </c>
      <c r="H77" s="84">
        <f t="shared" si="15"/>
        <v>113.97995308892651</v>
      </c>
      <c r="I77" s="84">
        <f t="shared" si="13"/>
        <v>105.8964619238243</v>
      </c>
      <c r="J77" s="84">
        <f t="shared" si="14"/>
        <v>452476015.99335545</v>
      </c>
      <c r="L77" s="19">
        <f t="shared" si="21"/>
        <v>0</v>
      </c>
      <c r="M77" s="19">
        <f t="shared" si="22"/>
        <v>0</v>
      </c>
      <c r="N77" s="19">
        <f t="shared" si="22"/>
        <v>1.0000000000000009E-2</v>
      </c>
      <c r="O77" s="19">
        <f t="shared" si="22"/>
        <v>4.976778125125092E-3</v>
      </c>
      <c r="P77" s="19">
        <f t="shared" si="22"/>
        <v>0</v>
      </c>
      <c r="Q77" s="1">
        <v>75</v>
      </c>
      <c r="R77" s="82">
        <f>TSIR!$B$1080/100+TSIR!L904/100</f>
        <v>3.9699999999999999E-2</v>
      </c>
      <c r="S77" s="82">
        <f>TSIR!$C$1080/100+TSIR!M904/100</f>
        <v>3.7499999999999999E-2</v>
      </c>
      <c r="T77" s="82">
        <f>TSIR!$D$1080/100+TSIR!N904/100</f>
        <v>3.7599999999999995E-2</v>
      </c>
      <c r="U77" s="82">
        <f>TSIR!$E$1080/100+TSIR!O904/100</f>
        <v>3.7794000000000001E-2</v>
      </c>
      <c r="V77" s="82">
        <f>TSIR!$F$1080/100+TSIR!P904/100</f>
        <v>3.85E-2</v>
      </c>
      <c r="X77" s="84">
        <f t="shared" si="16"/>
        <v>96.181590843512552</v>
      </c>
      <c r="Y77" s="84">
        <f t="shared" si="17"/>
        <v>103.44800966111123</v>
      </c>
      <c r="Z77" s="84">
        <f t="shared" si="18"/>
        <v>91.739996640810091</v>
      </c>
      <c r="AA77" s="84">
        <f t="shared" si="19"/>
        <v>404151153.75859857</v>
      </c>
      <c r="AB77" s="1">
        <f t="shared" si="20"/>
        <v>1.1200201823831847E-3</v>
      </c>
      <c r="AC77" s="1">
        <v>-1.005594093375128E-3</v>
      </c>
    </row>
    <row r="78" spans="1:29" x14ac:dyDescent="0.2">
      <c r="A78" s="8">
        <v>44308</v>
      </c>
      <c r="B78" s="24">
        <v>0.06</v>
      </c>
      <c r="C78" s="24">
        <v>0.16</v>
      </c>
      <c r="D78" s="24">
        <v>0.32</v>
      </c>
      <c r="E78" s="24">
        <v>0.56511402310590919</v>
      </c>
      <c r="F78" s="24">
        <v>0.81</v>
      </c>
      <c r="G78" s="83">
        <f t="shared" si="12"/>
        <v>99.940035978412965</v>
      </c>
      <c r="H78" s="84">
        <f t="shared" si="15"/>
        <v>113.97945707517815</v>
      </c>
      <c r="I78" s="84">
        <f t="shared" si="13"/>
        <v>105.89627706124492</v>
      </c>
      <c r="J78" s="84">
        <f t="shared" si="14"/>
        <v>452495994.58903837</v>
      </c>
      <c r="L78" s="19">
        <f t="shared" si="21"/>
        <v>-1.0000000000000009E-2</v>
      </c>
      <c r="M78" s="19">
        <f t="shared" si="22"/>
        <v>1.0000000000000009E-2</v>
      </c>
      <c r="N78" s="19">
        <f t="shared" si="22"/>
        <v>0</v>
      </c>
      <c r="O78" s="19">
        <f t="shared" si="22"/>
        <v>-1.7412493058122092E-4</v>
      </c>
      <c r="P78" s="19">
        <f t="shared" si="22"/>
        <v>0</v>
      </c>
      <c r="Q78" s="1">
        <v>76</v>
      </c>
      <c r="R78" s="82">
        <f>TSIR!$B$1080/100+TSIR!L905/100</f>
        <v>3.9199999999999999E-2</v>
      </c>
      <c r="S78" s="82">
        <f>TSIR!$C$1080/100+TSIR!M905/100</f>
        <v>3.7000000000000005E-2</v>
      </c>
      <c r="T78" s="82">
        <f>TSIR!$D$1080/100+TSIR!N905/100</f>
        <v>3.7199999999999997E-2</v>
      </c>
      <c r="U78" s="82">
        <f>TSIR!$E$1080/100+TSIR!O905/100</f>
        <v>3.7470000000000003E-2</v>
      </c>
      <c r="V78" s="82">
        <f>TSIR!$F$1080/100+TSIR!P905/100</f>
        <v>3.8300000000000001E-2</v>
      </c>
      <c r="X78" s="84">
        <f t="shared" si="16"/>
        <v>96.22786759045421</v>
      </c>
      <c r="Y78" s="84">
        <f t="shared" si="17"/>
        <v>103.56359308896234</v>
      </c>
      <c r="Z78" s="84">
        <f t="shared" si="18"/>
        <v>91.828301600088281</v>
      </c>
      <c r="AA78" s="84">
        <f t="shared" si="19"/>
        <v>404423551.94781804</v>
      </c>
      <c r="AB78" s="1">
        <f t="shared" si="20"/>
        <v>1.794775847814075E-3</v>
      </c>
      <c r="AC78" s="1">
        <v>-9.8120791848252853E-4</v>
      </c>
    </row>
    <row r="79" spans="1:29" x14ac:dyDescent="0.2">
      <c r="A79" s="8">
        <v>44309</v>
      </c>
      <c r="B79" s="24">
        <v>7.0000000000000007E-2</v>
      </c>
      <c r="C79" s="24">
        <v>0.16</v>
      </c>
      <c r="D79" s="24">
        <v>0.34</v>
      </c>
      <c r="E79" s="24">
        <v>0.58510261324315005</v>
      </c>
      <c r="F79" s="24">
        <v>0.83</v>
      </c>
      <c r="G79" s="83">
        <f t="shared" si="12"/>
        <v>99.930048965723998</v>
      </c>
      <c r="H79" s="84">
        <f t="shared" si="15"/>
        <v>113.91678250680529</v>
      </c>
      <c r="I79" s="84">
        <f t="shared" si="13"/>
        <v>105.79621660091604</v>
      </c>
      <c r="J79" s="84">
        <f t="shared" si="14"/>
        <v>452169790.5749042</v>
      </c>
      <c r="L79" s="19">
        <f t="shared" si="21"/>
        <v>1.0000000000000009E-2</v>
      </c>
      <c r="M79" s="19">
        <f t="shared" si="22"/>
        <v>0</v>
      </c>
      <c r="N79" s="19">
        <f t="shared" si="22"/>
        <v>2.0000000000000018E-2</v>
      </c>
      <c r="O79" s="19">
        <f t="shared" si="22"/>
        <v>1.9988590137240858E-2</v>
      </c>
      <c r="P79" s="19">
        <f t="shared" si="22"/>
        <v>1.9999999999999907E-2</v>
      </c>
      <c r="Q79" s="1">
        <v>77</v>
      </c>
      <c r="R79" s="82">
        <f>TSIR!$B$1080/100+TSIR!L906/100</f>
        <v>3.8800000000000008E-2</v>
      </c>
      <c r="S79" s="82">
        <f>TSIR!$C$1080/100+TSIR!M906/100</f>
        <v>3.6600000000000008E-2</v>
      </c>
      <c r="T79" s="82">
        <f>TSIR!$D$1080/100+TSIR!N906/100</f>
        <v>3.6899999999999995E-2</v>
      </c>
      <c r="U79" s="82">
        <f>TSIR!$E$1080/100+TSIR!O906/100</f>
        <v>3.7176000000000001E-2</v>
      </c>
      <c r="V79" s="82">
        <f>TSIR!$F$1080/100+TSIR!P906/100</f>
        <v>3.8100000000000002E-2</v>
      </c>
      <c r="X79" s="84">
        <f t="shared" si="16"/>
        <v>96.264921062764728</v>
      </c>
      <c r="Y79" s="84">
        <f t="shared" si="17"/>
        <v>103.65073684495842</v>
      </c>
      <c r="Z79" s="84">
        <f t="shared" si="18"/>
        <v>91.915447057976323</v>
      </c>
      <c r="AA79" s="84">
        <f t="shared" si="19"/>
        <v>404715525.08999711</v>
      </c>
      <c r="AB79" s="1">
        <f t="shared" si="20"/>
        <v>2.5180204934686524E-3</v>
      </c>
      <c r="AC79" s="1">
        <v>-9.8053477614172243E-4</v>
      </c>
    </row>
    <row r="80" spans="1:29" x14ac:dyDescent="0.2">
      <c r="A80" s="8">
        <v>44312</v>
      </c>
      <c r="B80" s="24">
        <v>0.06</v>
      </c>
      <c r="C80" s="24">
        <v>0.18</v>
      </c>
      <c r="D80" s="24">
        <v>0.35</v>
      </c>
      <c r="E80" s="24">
        <v>0.60021950114333178</v>
      </c>
      <c r="F80" s="24">
        <v>0.85</v>
      </c>
      <c r="G80" s="83">
        <f t="shared" si="12"/>
        <v>99.940035978412965</v>
      </c>
      <c r="H80" s="84">
        <f t="shared" si="15"/>
        <v>113.88422299898821</v>
      </c>
      <c r="I80" s="84">
        <f t="shared" si="13"/>
        <v>105.69684745002495</v>
      </c>
      <c r="J80" s="84">
        <f t="shared" si="14"/>
        <v>451841127.25844342</v>
      </c>
      <c r="L80" s="19">
        <f t="shared" si="21"/>
        <v>-1.0000000000000009E-2</v>
      </c>
      <c r="M80" s="19">
        <f t="shared" si="22"/>
        <v>1.999999999999999E-2</v>
      </c>
      <c r="N80" s="19">
        <f t="shared" si="22"/>
        <v>9.9999999999999534E-3</v>
      </c>
      <c r="O80" s="19">
        <f t="shared" si="22"/>
        <v>1.511688790018173E-2</v>
      </c>
      <c r="P80" s="19">
        <f t="shared" si="22"/>
        <v>2.0000000000000018E-2</v>
      </c>
      <c r="Q80" s="1">
        <v>78</v>
      </c>
      <c r="R80" s="82">
        <f>TSIR!$B$1080/100+TSIR!L907/100</f>
        <v>3.9699999999999999E-2</v>
      </c>
      <c r="S80" s="82">
        <f>TSIR!$C$1080/100+TSIR!M907/100</f>
        <v>3.7499999999999999E-2</v>
      </c>
      <c r="T80" s="82">
        <f>TSIR!$D$1080/100+TSIR!N907/100</f>
        <v>3.769999999999999E-2</v>
      </c>
      <c r="U80" s="82">
        <f>TSIR!$E$1080/100+TSIR!O907/100</f>
        <v>3.7668000000000007E-2</v>
      </c>
      <c r="V80" s="82">
        <f>TSIR!$F$1080/100+TSIR!P907/100</f>
        <v>3.8699999999999998E-2</v>
      </c>
      <c r="X80" s="84">
        <f t="shared" si="16"/>
        <v>96.181590843512552</v>
      </c>
      <c r="Y80" s="84">
        <f t="shared" si="17"/>
        <v>103.42083857520812</v>
      </c>
      <c r="Z80" s="84">
        <f t="shared" si="18"/>
        <v>91.659050432962502</v>
      </c>
      <c r="AA80" s="84">
        <f t="shared" si="19"/>
        <v>403868125.55606294</v>
      </c>
      <c r="AB80" s="1">
        <f t="shared" si="20"/>
        <v>4.1893298468611645E-4</v>
      </c>
      <c r="AC80" s="1">
        <v>-9.6378749701201327E-4</v>
      </c>
    </row>
    <row r="81" spans="1:29" x14ac:dyDescent="0.2">
      <c r="A81" s="8">
        <v>44313</v>
      </c>
      <c r="B81" s="24">
        <v>0.06</v>
      </c>
      <c r="C81" s="24">
        <v>0.17</v>
      </c>
      <c r="D81" s="24">
        <v>0.36</v>
      </c>
      <c r="E81" s="24">
        <v>0.62036775383364196</v>
      </c>
      <c r="F81" s="24">
        <v>0.88</v>
      </c>
      <c r="G81" s="83">
        <f t="shared" si="12"/>
        <v>99.940035978412965</v>
      </c>
      <c r="H81" s="84">
        <f t="shared" si="15"/>
        <v>113.85416112528161</v>
      </c>
      <c r="I81" s="84">
        <f t="shared" si="13"/>
        <v>105.54979595158046</v>
      </c>
      <c r="J81" s="84">
        <f t="shared" si="14"/>
        <v>451298014.07522535</v>
      </c>
      <c r="L81" s="19">
        <f t="shared" si="21"/>
        <v>0</v>
      </c>
      <c r="M81" s="19">
        <f t="shared" si="22"/>
        <v>-9.9999999999999811E-3</v>
      </c>
      <c r="N81" s="19">
        <f t="shared" si="22"/>
        <v>1.0000000000000009E-2</v>
      </c>
      <c r="O81" s="19">
        <f t="shared" si="22"/>
        <v>2.0148252690310176E-2</v>
      </c>
      <c r="P81" s="19">
        <f t="shared" si="22"/>
        <v>3.0000000000000027E-2</v>
      </c>
      <c r="Q81" s="1">
        <v>79</v>
      </c>
      <c r="R81" s="82">
        <f>TSIR!$B$1080/100+TSIR!L908/100</f>
        <v>4.0499999999999994E-2</v>
      </c>
      <c r="S81" s="82">
        <f>TSIR!$C$1080/100+TSIR!M908/100</f>
        <v>3.8800000000000001E-2</v>
      </c>
      <c r="T81" s="82">
        <f>TSIR!$D$1080/100+TSIR!N908/100</f>
        <v>3.8999999999999993E-2</v>
      </c>
      <c r="U81" s="82">
        <f>TSIR!$E$1080/100+TSIR!O908/100</f>
        <v>3.8848000000000001E-2</v>
      </c>
      <c r="V81" s="82">
        <f>TSIR!$F$1080/100+TSIR!P908/100</f>
        <v>0.04</v>
      </c>
      <c r="X81" s="84">
        <f t="shared" si="16"/>
        <v>96.107640557424318</v>
      </c>
      <c r="Y81" s="84">
        <f t="shared" si="17"/>
        <v>103.05324916720782</v>
      </c>
      <c r="Z81" s="84">
        <f t="shared" si="18"/>
        <v>91.112440412916982</v>
      </c>
      <c r="AA81" s="84">
        <f t="shared" si="19"/>
        <v>402085169.01570487</v>
      </c>
      <c r="AB81" s="1">
        <f t="shared" si="20"/>
        <v>-3.9976162966101113E-3</v>
      </c>
      <c r="AC81" s="1">
        <v>-9.304765836270864E-4</v>
      </c>
    </row>
    <row r="82" spans="1:29" x14ac:dyDescent="0.2">
      <c r="A82" s="8">
        <v>44314</v>
      </c>
      <c r="B82" s="24">
        <v>0.05</v>
      </c>
      <c r="C82" s="24">
        <v>0.17</v>
      </c>
      <c r="D82" s="24">
        <v>0.35</v>
      </c>
      <c r="E82" s="24">
        <v>0.60515194862995725</v>
      </c>
      <c r="F82" s="24">
        <v>0.86</v>
      </c>
      <c r="G82" s="83">
        <f t="shared" si="12"/>
        <v>99.950024987506254</v>
      </c>
      <c r="H82" s="84">
        <f t="shared" si="15"/>
        <v>113.88571721776938</v>
      </c>
      <c r="I82" s="84">
        <f t="shared" si="13"/>
        <v>105.6486019782957</v>
      </c>
      <c r="J82" s="84">
        <f t="shared" si="14"/>
        <v>451665882.0615412</v>
      </c>
      <c r="L82" s="19">
        <f t="shared" si="21"/>
        <v>-9.999999999999995E-3</v>
      </c>
      <c r="M82" s="19">
        <f t="shared" si="22"/>
        <v>0</v>
      </c>
      <c r="N82" s="19">
        <f t="shared" si="22"/>
        <v>-1.0000000000000009E-2</v>
      </c>
      <c r="O82" s="19">
        <f t="shared" si="22"/>
        <v>-1.5215805203684707E-2</v>
      </c>
      <c r="P82" s="19">
        <f t="shared" si="22"/>
        <v>-2.0000000000000018E-2</v>
      </c>
      <c r="Q82" s="1">
        <v>80</v>
      </c>
      <c r="R82" s="82">
        <f>TSIR!$B$1080/100+TSIR!L909/100</f>
        <v>3.9200000000000006E-2</v>
      </c>
      <c r="S82" s="82">
        <f>TSIR!$C$1080/100+TSIR!M909/100</f>
        <v>3.7199999999999997E-2</v>
      </c>
      <c r="T82" s="82">
        <f>TSIR!$D$1080/100+TSIR!N909/100</f>
        <v>3.73E-2</v>
      </c>
      <c r="U82" s="82">
        <f>TSIR!$E$1080/100+TSIR!O909/100</f>
        <v>3.7802000000000002E-2</v>
      </c>
      <c r="V82" s="82">
        <f>TSIR!$F$1080/100+TSIR!P909/100</f>
        <v>3.8600000000000002E-2</v>
      </c>
      <c r="X82" s="84">
        <f t="shared" si="16"/>
        <v>96.22786759045421</v>
      </c>
      <c r="Y82" s="84">
        <f t="shared" si="17"/>
        <v>103.53458711663185</v>
      </c>
      <c r="Z82" s="84">
        <f t="shared" si="18"/>
        <v>91.702852966912772</v>
      </c>
      <c r="AA82" s="84">
        <f t="shared" si="19"/>
        <v>403965266.37361175</v>
      </c>
      <c r="AB82" s="1">
        <f t="shared" si="20"/>
        <v>6.5955983016355627E-4</v>
      </c>
      <c r="AC82" s="1">
        <v>-9.1393078868673709E-4</v>
      </c>
    </row>
    <row r="83" spans="1:29" x14ac:dyDescent="0.2">
      <c r="A83" s="8">
        <v>44315</v>
      </c>
      <c r="B83" s="24">
        <v>0.05</v>
      </c>
      <c r="C83" s="24">
        <v>0.16</v>
      </c>
      <c r="D83" s="24">
        <v>0.35</v>
      </c>
      <c r="E83" s="24">
        <v>0.60500377345767786</v>
      </c>
      <c r="F83" s="24">
        <v>0.86</v>
      </c>
      <c r="G83" s="83">
        <f t="shared" si="12"/>
        <v>99.950024987506254</v>
      </c>
      <c r="H83" s="84">
        <f t="shared" si="15"/>
        <v>113.88671228406453</v>
      </c>
      <c r="I83" s="84">
        <f t="shared" si="13"/>
        <v>105.64901150661665</v>
      </c>
      <c r="J83" s="84">
        <f t="shared" si="14"/>
        <v>451666027.57538235</v>
      </c>
      <c r="L83" s="19">
        <f t="shared" si="21"/>
        <v>0</v>
      </c>
      <c r="M83" s="19">
        <f t="shared" si="22"/>
        <v>-1.0000000000000009E-2</v>
      </c>
      <c r="N83" s="19">
        <f t="shared" si="22"/>
        <v>0</v>
      </c>
      <c r="O83" s="19">
        <f t="shared" si="22"/>
        <v>-1.4817517227938559E-4</v>
      </c>
      <c r="P83" s="19">
        <f t="shared" si="22"/>
        <v>0</v>
      </c>
      <c r="Q83" s="1">
        <v>81</v>
      </c>
      <c r="R83" s="82">
        <f>TSIR!$B$1080/100+TSIR!L910/100</f>
        <v>3.9400000000000004E-2</v>
      </c>
      <c r="S83" s="82">
        <f>TSIR!$C$1080/100+TSIR!M910/100</f>
        <v>3.7400000000000003E-2</v>
      </c>
      <c r="T83" s="82">
        <f>TSIR!$D$1080/100+TSIR!N910/100</f>
        <v>3.7499999999999992E-2</v>
      </c>
      <c r="U83" s="82">
        <f>TSIR!$E$1080/100+TSIR!O910/100</f>
        <v>3.7747000000000003E-2</v>
      </c>
      <c r="V83" s="82">
        <f>TSIR!$F$1080/100+TSIR!P910/100</f>
        <v>3.8600000000000002E-2</v>
      </c>
      <c r="X83" s="84">
        <f t="shared" si="16"/>
        <v>96.209351548970545</v>
      </c>
      <c r="Y83" s="84">
        <f t="shared" si="17"/>
        <v>103.47747482671022</v>
      </c>
      <c r="Z83" s="84">
        <f t="shared" si="18"/>
        <v>91.701095336174575</v>
      </c>
      <c r="AA83" s="84">
        <f t="shared" si="19"/>
        <v>404006872.20257407</v>
      </c>
      <c r="AB83" s="1">
        <f t="shared" si="20"/>
        <v>7.6262134054921708E-4</v>
      </c>
      <c r="AC83" s="1">
        <v>-9.1241592009974788E-4</v>
      </c>
    </row>
    <row r="84" spans="1:29" x14ac:dyDescent="0.2">
      <c r="A84" s="8">
        <v>44316</v>
      </c>
      <c r="B84" s="24">
        <v>0.05</v>
      </c>
      <c r="C84" s="24">
        <v>0.16</v>
      </c>
      <c r="D84" s="24">
        <v>0.35</v>
      </c>
      <c r="E84" s="24">
        <v>0.6054527716902216</v>
      </c>
      <c r="F84" s="24">
        <v>0.86</v>
      </c>
      <c r="G84" s="83">
        <f t="shared" si="12"/>
        <v>99.950024987506254</v>
      </c>
      <c r="H84" s="84">
        <f t="shared" si="15"/>
        <v>113.88671228406453</v>
      </c>
      <c r="I84" s="84">
        <f t="shared" si="13"/>
        <v>105.64897665428288</v>
      </c>
      <c r="J84" s="84">
        <f t="shared" si="14"/>
        <v>451665888.16604722</v>
      </c>
      <c r="L84" s="19">
        <f t="shared" si="21"/>
        <v>0</v>
      </c>
      <c r="M84" s="19">
        <f t="shared" si="22"/>
        <v>0</v>
      </c>
      <c r="N84" s="19">
        <f t="shared" si="22"/>
        <v>0</v>
      </c>
      <c r="O84" s="19">
        <f t="shared" si="22"/>
        <v>4.4899823254374027E-4</v>
      </c>
      <c r="P84" s="19">
        <f t="shared" si="22"/>
        <v>0</v>
      </c>
      <c r="Q84" s="1">
        <v>82</v>
      </c>
      <c r="R84" s="82">
        <f>TSIR!$B$1080/100+TSIR!L911/100</f>
        <v>3.8999999999999993E-2</v>
      </c>
      <c r="S84" s="82">
        <f>TSIR!$C$1080/100+TSIR!M911/100</f>
        <v>3.670000000000001E-2</v>
      </c>
      <c r="T84" s="82">
        <f>TSIR!$D$1080/100+TSIR!N911/100</f>
        <v>3.6999999999999991E-2</v>
      </c>
      <c r="U84" s="82">
        <f>TSIR!$E$1080/100+TSIR!O911/100</f>
        <v>3.7390000000000007E-2</v>
      </c>
      <c r="V84" s="82">
        <f>TSIR!$F$1080/100+TSIR!P911/100</f>
        <v>3.8300000000000001E-2</v>
      </c>
      <c r="X84" s="84">
        <f t="shared" si="16"/>
        <v>96.2463907603465</v>
      </c>
      <c r="Y84" s="84">
        <f t="shared" si="17"/>
        <v>103.62166815873164</v>
      </c>
      <c r="Z84" s="84">
        <f t="shared" si="18"/>
        <v>91.831318479513541</v>
      </c>
      <c r="AA84" s="84">
        <f t="shared" si="19"/>
        <v>404385553.20064974</v>
      </c>
      <c r="AB84" s="1">
        <f t="shared" si="20"/>
        <v>1.7006494147252347E-3</v>
      </c>
      <c r="AC84" s="1">
        <v>-8.8504618031613139E-4</v>
      </c>
    </row>
    <row r="85" spans="1:29" x14ac:dyDescent="0.2">
      <c r="A85" s="8">
        <v>44319</v>
      </c>
      <c r="B85" s="24">
        <v>0.06</v>
      </c>
      <c r="C85" s="24">
        <v>0.16</v>
      </c>
      <c r="D85" s="24">
        <v>0.33</v>
      </c>
      <c r="E85" s="24">
        <v>0.58507106591584424</v>
      </c>
      <c r="F85" s="24">
        <v>0.84</v>
      </c>
      <c r="G85" s="83">
        <f t="shared" si="12"/>
        <v>99.940035978412965</v>
      </c>
      <c r="H85" s="84">
        <f t="shared" si="15"/>
        <v>113.94836326923755</v>
      </c>
      <c r="I85" s="84">
        <f t="shared" si="13"/>
        <v>105.74849287765146</v>
      </c>
      <c r="J85" s="84">
        <f t="shared" si="14"/>
        <v>451951498.56357545</v>
      </c>
      <c r="L85" s="19">
        <f t="shared" si="21"/>
        <v>9.999999999999995E-3</v>
      </c>
      <c r="M85" s="19">
        <f t="shared" si="22"/>
        <v>0</v>
      </c>
      <c r="N85" s="19">
        <f t="shared" si="22"/>
        <v>-1.9999999999999962E-2</v>
      </c>
      <c r="O85" s="19">
        <f t="shared" si="22"/>
        <v>-2.0381705774377368E-2</v>
      </c>
      <c r="P85" s="19">
        <f t="shared" si="22"/>
        <v>-2.0000000000000018E-2</v>
      </c>
      <c r="Q85" s="1">
        <v>83</v>
      </c>
      <c r="R85" s="82">
        <f>TSIR!$B$1080/100+TSIR!L912/100</f>
        <v>3.8800000000000008E-2</v>
      </c>
      <c r="S85" s="82">
        <f>TSIR!$C$1080/100+TSIR!M912/100</f>
        <v>3.6699999999999997E-2</v>
      </c>
      <c r="T85" s="82">
        <f>TSIR!$D$1080/100+TSIR!N912/100</f>
        <v>3.6999999999999998E-2</v>
      </c>
      <c r="U85" s="82">
        <f>TSIR!$E$1080/100+TSIR!O912/100</f>
        <v>3.7321E-2</v>
      </c>
      <c r="V85" s="82">
        <f>TSIR!$F$1080/100+TSIR!P912/100</f>
        <v>3.8199999999999998E-2</v>
      </c>
      <c r="X85" s="84">
        <f t="shared" si="16"/>
        <v>96.264921062764728</v>
      </c>
      <c r="Y85" s="84">
        <f t="shared" si="17"/>
        <v>103.62259467385255</v>
      </c>
      <c r="Z85" s="84">
        <f t="shared" si="18"/>
        <v>91.872863986831774</v>
      </c>
      <c r="AA85" s="84">
        <f t="shared" si="19"/>
        <v>404587406.06207776</v>
      </c>
      <c r="AB85" s="1">
        <f t="shared" si="20"/>
        <v>2.2006577379166028E-3</v>
      </c>
      <c r="AC85" s="1">
        <v>-8.4427956833699517E-4</v>
      </c>
    </row>
    <row r="86" spans="1:29" x14ac:dyDescent="0.2">
      <c r="A86" s="8">
        <v>44320</v>
      </c>
      <c r="B86" s="24">
        <v>0.06</v>
      </c>
      <c r="C86" s="24">
        <v>0.16</v>
      </c>
      <c r="D86" s="24">
        <v>0.33</v>
      </c>
      <c r="E86" s="24">
        <v>0.57518533856261911</v>
      </c>
      <c r="F86" s="24">
        <v>0.82</v>
      </c>
      <c r="G86" s="83">
        <f t="shared" si="12"/>
        <v>99.940035978412965</v>
      </c>
      <c r="H86" s="84">
        <f t="shared" si="15"/>
        <v>113.94836326923755</v>
      </c>
      <c r="I86" s="84">
        <f t="shared" si="13"/>
        <v>105.84632595280519</v>
      </c>
      <c r="J86" s="84">
        <f t="shared" si="14"/>
        <v>452342830.8641904</v>
      </c>
      <c r="L86" s="19">
        <f t="shared" si="21"/>
        <v>0</v>
      </c>
      <c r="M86" s="19">
        <f t="shared" si="22"/>
        <v>0</v>
      </c>
      <c r="N86" s="19">
        <f t="shared" si="22"/>
        <v>0</v>
      </c>
      <c r="O86" s="19">
        <f t="shared" si="22"/>
        <v>-9.8857273532251266E-3</v>
      </c>
      <c r="P86" s="19">
        <f t="shared" si="22"/>
        <v>-2.0000000000000018E-2</v>
      </c>
      <c r="Q86" s="1">
        <v>84</v>
      </c>
      <c r="R86" s="82">
        <f>TSIR!$B$1080/100+TSIR!L913/100</f>
        <v>4.0199999999999993E-2</v>
      </c>
      <c r="S86" s="82">
        <f>TSIR!$C$1080/100+TSIR!M913/100</f>
        <v>3.8100000000000009E-2</v>
      </c>
      <c r="T86" s="82">
        <f>TSIR!$D$1080/100+TSIR!N913/100</f>
        <v>3.839999999999999E-2</v>
      </c>
      <c r="U86" s="82">
        <f>TSIR!$E$1080/100+TSIR!O913/100</f>
        <v>3.8412000000000002E-2</v>
      </c>
      <c r="V86" s="82">
        <f>TSIR!$F$1080/100+TSIR!P913/100</f>
        <v>3.9600000000000003E-2</v>
      </c>
      <c r="X86" s="84">
        <f t="shared" si="16"/>
        <v>96.135358584887527</v>
      </c>
      <c r="Y86" s="84">
        <f t="shared" si="17"/>
        <v>103.22325430941312</v>
      </c>
      <c r="Z86" s="84">
        <f t="shared" si="18"/>
        <v>91.28288405554332</v>
      </c>
      <c r="AA86" s="84">
        <f t="shared" si="19"/>
        <v>402567371.92782867</v>
      </c>
      <c r="AB86" s="1">
        <f t="shared" si="20"/>
        <v>-2.8031548070711586E-3</v>
      </c>
      <c r="AC86" s="1">
        <v>-8.3305014082069831E-4</v>
      </c>
    </row>
    <row r="87" spans="1:29" x14ac:dyDescent="0.2">
      <c r="A87" s="8">
        <v>44321</v>
      </c>
      <c r="B87" s="24">
        <v>0.06</v>
      </c>
      <c r="C87" s="24">
        <v>0.16</v>
      </c>
      <c r="D87" s="24">
        <v>0.32</v>
      </c>
      <c r="E87" s="24">
        <v>0.56003905366153905</v>
      </c>
      <c r="F87" s="24">
        <v>0.8</v>
      </c>
      <c r="G87" s="83">
        <f t="shared" si="12"/>
        <v>99.940035978412965</v>
      </c>
      <c r="H87" s="84">
        <f t="shared" si="15"/>
        <v>113.97945707517815</v>
      </c>
      <c r="I87" s="84">
        <f t="shared" si="13"/>
        <v>105.94527646981773</v>
      </c>
      <c r="J87" s="84">
        <f t="shared" si="14"/>
        <v>452691992.22332966</v>
      </c>
      <c r="L87" s="19">
        <f t="shared" si="21"/>
        <v>0</v>
      </c>
      <c r="M87" s="19">
        <f t="shared" si="22"/>
        <v>0</v>
      </c>
      <c r="N87" s="19">
        <f t="shared" si="22"/>
        <v>-1.0000000000000009E-2</v>
      </c>
      <c r="O87" s="19">
        <f t="shared" si="22"/>
        <v>-1.5146284901080054E-2</v>
      </c>
      <c r="P87" s="19">
        <f t="shared" si="22"/>
        <v>-1.9999999999999907E-2</v>
      </c>
      <c r="Q87" s="1">
        <v>85</v>
      </c>
      <c r="R87" s="82">
        <f>TSIR!$B$1080/100+TSIR!L914/100</f>
        <v>3.8800000000000008E-2</v>
      </c>
      <c r="S87" s="82">
        <f>TSIR!$C$1080/100+TSIR!M914/100</f>
        <v>3.6499999999999998E-2</v>
      </c>
      <c r="T87" s="82">
        <f>TSIR!$D$1080/100+TSIR!N914/100</f>
        <v>3.6699999999999997E-2</v>
      </c>
      <c r="U87" s="82">
        <f>TSIR!$E$1080/100+TSIR!O914/100</f>
        <v>3.7360000000000004E-2</v>
      </c>
      <c r="V87" s="82">
        <f>TSIR!$F$1080/100+TSIR!P914/100</f>
        <v>3.8099999999999995E-2</v>
      </c>
      <c r="X87" s="84">
        <f t="shared" si="16"/>
        <v>96.264921062764728</v>
      </c>
      <c r="Y87" s="84">
        <f t="shared" si="17"/>
        <v>103.7061553453352</v>
      </c>
      <c r="Z87" s="84">
        <f t="shared" si="18"/>
        <v>91.915618812575374</v>
      </c>
      <c r="AA87" s="84">
        <f t="shared" si="19"/>
        <v>404633084.35782814</v>
      </c>
      <c r="AB87" s="1">
        <f t="shared" si="20"/>
        <v>2.3138071275403452E-3</v>
      </c>
      <c r="AC87" s="1">
        <v>-7.5990162576712139E-4</v>
      </c>
    </row>
    <row r="88" spans="1:29" x14ac:dyDescent="0.2">
      <c r="A88" s="8">
        <v>44322</v>
      </c>
      <c r="B88" s="24">
        <v>0.05</v>
      </c>
      <c r="C88" s="24">
        <v>0.16</v>
      </c>
      <c r="D88" s="24">
        <v>0.32</v>
      </c>
      <c r="E88" s="24">
        <v>0.5653656316166773</v>
      </c>
      <c r="F88" s="24">
        <v>0.81</v>
      </c>
      <c r="G88" s="83">
        <f t="shared" si="12"/>
        <v>99.950024987506254</v>
      </c>
      <c r="H88" s="84">
        <f t="shared" si="15"/>
        <v>113.97995652563282</v>
      </c>
      <c r="I88" s="84">
        <f t="shared" si="13"/>
        <v>105.89645727210177</v>
      </c>
      <c r="J88" s="84">
        <f t="shared" si="14"/>
        <v>452515944.27497041</v>
      </c>
      <c r="L88" s="19">
        <f t="shared" si="21"/>
        <v>-9.999999999999995E-3</v>
      </c>
      <c r="M88" s="19">
        <f t="shared" si="22"/>
        <v>0</v>
      </c>
      <c r="N88" s="19">
        <f t="shared" si="22"/>
        <v>0</v>
      </c>
      <c r="O88" s="19">
        <f t="shared" si="22"/>
        <v>5.3265779551382453E-3</v>
      </c>
      <c r="P88" s="19">
        <f t="shared" si="22"/>
        <v>1.0000000000000009E-2</v>
      </c>
      <c r="Q88" s="1">
        <v>86</v>
      </c>
      <c r="R88" s="82">
        <f>TSIR!$B$1080/100+TSIR!L915/100</f>
        <v>3.9699999999999999E-2</v>
      </c>
      <c r="S88" s="82">
        <f>TSIR!$C$1080/100+TSIR!M915/100</f>
        <v>3.7500000000000006E-2</v>
      </c>
      <c r="T88" s="82">
        <f>TSIR!$D$1080/100+TSIR!N915/100</f>
        <v>3.7699999999999997E-2</v>
      </c>
      <c r="U88" s="82">
        <f>TSIR!$E$1080/100+TSIR!O915/100</f>
        <v>3.7861000000000006E-2</v>
      </c>
      <c r="V88" s="82">
        <f>TSIR!$F$1080/100+TSIR!P915/100</f>
        <v>3.8900000000000004E-2</v>
      </c>
      <c r="X88" s="84">
        <f t="shared" si="16"/>
        <v>96.181590843512552</v>
      </c>
      <c r="Y88" s="84">
        <f t="shared" si="17"/>
        <v>103.42083857520812</v>
      </c>
      <c r="Z88" s="84">
        <f t="shared" si="18"/>
        <v>91.576595218477777</v>
      </c>
      <c r="AA88" s="84">
        <f t="shared" si="19"/>
        <v>403538304.69812399</v>
      </c>
      <c r="AB88" s="1">
        <f t="shared" si="20"/>
        <v>-3.980639752028861E-4</v>
      </c>
      <c r="AC88" s="1">
        <v>-7.5220927975410475E-4</v>
      </c>
    </row>
    <row r="89" spans="1:29" x14ac:dyDescent="0.2">
      <c r="A89" s="8">
        <v>44323</v>
      </c>
      <c r="B89" s="24">
        <v>0.05</v>
      </c>
      <c r="C89" s="24">
        <v>0.14000000000000001</v>
      </c>
      <c r="D89" s="24">
        <v>0.28999999999999998</v>
      </c>
      <c r="E89" s="24">
        <v>0.53015923898699113</v>
      </c>
      <c r="F89" s="24">
        <v>0.77</v>
      </c>
      <c r="G89" s="83">
        <f t="shared" si="12"/>
        <v>99.950024987506254</v>
      </c>
      <c r="H89" s="84">
        <f t="shared" si="15"/>
        <v>114.07530339708744</v>
      </c>
      <c r="I89" s="84">
        <f t="shared" si="13"/>
        <v>106.09636479806966</v>
      </c>
      <c r="J89" s="84">
        <f t="shared" si="14"/>
        <v>453172554.07165998</v>
      </c>
      <c r="L89" s="19">
        <f t="shared" si="21"/>
        <v>0</v>
      </c>
      <c r="M89" s="19">
        <f t="shared" si="22"/>
        <v>-1.999999999999999E-2</v>
      </c>
      <c r="N89" s="19">
        <f t="shared" si="22"/>
        <v>-3.0000000000000027E-2</v>
      </c>
      <c r="O89" s="19">
        <f t="shared" si="22"/>
        <v>-3.5206392629686167E-2</v>
      </c>
      <c r="P89" s="19">
        <f t="shared" si="22"/>
        <v>-4.0000000000000036E-2</v>
      </c>
      <c r="Q89" s="1">
        <v>87</v>
      </c>
      <c r="R89" s="82">
        <f>TSIR!$B$1080/100+TSIR!L916/100</f>
        <v>3.9100000000000003E-2</v>
      </c>
      <c r="S89" s="82">
        <f>TSIR!$C$1080/100+TSIR!M916/100</f>
        <v>3.6600000000000001E-2</v>
      </c>
      <c r="T89" s="82">
        <f>TSIR!$D$1080/100+TSIR!N916/100</f>
        <v>3.7399999999999996E-2</v>
      </c>
      <c r="U89" s="82">
        <f>TSIR!$E$1080/100+TSIR!O916/100</f>
        <v>3.7819999999999999E-2</v>
      </c>
      <c r="V89" s="82">
        <f>TSIR!$F$1080/100+TSIR!P916/100</f>
        <v>3.8800000000000001E-2</v>
      </c>
      <c r="X89" s="84">
        <f t="shared" si="16"/>
        <v>96.237128284092009</v>
      </c>
      <c r="Y89" s="84">
        <f t="shared" si="17"/>
        <v>103.51322958333041</v>
      </c>
      <c r="Z89" s="84">
        <f t="shared" si="18"/>
        <v>91.623333880061722</v>
      </c>
      <c r="AA89" s="84">
        <f t="shared" si="19"/>
        <v>403697747.71343529</v>
      </c>
      <c r="AB89" s="1">
        <f t="shared" si="20"/>
        <v>-3.1087877144639021E-6</v>
      </c>
      <c r="AC89" s="1">
        <v>-6.7135754854077251E-4</v>
      </c>
    </row>
    <row r="90" spans="1:29" x14ac:dyDescent="0.2">
      <c r="A90" s="8">
        <v>44326</v>
      </c>
      <c r="B90" s="24">
        <v>0.05</v>
      </c>
      <c r="C90" s="24">
        <v>0.16</v>
      </c>
      <c r="D90" s="24">
        <v>0.32</v>
      </c>
      <c r="E90" s="24">
        <v>0.56044540263363352</v>
      </c>
      <c r="F90" s="24">
        <v>0.8</v>
      </c>
      <c r="G90" s="83">
        <f t="shared" si="12"/>
        <v>99.950024987506254</v>
      </c>
      <c r="H90" s="84">
        <f t="shared" si="15"/>
        <v>113.97995652563282</v>
      </c>
      <c r="I90" s="84">
        <f t="shared" si="13"/>
        <v>105.94544463759013</v>
      </c>
      <c r="J90" s="84">
        <f t="shared" si="14"/>
        <v>452711893.73692381</v>
      </c>
      <c r="L90" s="19">
        <f t="shared" si="21"/>
        <v>0</v>
      </c>
      <c r="M90" s="19">
        <f t="shared" si="22"/>
        <v>1.999999999999999E-2</v>
      </c>
      <c r="N90" s="19">
        <f t="shared" si="22"/>
        <v>3.0000000000000027E-2</v>
      </c>
      <c r="O90" s="19">
        <f t="shared" si="22"/>
        <v>3.0286163646642383E-2</v>
      </c>
      <c r="P90" s="19">
        <f t="shared" si="22"/>
        <v>3.0000000000000027E-2</v>
      </c>
      <c r="Q90" s="1">
        <v>88</v>
      </c>
      <c r="R90" s="82">
        <f>TSIR!$B$1080/100+TSIR!L917/100</f>
        <v>3.9700000000000006E-2</v>
      </c>
      <c r="S90" s="82">
        <f>TSIR!$C$1080/100+TSIR!M917/100</f>
        <v>3.7400000000000003E-2</v>
      </c>
      <c r="T90" s="82">
        <f>TSIR!$D$1080/100+TSIR!N917/100</f>
        <v>3.7599999999999995E-2</v>
      </c>
      <c r="U90" s="82">
        <f>TSIR!$E$1080/100+TSIR!O917/100</f>
        <v>3.7880000000000004E-2</v>
      </c>
      <c r="V90" s="82">
        <f>TSIR!$F$1080/100+TSIR!P917/100</f>
        <v>3.85E-2</v>
      </c>
      <c r="X90" s="84">
        <f t="shared" si="16"/>
        <v>96.181590843512552</v>
      </c>
      <c r="Y90" s="84">
        <f t="shared" si="17"/>
        <v>103.44890522892514</v>
      </c>
      <c r="Z90" s="84">
        <f t="shared" si="18"/>
        <v>91.739783464702413</v>
      </c>
      <c r="AA90" s="84">
        <f t="shared" si="19"/>
        <v>404148957.70244706</v>
      </c>
      <c r="AB90" s="1">
        <f t="shared" si="20"/>
        <v>1.1145803469199565E-3</v>
      </c>
      <c r="AC90" s="1">
        <v>-6.6647370194022285E-4</v>
      </c>
    </row>
    <row r="91" spans="1:29" x14ac:dyDescent="0.2">
      <c r="A91" s="8">
        <v>44327</v>
      </c>
      <c r="B91" s="24">
        <v>0.05</v>
      </c>
      <c r="C91" s="24">
        <v>0.16</v>
      </c>
      <c r="D91" s="24">
        <v>0.31</v>
      </c>
      <c r="E91" s="24">
        <v>0.55521103138297923</v>
      </c>
      <c r="F91" s="24">
        <v>0.8</v>
      </c>
      <c r="G91" s="83">
        <f t="shared" si="12"/>
        <v>99.950024987506254</v>
      </c>
      <c r="H91" s="84">
        <f t="shared" si="15"/>
        <v>114.01106273189468</v>
      </c>
      <c r="I91" s="84">
        <f t="shared" si="13"/>
        <v>105.94644439987756</v>
      </c>
      <c r="J91" s="84">
        <f t="shared" si="14"/>
        <v>452669233.47668076</v>
      </c>
      <c r="L91" s="19">
        <f t="shared" si="21"/>
        <v>0</v>
      </c>
      <c r="M91" s="19">
        <f t="shared" si="22"/>
        <v>0</v>
      </c>
      <c r="N91" s="19">
        <f t="shared" si="22"/>
        <v>-1.0000000000000009E-2</v>
      </c>
      <c r="O91" s="19">
        <f t="shared" si="22"/>
        <v>-5.2343712506542905E-3</v>
      </c>
      <c r="P91" s="19">
        <f t="shared" si="22"/>
        <v>0</v>
      </c>
      <c r="Q91" s="1">
        <v>89</v>
      </c>
      <c r="R91" s="82">
        <f>TSIR!$B$1080/100+TSIR!L918/100</f>
        <v>3.9699999999999999E-2</v>
      </c>
      <c r="S91" s="82">
        <f>TSIR!$C$1080/100+TSIR!M918/100</f>
        <v>3.78E-2</v>
      </c>
      <c r="T91" s="82">
        <f>TSIR!$D$1080/100+TSIR!N918/100</f>
        <v>3.7999999999999992E-2</v>
      </c>
      <c r="U91" s="82">
        <f>TSIR!$E$1080/100+TSIR!O918/100</f>
        <v>3.8099000000000001E-2</v>
      </c>
      <c r="V91" s="82">
        <f>TSIR!$F$1080/100+TSIR!P918/100</f>
        <v>3.9100000000000003E-2</v>
      </c>
      <c r="X91" s="84">
        <f t="shared" si="16"/>
        <v>96.181590843512552</v>
      </c>
      <c r="Y91" s="84">
        <f t="shared" si="17"/>
        <v>103.33670297638848</v>
      </c>
      <c r="Z91" s="84">
        <f t="shared" si="18"/>
        <v>91.49131075915524</v>
      </c>
      <c r="AA91" s="84">
        <f t="shared" si="19"/>
        <v>403323370.25906336</v>
      </c>
      <c r="AB91" s="1">
        <f t="shared" si="20"/>
        <v>-9.304765836270864E-4</v>
      </c>
      <c r="AC91" s="1">
        <v>-6.597901890531213E-4</v>
      </c>
    </row>
    <row r="92" spans="1:29" x14ac:dyDescent="0.2">
      <c r="A92" s="8">
        <v>44328</v>
      </c>
      <c r="B92" s="24">
        <v>0.05</v>
      </c>
      <c r="C92" s="24">
        <v>0.16</v>
      </c>
      <c r="D92" s="24">
        <v>0.35</v>
      </c>
      <c r="E92" s="24">
        <v>0.61032867136952818</v>
      </c>
      <c r="F92" s="24">
        <v>0.87</v>
      </c>
      <c r="G92" s="83">
        <f t="shared" si="12"/>
        <v>99.950024987506254</v>
      </c>
      <c r="H92" s="84">
        <f t="shared" si="15"/>
        <v>113.88671228406453</v>
      </c>
      <c r="I92" s="84">
        <f t="shared" si="13"/>
        <v>105.60016680253011</v>
      </c>
      <c r="J92" s="84">
        <f t="shared" si="14"/>
        <v>451470648.75903618</v>
      </c>
      <c r="L92" s="19">
        <f t="shared" si="21"/>
        <v>0</v>
      </c>
      <c r="M92" s="19">
        <f t="shared" si="22"/>
        <v>0</v>
      </c>
      <c r="N92" s="19">
        <f t="shared" si="22"/>
        <v>3.999999999999998E-2</v>
      </c>
      <c r="O92" s="19">
        <f t="shared" si="22"/>
        <v>5.511763998654895E-2</v>
      </c>
      <c r="P92" s="19">
        <f t="shared" si="22"/>
        <v>6.9999999999999951E-2</v>
      </c>
      <c r="Q92" s="1">
        <v>90</v>
      </c>
      <c r="R92" s="82">
        <f>TSIR!$B$1080/100+TSIR!L919/100</f>
        <v>3.95E-2</v>
      </c>
      <c r="S92" s="82">
        <f>TSIR!$C$1080/100+TSIR!M919/100</f>
        <v>3.78E-2</v>
      </c>
      <c r="T92" s="82">
        <f>TSIR!$D$1080/100+TSIR!N919/100</f>
        <v>3.7899999999999996E-2</v>
      </c>
      <c r="U92" s="82">
        <f>TSIR!$E$1080/100+TSIR!O919/100</f>
        <v>3.8154000000000007E-2</v>
      </c>
      <c r="V92" s="82">
        <f>TSIR!$F$1080/100+TSIR!P919/100</f>
        <v>3.9300000000000002E-2</v>
      </c>
      <c r="X92" s="84">
        <f t="shared" si="16"/>
        <v>96.200096200096198</v>
      </c>
      <c r="Y92" s="84">
        <f t="shared" si="17"/>
        <v>103.36476793056394</v>
      </c>
      <c r="Z92" s="84">
        <f t="shared" si="18"/>
        <v>91.410847743265293</v>
      </c>
      <c r="AA92" s="84">
        <f t="shared" si="19"/>
        <v>402996431.47740763</v>
      </c>
      <c r="AB92" s="1">
        <f t="shared" si="20"/>
        <v>-1.7403343723421667E-3</v>
      </c>
      <c r="AC92" s="1">
        <v>-6.2927311795623339E-4</v>
      </c>
    </row>
    <row r="93" spans="1:29" x14ac:dyDescent="0.2">
      <c r="A93" s="8">
        <v>44329</v>
      </c>
      <c r="B93" s="24">
        <v>0.05</v>
      </c>
      <c r="C93" s="24">
        <v>0.16</v>
      </c>
      <c r="D93" s="24">
        <v>0.33</v>
      </c>
      <c r="E93" s="24">
        <v>0.58511596995075177</v>
      </c>
      <c r="F93" s="24">
        <v>0.84</v>
      </c>
      <c r="G93" s="83">
        <f t="shared" si="12"/>
        <v>99.950024987506254</v>
      </c>
      <c r="H93" s="84">
        <f t="shared" si="15"/>
        <v>113.94886271969222</v>
      </c>
      <c r="I93" s="84">
        <f t="shared" si="13"/>
        <v>105.74868916878299</v>
      </c>
      <c r="J93" s="84">
        <f t="shared" si="14"/>
        <v>451971512.57060617</v>
      </c>
      <c r="L93" s="19">
        <f t="shared" si="21"/>
        <v>0</v>
      </c>
      <c r="M93" s="19">
        <f t="shared" si="22"/>
        <v>0</v>
      </c>
      <c r="N93" s="19">
        <f t="shared" si="22"/>
        <v>-1.9999999999999962E-2</v>
      </c>
      <c r="O93" s="19">
        <f t="shared" si="22"/>
        <v>-2.5212701418776406E-2</v>
      </c>
      <c r="P93" s="19">
        <f t="shared" si="22"/>
        <v>-3.0000000000000027E-2</v>
      </c>
      <c r="Q93" s="1">
        <v>91</v>
      </c>
      <c r="R93" s="82">
        <f>TSIR!$B$1080/100+TSIR!L920/100</f>
        <v>3.9199999999999999E-2</v>
      </c>
      <c r="S93" s="82">
        <f>TSIR!$C$1080/100+TSIR!M920/100</f>
        <v>3.7100000000000001E-2</v>
      </c>
      <c r="T93" s="82">
        <f>TSIR!$D$1080/100+TSIR!N920/100</f>
        <v>3.6999999999999991E-2</v>
      </c>
      <c r="U93" s="82">
        <f>TSIR!$E$1080/100+TSIR!O920/100</f>
        <v>3.7408000000000004E-2</v>
      </c>
      <c r="V93" s="82">
        <f>TSIR!$F$1080/100+TSIR!P920/100</f>
        <v>3.8199999999999998E-2</v>
      </c>
      <c r="X93" s="84">
        <f t="shared" si="16"/>
        <v>96.22786759045421</v>
      </c>
      <c r="Y93" s="84">
        <f t="shared" si="17"/>
        <v>103.61715402530419</v>
      </c>
      <c r="Z93" s="84">
        <f t="shared" si="18"/>
        <v>91.870108362306979</v>
      </c>
      <c r="AA93" s="84">
        <f t="shared" si="19"/>
        <v>404510437.59218007</v>
      </c>
      <c r="AB93" s="1">
        <f t="shared" si="20"/>
        <v>2.0099996749102919E-3</v>
      </c>
      <c r="AC93" s="1">
        <v>-6.2397514152121687E-4</v>
      </c>
    </row>
    <row r="94" spans="1:29" x14ac:dyDescent="0.2">
      <c r="A94" s="8">
        <v>44330</v>
      </c>
      <c r="B94" s="24">
        <v>0.06</v>
      </c>
      <c r="C94" s="24">
        <v>0.16</v>
      </c>
      <c r="D94" s="24">
        <v>0.33</v>
      </c>
      <c r="E94" s="24">
        <v>0.57541408011165252</v>
      </c>
      <c r="F94" s="24">
        <v>0.82</v>
      </c>
      <c r="G94" s="83">
        <f t="shared" si="12"/>
        <v>99.940035978412965</v>
      </c>
      <c r="H94" s="84">
        <f t="shared" si="15"/>
        <v>113.94836326923755</v>
      </c>
      <c r="I94" s="84">
        <f t="shared" si="13"/>
        <v>105.84630817089683</v>
      </c>
      <c r="J94" s="84">
        <f t="shared" si="14"/>
        <v>452342759.73655695</v>
      </c>
      <c r="L94" s="19">
        <f t="shared" si="21"/>
        <v>9.999999999999995E-3</v>
      </c>
      <c r="M94" s="19">
        <f t="shared" si="22"/>
        <v>0</v>
      </c>
      <c r="N94" s="19">
        <f t="shared" si="22"/>
        <v>0</v>
      </c>
      <c r="O94" s="19">
        <f t="shared" si="22"/>
        <v>-9.7018898390992536E-3</v>
      </c>
      <c r="P94" s="19">
        <f t="shared" si="22"/>
        <v>-2.0000000000000018E-2</v>
      </c>
      <c r="Q94" s="1">
        <v>92</v>
      </c>
      <c r="R94" s="82">
        <f>TSIR!$B$1080/100+TSIR!L921/100</f>
        <v>3.8300000000000008E-2</v>
      </c>
      <c r="S94" s="82">
        <f>TSIR!$C$1080/100+TSIR!M921/100</f>
        <v>3.6200000000000003E-2</v>
      </c>
      <c r="T94" s="82">
        <f>TSIR!$D$1080/100+TSIR!N921/100</f>
        <v>3.6599999999999994E-2</v>
      </c>
      <c r="U94" s="82">
        <f>TSIR!$E$1080/100+TSIR!O921/100</f>
        <v>3.6944999999999999E-2</v>
      </c>
      <c r="V94" s="82">
        <f>TSIR!$F$1080/100+TSIR!P921/100</f>
        <v>3.7900000000000003E-2</v>
      </c>
      <c r="X94" s="84">
        <f t="shared" si="16"/>
        <v>96.311278050659737</v>
      </c>
      <c r="Y94" s="84">
        <f t="shared" si="17"/>
        <v>103.73844454209024</v>
      </c>
      <c r="Z94" s="84">
        <f t="shared" si="18"/>
        <v>92.002458587287521</v>
      </c>
      <c r="AA94" s="84">
        <f t="shared" si="19"/>
        <v>405024723.63733417</v>
      </c>
      <c r="AB94" s="1">
        <f t="shared" si="20"/>
        <v>3.2839340707816814E-3</v>
      </c>
      <c r="AC94" s="1">
        <v>-6.0252248030593172E-4</v>
      </c>
    </row>
    <row r="95" spans="1:29" x14ac:dyDescent="0.2">
      <c r="A95" s="8">
        <v>44333</v>
      </c>
      <c r="B95" s="24">
        <v>0.06</v>
      </c>
      <c r="C95" s="24">
        <v>0.16</v>
      </c>
      <c r="D95" s="24">
        <v>0.34</v>
      </c>
      <c r="E95" s="24">
        <v>0.59014563738253512</v>
      </c>
      <c r="F95" s="24">
        <v>0.84</v>
      </c>
      <c r="G95" s="83">
        <f t="shared" si="12"/>
        <v>99.940035978412965</v>
      </c>
      <c r="H95" s="84">
        <f t="shared" si="15"/>
        <v>113.91728185743973</v>
      </c>
      <c r="I95" s="84">
        <f t="shared" si="13"/>
        <v>105.74750660507316</v>
      </c>
      <c r="J95" s="84">
        <f t="shared" si="14"/>
        <v>451994175.59095895</v>
      </c>
      <c r="L95" s="19">
        <f t="shared" si="21"/>
        <v>0</v>
      </c>
      <c r="M95" s="19">
        <f t="shared" si="22"/>
        <v>0</v>
      </c>
      <c r="N95" s="19">
        <f t="shared" si="22"/>
        <v>1.0000000000000009E-2</v>
      </c>
      <c r="O95" s="19">
        <f t="shared" si="22"/>
        <v>1.47315572708826E-2</v>
      </c>
      <c r="P95" s="19">
        <f t="shared" si="22"/>
        <v>2.0000000000000018E-2</v>
      </c>
      <c r="Q95" s="1">
        <v>93</v>
      </c>
      <c r="R95" s="82">
        <f>TSIR!$B$1080/100+TSIR!L922/100</f>
        <v>3.9299999999999995E-2</v>
      </c>
      <c r="S95" s="82">
        <f>TSIR!$C$1080/100+TSIR!M922/100</f>
        <v>3.7300000000000007E-2</v>
      </c>
      <c r="T95" s="82">
        <f>TSIR!$D$1080/100+TSIR!N922/100</f>
        <v>3.7399999999999996E-2</v>
      </c>
      <c r="U95" s="82">
        <f>TSIR!$E$1080/100+TSIR!O922/100</f>
        <v>3.7486000000000005E-2</v>
      </c>
      <c r="V95" s="82">
        <f>TSIR!$F$1080/100+TSIR!P922/100</f>
        <v>3.8600000000000002E-2</v>
      </c>
      <c r="X95" s="84">
        <f t="shared" si="16"/>
        <v>96.218608678918514</v>
      </c>
      <c r="Y95" s="84">
        <f t="shared" si="17"/>
        <v>103.50602555421455</v>
      </c>
      <c r="Z95" s="84">
        <f t="shared" si="18"/>
        <v>91.703892739063164</v>
      </c>
      <c r="AA95" s="84">
        <f t="shared" si="19"/>
        <v>403993749.98276782</v>
      </c>
      <c r="AB95" s="1">
        <f t="shared" si="20"/>
        <v>7.3011638086989546E-4</v>
      </c>
      <c r="AC95" s="1">
        <v>-5.6952176061325047E-4</v>
      </c>
    </row>
    <row r="96" spans="1:29" x14ac:dyDescent="0.2">
      <c r="A96" s="8">
        <v>44334</v>
      </c>
      <c r="B96" s="24">
        <v>0.06</v>
      </c>
      <c r="C96" s="24">
        <v>0.16</v>
      </c>
      <c r="D96" s="24">
        <v>0.34</v>
      </c>
      <c r="E96" s="24">
        <v>0.58541680551213005</v>
      </c>
      <c r="F96" s="24">
        <v>0.83</v>
      </c>
      <c r="G96" s="83">
        <f t="shared" si="12"/>
        <v>99.940035978412965</v>
      </c>
      <c r="H96" s="84">
        <f t="shared" si="15"/>
        <v>113.91728185743973</v>
      </c>
      <c r="I96" s="84">
        <f t="shared" si="13"/>
        <v>105.79639192858453</v>
      </c>
      <c r="J96" s="84">
        <f t="shared" si="14"/>
        <v>452189716.88500446</v>
      </c>
      <c r="L96" s="19">
        <f t="shared" si="21"/>
        <v>0</v>
      </c>
      <c r="M96" s="19">
        <f t="shared" si="22"/>
        <v>0</v>
      </c>
      <c r="N96" s="19">
        <f t="shared" si="22"/>
        <v>0</v>
      </c>
      <c r="O96" s="19">
        <f t="shared" si="22"/>
        <v>-4.7288318704050702E-3</v>
      </c>
      <c r="P96" s="19">
        <f t="shared" si="22"/>
        <v>-1.0000000000000009E-2</v>
      </c>
      <c r="Q96" s="1">
        <v>94</v>
      </c>
      <c r="R96" s="82">
        <f>TSIR!$B$1080/100+TSIR!L923/100</f>
        <v>3.8399999999999997E-2</v>
      </c>
      <c r="S96" s="82">
        <f>TSIR!$C$1080/100+TSIR!M923/100</f>
        <v>3.6500000000000005E-2</v>
      </c>
      <c r="T96" s="82">
        <f>TSIR!$D$1080/100+TSIR!N923/100</f>
        <v>3.6899999999999995E-2</v>
      </c>
      <c r="U96" s="82">
        <f>TSIR!$E$1080/100+TSIR!O923/100</f>
        <v>3.7352000000000003E-2</v>
      </c>
      <c r="V96" s="82">
        <f>TSIR!$F$1080/100+TSIR!P923/100</f>
        <v>3.8400000000000004E-2</v>
      </c>
      <c r="X96" s="84">
        <f t="shared" si="16"/>
        <v>96.302003081664097</v>
      </c>
      <c r="Y96" s="84">
        <f t="shared" si="17"/>
        <v>103.65348884851369</v>
      </c>
      <c r="Z96" s="84">
        <f t="shared" si="18"/>
        <v>91.793229072021717</v>
      </c>
      <c r="AA96" s="84">
        <f t="shared" si="19"/>
        <v>404296689.17864454</v>
      </c>
      <c r="AB96" s="1">
        <f t="shared" si="20"/>
        <v>1.4805249620891987E-3</v>
      </c>
      <c r="AC96" s="1">
        <v>-5.5487200285373307E-4</v>
      </c>
    </row>
    <row r="97" spans="1:29" x14ac:dyDescent="0.2">
      <c r="A97" s="8">
        <v>44335</v>
      </c>
      <c r="B97" s="24">
        <v>0.05</v>
      </c>
      <c r="C97" s="24">
        <v>0.16</v>
      </c>
      <c r="D97" s="24">
        <v>0.35</v>
      </c>
      <c r="E97" s="24">
        <v>0.61041781560919794</v>
      </c>
      <c r="F97" s="24">
        <v>0.87</v>
      </c>
      <c r="G97" s="83">
        <f t="shared" si="12"/>
        <v>99.950024987506254</v>
      </c>
      <c r="H97" s="84">
        <f t="shared" si="15"/>
        <v>113.88671228406453</v>
      </c>
      <c r="I97" s="84">
        <f t="shared" si="13"/>
        <v>105.60015988470671</v>
      </c>
      <c r="J97" s="84">
        <f t="shared" si="14"/>
        <v>451470621.08774257</v>
      </c>
      <c r="L97" s="19">
        <f t="shared" si="21"/>
        <v>-9.999999999999995E-3</v>
      </c>
      <c r="M97" s="19">
        <f t="shared" si="22"/>
        <v>0</v>
      </c>
      <c r="N97" s="19">
        <f t="shared" si="22"/>
        <v>9.9999999999999534E-3</v>
      </c>
      <c r="O97" s="19">
        <f t="shared" si="22"/>
        <v>2.5001010097067899E-2</v>
      </c>
      <c r="P97" s="19">
        <f t="shared" si="22"/>
        <v>4.0000000000000036E-2</v>
      </c>
      <c r="Q97" s="1">
        <v>95</v>
      </c>
      <c r="R97" s="82">
        <f>TSIR!$B$1080/100+TSIR!L924/100</f>
        <v>3.9700000000000006E-2</v>
      </c>
      <c r="S97" s="82">
        <f>TSIR!$C$1080/100+TSIR!M924/100</f>
        <v>3.7600000000000001E-2</v>
      </c>
      <c r="T97" s="82">
        <f>TSIR!$D$1080/100+TSIR!N924/100</f>
        <v>3.7599999999999995E-2</v>
      </c>
      <c r="U97" s="82">
        <f>TSIR!$E$1080/100+TSIR!O924/100</f>
        <v>3.7646000000000006E-2</v>
      </c>
      <c r="V97" s="82">
        <f>TSIR!$F$1080/100+TSIR!P924/100</f>
        <v>3.8700000000000005E-2</v>
      </c>
      <c r="X97" s="84">
        <f t="shared" si="16"/>
        <v>96.181590843512552</v>
      </c>
      <c r="Y97" s="84">
        <f t="shared" si="17"/>
        <v>103.44711435221926</v>
      </c>
      <c r="Z97" s="84">
        <f t="shared" si="18"/>
        <v>91.659356153643472</v>
      </c>
      <c r="AA97" s="84">
        <f t="shared" si="19"/>
        <v>403829934.77327013</v>
      </c>
      <c r="AB97" s="1">
        <f t="shared" si="20"/>
        <v>3.2433086148358646E-4</v>
      </c>
      <c r="AC97" s="1">
        <v>-5.528567783884674E-4</v>
      </c>
    </row>
    <row r="98" spans="1:29" x14ac:dyDescent="0.2">
      <c r="A98" s="8">
        <v>44336</v>
      </c>
      <c r="B98" s="24">
        <v>0.05</v>
      </c>
      <c r="C98" s="24">
        <v>0.15</v>
      </c>
      <c r="D98" s="24">
        <v>0.34</v>
      </c>
      <c r="E98" s="24">
        <v>0.5850801546828579</v>
      </c>
      <c r="F98" s="24">
        <v>0.83</v>
      </c>
      <c r="G98" s="83">
        <f t="shared" si="12"/>
        <v>99.950024987506254</v>
      </c>
      <c r="H98" s="84">
        <f t="shared" si="15"/>
        <v>113.9187766722772</v>
      </c>
      <c r="I98" s="84">
        <f t="shared" si="13"/>
        <v>105.79701601213854</v>
      </c>
      <c r="J98" s="84">
        <f t="shared" si="14"/>
        <v>452209949.0151509</v>
      </c>
      <c r="L98" s="19">
        <f t="shared" si="21"/>
        <v>0</v>
      </c>
      <c r="M98" s="19">
        <f t="shared" si="22"/>
        <v>-1.0000000000000009E-2</v>
      </c>
      <c r="N98" s="19">
        <f t="shared" si="22"/>
        <v>-9.9999999999999534E-3</v>
      </c>
      <c r="O98" s="19">
        <f t="shared" si="22"/>
        <v>-2.5337660926340044E-2</v>
      </c>
      <c r="P98" s="19">
        <f t="shared" si="22"/>
        <v>-4.0000000000000036E-2</v>
      </c>
      <c r="Q98" s="1">
        <v>96</v>
      </c>
      <c r="R98" s="82">
        <f>TSIR!$B$1080/100+TSIR!L925/100</f>
        <v>3.9E-2</v>
      </c>
      <c r="S98" s="82">
        <f>TSIR!$C$1080/100+TSIR!M925/100</f>
        <v>3.6499999999999998E-2</v>
      </c>
      <c r="T98" s="82">
        <f>TSIR!$D$1080/100+TSIR!N925/100</f>
        <v>3.6399999999999995E-2</v>
      </c>
      <c r="U98" s="82">
        <f>TSIR!$E$1080/100+TSIR!O925/100</f>
        <v>3.7296000000000003E-2</v>
      </c>
      <c r="V98" s="82">
        <f>TSIR!$F$1080/100+TSIR!P925/100</f>
        <v>3.8199999999999998E-2</v>
      </c>
      <c r="X98" s="84">
        <f t="shared" si="16"/>
        <v>96.2463907603465</v>
      </c>
      <c r="Y98" s="84">
        <f t="shared" si="17"/>
        <v>103.78708865579139</v>
      </c>
      <c r="Z98" s="84">
        <f t="shared" si="18"/>
        <v>91.876494793856864</v>
      </c>
      <c r="AA98" s="84">
        <f t="shared" si="19"/>
        <v>404318127.71243334</v>
      </c>
      <c r="AB98" s="1">
        <f t="shared" si="20"/>
        <v>1.5336302054609499E-3</v>
      </c>
      <c r="AC98" s="1">
        <v>-5.4429991511994774E-4</v>
      </c>
    </row>
    <row r="99" spans="1:29" x14ac:dyDescent="0.2">
      <c r="A99" s="8">
        <v>44337</v>
      </c>
      <c r="B99" s="24">
        <v>0.04</v>
      </c>
      <c r="C99" s="24">
        <v>0.17</v>
      </c>
      <c r="D99" s="24">
        <v>0.34</v>
      </c>
      <c r="E99" s="24">
        <v>0.59049802037034671</v>
      </c>
      <c r="F99" s="24">
        <v>0.84</v>
      </c>
      <c r="G99" s="83">
        <f t="shared" si="12"/>
        <v>99.960015993602568</v>
      </c>
      <c r="H99" s="84">
        <f t="shared" si="15"/>
        <v>113.91728579190406</v>
      </c>
      <c r="I99" s="84">
        <f t="shared" si="13"/>
        <v>105.74748080576214</v>
      </c>
      <c r="J99" s="84">
        <f t="shared" si="14"/>
        <v>452034026.52239764</v>
      </c>
      <c r="L99" s="19">
        <f t="shared" si="21"/>
        <v>-1.0000000000000002E-2</v>
      </c>
      <c r="M99" s="19">
        <f t="shared" si="22"/>
        <v>2.0000000000000018E-2</v>
      </c>
      <c r="N99" s="19">
        <f t="shared" si="22"/>
        <v>0</v>
      </c>
      <c r="O99" s="19">
        <f t="shared" si="22"/>
        <v>5.4178656874888098E-3</v>
      </c>
      <c r="P99" s="19">
        <f t="shared" si="22"/>
        <v>1.0000000000000009E-2</v>
      </c>
      <c r="Q99" s="1">
        <v>97</v>
      </c>
      <c r="R99" s="82">
        <f>TSIR!$B$1080/100+TSIR!L926/100</f>
        <v>0.04</v>
      </c>
      <c r="S99" s="82">
        <f>TSIR!$C$1080/100+TSIR!M926/100</f>
        <v>3.7700000000000004E-2</v>
      </c>
      <c r="T99" s="82">
        <f>TSIR!$D$1080/100+TSIR!N926/100</f>
        <v>3.7899999999999996E-2</v>
      </c>
      <c r="U99" s="82">
        <f>TSIR!$E$1080/100+TSIR!O926/100</f>
        <v>3.7947000000000009E-2</v>
      </c>
      <c r="V99" s="82">
        <f>TSIR!$F$1080/100+TSIR!P926/100</f>
        <v>3.9E-2</v>
      </c>
      <c r="X99" s="84">
        <f t="shared" si="16"/>
        <v>96.153846153846146</v>
      </c>
      <c r="Y99" s="84">
        <f t="shared" si="17"/>
        <v>103.36335021959891</v>
      </c>
      <c r="Z99" s="84">
        <f t="shared" si="18"/>
        <v>91.533167403390479</v>
      </c>
      <c r="AA99" s="84">
        <f t="shared" si="19"/>
        <v>403395336.59185588</v>
      </c>
      <c r="AB99" s="1">
        <f t="shared" si="20"/>
        <v>-7.5220927975410475E-4</v>
      </c>
      <c r="AC99" s="1">
        <v>-5.3731836555716132E-4</v>
      </c>
    </row>
    <row r="100" spans="1:29" x14ac:dyDescent="0.2">
      <c r="A100" s="8">
        <v>44340</v>
      </c>
      <c r="B100" s="24">
        <v>0.04</v>
      </c>
      <c r="C100" s="24">
        <v>0.15</v>
      </c>
      <c r="D100" s="24">
        <v>0.32</v>
      </c>
      <c r="E100" s="24">
        <v>0.5704064576929847</v>
      </c>
      <c r="F100" s="24">
        <v>0.82</v>
      </c>
      <c r="G100" s="83">
        <f t="shared" si="12"/>
        <v>99.960015993602568</v>
      </c>
      <c r="H100" s="84">
        <f t="shared" si="15"/>
        <v>113.98145144032044</v>
      </c>
      <c r="I100" s="84">
        <f t="shared" si="13"/>
        <v>105.84808750867472</v>
      </c>
      <c r="J100" s="84">
        <f t="shared" si="14"/>
        <v>452340204.86142337</v>
      </c>
      <c r="L100" s="19">
        <f t="shared" si="21"/>
        <v>0</v>
      </c>
      <c r="M100" s="19">
        <f t="shared" si="22"/>
        <v>-2.0000000000000018E-2</v>
      </c>
      <c r="N100" s="19">
        <f t="shared" si="22"/>
        <v>-2.0000000000000018E-2</v>
      </c>
      <c r="O100" s="19">
        <f t="shared" si="22"/>
        <v>-2.0091562677362007E-2</v>
      </c>
      <c r="P100" s="19">
        <f t="shared" si="22"/>
        <v>-2.0000000000000018E-2</v>
      </c>
      <c r="Q100" s="1">
        <v>98</v>
      </c>
      <c r="R100" s="82">
        <f>TSIR!$B$1080/100+TSIR!L927/100</f>
        <v>3.9199999999999999E-2</v>
      </c>
      <c r="S100" s="82">
        <f>TSIR!$C$1080/100+TSIR!M927/100</f>
        <v>3.7600000000000001E-2</v>
      </c>
      <c r="T100" s="82">
        <f>TSIR!$D$1080/100+TSIR!N927/100</f>
        <v>3.7799999999999993E-2</v>
      </c>
      <c r="U100" s="82">
        <f>TSIR!$E$1080/100+TSIR!O927/100</f>
        <v>3.8001E-2</v>
      </c>
      <c r="V100" s="82">
        <f>TSIR!$F$1080/100+TSIR!P927/100</f>
        <v>3.9E-2</v>
      </c>
      <c r="X100" s="84">
        <f t="shared" si="16"/>
        <v>96.22786759045421</v>
      </c>
      <c r="Y100" s="84">
        <f t="shared" si="17"/>
        <v>103.39509648932219</v>
      </c>
      <c r="Z100" s="84">
        <f t="shared" si="18"/>
        <v>91.535164446464492</v>
      </c>
      <c r="AA100" s="84">
        <f t="shared" si="19"/>
        <v>403503748.23278308</v>
      </c>
      <c r="AB100" s="1">
        <f t="shared" si="20"/>
        <v>-4.8366355584936334E-4</v>
      </c>
      <c r="AC100" s="1">
        <v>-5.3506811725447044E-4</v>
      </c>
    </row>
    <row r="101" spans="1:29" x14ac:dyDescent="0.2">
      <c r="A101" s="8">
        <v>44341</v>
      </c>
      <c r="B101" s="24">
        <v>0.04</v>
      </c>
      <c r="C101" s="24">
        <v>0.15</v>
      </c>
      <c r="D101" s="24">
        <v>0.3</v>
      </c>
      <c r="E101" s="24">
        <v>0.54545057228087912</v>
      </c>
      <c r="F101" s="24">
        <v>0.79</v>
      </c>
      <c r="G101" s="83">
        <f t="shared" si="12"/>
        <v>99.960015993602568</v>
      </c>
      <c r="H101" s="84">
        <f t="shared" si="15"/>
        <v>114.04367625934782</v>
      </c>
      <c r="I101" s="84">
        <f t="shared" si="13"/>
        <v>105.99702838322793</v>
      </c>
      <c r="J101" s="84">
        <f t="shared" si="14"/>
        <v>452842631.13109517</v>
      </c>
      <c r="L101" s="19">
        <f t="shared" si="21"/>
        <v>0</v>
      </c>
      <c r="M101" s="19">
        <f t="shared" si="22"/>
        <v>0</v>
      </c>
      <c r="N101" s="19">
        <f t="shared" si="22"/>
        <v>-2.0000000000000018E-2</v>
      </c>
      <c r="O101" s="19">
        <f t="shared" si="22"/>
        <v>-2.4955885412105583E-2</v>
      </c>
      <c r="P101" s="19">
        <f t="shared" si="22"/>
        <v>-2.9999999999999916E-2</v>
      </c>
      <c r="Q101" s="1">
        <v>99</v>
      </c>
      <c r="R101" s="82">
        <f>TSIR!$B$1080/100+TSIR!L928/100</f>
        <v>3.8600000000000002E-2</v>
      </c>
      <c r="S101" s="82">
        <f>TSIR!$C$1080/100+TSIR!M928/100</f>
        <v>3.6699999999999997E-2</v>
      </c>
      <c r="T101" s="82">
        <f>TSIR!$D$1080/100+TSIR!N928/100</f>
        <v>3.7099999999999994E-2</v>
      </c>
      <c r="U101" s="82">
        <f>TSIR!$E$1080/100+TSIR!O928/100</f>
        <v>3.7455000000000002E-2</v>
      </c>
      <c r="V101" s="82">
        <f>TSIR!$F$1080/100+TSIR!P928/100</f>
        <v>3.8400000000000004E-2</v>
      </c>
      <c r="X101" s="84">
        <f t="shared" si="16"/>
        <v>96.283458501829386</v>
      </c>
      <c r="Y101" s="84">
        <f t="shared" si="17"/>
        <v>103.59628752444054</v>
      </c>
      <c r="Z101" s="84">
        <f t="shared" si="18"/>
        <v>91.790416489514016</v>
      </c>
      <c r="AA101" s="84">
        <f t="shared" si="19"/>
        <v>404334151.67505395</v>
      </c>
      <c r="AB101" s="1">
        <f t="shared" si="20"/>
        <v>1.573323052142107E-3</v>
      </c>
      <c r="AC101" s="1">
        <v>-5.2649386053028218E-4</v>
      </c>
    </row>
    <row r="102" spans="1:29" x14ac:dyDescent="0.2">
      <c r="A102" s="8">
        <v>44342</v>
      </c>
      <c r="B102" s="24">
        <v>0.04</v>
      </c>
      <c r="C102" s="24">
        <v>0.14000000000000001</v>
      </c>
      <c r="D102" s="24">
        <v>0.31</v>
      </c>
      <c r="E102" s="24">
        <v>0.55547475747421848</v>
      </c>
      <c r="F102" s="24">
        <v>0.8</v>
      </c>
      <c r="G102" s="83">
        <f t="shared" si="12"/>
        <v>99.960015993602568</v>
      </c>
      <c r="H102" s="84">
        <f t="shared" si="15"/>
        <v>114.01355330917185</v>
      </c>
      <c r="I102" s="84">
        <f t="shared" si="13"/>
        <v>105.94742010889971</v>
      </c>
      <c r="J102" s="84">
        <f t="shared" si="14"/>
        <v>452689382.45904624</v>
      </c>
      <c r="L102" s="19">
        <f t="shared" si="21"/>
        <v>0</v>
      </c>
      <c r="M102" s="19">
        <f t="shared" si="22"/>
        <v>-9.9999999999999811E-3</v>
      </c>
      <c r="N102" s="19">
        <f t="shared" si="22"/>
        <v>1.0000000000000009E-2</v>
      </c>
      <c r="O102" s="19">
        <f t="shared" si="22"/>
        <v>1.0024185193339363E-2</v>
      </c>
      <c r="P102" s="19">
        <f t="shared" si="22"/>
        <v>1.0000000000000009E-2</v>
      </c>
      <c r="Q102" s="1">
        <v>100</v>
      </c>
      <c r="R102" s="82">
        <f>TSIR!$B$1080/100+TSIR!L929/100</f>
        <v>3.9100000000000003E-2</v>
      </c>
      <c r="S102" s="82">
        <f>TSIR!$C$1080/100+TSIR!M929/100</f>
        <v>3.7300000000000007E-2</v>
      </c>
      <c r="T102" s="82">
        <f>TSIR!$D$1080/100+TSIR!N929/100</f>
        <v>3.7599999999999995E-2</v>
      </c>
      <c r="U102" s="82">
        <f>TSIR!$E$1080/100+TSIR!O929/100</f>
        <v>3.7583000000000005E-2</v>
      </c>
      <c r="V102" s="82">
        <f>TSIR!$F$1080/100+TSIR!P929/100</f>
        <v>3.8600000000000002E-2</v>
      </c>
      <c r="X102" s="84">
        <f t="shared" si="16"/>
        <v>96.237128284092009</v>
      </c>
      <c r="Y102" s="84">
        <f t="shared" si="17"/>
        <v>103.4525779277898</v>
      </c>
      <c r="Z102" s="84">
        <f t="shared" si="18"/>
        <v>91.702582013651437</v>
      </c>
      <c r="AA102" s="84">
        <f t="shared" si="19"/>
        <v>404105717.73110503</v>
      </c>
      <c r="AB102" s="1">
        <f t="shared" si="20"/>
        <v>1.0074709137783346E-3</v>
      </c>
      <c r="AC102" s="1">
        <v>-5.0464780315006023E-4</v>
      </c>
    </row>
    <row r="103" spans="1:29" x14ac:dyDescent="0.2">
      <c r="A103" s="8">
        <v>44343</v>
      </c>
      <c r="B103" s="24">
        <v>0.04</v>
      </c>
      <c r="C103" s="24">
        <v>0.14000000000000001</v>
      </c>
      <c r="D103" s="24">
        <v>0.31</v>
      </c>
      <c r="E103" s="24">
        <v>0.56039796151442411</v>
      </c>
      <c r="F103" s="24">
        <v>0.81</v>
      </c>
      <c r="G103" s="83">
        <f t="shared" si="12"/>
        <v>99.960015993602568</v>
      </c>
      <c r="H103" s="84">
        <f t="shared" si="15"/>
        <v>114.01355330917185</v>
      </c>
      <c r="I103" s="84">
        <f t="shared" si="13"/>
        <v>105.89843241736398</v>
      </c>
      <c r="J103" s="84">
        <f t="shared" si="14"/>
        <v>452493431.69290328</v>
      </c>
      <c r="L103" s="19">
        <f t="shared" si="21"/>
        <v>0</v>
      </c>
      <c r="M103" s="19">
        <f t="shared" si="22"/>
        <v>0</v>
      </c>
      <c r="N103" s="19">
        <f t="shared" si="22"/>
        <v>0</v>
      </c>
      <c r="O103" s="19">
        <f t="shared" si="22"/>
        <v>4.923204040205631E-3</v>
      </c>
      <c r="P103" s="19">
        <f t="shared" si="22"/>
        <v>1.0000000000000009E-2</v>
      </c>
      <c r="Q103" s="1">
        <v>101</v>
      </c>
      <c r="R103" s="82">
        <f>TSIR!$B$1080/100+TSIR!L930/100</f>
        <v>3.9800000000000002E-2</v>
      </c>
      <c r="S103" s="82">
        <f>TSIR!$C$1080/100+TSIR!M930/100</f>
        <v>3.7699999999999997E-2</v>
      </c>
      <c r="T103" s="82">
        <f>TSIR!$D$1080/100+TSIR!N930/100</f>
        <v>3.7899999999999996E-2</v>
      </c>
      <c r="U103" s="82">
        <f>TSIR!$E$1080/100+TSIR!O930/100</f>
        <v>3.8052999999999997E-2</v>
      </c>
      <c r="V103" s="82">
        <f>TSIR!$F$1080/100+TSIR!P930/100</f>
        <v>3.9099999999999996E-2</v>
      </c>
      <c r="X103" s="84">
        <f t="shared" si="16"/>
        <v>96.172340834775909</v>
      </c>
      <c r="Y103" s="84">
        <f t="shared" si="17"/>
        <v>103.36427495364539</v>
      </c>
      <c r="Z103" s="84">
        <f t="shared" si="18"/>
        <v>91.49230590453729</v>
      </c>
      <c r="AA103" s="84">
        <f t="shared" si="19"/>
        <v>403267492.85723293</v>
      </c>
      <c r="AB103" s="1">
        <f t="shared" si="20"/>
        <v>-1.0688901081908125E-3</v>
      </c>
      <c r="AC103" s="1">
        <v>-4.9283791726380244E-4</v>
      </c>
    </row>
    <row r="104" spans="1:29" x14ac:dyDescent="0.2">
      <c r="A104" s="8">
        <v>44344</v>
      </c>
      <c r="B104" s="24">
        <v>0.05</v>
      </c>
      <c r="C104" s="24">
        <v>0.14000000000000001</v>
      </c>
      <c r="D104" s="24">
        <v>0.3</v>
      </c>
      <c r="E104" s="24">
        <v>0.54548834937667401</v>
      </c>
      <c r="F104" s="24">
        <v>0.79</v>
      </c>
      <c r="G104" s="83">
        <f t="shared" si="12"/>
        <v>99.950024987506254</v>
      </c>
      <c r="H104" s="84">
        <f t="shared" si="15"/>
        <v>114.04417237163254</v>
      </c>
      <c r="I104" s="84">
        <f t="shared" si="13"/>
        <v>105.99722388706735</v>
      </c>
      <c r="J104" s="84">
        <f t="shared" si="14"/>
        <v>452822686.96583307</v>
      </c>
      <c r="L104" s="19">
        <f t="shared" si="21"/>
        <v>1.0000000000000002E-2</v>
      </c>
      <c r="M104" s="19">
        <f t="shared" si="22"/>
        <v>0</v>
      </c>
      <c r="N104" s="19">
        <f t="shared" si="22"/>
        <v>-1.0000000000000009E-2</v>
      </c>
      <c r="O104" s="19">
        <f t="shared" si="22"/>
        <v>-1.4909612137750106E-2</v>
      </c>
      <c r="P104" s="19">
        <f t="shared" si="22"/>
        <v>-2.0000000000000018E-2</v>
      </c>
      <c r="Q104" s="1">
        <v>102</v>
      </c>
      <c r="R104" s="82">
        <f>TSIR!$B$1080/100+TSIR!L931/100</f>
        <v>3.9100000000000003E-2</v>
      </c>
      <c r="S104" s="82">
        <f>TSIR!$C$1080/100+TSIR!M931/100</f>
        <v>3.7600000000000001E-2</v>
      </c>
      <c r="T104" s="82">
        <f>TSIR!$D$1080/100+TSIR!N931/100</f>
        <v>3.7999999999999992E-2</v>
      </c>
      <c r="U104" s="82">
        <f>TSIR!$E$1080/100+TSIR!O931/100</f>
        <v>3.8184000000000003E-2</v>
      </c>
      <c r="V104" s="82">
        <f>TSIR!$F$1080/100+TSIR!P931/100</f>
        <v>3.9100000000000003E-2</v>
      </c>
      <c r="X104" s="84">
        <f t="shared" si="16"/>
        <v>96.237128284092009</v>
      </c>
      <c r="Y104" s="84">
        <f t="shared" si="17"/>
        <v>103.34126968983476</v>
      </c>
      <c r="Z104" s="84">
        <f t="shared" si="18"/>
        <v>91.492573513293252</v>
      </c>
      <c r="AA104" s="84">
        <f t="shared" si="19"/>
        <v>403432646.08660489</v>
      </c>
      <c r="AB104" s="1">
        <f t="shared" si="20"/>
        <v>-6.597901890531213E-4</v>
      </c>
      <c r="AC104" s="1">
        <v>-4.8366355584936334E-4</v>
      </c>
    </row>
    <row r="105" spans="1:29" x14ac:dyDescent="0.2">
      <c r="A105" s="8">
        <v>44348</v>
      </c>
      <c r="B105" s="24">
        <v>0.04</v>
      </c>
      <c r="C105" s="24">
        <v>0.16</v>
      </c>
      <c r="D105" s="24">
        <v>0.31</v>
      </c>
      <c r="E105" s="24">
        <v>0.56008557073393894</v>
      </c>
      <c r="F105" s="24">
        <v>0.81</v>
      </c>
      <c r="G105" s="83">
        <f t="shared" si="12"/>
        <v>99.960015993602568</v>
      </c>
      <c r="H105" s="84">
        <f t="shared" si="15"/>
        <v>114.01156228219949</v>
      </c>
      <c r="I105" s="84">
        <f t="shared" si="13"/>
        <v>105.89766030939396</v>
      </c>
      <c r="J105" s="84">
        <f t="shared" si="14"/>
        <v>452493329.80148172</v>
      </c>
      <c r="L105" s="19">
        <f t="shared" si="21"/>
        <v>-1.0000000000000002E-2</v>
      </c>
      <c r="M105" s="19">
        <f t="shared" si="22"/>
        <v>1.999999999999999E-2</v>
      </c>
      <c r="N105" s="19">
        <f t="shared" si="22"/>
        <v>1.0000000000000009E-2</v>
      </c>
      <c r="O105" s="19">
        <f t="shared" si="22"/>
        <v>1.4597221357264933E-2</v>
      </c>
      <c r="P105" s="19">
        <f t="shared" si="22"/>
        <v>2.0000000000000018E-2</v>
      </c>
      <c r="Q105" s="1">
        <v>103</v>
      </c>
      <c r="R105" s="82">
        <f>TSIR!$B$1080/100+TSIR!L932/100</f>
        <v>3.9300000000000002E-2</v>
      </c>
      <c r="S105" s="82">
        <f>TSIR!$C$1080/100+TSIR!M932/100</f>
        <v>3.7200000000000004E-2</v>
      </c>
      <c r="T105" s="82">
        <f>TSIR!$D$1080/100+TSIR!N932/100</f>
        <v>3.7399999999999996E-2</v>
      </c>
      <c r="U105" s="82">
        <f>TSIR!$E$1080/100+TSIR!O932/100</f>
        <v>3.8027999999999999E-2</v>
      </c>
      <c r="V105" s="82">
        <f>TSIR!$F$1080/100+TSIR!P932/100</f>
        <v>3.9E-2</v>
      </c>
      <c r="X105" s="84">
        <f t="shared" si="16"/>
        <v>96.218608678918514</v>
      </c>
      <c r="Y105" s="84">
        <f t="shared" si="17"/>
        <v>103.50692164017192</v>
      </c>
      <c r="Z105" s="84">
        <f t="shared" si="18"/>
        <v>91.538303720600254</v>
      </c>
      <c r="AA105" s="84">
        <f t="shared" si="19"/>
        <v>403330049.77998012</v>
      </c>
      <c r="AB105" s="1">
        <f t="shared" si="20"/>
        <v>-9.1393078868673709E-4</v>
      </c>
      <c r="AC105" s="1">
        <v>-4.8005105163952594E-4</v>
      </c>
    </row>
    <row r="106" spans="1:29" x14ac:dyDescent="0.2">
      <c r="A106" s="8">
        <v>44349</v>
      </c>
      <c r="B106" s="24">
        <v>0.05</v>
      </c>
      <c r="C106" s="24">
        <v>0.13</v>
      </c>
      <c r="D106" s="24">
        <v>0.3</v>
      </c>
      <c r="E106" s="24">
        <v>0.55009269198161492</v>
      </c>
      <c r="F106" s="24">
        <v>0.8</v>
      </c>
      <c r="G106" s="83">
        <f t="shared" si="12"/>
        <v>99.950024987506254</v>
      </c>
      <c r="H106" s="84">
        <f t="shared" si="15"/>
        <v>114.04516833254796</v>
      </c>
      <c r="I106" s="84">
        <f t="shared" si="13"/>
        <v>105.94863026822725</v>
      </c>
      <c r="J106" s="84">
        <f t="shared" si="14"/>
        <v>452626818.54909956</v>
      </c>
      <c r="L106" s="19">
        <f t="shared" si="21"/>
        <v>1.0000000000000002E-2</v>
      </c>
      <c r="M106" s="19">
        <f t="shared" si="22"/>
        <v>-0.03</v>
      </c>
      <c r="N106" s="19">
        <f t="shared" si="22"/>
        <v>-1.0000000000000009E-2</v>
      </c>
      <c r="O106" s="19">
        <f t="shared" si="22"/>
        <v>-9.9928787523240192E-3</v>
      </c>
      <c r="P106" s="19">
        <f t="shared" si="22"/>
        <v>-1.0000000000000009E-2</v>
      </c>
      <c r="Q106" s="1">
        <v>104</v>
      </c>
      <c r="R106" s="82">
        <f>TSIR!$B$1080/100+TSIR!L933/100</f>
        <v>3.9399999999999998E-2</v>
      </c>
      <c r="S106" s="82">
        <f>TSIR!$C$1080/100+TSIR!M933/100</f>
        <v>3.7000000000000005E-2</v>
      </c>
      <c r="T106" s="82">
        <f>TSIR!$D$1080/100+TSIR!N933/100</f>
        <v>3.7499999999999992E-2</v>
      </c>
      <c r="U106" s="82">
        <f>TSIR!$E$1080/100+TSIR!O933/100</f>
        <v>3.7801000000000008E-2</v>
      </c>
      <c r="V106" s="82">
        <f>TSIR!$F$1080/100+TSIR!P933/100</f>
        <v>3.8699999999999998E-2</v>
      </c>
      <c r="X106" s="84">
        <f t="shared" si="16"/>
        <v>96.209351548970545</v>
      </c>
      <c r="Y106" s="84">
        <f t="shared" si="17"/>
        <v>103.48105968918289</v>
      </c>
      <c r="Z106" s="84">
        <f t="shared" si="18"/>
        <v>91.661548989467477</v>
      </c>
      <c r="AA106" s="84">
        <f t="shared" si="19"/>
        <v>403843309.52203667</v>
      </c>
      <c r="AB106" s="1">
        <f t="shared" si="20"/>
        <v>3.5746135889914516E-4</v>
      </c>
      <c r="AC106" s="1">
        <v>-4.6073297294203845E-4</v>
      </c>
    </row>
    <row r="107" spans="1:29" x14ac:dyDescent="0.2">
      <c r="A107" s="8">
        <v>44350</v>
      </c>
      <c r="B107" s="24">
        <v>0.04</v>
      </c>
      <c r="C107" s="24">
        <v>0.16</v>
      </c>
      <c r="D107" s="24">
        <v>0.34</v>
      </c>
      <c r="E107" s="24">
        <v>0.59013377159382885</v>
      </c>
      <c r="F107" s="24">
        <v>0.84</v>
      </c>
      <c r="G107" s="83">
        <f t="shared" si="12"/>
        <v>99.960015993602568</v>
      </c>
      <c r="H107" s="84">
        <f t="shared" si="15"/>
        <v>113.91828085819921</v>
      </c>
      <c r="I107" s="84">
        <f t="shared" si="13"/>
        <v>105.74790712711929</v>
      </c>
      <c r="J107" s="84">
        <f t="shared" si="14"/>
        <v>452034239.20838344</v>
      </c>
      <c r="L107" s="19">
        <f t="shared" si="21"/>
        <v>-1.0000000000000002E-2</v>
      </c>
      <c r="M107" s="19">
        <f t="shared" si="22"/>
        <v>0.03</v>
      </c>
      <c r="N107" s="19">
        <f t="shared" si="22"/>
        <v>4.0000000000000036E-2</v>
      </c>
      <c r="O107" s="19">
        <f t="shared" si="22"/>
        <v>4.0041079612213926E-2</v>
      </c>
      <c r="P107" s="19">
        <f t="shared" si="22"/>
        <v>3.9999999999999925E-2</v>
      </c>
      <c r="Q107" s="1">
        <v>105</v>
      </c>
      <c r="R107" s="82">
        <f>TSIR!$B$1080/100+TSIR!L934/100</f>
        <v>3.9400000000000004E-2</v>
      </c>
      <c r="S107" s="82">
        <f>TSIR!$C$1080/100+TSIR!M934/100</f>
        <v>3.7600000000000001E-2</v>
      </c>
      <c r="T107" s="82">
        <f>TSIR!$D$1080/100+TSIR!N934/100</f>
        <v>3.7699999999999997E-2</v>
      </c>
      <c r="U107" s="82">
        <f>TSIR!$E$1080/100+TSIR!O934/100</f>
        <v>3.8001E-2</v>
      </c>
      <c r="V107" s="82">
        <f>TSIR!$F$1080/100+TSIR!P934/100</f>
        <v>3.9099999999999996E-2</v>
      </c>
      <c r="X107" s="84">
        <f t="shared" si="16"/>
        <v>96.209351548970545</v>
      </c>
      <c r="Y107" s="84">
        <f t="shared" si="17"/>
        <v>103.42133130158905</v>
      </c>
      <c r="Z107" s="84">
        <f t="shared" si="18"/>
        <v>91.494783813099758</v>
      </c>
      <c r="AA107" s="84">
        <f t="shared" si="19"/>
        <v>403265841.39795655</v>
      </c>
      <c r="AB107" s="1">
        <f t="shared" si="20"/>
        <v>-1.0729809265114393E-3</v>
      </c>
      <c r="AC107" s="1">
        <v>-4.525926482876398E-4</v>
      </c>
    </row>
    <row r="108" spans="1:29" x14ac:dyDescent="0.2">
      <c r="A108" s="8">
        <v>44351</v>
      </c>
      <c r="B108" s="24">
        <v>0.05</v>
      </c>
      <c r="C108" s="24">
        <v>0.14000000000000001</v>
      </c>
      <c r="D108" s="24">
        <v>0.32</v>
      </c>
      <c r="E108" s="24">
        <v>0.55023094650253634</v>
      </c>
      <c r="F108" s="24">
        <v>0.78</v>
      </c>
      <c r="G108" s="83">
        <f t="shared" si="12"/>
        <v>99.950024987506254</v>
      </c>
      <c r="H108" s="84">
        <f t="shared" si="15"/>
        <v>113.98194755260516</v>
      </c>
      <c r="I108" s="84">
        <f t="shared" si="13"/>
        <v>106.04433201010751</v>
      </c>
      <c r="J108" s="84">
        <f t="shared" si="14"/>
        <v>453104456.68653482</v>
      </c>
      <c r="L108" s="19">
        <f t="shared" si="21"/>
        <v>1.0000000000000002E-2</v>
      </c>
      <c r="M108" s="19">
        <f t="shared" si="22"/>
        <v>-1.999999999999999E-2</v>
      </c>
      <c r="N108" s="19">
        <f t="shared" si="22"/>
        <v>-2.0000000000000018E-2</v>
      </c>
      <c r="O108" s="19">
        <f t="shared" si="22"/>
        <v>-3.9902825091292504E-2</v>
      </c>
      <c r="P108" s="19">
        <f t="shared" si="22"/>
        <v>-5.9999999999999942E-2</v>
      </c>
      <c r="Q108" s="1">
        <v>106</v>
      </c>
      <c r="R108" s="82">
        <f>TSIR!$B$1080/100+TSIR!L935/100</f>
        <v>3.9199999999999999E-2</v>
      </c>
      <c r="S108" s="82">
        <f>TSIR!$C$1080/100+TSIR!M935/100</f>
        <v>3.6600000000000008E-2</v>
      </c>
      <c r="T108" s="82">
        <f>TSIR!$D$1080/100+TSIR!N935/100</f>
        <v>3.7299999999999993E-2</v>
      </c>
      <c r="U108" s="82">
        <f>TSIR!$E$1080/100+TSIR!O935/100</f>
        <v>3.7673000000000005E-2</v>
      </c>
      <c r="V108" s="82">
        <f>TSIR!$F$1080/100+TSIR!P935/100</f>
        <v>3.8400000000000004E-2</v>
      </c>
      <c r="X108" s="84">
        <f t="shared" si="16"/>
        <v>96.22786759045421</v>
      </c>
      <c r="Y108" s="84">
        <f t="shared" si="17"/>
        <v>103.53996907953173</v>
      </c>
      <c r="Z108" s="84">
        <f t="shared" si="18"/>
        <v>91.787176494518505</v>
      </c>
      <c r="AA108" s="84">
        <f t="shared" si="19"/>
        <v>404294487.53968483</v>
      </c>
      <c r="AB108" s="1">
        <f t="shared" si="20"/>
        <v>1.4750712974905037E-3</v>
      </c>
      <c r="AC108" s="1">
        <v>-4.1996830722177249E-4</v>
      </c>
    </row>
    <row r="109" spans="1:29" x14ac:dyDescent="0.2">
      <c r="A109" s="8">
        <v>44354</v>
      </c>
      <c r="B109" s="24">
        <v>0.05</v>
      </c>
      <c r="C109" s="24">
        <v>0.16</v>
      </c>
      <c r="D109" s="24">
        <v>0.33</v>
      </c>
      <c r="E109" s="24">
        <v>0.56014630898332352</v>
      </c>
      <c r="F109" s="24">
        <v>0.79</v>
      </c>
      <c r="G109" s="83">
        <f t="shared" si="12"/>
        <v>99.950024987506254</v>
      </c>
      <c r="H109" s="84">
        <f t="shared" si="15"/>
        <v>113.94886271969222</v>
      </c>
      <c r="I109" s="84">
        <f t="shared" si="13"/>
        <v>105.99350922386643</v>
      </c>
      <c r="J109" s="84">
        <f t="shared" si="14"/>
        <v>452950792.79093987</v>
      </c>
      <c r="L109" s="19">
        <f t="shared" si="21"/>
        <v>0</v>
      </c>
      <c r="M109" s="19">
        <f t="shared" si="22"/>
        <v>1.999999999999999E-2</v>
      </c>
      <c r="N109" s="19">
        <f t="shared" si="22"/>
        <v>1.0000000000000009E-2</v>
      </c>
      <c r="O109" s="19">
        <f t="shared" si="22"/>
        <v>9.915362480787171E-3</v>
      </c>
      <c r="P109" s="19">
        <f t="shared" si="22"/>
        <v>1.0000000000000009E-2</v>
      </c>
      <c r="Q109" s="1">
        <v>107</v>
      </c>
      <c r="R109" s="82">
        <f>TSIR!$B$1080/100+TSIR!L936/100</f>
        <v>3.9600000000000003E-2</v>
      </c>
      <c r="S109" s="82">
        <f>TSIR!$C$1080/100+TSIR!M936/100</f>
        <v>3.78E-2</v>
      </c>
      <c r="T109" s="82">
        <f>TSIR!$D$1080/100+TSIR!N936/100</f>
        <v>3.8099999999999995E-2</v>
      </c>
      <c r="U109" s="82">
        <f>TSIR!$E$1080/100+TSIR!O936/100</f>
        <v>3.8208000000000006E-2</v>
      </c>
      <c r="V109" s="82">
        <f>TSIR!$F$1080/100+TSIR!P936/100</f>
        <v>3.9300000000000002E-2</v>
      </c>
      <c r="X109" s="84">
        <f t="shared" si="16"/>
        <v>96.19084263178145</v>
      </c>
      <c r="Y109" s="84">
        <f t="shared" si="17"/>
        <v>103.31003633589417</v>
      </c>
      <c r="Z109" s="84">
        <f t="shared" si="18"/>
        <v>91.409270784207393</v>
      </c>
      <c r="AA109" s="84">
        <f t="shared" si="19"/>
        <v>403053713.89655119</v>
      </c>
      <c r="AB109" s="1">
        <f t="shared" si="20"/>
        <v>-1.5984404891359158E-3</v>
      </c>
      <c r="AC109" s="1">
        <v>-3.980639752028861E-4</v>
      </c>
    </row>
    <row r="110" spans="1:29" x14ac:dyDescent="0.2">
      <c r="A110" s="8">
        <v>44355</v>
      </c>
      <c r="B110" s="24">
        <v>0.05</v>
      </c>
      <c r="C110" s="24">
        <v>0.14000000000000001</v>
      </c>
      <c r="D110" s="24">
        <v>0.32</v>
      </c>
      <c r="E110" s="24">
        <v>0.54504741120490108</v>
      </c>
      <c r="F110" s="24">
        <v>0.77</v>
      </c>
      <c r="G110" s="83">
        <f t="shared" si="12"/>
        <v>99.950024987506254</v>
      </c>
      <c r="H110" s="84">
        <f t="shared" si="15"/>
        <v>113.98194755260516</v>
      </c>
      <c r="I110" s="84">
        <f t="shared" si="13"/>
        <v>106.09342704347783</v>
      </c>
      <c r="J110" s="84">
        <f t="shared" si="14"/>
        <v>453300836.82001609</v>
      </c>
      <c r="L110" s="19">
        <f t="shared" si="21"/>
        <v>0</v>
      </c>
      <c r="M110" s="19">
        <f t="shared" si="22"/>
        <v>-1.999999999999999E-2</v>
      </c>
      <c r="N110" s="19">
        <f t="shared" si="22"/>
        <v>-1.0000000000000009E-2</v>
      </c>
      <c r="O110" s="19">
        <f t="shared" si="22"/>
        <v>-1.5098897778422438E-2</v>
      </c>
      <c r="P110" s="19">
        <f t="shared" si="22"/>
        <v>-2.0000000000000018E-2</v>
      </c>
      <c r="Q110" s="1">
        <v>108</v>
      </c>
      <c r="R110" s="82">
        <f>TSIR!$B$1080/100+TSIR!L937/100</f>
        <v>4.02E-2</v>
      </c>
      <c r="S110" s="82">
        <f>TSIR!$C$1080/100+TSIR!M937/100</f>
        <v>3.8100000000000009E-2</v>
      </c>
      <c r="T110" s="82">
        <f>TSIR!$D$1080/100+TSIR!N937/100</f>
        <v>3.8099999999999995E-2</v>
      </c>
      <c r="U110" s="82">
        <f>TSIR!$E$1080/100+TSIR!O937/100</f>
        <v>3.8272000000000007E-2</v>
      </c>
      <c r="V110" s="82">
        <f>TSIR!$F$1080/100+TSIR!P937/100</f>
        <v>3.9099999999999996E-2</v>
      </c>
      <c r="X110" s="84">
        <f t="shared" si="16"/>
        <v>96.135358584887527</v>
      </c>
      <c r="Y110" s="84">
        <f t="shared" si="17"/>
        <v>103.30457931084453</v>
      </c>
      <c r="Z110" s="84">
        <f t="shared" si="18"/>
        <v>91.487648714898043</v>
      </c>
      <c r="AA110" s="84">
        <f t="shared" si="19"/>
        <v>403264443.06310046</v>
      </c>
      <c r="AB110" s="1">
        <f t="shared" si="20"/>
        <v>-1.0764447320859981E-3</v>
      </c>
      <c r="AC110" s="1">
        <v>-3.6422089260408055E-4</v>
      </c>
    </row>
    <row r="111" spans="1:29" x14ac:dyDescent="0.2">
      <c r="A111" s="8">
        <v>44356</v>
      </c>
      <c r="B111" s="24">
        <v>0.05</v>
      </c>
      <c r="C111" s="24">
        <v>0.16</v>
      </c>
      <c r="D111" s="24">
        <v>0.31</v>
      </c>
      <c r="E111" s="24">
        <v>0.53037238746326365</v>
      </c>
      <c r="F111" s="24">
        <v>0.75</v>
      </c>
      <c r="G111" s="83">
        <f t="shared" si="12"/>
        <v>99.950024987506254</v>
      </c>
      <c r="H111" s="84">
        <f t="shared" si="15"/>
        <v>114.01106273189468</v>
      </c>
      <c r="I111" s="84">
        <f t="shared" si="13"/>
        <v>106.19183613644911</v>
      </c>
      <c r="J111" s="84">
        <f t="shared" si="14"/>
        <v>453650800.42296696</v>
      </c>
      <c r="L111" s="19">
        <f t="shared" si="21"/>
        <v>0</v>
      </c>
      <c r="M111" s="19">
        <f t="shared" si="22"/>
        <v>1.999999999999999E-2</v>
      </c>
      <c r="N111" s="19">
        <f t="shared" si="22"/>
        <v>-1.0000000000000009E-2</v>
      </c>
      <c r="O111" s="19">
        <f t="shared" si="22"/>
        <v>-1.4675023741637427E-2</v>
      </c>
      <c r="P111" s="19">
        <f t="shared" si="22"/>
        <v>-2.0000000000000018E-2</v>
      </c>
      <c r="Q111" s="1">
        <v>109</v>
      </c>
      <c r="R111" s="82">
        <f>TSIR!$B$1080/100+TSIR!L938/100</f>
        <v>3.8899999999999997E-2</v>
      </c>
      <c r="S111" s="82">
        <f>TSIR!$C$1080/100+TSIR!M938/100</f>
        <v>3.6900000000000002E-2</v>
      </c>
      <c r="T111" s="82">
        <f>TSIR!$D$1080/100+TSIR!N938/100</f>
        <v>3.7099999999999994E-2</v>
      </c>
      <c r="U111" s="82">
        <f>TSIR!$E$1080/100+TSIR!O938/100</f>
        <v>3.7520999999999999E-2</v>
      </c>
      <c r="V111" s="82">
        <f>TSIR!$F$1080/100+TSIR!P938/100</f>
        <v>3.8300000000000001E-2</v>
      </c>
      <c r="X111" s="84">
        <f t="shared" si="16"/>
        <v>96.255655019732416</v>
      </c>
      <c r="Y111" s="84">
        <f t="shared" si="17"/>
        <v>103.59310284382575</v>
      </c>
      <c r="Z111" s="84">
        <f t="shared" si="18"/>
        <v>91.829395224014831</v>
      </c>
      <c r="AA111" s="84">
        <f t="shared" si="19"/>
        <v>404439236.66978556</v>
      </c>
      <c r="AB111" s="1">
        <f t="shared" si="20"/>
        <v>1.8336283638260818E-3</v>
      </c>
      <c r="AC111" s="1">
        <v>-3.4608119767475421E-4</v>
      </c>
    </row>
    <row r="112" spans="1:29" x14ac:dyDescent="0.2">
      <c r="A112" s="8">
        <v>44357</v>
      </c>
      <c r="B112" s="24">
        <v>0.05</v>
      </c>
      <c r="C112" s="24">
        <v>0.14000000000000001</v>
      </c>
      <c r="D112" s="24">
        <v>0.3</v>
      </c>
      <c r="E112" s="24">
        <v>0.51513585455977495</v>
      </c>
      <c r="F112" s="24">
        <v>0.73</v>
      </c>
      <c r="G112" s="83">
        <f t="shared" si="12"/>
        <v>99.950024987506254</v>
      </c>
      <c r="H112" s="84">
        <f t="shared" si="15"/>
        <v>114.04417237163254</v>
      </c>
      <c r="I112" s="84">
        <f t="shared" si="13"/>
        <v>106.29199906514631</v>
      </c>
      <c r="J112" s="84">
        <f t="shared" si="14"/>
        <v>454001787.67814898</v>
      </c>
      <c r="L112" s="19">
        <f t="shared" si="21"/>
        <v>0</v>
      </c>
      <c r="M112" s="19">
        <f t="shared" si="22"/>
        <v>-1.999999999999999E-2</v>
      </c>
      <c r="N112" s="19">
        <f t="shared" si="22"/>
        <v>-1.0000000000000009E-2</v>
      </c>
      <c r="O112" s="19">
        <f t="shared" si="22"/>
        <v>-1.5236532903488698E-2</v>
      </c>
      <c r="P112" s="19">
        <f t="shared" si="22"/>
        <v>-2.0000000000000018E-2</v>
      </c>
      <c r="Q112" s="1">
        <v>110</v>
      </c>
      <c r="R112" s="82">
        <f>TSIR!$B$1080/100+TSIR!L939/100</f>
        <v>4.0300000000000002E-2</v>
      </c>
      <c r="S112" s="82">
        <f>TSIR!$C$1080/100+TSIR!M939/100</f>
        <v>3.8500000000000006E-2</v>
      </c>
      <c r="T112" s="82">
        <f>TSIR!$D$1080/100+TSIR!N939/100</f>
        <v>3.8499999999999993E-2</v>
      </c>
      <c r="U112" s="82">
        <f>TSIR!$E$1080/100+TSIR!O939/100</f>
        <v>3.8451000000000006E-2</v>
      </c>
      <c r="V112" s="82">
        <f>TSIR!$F$1080/100+TSIR!P939/100</f>
        <v>3.9600000000000003E-2</v>
      </c>
      <c r="X112" s="84">
        <f t="shared" si="16"/>
        <v>96.126117466115545</v>
      </c>
      <c r="Y112" s="84">
        <f t="shared" si="17"/>
        <v>103.19213131812629</v>
      </c>
      <c r="Z112" s="84">
        <f t="shared" si="18"/>
        <v>91.280495505478939</v>
      </c>
      <c r="AA112" s="84">
        <f t="shared" si="19"/>
        <v>402586019.97695744</v>
      </c>
      <c r="AB112" s="1">
        <f t="shared" si="20"/>
        <v>-2.7569618538987222E-3</v>
      </c>
      <c r="AC112" s="1">
        <v>-3.4061405954998667E-4</v>
      </c>
    </row>
    <row r="113" spans="1:29" x14ac:dyDescent="0.2">
      <c r="A113" s="8">
        <v>44358</v>
      </c>
      <c r="B113" s="24">
        <v>0.05</v>
      </c>
      <c r="C113" s="24">
        <v>0.16</v>
      </c>
      <c r="D113" s="24">
        <v>0.31</v>
      </c>
      <c r="E113" s="24">
        <v>0.53525638614141735</v>
      </c>
      <c r="F113" s="24">
        <v>0.76</v>
      </c>
      <c r="G113" s="83">
        <f t="shared" si="12"/>
        <v>99.950024987506254</v>
      </c>
      <c r="H113" s="84">
        <f t="shared" si="15"/>
        <v>114.01106273189468</v>
      </c>
      <c r="I113" s="84">
        <f t="shared" si="13"/>
        <v>106.14270611932331</v>
      </c>
      <c r="J113" s="84">
        <f t="shared" si="14"/>
        <v>453454280.3544637</v>
      </c>
      <c r="L113" s="19">
        <f t="shared" si="21"/>
        <v>0</v>
      </c>
      <c r="M113" s="19">
        <f t="shared" si="22"/>
        <v>1.999999999999999E-2</v>
      </c>
      <c r="N113" s="19">
        <f t="shared" si="22"/>
        <v>1.0000000000000009E-2</v>
      </c>
      <c r="O113" s="19">
        <f t="shared" si="22"/>
        <v>2.0120531581642398E-2</v>
      </c>
      <c r="P113" s="19">
        <f t="shared" si="22"/>
        <v>3.0000000000000027E-2</v>
      </c>
      <c r="Q113" s="1">
        <v>111</v>
      </c>
      <c r="R113" s="82">
        <f>TSIR!$B$1080/100+TSIR!L940/100</f>
        <v>3.9300000000000002E-2</v>
      </c>
      <c r="S113" s="82">
        <f>TSIR!$C$1080/100+TSIR!M940/100</f>
        <v>3.6900000000000002E-2</v>
      </c>
      <c r="T113" s="82">
        <f>TSIR!$D$1080/100+TSIR!N940/100</f>
        <v>3.6999999999999991E-2</v>
      </c>
      <c r="U113" s="82">
        <f>TSIR!$E$1080/100+TSIR!O940/100</f>
        <v>3.7538000000000002E-2</v>
      </c>
      <c r="V113" s="82">
        <f>TSIR!$F$1080/100+TSIR!P940/100</f>
        <v>3.8099999999999995E-2</v>
      </c>
      <c r="X113" s="84">
        <f t="shared" si="16"/>
        <v>96.218608678918514</v>
      </c>
      <c r="Y113" s="84">
        <f t="shared" si="17"/>
        <v>103.61848454815029</v>
      </c>
      <c r="Z113" s="84">
        <f t="shared" si="18"/>
        <v>91.910514228103011</v>
      </c>
      <c r="AA113" s="84">
        <f t="shared" si="19"/>
        <v>404651547.44802362</v>
      </c>
      <c r="AB113" s="1">
        <f t="shared" si="20"/>
        <v>2.3595419202218121E-3</v>
      </c>
      <c r="AC113" s="1">
        <v>-3.343636129338705E-4</v>
      </c>
    </row>
    <row r="114" spans="1:29" x14ac:dyDescent="0.2">
      <c r="A114" s="8">
        <v>44361</v>
      </c>
      <c r="B114" s="24">
        <v>0.05</v>
      </c>
      <c r="C114" s="24">
        <v>0.16</v>
      </c>
      <c r="D114" s="24">
        <v>0.33</v>
      </c>
      <c r="E114" s="24">
        <v>0.56516329363112372</v>
      </c>
      <c r="F114" s="24">
        <v>0.8</v>
      </c>
      <c r="G114" s="83">
        <f t="shared" si="12"/>
        <v>99.950024987506254</v>
      </c>
      <c r="H114" s="84">
        <f t="shared" si="15"/>
        <v>113.94886271969222</v>
      </c>
      <c r="I114" s="84">
        <f t="shared" si="13"/>
        <v>105.94448538733967</v>
      </c>
      <c r="J114" s="84">
        <f t="shared" si="14"/>
        <v>452754697.44483286</v>
      </c>
      <c r="L114" s="19">
        <f t="shared" si="21"/>
        <v>0</v>
      </c>
      <c r="M114" s="19">
        <f t="shared" si="22"/>
        <v>0</v>
      </c>
      <c r="N114" s="19">
        <f t="shared" si="22"/>
        <v>2.0000000000000018E-2</v>
      </c>
      <c r="O114" s="19">
        <f t="shared" si="22"/>
        <v>2.9906907489706369E-2</v>
      </c>
      <c r="P114" s="19">
        <f t="shared" si="22"/>
        <v>4.0000000000000036E-2</v>
      </c>
      <c r="Q114" s="1">
        <v>112</v>
      </c>
      <c r="R114" s="82">
        <f>TSIR!$B$1080/100+TSIR!L941/100</f>
        <v>3.9600000000000003E-2</v>
      </c>
      <c r="S114" s="82">
        <f>TSIR!$C$1080/100+TSIR!M941/100</f>
        <v>3.7600000000000001E-2</v>
      </c>
      <c r="T114" s="82">
        <f>TSIR!$D$1080/100+TSIR!N941/100</f>
        <v>3.7799999999999993E-2</v>
      </c>
      <c r="U114" s="82">
        <f>TSIR!$E$1080/100+TSIR!O941/100</f>
        <v>3.8083000000000006E-2</v>
      </c>
      <c r="V114" s="82">
        <f>TSIR!$F$1080/100+TSIR!P941/100</f>
        <v>3.9199999999999999E-2</v>
      </c>
      <c r="X114" s="84">
        <f t="shared" si="16"/>
        <v>96.19084263178145</v>
      </c>
      <c r="Y114" s="84">
        <f t="shared" si="17"/>
        <v>103.39324524138856</v>
      </c>
      <c r="Z114" s="84">
        <f t="shared" si="18"/>
        <v>91.45284773841864</v>
      </c>
      <c r="AA114" s="84">
        <f t="shared" si="19"/>
        <v>403103208.35515463</v>
      </c>
      <c r="AB114" s="1">
        <f t="shared" si="20"/>
        <v>-1.4758381089739875E-3</v>
      </c>
      <c r="AC114" s="1">
        <v>-3.0773552540702806E-4</v>
      </c>
    </row>
    <row r="115" spans="1:29" x14ac:dyDescent="0.2">
      <c r="A115" s="8">
        <v>44362</v>
      </c>
      <c r="B115" s="24">
        <v>0.08</v>
      </c>
      <c r="C115" s="24">
        <v>0.16</v>
      </c>
      <c r="D115" s="24">
        <v>0.34</v>
      </c>
      <c r="E115" s="24">
        <v>0.56520983171091843</v>
      </c>
      <c r="F115" s="24">
        <v>0.79</v>
      </c>
      <c r="G115" s="83">
        <f t="shared" si="12"/>
        <v>99.920063948840934</v>
      </c>
      <c r="H115" s="84">
        <f t="shared" si="15"/>
        <v>113.91628325596113</v>
      </c>
      <c r="I115" s="84">
        <f t="shared" si="13"/>
        <v>105.99192410103531</v>
      </c>
      <c r="J115" s="84">
        <f t="shared" si="14"/>
        <v>452933399.41788137</v>
      </c>
      <c r="L115" s="19">
        <f t="shared" si="21"/>
        <v>0.03</v>
      </c>
      <c r="M115" s="19">
        <f t="shared" si="22"/>
        <v>0</v>
      </c>
      <c r="N115" s="19">
        <f t="shared" si="22"/>
        <v>1.0000000000000009E-2</v>
      </c>
      <c r="O115" s="19">
        <f t="shared" si="22"/>
        <v>4.6538079794711251E-5</v>
      </c>
      <c r="P115" s="19">
        <f t="shared" si="22"/>
        <v>-1.0000000000000009E-2</v>
      </c>
      <c r="Q115" s="1">
        <v>113</v>
      </c>
      <c r="R115" s="82">
        <f>TSIR!$B$1080/100+TSIR!L942/100</f>
        <v>3.9999999999999994E-2</v>
      </c>
      <c r="S115" s="82">
        <f>TSIR!$C$1080/100+TSIR!M942/100</f>
        <v>3.8100000000000009E-2</v>
      </c>
      <c r="T115" s="82">
        <f>TSIR!$D$1080/100+TSIR!N942/100</f>
        <v>3.8399999999999997E-2</v>
      </c>
      <c r="U115" s="82">
        <f>TSIR!$E$1080/100+TSIR!O942/100</f>
        <v>3.8498999999999999E-2</v>
      </c>
      <c r="V115" s="82">
        <f>TSIR!$F$1080/100+TSIR!P942/100</f>
        <v>3.9500000000000007E-2</v>
      </c>
      <c r="X115" s="84">
        <f t="shared" si="16"/>
        <v>96.153846153846146</v>
      </c>
      <c r="Y115" s="84">
        <f t="shared" si="17"/>
        <v>103.22417868786106</v>
      </c>
      <c r="Z115" s="84">
        <f t="shared" si="18"/>
        <v>91.32308831963293</v>
      </c>
      <c r="AA115" s="84">
        <f t="shared" si="19"/>
        <v>402763777.55443239</v>
      </c>
      <c r="AB115" s="1">
        <f t="shared" si="20"/>
        <v>-2.3166397914864256E-3</v>
      </c>
      <c r="AC115" s="1">
        <v>-2.6558802455854815E-4</v>
      </c>
    </row>
    <row r="116" spans="1:29" x14ac:dyDescent="0.2">
      <c r="A116" s="8">
        <v>44363</v>
      </c>
      <c r="B116" s="24">
        <v>0.08</v>
      </c>
      <c r="C116" s="24">
        <v>0.21</v>
      </c>
      <c r="D116" s="24">
        <v>0.41</v>
      </c>
      <c r="E116" s="24">
        <v>0.6502434312101345</v>
      </c>
      <c r="F116" s="24">
        <v>0.89</v>
      </c>
      <c r="G116" s="83">
        <f t="shared" si="12"/>
        <v>99.920063948840934</v>
      </c>
      <c r="H116" s="84">
        <f t="shared" si="15"/>
        <v>113.69408753817366</v>
      </c>
      <c r="I116" s="84">
        <f t="shared" si="13"/>
        <v>105.49416195160548</v>
      </c>
      <c r="J116" s="84">
        <f t="shared" si="14"/>
        <v>451275644.39684331</v>
      </c>
      <c r="L116" s="19">
        <f t="shared" si="21"/>
        <v>0</v>
      </c>
      <c r="M116" s="19">
        <f t="shared" si="22"/>
        <v>4.9999999999999989E-2</v>
      </c>
      <c r="N116" s="19">
        <f t="shared" si="22"/>
        <v>6.9999999999999951E-2</v>
      </c>
      <c r="O116" s="19">
        <f t="shared" si="22"/>
        <v>8.5033599499216073E-2</v>
      </c>
      <c r="P116" s="19">
        <f t="shared" si="22"/>
        <v>9.9999999999999978E-2</v>
      </c>
      <c r="Q116" s="1">
        <v>114</v>
      </c>
      <c r="R116" s="82">
        <f>TSIR!$B$1080/100+TSIR!L943/100</f>
        <v>4.1300000000000003E-2</v>
      </c>
      <c r="S116" s="82">
        <f>TSIR!$C$1080/100+TSIR!M943/100</f>
        <v>3.9699999999999999E-2</v>
      </c>
      <c r="T116" s="82">
        <f>TSIR!$D$1080/100+TSIR!N943/100</f>
        <v>3.9799999999999995E-2</v>
      </c>
      <c r="U116" s="82">
        <f>TSIR!$E$1080/100+TSIR!O943/100</f>
        <v>3.9582000000000006E-2</v>
      </c>
      <c r="V116" s="82">
        <f>TSIR!$F$1080/100+TSIR!P943/100</f>
        <v>4.07E-2</v>
      </c>
      <c r="X116" s="84">
        <f t="shared" si="16"/>
        <v>96.033803898972423</v>
      </c>
      <c r="Y116" s="84">
        <f t="shared" si="17"/>
        <v>102.82563044722761</v>
      </c>
      <c r="Z116" s="84">
        <f t="shared" si="18"/>
        <v>90.817225729322445</v>
      </c>
      <c r="AA116" s="84">
        <f t="shared" si="19"/>
        <v>401098065.04439318</v>
      </c>
      <c r="AB116" s="1">
        <f t="shared" si="20"/>
        <v>-6.4427646983685541E-3</v>
      </c>
      <c r="AC116" s="1">
        <v>-2.5935596052818158E-4</v>
      </c>
    </row>
    <row r="117" spans="1:29" x14ac:dyDescent="0.2">
      <c r="A117" s="8">
        <v>44364</v>
      </c>
      <c r="B117" s="24">
        <v>0.08</v>
      </c>
      <c r="C117" s="24">
        <v>0.23</v>
      </c>
      <c r="D117" s="24">
        <v>0.43</v>
      </c>
      <c r="E117" s="24">
        <v>0.66543265391118445</v>
      </c>
      <c r="F117" s="24">
        <v>0.9</v>
      </c>
      <c r="G117" s="83">
        <f t="shared" si="12"/>
        <v>99.920063948840934</v>
      </c>
      <c r="H117" s="84">
        <f t="shared" si="15"/>
        <v>113.63014805768785</v>
      </c>
      <c r="I117" s="84">
        <f t="shared" si="13"/>
        <v>105.44266612840693</v>
      </c>
      <c r="J117" s="84">
        <f t="shared" si="14"/>
        <v>451165570.32477784</v>
      </c>
      <c r="L117" s="19">
        <f t="shared" si="21"/>
        <v>0</v>
      </c>
      <c r="M117" s="19">
        <f t="shared" si="22"/>
        <v>2.0000000000000018E-2</v>
      </c>
      <c r="N117" s="19">
        <f t="shared" si="22"/>
        <v>2.0000000000000018E-2</v>
      </c>
      <c r="O117" s="19">
        <f t="shared" si="22"/>
        <v>1.5189222701049943E-2</v>
      </c>
      <c r="P117" s="19">
        <f t="shared" si="22"/>
        <v>1.0000000000000009E-2</v>
      </c>
      <c r="Q117" s="1">
        <v>115</v>
      </c>
      <c r="R117" s="82">
        <f>TSIR!$B$1080/100+TSIR!L944/100</f>
        <v>3.9899999999999998E-2</v>
      </c>
      <c r="S117" s="82">
        <f>TSIR!$C$1080/100+TSIR!M944/100</f>
        <v>3.8000000000000006E-2</v>
      </c>
      <c r="T117" s="82">
        <f>TSIR!$D$1080/100+TSIR!N944/100</f>
        <v>3.8099999999999995E-2</v>
      </c>
      <c r="U117" s="82">
        <f>TSIR!$E$1080/100+TSIR!O944/100</f>
        <v>3.8770000000000006E-2</v>
      </c>
      <c r="V117" s="82">
        <f>TSIR!$F$1080/100+TSIR!P944/100</f>
        <v>3.9300000000000002E-2</v>
      </c>
      <c r="X117" s="84">
        <f t="shared" si="16"/>
        <v>96.163092605058168</v>
      </c>
      <c r="Y117" s="84">
        <f t="shared" si="17"/>
        <v>103.30686002763143</v>
      </c>
      <c r="Z117" s="84">
        <f t="shared" si="18"/>
        <v>91.404277913027684</v>
      </c>
      <c r="AA117" s="84">
        <f t="shared" si="19"/>
        <v>402983006.82077992</v>
      </c>
      <c r="AB117" s="1">
        <f t="shared" si="20"/>
        <v>-1.7735884961745257E-3</v>
      </c>
      <c r="AC117" s="1">
        <v>-1.725647280077014E-4</v>
      </c>
    </row>
    <row r="118" spans="1:29" x14ac:dyDescent="0.2">
      <c r="A118" s="8">
        <v>44365</v>
      </c>
      <c r="B118" s="24">
        <v>0.09</v>
      </c>
      <c r="C118" s="24">
        <v>0.26</v>
      </c>
      <c r="D118" s="24">
        <v>0.47</v>
      </c>
      <c r="E118" s="24">
        <v>0.68048854175645834</v>
      </c>
      <c r="F118" s="24">
        <v>0.89</v>
      </c>
      <c r="G118" s="83">
        <f t="shared" si="12"/>
        <v>99.910080927165566</v>
      </c>
      <c r="H118" s="84">
        <f t="shared" si="15"/>
        <v>113.50291354535139</v>
      </c>
      <c r="I118" s="84">
        <f t="shared" si="13"/>
        <v>105.4860982979846</v>
      </c>
      <c r="J118" s="84">
        <f t="shared" si="14"/>
        <v>451510184.72824246</v>
      </c>
      <c r="L118" s="19">
        <f t="shared" si="21"/>
        <v>9.999999999999995E-3</v>
      </c>
      <c r="M118" s="19">
        <f t="shared" si="22"/>
        <v>0.03</v>
      </c>
      <c r="N118" s="19">
        <f t="shared" si="22"/>
        <v>3.999999999999998E-2</v>
      </c>
      <c r="O118" s="19">
        <f t="shared" si="22"/>
        <v>1.5055887845273896E-2</v>
      </c>
      <c r="P118" s="19">
        <f t="shared" si="22"/>
        <v>-1.0000000000000009E-2</v>
      </c>
      <c r="Q118" s="1">
        <v>116</v>
      </c>
      <c r="R118" s="82">
        <f>TSIR!$B$1080/100+TSIR!L945/100</f>
        <v>3.9199999999999999E-2</v>
      </c>
      <c r="S118" s="82">
        <f>TSIR!$C$1080/100+TSIR!M945/100</f>
        <v>3.73E-2</v>
      </c>
      <c r="T118" s="82">
        <f>TSIR!$D$1080/100+TSIR!N945/100</f>
        <v>3.7299999999999993E-2</v>
      </c>
      <c r="U118" s="82">
        <f>TSIR!$E$1080/100+TSIR!O945/100</f>
        <v>3.7999999999999999E-2</v>
      </c>
      <c r="V118" s="82">
        <f>TSIR!$F$1080/100+TSIR!P945/100</f>
        <v>3.8800000000000001E-2</v>
      </c>
      <c r="X118" s="84">
        <f t="shared" si="16"/>
        <v>96.22786759045421</v>
      </c>
      <c r="Y118" s="84">
        <f t="shared" si="17"/>
        <v>103.53369103067453</v>
      </c>
      <c r="Z118" s="84">
        <f t="shared" si="18"/>
        <v>91.619960050323286</v>
      </c>
      <c r="AA118" s="84">
        <f t="shared" si="19"/>
        <v>403635038.83618975</v>
      </c>
      <c r="AB118" s="1">
        <f t="shared" si="20"/>
        <v>-1.5844451265259745E-4</v>
      </c>
      <c r="AC118" s="1">
        <v>-1.5844451265259745E-4</v>
      </c>
    </row>
    <row r="119" spans="1:29" x14ac:dyDescent="0.2">
      <c r="A119" s="8">
        <v>44368</v>
      </c>
      <c r="B119" s="24">
        <v>0.09</v>
      </c>
      <c r="C119" s="24">
        <v>0.27</v>
      </c>
      <c r="D119" s="24">
        <v>0.48</v>
      </c>
      <c r="E119" s="24">
        <v>0.69040365610102206</v>
      </c>
      <c r="F119" s="24">
        <v>0.9</v>
      </c>
      <c r="G119" s="83">
        <f t="shared" si="12"/>
        <v>99.910080927165566</v>
      </c>
      <c r="H119" s="84">
        <f t="shared" si="15"/>
        <v>113.47101291291544</v>
      </c>
      <c r="I119" s="84">
        <f t="shared" si="13"/>
        <v>105.43600106925095</v>
      </c>
      <c r="J119" s="84">
        <f t="shared" si="14"/>
        <v>451357646.76196182</v>
      </c>
      <c r="L119" s="19">
        <f t="shared" si="21"/>
        <v>0</v>
      </c>
      <c r="M119" s="19">
        <f t="shared" si="22"/>
        <v>1.0000000000000009E-2</v>
      </c>
      <c r="N119" s="19">
        <f t="shared" si="22"/>
        <v>1.0000000000000009E-2</v>
      </c>
      <c r="O119" s="19">
        <f t="shared" si="22"/>
        <v>9.9151143445637135E-3</v>
      </c>
      <c r="P119" s="19">
        <f t="shared" si="22"/>
        <v>1.0000000000000009E-2</v>
      </c>
      <c r="Q119" s="1">
        <v>117</v>
      </c>
      <c r="R119" s="82">
        <f>TSIR!$B$1080/100+TSIR!L946/100</f>
        <v>3.9800000000000002E-2</v>
      </c>
      <c r="S119" s="82">
        <f>TSIR!$C$1080/100+TSIR!M946/100</f>
        <v>3.7500000000000006E-2</v>
      </c>
      <c r="T119" s="82">
        <f>TSIR!$D$1080/100+TSIR!N946/100</f>
        <v>3.7899999999999996E-2</v>
      </c>
      <c r="U119" s="82">
        <f>TSIR!$E$1080/100+TSIR!O946/100</f>
        <v>3.8252000000000001E-2</v>
      </c>
      <c r="V119" s="82">
        <f>TSIR!$F$1080/100+TSIR!P946/100</f>
        <v>3.9300000000000002E-2</v>
      </c>
      <c r="X119" s="84">
        <f t="shared" si="16"/>
        <v>96.172340834775909</v>
      </c>
      <c r="Y119" s="84">
        <f t="shared" si="17"/>
        <v>103.36606531260722</v>
      </c>
      <c r="Z119" s="84">
        <f t="shared" si="18"/>
        <v>91.410716709083459</v>
      </c>
      <c r="AA119" s="84">
        <f t="shared" si="19"/>
        <v>402938450.53697479</v>
      </c>
      <c r="AB119" s="1">
        <f t="shared" si="20"/>
        <v>-1.8839585577898616E-3</v>
      </c>
      <c r="AC119" s="1">
        <v>-1.4502594259373748E-4</v>
      </c>
    </row>
    <row r="120" spans="1:29" x14ac:dyDescent="0.2">
      <c r="A120" s="8">
        <v>44369</v>
      </c>
      <c r="B120" s="24">
        <v>0.09</v>
      </c>
      <c r="C120" s="24">
        <v>0.25</v>
      </c>
      <c r="D120" s="24">
        <v>0.44</v>
      </c>
      <c r="E120" s="24">
        <v>0.65505809029604378</v>
      </c>
      <c r="F120" s="24">
        <v>0.87</v>
      </c>
      <c r="G120" s="83">
        <f t="shared" si="12"/>
        <v>99.910080927165566</v>
      </c>
      <c r="H120" s="84">
        <f t="shared" si="15"/>
        <v>113.59670542834186</v>
      </c>
      <c r="I120" s="84">
        <f t="shared" si="13"/>
        <v>105.58700717828533</v>
      </c>
      <c r="J120" s="84">
        <f t="shared" si="14"/>
        <v>451773132.42495966</v>
      </c>
      <c r="L120" s="19">
        <f t="shared" si="21"/>
        <v>0</v>
      </c>
      <c r="M120" s="19">
        <f t="shared" si="22"/>
        <v>-2.0000000000000018E-2</v>
      </c>
      <c r="N120" s="19">
        <f t="shared" si="22"/>
        <v>-3.999999999999998E-2</v>
      </c>
      <c r="O120" s="19">
        <f t="shared" si="22"/>
        <v>-3.5345565804978274E-2</v>
      </c>
      <c r="P120" s="19">
        <f t="shared" si="22"/>
        <v>-3.0000000000000027E-2</v>
      </c>
      <c r="Q120" s="1">
        <v>118</v>
      </c>
      <c r="R120" s="82">
        <f>TSIR!$B$1080/100+TSIR!L947/100</f>
        <v>3.9299999999999995E-2</v>
      </c>
      <c r="S120" s="82">
        <f>TSIR!$C$1080/100+TSIR!M947/100</f>
        <v>3.73E-2</v>
      </c>
      <c r="T120" s="82">
        <f>TSIR!$D$1080/100+TSIR!N947/100</f>
        <v>3.7499999999999992E-2</v>
      </c>
      <c r="U120" s="82">
        <f>TSIR!$E$1080/100+TSIR!O947/100</f>
        <v>3.7960000000000001E-2</v>
      </c>
      <c r="V120" s="82">
        <f>TSIR!$F$1080/100+TSIR!P947/100</f>
        <v>3.8800000000000001E-2</v>
      </c>
      <c r="X120" s="84">
        <f t="shared" si="16"/>
        <v>96.218608678918514</v>
      </c>
      <c r="Y120" s="84">
        <f t="shared" si="17"/>
        <v>103.4788335100433</v>
      </c>
      <c r="Z120" s="84">
        <f t="shared" si="18"/>
        <v>91.619004370871281</v>
      </c>
      <c r="AA120" s="84">
        <f t="shared" si="19"/>
        <v>403694984.57625717</v>
      </c>
      <c r="AB120" s="1">
        <f t="shared" si="20"/>
        <v>-9.9533356560032998E-6</v>
      </c>
      <c r="AC120" s="1">
        <v>-7.1121834887609851E-5</v>
      </c>
    </row>
    <row r="121" spans="1:29" x14ac:dyDescent="0.2">
      <c r="A121" s="8">
        <v>44370</v>
      </c>
      <c r="B121" s="24">
        <v>0.08</v>
      </c>
      <c r="C121" s="24">
        <v>0.26</v>
      </c>
      <c r="D121" s="24">
        <v>0.47</v>
      </c>
      <c r="E121" s="24">
        <v>0.68537280616410357</v>
      </c>
      <c r="F121" s="24">
        <v>0.9</v>
      </c>
      <c r="G121" s="83">
        <f t="shared" si="12"/>
        <v>99.920063948840934</v>
      </c>
      <c r="H121" s="84">
        <f t="shared" si="15"/>
        <v>113.50341269643515</v>
      </c>
      <c r="I121" s="84">
        <f t="shared" si="13"/>
        <v>105.43757520706005</v>
      </c>
      <c r="J121" s="84">
        <f t="shared" si="14"/>
        <v>451335309.68126935</v>
      </c>
      <c r="L121" s="19">
        <f t="shared" si="21"/>
        <v>-9.999999999999995E-3</v>
      </c>
      <c r="M121" s="19">
        <f t="shared" si="22"/>
        <v>1.0000000000000009E-2</v>
      </c>
      <c r="N121" s="19">
        <f t="shared" si="22"/>
        <v>2.9999999999999971E-2</v>
      </c>
      <c r="O121" s="19">
        <f t="shared" si="22"/>
        <v>3.0314715868059783E-2</v>
      </c>
      <c r="P121" s="19">
        <f t="shared" si="22"/>
        <v>3.0000000000000027E-2</v>
      </c>
      <c r="Q121" s="1">
        <v>119</v>
      </c>
      <c r="R121" s="82">
        <f>TSIR!$B$1080/100+TSIR!L948/100</f>
        <v>3.9100000000000003E-2</v>
      </c>
      <c r="S121" s="82">
        <f>TSIR!$C$1080/100+TSIR!M948/100</f>
        <v>3.7100000000000008E-2</v>
      </c>
      <c r="T121" s="82">
        <f>TSIR!$D$1080/100+TSIR!N948/100</f>
        <v>3.73E-2</v>
      </c>
      <c r="U121" s="82">
        <f>TSIR!$E$1080/100+TSIR!O948/100</f>
        <v>3.7673000000000005E-2</v>
      </c>
      <c r="V121" s="82">
        <f>TSIR!$F$1080/100+TSIR!P948/100</f>
        <v>3.85E-2</v>
      </c>
      <c r="X121" s="84">
        <f t="shared" si="16"/>
        <v>96.237128284092009</v>
      </c>
      <c r="Y121" s="84">
        <f t="shared" si="17"/>
        <v>103.53594649649274</v>
      </c>
      <c r="Z121" s="84">
        <f t="shared" si="18"/>
        <v>91.744899103191955</v>
      </c>
      <c r="AA121" s="84">
        <f t="shared" si="19"/>
        <v>404149933.23621273</v>
      </c>
      <c r="AB121" s="1">
        <f t="shared" si="20"/>
        <v>1.1169968348455684E-3</v>
      </c>
      <c r="AC121" s="1">
        <v>-5.7179571521420334E-5</v>
      </c>
    </row>
    <row r="122" spans="1:29" x14ac:dyDescent="0.2">
      <c r="A122" s="8">
        <v>44371</v>
      </c>
      <c r="B122" s="24">
        <v>0.08</v>
      </c>
      <c r="C122" s="24">
        <v>0.26</v>
      </c>
      <c r="D122" s="24">
        <v>0.48</v>
      </c>
      <c r="E122" s="24">
        <v>0.69011929840450748</v>
      </c>
      <c r="F122" s="24">
        <v>0.9</v>
      </c>
      <c r="G122" s="83">
        <f t="shared" si="12"/>
        <v>99.920063948840934</v>
      </c>
      <c r="H122" s="84">
        <f t="shared" si="15"/>
        <v>113.47250415595379</v>
      </c>
      <c r="I122" s="84">
        <f t="shared" si="13"/>
        <v>105.43661954595731</v>
      </c>
      <c r="J122" s="84">
        <f t="shared" si="14"/>
        <v>451377849.84758043</v>
      </c>
      <c r="L122" s="19">
        <f t="shared" si="21"/>
        <v>0</v>
      </c>
      <c r="M122" s="19">
        <f t="shared" si="22"/>
        <v>0</v>
      </c>
      <c r="N122" s="19">
        <f t="shared" si="22"/>
        <v>1.0000000000000009E-2</v>
      </c>
      <c r="O122" s="19">
        <f t="shared" si="22"/>
        <v>4.74649224040391E-3</v>
      </c>
      <c r="P122" s="19">
        <f t="shared" si="22"/>
        <v>0</v>
      </c>
      <c r="Q122" s="1">
        <v>120</v>
      </c>
      <c r="R122" s="82">
        <f>TSIR!$B$1080/100+TSIR!L949/100</f>
        <v>3.95E-2</v>
      </c>
      <c r="S122" s="82">
        <f>TSIR!$C$1080/100+TSIR!M949/100</f>
        <v>3.7400000000000003E-2</v>
      </c>
      <c r="T122" s="82">
        <f>TSIR!$D$1080/100+TSIR!N949/100</f>
        <v>3.769999999999999E-2</v>
      </c>
      <c r="U122" s="82">
        <f>TSIR!$E$1080/100+TSIR!O949/100</f>
        <v>3.7641000000000001E-2</v>
      </c>
      <c r="V122" s="82">
        <f>TSIR!$F$1080/100+TSIR!P949/100</f>
        <v>3.8600000000000002E-2</v>
      </c>
      <c r="X122" s="84">
        <f t="shared" si="16"/>
        <v>96.200096200096198</v>
      </c>
      <c r="Y122" s="84">
        <f t="shared" si="17"/>
        <v>103.42265941085121</v>
      </c>
      <c r="Z122" s="84">
        <f t="shared" si="18"/>
        <v>91.700579713772626</v>
      </c>
      <c r="AA122" s="84">
        <f t="shared" si="19"/>
        <v>404068522.13900614</v>
      </c>
      <c r="AB122" s="1">
        <f t="shared" si="20"/>
        <v>9.1533397054204197E-4</v>
      </c>
      <c r="AC122" s="1">
        <v>-9.9533356560032998E-6</v>
      </c>
    </row>
    <row r="123" spans="1:29" x14ac:dyDescent="0.2">
      <c r="A123" s="8">
        <v>44372</v>
      </c>
      <c r="B123" s="24">
        <v>0.09</v>
      </c>
      <c r="C123" s="24">
        <v>0.28000000000000003</v>
      </c>
      <c r="D123" s="24">
        <v>0.48</v>
      </c>
      <c r="E123" s="24">
        <v>0.70000555457222169</v>
      </c>
      <c r="F123" s="24">
        <v>0.92</v>
      </c>
      <c r="G123" s="83">
        <f t="shared" si="12"/>
        <v>99.910080927165566</v>
      </c>
      <c r="H123" s="84">
        <f t="shared" si="15"/>
        <v>113.47002111774262</v>
      </c>
      <c r="I123" s="84">
        <f t="shared" si="13"/>
        <v>105.33825838464035</v>
      </c>
      <c r="J123" s="84">
        <f t="shared" si="14"/>
        <v>450968163.71627861</v>
      </c>
      <c r="L123" s="19">
        <f t="shared" si="21"/>
        <v>9.999999999999995E-3</v>
      </c>
      <c r="M123" s="19">
        <f t="shared" si="22"/>
        <v>2.0000000000000018E-2</v>
      </c>
      <c r="N123" s="19">
        <f t="shared" si="22"/>
        <v>0</v>
      </c>
      <c r="O123" s="19">
        <f t="shared" si="22"/>
        <v>9.8862561677142136E-3</v>
      </c>
      <c r="P123" s="19">
        <f t="shared" si="22"/>
        <v>2.0000000000000018E-2</v>
      </c>
      <c r="Q123" s="1">
        <v>121</v>
      </c>
      <c r="R123" s="82">
        <f>TSIR!$B$1080/100+TSIR!L950/100</f>
        <v>3.9400000000000004E-2</v>
      </c>
      <c r="S123" s="82">
        <f>TSIR!$C$1080/100+TSIR!M950/100</f>
        <v>3.7200000000000004E-2</v>
      </c>
      <c r="T123" s="82">
        <f>TSIR!$D$1080/100+TSIR!N950/100</f>
        <v>3.7399999999999996E-2</v>
      </c>
      <c r="U123" s="82">
        <f>TSIR!$E$1080/100+TSIR!O950/100</f>
        <v>3.7707000000000004E-2</v>
      </c>
      <c r="V123" s="82">
        <f>TSIR!$F$1080/100+TSIR!P950/100</f>
        <v>3.8600000000000002E-2</v>
      </c>
      <c r="X123" s="84">
        <f t="shared" si="16"/>
        <v>96.209351548970545</v>
      </c>
      <c r="Y123" s="84">
        <f t="shared" si="17"/>
        <v>103.50645878367453</v>
      </c>
      <c r="Z123" s="84">
        <f t="shared" si="18"/>
        <v>91.702595954822812</v>
      </c>
      <c r="AA123" s="84">
        <f t="shared" si="19"/>
        <v>403969398.74172056</v>
      </c>
      <c r="AB123" s="1">
        <f t="shared" si="20"/>
        <v>6.6979609054786517E-4</v>
      </c>
      <c r="AC123" s="1">
        <v>-3.1087877144639021E-6</v>
      </c>
    </row>
    <row r="124" spans="1:29" x14ac:dyDescent="0.2">
      <c r="A124" s="8">
        <v>44375</v>
      </c>
      <c r="B124" s="24">
        <v>0.08</v>
      </c>
      <c r="C124" s="24">
        <v>0.25</v>
      </c>
      <c r="D124" s="24">
        <v>0.47</v>
      </c>
      <c r="E124" s="24">
        <v>0.68536689512638505</v>
      </c>
      <c r="F124" s="24">
        <v>0.9</v>
      </c>
      <c r="G124" s="83">
        <f t="shared" si="12"/>
        <v>99.920063948840934</v>
      </c>
      <c r="H124" s="84">
        <f t="shared" si="15"/>
        <v>113.5044050852899</v>
      </c>
      <c r="I124" s="84">
        <f t="shared" si="13"/>
        <v>105.43797261960792</v>
      </c>
      <c r="J124" s="84">
        <f t="shared" si="14"/>
        <v>451335410.74817872</v>
      </c>
      <c r="L124" s="19">
        <f t="shared" si="21"/>
        <v>-9.999999999999995E-3</v>
      </c>
      <c r="M124" s="19">
        <f t="shared" si="22"/>
        <v>-3.0000000000000027E-2</v>
      </c>
      <c r="N124" s="19">
        <f t="shared" si="22"/>
        <v>-1.0000000000000009E-2</v>
      </c>
      <c r="O124" s="19">
        <f t="shared" si="22"/>
        <v>-1.4638659445836644E-2</v>
      </c>
      <c r="P124" s="19">
        <f t="shared" si="22"/>
        <v>-2.0000000000000018E-2</v>
      </c>
      <c r="Q124" s="1">
        <v>122</v>
      </c>
      <c r="R124" s="82">
        <f>TSIR!$B$1080/100+TSIR!L951/100</f>
        <v>3.9899999999999998E-2</v>
      </c>
      <c r="S124" s="82">
        <f>TSIR!$C$1080/100+TSIR!M951/100</f>
        <v>3.7699999999999997E-2</v>
      </c>
      <c r="T124" s="82">
        <f>TSIR!$D$1080/100+TSIR!N951/100</f>
        <v>3.8099999999999995E-2</v>
      </c>
      <c r="U124" s="82">
        <f>TSIR!$E$1080/100+TSIR!O951/100</f>
        <v>3.8323000000000003E-2</v>
      </c>
      <c r="V124" s="82">
        <f>TSIR!$F$1080/100+TSIR!P951/100</f>
        <v>3.9400000000000004E-2</v>
      </c>
      <c r="X124" s="84">
        <f t="shared" si="16"/>
        <v>96.163092605058168</v>
      </c>
      <c r="Y124" s="84">
        <f t="shared" si="17"/>
        <v>103.30954362590546</v>
      </c>
      <c r="Z124" s="84">
        <f t="shared" si="18"/>
        <v>91.36785366959856</v>
      </c>
      <c r="AA124" s="84">
        <f t="shared" si="19"/>
        <v>402833284.44965243</v>
      </c>
      <c r="AB124" s="1">
        <f t="shared" si="20"/>
        <v>-2.1444647433680034E-3</v>
      </c>
      <c r="AC124" s="1">
        <v>-1.7771475567056759E-6</v>
      </c>
    </row>
    <row r="125" spans="1:29" x14ac:dyDescent="0.2">
      <c r="A125" s="8">
        <v>44376</v>
      </c>
      <c r="B125" s="24">
        <v>0.08</v>
      </c>
      <c r="C125" s="24">
        <v>0.27</v>
      </c>
      <c r="D125" s="24">
        <v>0.47</v>
      </c>
      <c r="E125" s="24">
        <v>0.68044832094865704</v>
      </c>
      <c r="F125" s="24">
        <v>0.89</v>
      </c>
      <c r="G125" s="83">
        <f t="shared" si="12"/>
        <v>99.920063948840934</v>
      </c>
      <c r="H125" s="84">
        <f t="shared" si="15"/>
        <v>113.50242060448058</v>
      </c>
      <c r="I125" s="84">
        <f t="shared" si="13"/>
        <v>105.48590423202478</v>
      </c>
      <c r="J125" s="84">
        <f t="shared" si="14"/>
        <v>451530113.91906011</v>
      </c>
      <c r="L125" s="19">
        <f t="shared" si="21"/>
        <v>0</v>
      </c>
      <c r="M125" s="19">
        <f t="shared" si="22"/>
        <v>2.0000000000000018E-2</v>
      </c>
      <c r="N125" s="19">
        <f t="shared" si="22"/>
        <v>0</v>
      </c>
      <c r="O125" s="19">
        <f t="shared" si="22"/>
        <v>-4.9185741777280079E-3</v>
      </c>
      <c r="P125" s="19">
        <f t="shared" si="22"/>
        <v>-1.0000000000000009E-2</v>
      </c>
      <c r="Q125" s="1">
        <v>123</v>
      </c>
      <c r="R125" s="82">
        <f>TSIR!$B$1080/100+TSIR!L952/100</f>
        <v>3.9300000000000002E-2</v>
      </c>
      <c r="S125" s="82">
        <f>TSIR!$C$1080/100+TSIR!M952/100</f>
        <v>3.7300000000000007E-2</v>
      </c>
      <c r="T125" s="82">
        <f>TSIR!$D$1080/100+TSIR!N952/100</f>
        <v>3.7299999999999993E-2</v>
      </c>
      <c r="U125" s="82">
        <f>TSIR!$E$1080/100+TSIR!O952/100</f>
        <v>3.7790000000000004E-2</v>
      </c>
      <c r="V125" s="82">
        <f>TSIR!$F$1080/100+TSIR!P952/100</f>
        <v>3.8600000000000002E-2</v>
      </c>
      <c r="X125" s="84">
        <f t="shared" si="16"/>
        <v>96.218608678918514</v>
      </c>
      <c r="Y125" s="84">
        <f t="shared" si="17"/>
        <v>103.53322808509776</v>
      </c>
      <c r="Z125" s="84">
        <f t="shared" si="18"/>
        <v>91.702389100732915</v>
      </c>
      <c r="AA125" s="84">
        <f t="shared" si="19"/>
        <v>403946931.63312209</v>
      </c>
      <c r="AB125" s="1">
        <f t="shared" si="20"/>
        <v>6.1414297164825787E-4</v>
      </c>
      <c r="AC125" s="1">
        <v>1.9747510933254284E-7</v>
      </c>
    </row>
    <row r="126" spans="1:29" x14ac:dyDescent="0.2">
      <c r="A126" s="8">
        <v>44377</v>
      </c>
      <c r="B126" s="24">
        <v>7.0000000000000007E-2</v>
      </c>
      <c r="C126" s="24">
        <v>0.25</v>
      </c>
      <c r="D126" s="24">
        <v>0.46</v>
      </c>
      <c r="E126" s="24">
        <v>0.66543464613677494</v>
      </c>
      <c r="F126" s="24">
        <v>0.87</v>
      </c>
      <c r="G126" s="83">
        <f t="shared" si="12"/>
        <v>99.930048965723998</v>
      </c>
      <c r="H126" s="84">
        <f t="shared" si="15"/>
        <v>113.53582518464539</v>
      </c>
      <c r="I126" s="84">
        <f t="shared" si="13"/>
        <v>105.58542464348767</v>
      </c>
      <c r="J126" s="84">
        <f t="shared" si="14"/>
        <v>451898058.72843063</v>
      </c>
      <c r="L126" s="19">
        <f t="shared" si="21"/>
        <v>-9.999999999999995E-3</v>
      </c>
      <c r="M126" s="19">
        <f t="shared" si="22"/>
        <v>-2.0000000000000018E-2</v>
      </c>
      <c r="N126" s="19">
        <f t="shared" si="22"/>
        <v>-9.9999999999999534E-3</v>
      </c>
      <c r="O126" s="19">
        <f t="shared" si="22"/>
        <v>-1.5013674811882094E-2</v>
      </c>
      <c r="P126" s="19">
        <f t="shared" si="22"/>
        <v>-2.0000000000000018E-2</v>
      </c>
      <c r="Q126" s="1">
        <v>124</v>
      </c>
      <c r="R126" s="82">
        <f>TSIR!$B$1080/100+TSIR!L953/100</f>
        <v>0.04</v>
      </c>
      <c r="S126" s="82">
        <f>TSIR!$C$1080/100+TSIR!M953/100</f>
        <v>3.8099999999999995E-2</v>
      </c>
      <c r="T126" s="82">
        <f>TSIR!$D$1080/100+TSIR!N953/100</f>
        <v>3.85E-2</v>
      </c>
      <c r="U126" s="82">
        <f>TSIR!$E$1080/100+TSIR!O953/100</f>
        <v>3.8606000000000001E-2</v>
      </c>
      <c r="V126" s="82">
        <f>TSIR!$F$1080/100+TSIR!P953/100</f>
        <v>3.9800000000000002E-2</v>
      </c>
      <c r="X126" s="84">
        <f t="shared" si="16"/>
        <v>96.153846153846146</v>
      </c>
      <c r="Y126" s="84">
        <f t="shared" si="17"/>
        <v>103.19709123338274</v>
      </c>
      <c r="Z126" s="84">
        <f t="shared" si="18"/>
        <v>91.200701292222121</v>
      </c>
      <c r="AA126" s="84">
        <f t="shared" si="19"/>
        <v>402314860.62650669</v>
      </c>
      <c r="AB126" s="1">
        <f t="shared" si="20"/>
        <v>-3.4286488004069762E-3</v>
      </c>
      <c r="AC126" s="1">
        <v>4.5606668294529901E-5</v>
      </c>
    </row>
    <row r="127" spans="1:29" x14ac:dyDescent="0.2">
      <c r="A127" s="8">
        <v>44378</v>
      </c>
      <c r="B127" s="24">
        <v>0.09</v>
      </c>
      <c r="C127" s="24">
        <v>0.25</v>
      </c>
      <c r="D127" s="24">
        <v>0.47</v>
      </c>
      <c r="E127" s="24">
        <v>0.68036461647615676</v>
      </c>
      <c r="F127" s="24">
        <v>0.89</v>
      </c>
      <c r="G127" s="83">
        <f t="shared" si="12"/>
        <v>99.910080927165566</v>
      </c>
      <c r="H127" s="84">
        <f t="shared" si="15"/>
        <v>113.50390593420613</v>
      </c>
      <c r="I127" s="84">
        <f t="shared" si="13"/>
        <v>105.48650483703787</v>
      </c>
      <c r="J127" s="84">
        <f t="shared" si="14"/>
        <v>451510322.30117345</v>
      </c>
      <c r="L127" s="19">
        <f t="shared" si="21"/>
        <v>1.999999999999999E-2</v>
      </c>
      <c r="M127" s="19">
        <f t="shared" si="22"/>
        <v>0</v>
      </c>
      <c r="N127" s="19">
        <f t="shared" si="22"/>
        <v>9.9999999999999534E-3</v>
      </c>
      <c r="O127" s="19">
        <f t="shared" si="22"/>
        <v>1.4929970339381815E-2</v>
      </c>
      <c r="P127" s="19">
        <f t="shared" si="22"/>
        <v>2.0000000000000018E-2</v>
      </c>
      <c r="Q127" s="1">
        <v>125</v>
      </c>
      <c r="R127" s="82">
        <f>TSIR!$B$1080/100+TSIR!L954/100</f>
        <v>3.95E-2</v>
      </c>
      <c r="S127" s="82">
        <f>TSIR!$C$1080/100+TSIR!M954/100</f>
        <v>3.7500000000000012E-2</v>
      </c>
      <c r="T127" s="82">
        <f>TSIR!$D$1080/100+TSIR!N954/100</f>
        <v>3.7899999999999989E-2</v>
      </c>
      <c r="U127" s="82">
        <f>TSIR!$E$1080/100+TSIR!O954/100</f>
        <v>3.8179000000000005E-2</v>
      </c>
      <c r="V127" s="82">
        <f>TSIR!$F$1080/100+TSIR!P954/100</f>
        <v>3.9E-2</v>
      </c>
      <c r="X127" s="84">
        <f t="shared" si="16"/>
        <v>96.200096200096198</v>
      </c>
      <c r="Y127" s="84">
        <f t="shared" si="17"/>
        <v>103.36745308087323</v>
      </c>
      <c r="Z127" s="84">
        <f t="shared" si="18"/>
        <v>91.533268765182484</v>
      </c>
      <c r="AA127" s="84">
        <f t="shared" si="19"/>
        <v>403482087.83961248</v>
      </c>
      <c r="AB127" s="1">
        <f t="shared" si="20"/>
        <v>-5.3731836555716132E-4</v>
      </c>
      <c r="AC127" s="1">
        <v>8.1018038388400087E-5</v>
      </c>
    </row>
    <row r="128" spans="1:29" x14ac:dyDescent="0.2">
      <c r="A128" s="8">
        <v>44379</v>
      </c>
      <c r="B128" s="24">
        <v>0.08</v>
      </c>
      <c r="C128" s="24">
        <v>0.24</v>
      </c>
      <c r="D128" s="24">
        <v>0.45</v>
      </c>
      <c r="E128" s="24">
        <v>0.65502842412981122</v>
      </c>
      <c r="F128" s="24">
        <v>0.86</v>
      </c>
      <c r="G128" s="83">
        <f t="shared" si="12"/>
        <v>99.920063948840934</v>
      </c>
      <c r="H128" s="84">
        <f t="shared" si="15"/>
        <v>113.56725178234298</v>
      </c>
      <c r="I128" s="84">
        <f t="shared" si="13"/>
        <v>105.63544819501323</v>
      </c>
      <c r="J128" s="84">
        <f t="shared" si="14"/>
        <v>452031043.00422031</v>
      </c>
      <c r="L128" s="19">
        <f t="shared" si="21"/>
        <v>-9.999999999999995E-3</v>
      </c>
      <c r="M128" s="19">
        <f t="shared" si="22"/>
        <v>-1.0000000000000009E-2</v>
      </c>
      <c r="N128" s="19">
        <f t="shared" si="22"/>
        <v>-1.9999999999999962E-2</v>
      </c>
      <c r="O128" s="19">
        <f t="shared" si="22"/>
        <v>-2.5336192346345543E-2</v>
      </c>
      <c r="P128" s="19">
        <f t="shared" si="22"/>
        <v>-3.0000000000000027E-2</v>
      </c>
      <c r="Q128" s="1">
        <v>126</v>
      </c>
      <c r="R128" s="82">
        <f>TSIR!$B$1080/100+TSIR!L955/100</f>
        <v>3.9799999999999995E-2</v>
      </c>
      <c r="S128" s="82">
        <f>TSIR!$C$1080/100+TSIR!M955/100</f>
        <v>3.78E-2</v>
      </c>
      <c r="T128" s="82">
        <f>TSIR!$D$1080/100+TSIR!N955/100</f>
        <v>3.8099999999999995E-2</v>
      </c>
      <c r="U128" s="82">
        <f>TSIR!$E$1080/100+TSIR!O955/100</f>
        <v>3.8218000000000002E-2</v>
      </c>
      <c r="V128" s="82">
        <f>TSIR!$F$1080/100+TSIR!P955/100</f>
        <v>3.9300000000000002E-2</v>
      </c>
      <c r="X128" s="84">
        <f t="shared" si="16"/>
        <v>96.172340834775909</v>
      </c>
      <c r="Y128" s="84">
        <f t="shared" si="17"/>
        <v>103.30911124604388</v>
      </c>
      <c r="Z128" s="84">
        <f t="shared" si="18"/>
        <v>91.408834426258167</v>
      </c>
      <c r="AA128" s="84">
        <f t="shared" si="19"/>
        <v>403016352.50551867</v>
      </c>
      <c r="AB128" s="1">
        <f t="shared" si="20"/>
        <v>-1.690988131760874E-3</v>
      </c>
      <c r="AC128" s="1">
        <v>8.9117483302897358E-5</v>
      </c>
    </row>
    <row r="129" spans="1:29" x14ac:dyDescent="0.2">
      <c r="A129" s="8">
        <v>44383</v>
      </c>
      <c r="B129" s="24">
        <v>7.0000000000000007E-2</v>
      </c>
      <c r="C129" s="24">
        <v>0.22</v>
      </c>
      <c r="D129" s="24">
        <v>0.42</v>
      </c>
      <c r="E129" s="24">
        <v>0.61513401055315975</v>
      </c>
      <c r="F129" s="24">
        <v>0.81</v>
      </c>
      <c r="G129" s="83">
        <f t="shared" si="12"/>
        <v>99.930048965723998</v>
      </c>
      <c r="H129" s="84">
        <f t="shared" si="15"/>
        <v>113.66261073073673</v>
      </c>
      <c r="I129" s="84">
        <f t="shared" si="13"/>
        <v>105.88389333841221</v>
      </c>
      <c r="J129" s="84">
        <f t="shared" si="14"/>
        <v>452901755.18899173</v>
      </c>
      <c r="L129" s="19">
        <f t="shared" si="21"/>
        <v>-9.999999999999995E-3</v>
      </c>
      <c r="M129" s="19">
        <f t="shared" si="22"/>
        <v>-1.999999999999999E-2</v>
      </c>
      <c r="N129" s="19">
        <f t="shared" si="22"/>
        <v>-3.0000000000000027E-2</v>
      </c>
      <c r="O129" s="19">
        <f t="shared" si="22"/>
        <v>-3.9894413576651466E-2</v>
      </c>
      <c r="P129" s="19">
        <f t="shared" si="22"/>
        <v>-4.9999999999999933E-2</v>
      </c>
      <c r="Q129" s="1">
        <v>127</v>
      </c>
      <c r="R129" s="82">
        <f>TSIR!$B$1080/100+TSIR!L956/100</f>
        <v>3.9300000000000002E-2</v>
      </c>
      <c r="S129" s="82">
        <f>TSIR!$C$1080/100+TSIR!M956/100</f>
        <v>3.7400000000000003E-2</v>
      </c>
      <c r="T129" s="82">
        <f>TSIR!$D$1080/100+TSIR!N956/100</f>
        <v>3.7499999999999985E-2</v>
      </c>
      <c r="U129" s="82">
        <f>TSIR!$E$1080/100+TSIR!O956/100</f>
        <v>3.7840000000000006E-2</v>
      </c>
      <c r="V129" s="82">
        <f>TSIR!$F$1080/100+TSIR!P956/100</f>
        <v>3.8600000000000002E-2</v>
      </c>
      <c r="X129" s="84">
        <f t="shared" si="16"/>
        <v>96.218608678918514</v>
      </c>
      <c r="Y129" s="84">
        <f t="shared" si="17"/>
        <v>103.47793768320761</v>
      </c>
      <c r="Z129" s="84">
        <f t="shared" si="18"/>
        <v>91.700662436461329</v>
      </c>
      <c r="AA129" s="84">
        <f t="shared" si="19"/>
        <v>404022960.57887089</v>
      </c>
      <c r="AB129" s="1">
        <f t="shared" si="20"/>
        <v>8.0247374590098534E-4</v>
      </c>
      <c r="AC129" s="1">
        <v>1.0289238334892822E-4</v>
      </c>
    </row>
    <row r="130" spans="1:29" x14ac:dyDescent="0.2">
      <c r="A130" s="8">
        <v>44384</v>
      </c>
      <c r="B130" s="24">
        <v>0.08</v>
      </c>
      <c r="C130" s="24">
        <v>0.22</v>
      </c>
      <c r="D130" s="24">
        <v>0.41</v>
      </c>
      <c r="E130" s="24">
        <v>0.60049623160896226</v>
      </c>
      <c r="F130" s="24">
        <v>0.79</v>
      </c>
      <c r="G130" s="83">
        <f t="shared" ref="G130:G193" si="23">100/((1+B130/100)^1)</f>
        <v>99.920063948840934</v>
      </c>
      <c r="H130" s="84">
        <f t="shared" si="15"/>
        <v>113.69309396053278</v>
      </c>
      <c r="I130" s="84">
        <f t="shared" ref="I130:I193" si="24">SUM(2/(1+B130/100)^1, 2/(1+C130/100)^2, 2/(1+D130/100)^3, 2/(1+E130/100)^4, 102/(1+F130/100)^5)</f>
        <v>105.98265807646142</v>
      </c>
      <c r="J130" s="84">
        <f t="shared" ref="J130:J193" si="25">G130*2000000+H130*-1500000+I130*4000000</f>
        <v>453231119.26272833</v>
      </c>
      <c r="L130" s="19">
        <f t="shared" si="21"/>
        <v>9.999999999999995E-3</v>
      </c>
      <c r="M130" s="19">
        <f t="shared" si="22"/>
        <v>0</v>
      </c>
      <c r="N130" s="19">
        <f t="shared" si="22"/>
        <v>-1.0000000000000009E-2</v>
      </c>
      <c r="O130" s="19">
        <f t="shared" si="22"/>
        <v>-1.4637778944197488E-2</v>
      </c>
      <c r="P130" s="19">
        <f t="shared" si="22"/>
        <v>-2.0000000000000018E-2</v>
      </c>
      <c r="Q130" s="1">
        <v>128</v>
      </c>
      <c r="R130" s="82">
        <f>TSIR!$B$1080/100+TSIR!L957/100</f>
        <v>3.9899999999999998E-2</v>
      </c>
      <c r="S130" s="82">
        <f>TSIR!$C$1080/100+TSIR!M957/100</f>
        <v>3.78E-2</v>
      </c>
      <c r="T130" s="82">
        <f>TSIR!$D$1080/100+TSIR!N957/100</f>
        <v>3.7899999999999996E-2</v>
      </c>
      <c r="U130" s="82">
        <f>TSIR!$E$1080/100+TSIR!O957/100</f>
        <v>3.8200999999999999E-2</v>
      </c>
      <c r="V130" s="82">
        <f>TSIR!$F$1080/100+TSIR!P957/100</f>
        <v>3.9199999999999999E-2</v>
      </c>
      <c r="X130" s="84">
        <f t="shared" si="16"/>
        <v>96.163092605058168</v>
      </c>
      <c r="Y130" s="84">
        <f t="shared" si="17"/>
        <v>103.36291775081204</v>
      </c>
      <c r="Z130" s="84">
        <f t="shared" si="18"/>
        <v>91.450276788272092</v>
      </c>
      <c r="AA130" s="84">
        <f t="shared" si="19"/>
        <v>403082915.73698664</v>
      </c>
      <c r="AB130" s="1">
        <f t="shared" si="20"/>
        <v>-1.5261048127083838E-3</v>
      </c>
      <c r="AC130" s="1">
        <v>1.0785695442373737E-4</v>
      </c>
    </row>
    <row r="131" spans="1:29" x14ac:dyDescent="0.2">
      <c r="A131" s="8">
        <v>44385</v>
      </c>
      <c r="B131" s="24">
        <v>7.0000000000000007E-2</v>
      </c>
      <c r="C131" s="24">
        <v>0.19</v>
      </c>
      <c r="D131" s="24">
        <v>0.37</v>
      </c>
      <c r="E131" s="24">
        <v>0.55547472871858972</v>
      </c>
      <c r="F131" s="24">
        <v>0.74</v>
      </c>
      <c r="G131" s="83">
        <f t="shared" si="23"/>
        <v>99.930048965723998</v>
      </c>
      <c r="H131" s="84">
        <f t="shared" ref="H131:H194" si="26">SUM(5/(1+B131/100)^1, 5/(1+C131/100)^2, 105/(1+D131/100)^3)</f>
        <v>113.82062826944008</v>
      </c>
      <c r="I131" s="84">
        <f t="shared" si="24"/>
        <v>106.23351547252065</v>
      </c>
      <c r="J131" s="84">
        <f t="shared" si="25"/>
        <v>454063217.41737044</v>
      </c>
      <c r="L131" s="19">
        <f t="shared" si="21"/>
        <v>-9.999999999999995E-3</v>
      </c>
      <c r="M131" s="19">
        <f t="shared" si="22"/>
        <v>-0.03</v>
      </c>
      <c r="N131" s="19">
        <f t="shared" si="22"/>
        <v>-3.999999999999998E-2</v>
      </c>
      <c r="O131" s="19">
        <f t="shared" si="22"/>
        <v>-4.5021502890372544E-2</v>
      </c>
      <c r="P131" s="19">
        <f t="shared" si="22"/>
        <v>-5.0000000000000044E-2</v>
      </c>
      <c r="Q131" s="1">
        <v>129</v>
      </c>
      <c r="R131" s="82">
        <f>TSIR!$B$1080/100+TSIR!L958/100</f>
        <v>3.9400000000000004E-2</v>
      </c>
      <c r="S131" s="82">
        <f>TSIR!$C$1080/100+TSIR!M958/100</f>
        <v>3.7499999999999999E-2</v>
      </c>
      <c r="T131" s="82">
        <f>TSIR!$D$1080/100+TSIR!N958/100</f>
        <v>3.7999999999999992E-2</v>
      </c>
      <c r="U131" s="82">
        <f>TSIR!$E$1080/100+TSIR!O958/100</f>
        <v>3.8200000000000005E-2</v>
      </c>
      <c r="V131" s="82">
        <f>TSIR!$F$1080/100+TSIR!P958/100</f>
        <v>3.9199999999999999E-2</v>
      </c>
      <c r="X131" s="84">
        <f t="shared" si="16"/>
        <v>96.209351548970545</v>
      </c>
      <c r="Y131" s="84">
        <f t="shared" si="17"/>
        <v>103.34077616197065</v>
      </c>
      <c r="Z131" s="84">
        <f t="shared" si="18"/>
        <v>91.451765713467637</v>
      </c>
      <c r="AA131" s="84">
        <f t="shared" si="19"/>
        <v>403214601.70885569</v>
      </c>
      <c r="AB131" s="1">
        <f t="shared" si="20"/>
        <v>-1.1999064050353322E-3</v>
      </c>
      <c r="AC131" s="1">
        <v>1.460107134285589E-4</v>
      </c>
    </row>
    <row r="132" spans="1:29" x14ac:dyDescent="0.2">
      <c r="A132" s="8">
        <v>44386</v>
      </c>
      <c r="B132" s="24">
        <v>0.08</v>
      </c>
      <c r="C132" s="24">
        <v>0.23</v>
      </c>
      <c r="D132" s="24">
        <v>0.41</v>
      </c>
      <c r="E132" s="24">
        <v>0.60026133053925601</v>
      </c>
      <c r="F132" s="24">
        <v>0.79</v>
      </c>
      <c r="G132" s="83">
        <f t="shared" si="23"/>
        <v>99.920063948840934</v>
      </c>
      <c r="H132" s="84">
        <f t="shared" si="26"/>
        <v>113.69210068026635</v>
      </c>
      <c r="I132" s="84">
        <f t="shared" si="24"/>
        <v>105.98227900234185</v>
      </c>
      <c r="J132" s="84">
        <f t="shared" si="25"/>
        <v>453231092.88664973</v>
      </c>
      <c r="L132" s="19">
        <f t="shared" si="21"/>
        <v>9.999999999999995E-3</v>
      </c>
      <c r="M132" s="19">
        <f t="shared" si="22"/>
        <v>4.0000000000000008E-2</v>
      </c>
      <c r="N132" s="19">
        <f t="shared" si="22"/>
        <v>3.999999999999998E-2</v>
      </c>
      <c r="O132" s="19">
        <f t="shared" si="22"/>
        <v>4.4786601820666294E-2</v>
      </c>
      <c r="P132" s="19">
        <f t="shared" ref="P132:P195" si="27">F132-F131</f>
        <v>5.0000000000000044E-2</v>
      </c>
      <c r="Q132" s="1">
        <v>130</v>
      </c>
      <c r="R132" s="82">
        <f>TSIR!$B$1080/100+TSIR!L959/100</f>
        <v>3.9599999999999996E-2</v>
      </c>
      <c r="S132" s="82">
        <f>TSIR!$C$1080/100+TSIR!M959/100</f>
        <v>3.7300000000000007E-2</v>
      </c>
      <c r="T132" s="82">
        <f>TSIR!$D$1080/100+TSIR!N959/100</f>
        <v>3.7499999999999999E-2</v>
      </c>
      <c r="U132" s="82">
        <f>TSIR!$E$1080/100+TSIR!O959/100</f>
        <v>3.7916999999999999E-2</v>
      </c>
      <c r="V132" s="82">
        <f>TSIR!$F$1080/100+TSIR!P959/100</f>
        <v>3.8800000000000001E-2</v>
      </c>
      <c r="X132" s="84">
        <f t="shared" ref="X132:X195" si="28">100/((1+R132)^1)</f>
        <v>96.19084263178145</v>
      </c>
      <c r="Y132" s="84">
        <f t="shared" ref="Y132:Y195" si="29">SUM(5/(1+R132)^1, 5/(1+S132)^2, 105/(1+T132)^3)</f>
        <v>103.47744520768646</v>
      </c>
      <c r="Z132" s="84">
        <f t="shared" ref="Z132:Z195" si="30">SUM(2/(1+R132)^1, 2/(1+S132)^2, 2/(1+T132)^3, 2/(1+U132)^4, 102/(1+V132)^5)</f>
        <v>91.618734611876846</v>
      </c>
      <c r="AA132" s="84">
        <f t="shared" ref="AA132:AA195" si="31">X132*2000000+Y132*-1500000+Z132*4000000</f>
        <v>403640455.89954054</v>
      </c>
      <c r="AB132" s="1">
        <f t="shared" ref="AB132:AB195" si="32">(AA132-J$1080)/J$1080</f>
        <v>-1.4502594259373748E-4</v>
      </c>
      <c r="AC132" s="1">
        <v>1.5211676660756624E-4</v>
      </c>
    </row>
    <row r="133" spans="1:29" x14ac:dyDescent="0.2">
      <c r="A133" s="8">
        <v>44389</v>
      </c>
      <c r="B133" s="24">
        <v>0.08</v>
      </c>
      <c r="C133" s="24">
        <v>0.23</v>
      </c>
      <c r="D133" s="24">
        <v>0.43</v>
      </c>
      <c r="E133" s="24">
        <v>0.62015444496678052</v>
      </c>
      <c r="F133" s="24">
        <v>0.81</v>
      </c>
      <c r="G133" s="83">
        <f t="shared" si="23"/>
        <v>99.920063948840934</v>
      </c>
      <c r="H133" s="84">
        <f t="shared" si="26"/>
        <v>113.63014805768785</v>
      </c>
      <c r="I133" s="84">
        <f t="shared" si="24"/>
        <v>105.88231696056317</v>
      </c>
      <c r="J133" s="84">
        <f t="shared" si="25"/>
        <v>452924173.65340281</v>
      </c>
      <c r="L133" s="19">
        <f t="shared" ref="L133:L196" si="33">B133-B132</f>
        <v>0</v>
      </c>
      <c r="M133" s="19">
        <f t="shared" ref="M133:P196" si="34">C133-C132</f>
        <v>0</v>
      </c>
      <c r="N133" s="19">
        <f t="shared" si="34"/>
        <v>2.0000000000000018E-2</v>
      </c>
      <c r="O133" s="19">
        <f t="shared" si="34"/>
        <v>1.9893114427524505E-2</v>
      </c>
      <c r="P133" s="19">
        <f t="shared" si="27"/>
        <v>2.0000000000000018E-2</v>
      </c>
      <c r="Q133" s="1">
        <v>131</v>
      </c>
      <c r="R133" s="82">
        <f>TSIR!$B$1080/100+TSIR!L960/100</f>
        <v>3.9400000000000004E-2</v>
      </c>
      <c r="S133" s="82">
        <f>TSIR!$C$1080/100+TSIR!M960/100</f>
        <v>3.78E-2</v>
      </c>
      <c r="T133" s="82">
        <f>TSIR!$D$1080/100+TSIR!N960/100</f>
        <v>3.8199999999999991E-2</v>
      </c>
      <c r="U133" s="82">
        <f>TSIR!$E$1080/100+TSIR!O960/100</f>
        <v>3.8118000000000006E-2</v>
      </c>
      <c r="V133" s="82">
        <f>TSIR!$F$1080/100+TSIR!P960/100</f>
        <v>3.9099999999999996E-2</v>
      </c>
      <c r="X133" s="84">
        <f t="shared" si="28"/>
        <v>96.209351548970545</v>
      </c>
      <c r="Y133" s="84">
        <f t="shared" si="29"/>
        <v>103.28384300324896</v>
      </c>
      <c r="Z133" s="84">
        <f t="shared" si="30"/>
        <v>91.490706602611752</v>
      </c>
      <c r="AA133" s="84">
        <f t="shared" si="31"/>
        <v>403455765.00351465</v>
      </c>
      <c r="AB133" s="1">
        <f t="shared" si="32"/>
        <v>-6.0252248030593172E-4</v>
      </c>
      <c r="AC133" s="1">
        <v>2.1224915189051855E-4</v>
      </c>
    </row>
    <row r="134" spans="1:29" x14ac:dyDescent="0.2">
      <c r="A134" s="8">
        <v>44390</v>
      </c>
      <c r="B134" s="24">
        <v>0.08</v>
      </c>
      <c r="C134" s="24">
        <v>0.26</v>
      </c>
      <c r="D134" s="24">
        <v>0.47</v>
      </c>
      <c r="E134" s="24">
        <v>0.66012054363129158</v>
      </c>
      <c r="F134" s="24">
        <v>0.85</v>
      </c>
      <c r="G134" s="83">
        <f t="shared" si="23"/>
        <v>99.920063948840934</v>
      </c>
      <c r="H134" s="84">
        <f t="shared" si="26"/>
        <v>113.50341269643515</v>
      </c>
      <c r="I134" s="84">
        <f t="shared" si="24"/>
        <v>105.68154199978751</v>
      </c>
      <c r="J134" s="84">
        <f t="shared" si="25"/>
        <v>452311176.85217917</v>
      </c>
      <c r="L134" s="19">
        <f t="shared" si="33"/>
        <v>0</v>
      </c>
      <c r="M134" s="19">
        <f t="shared" si="34"/>
        <v>0.03</v>
      </c>
      <c r="N134" s="19">
        <f t="shared" si="34"/>
        <v>3.999999999999998E-2</v>
      </c>
      <c r="O134" s="19">
        <f t="shared" si="34"/>
        <v>3.9966098664511063E-2</v>
      </c>
      <c r="P134" s="19">
        <f t="shared" si="27"/>
        <v>3.9999999999999925E-2</v>
      </c>
      <c r="Q134" s="1">
        <v>132</v>
      </c>
      <c r="R134" s="82">
        <f>TSIR!$B$1080/100+TSIR!L961/100</f>
        <v>3.9399999999999991E-2</v>
      </c>
      <c r="S134" s="82">
        <f>TSIR!$C$1080/100+TSIR!M961/100</f>
        <v>3.7499999999999999E-2</v>
      </c>
      <c r="T134" s="82">
        <f>TSIR!$D$1080/100+TSIR!N961/100</f>
        <v>3.7399999999999996E-2</v>
      </c>
      <c r="U134" s="82">
        <f>TSIR!$E$1080/100+TSIR!O961/100</f>
        <v>3.7938E-2</v>
      </c>
      <c r="V134" s="82">
        <f>TSIR!$F$1080/100+TSIR!P961/100</f>
        <v>3.8900000000000011E-2</v>
      </c>
      <c r="X134" s="84">
        <f t="shared" si="28"/>
        <v>96.209351548970545</v>
      </c>
      <c r="Y134" s="84">
        <f t="shared" si="29"/>
        <v>103.50377130306755</v>
      </c>
      <c r="Z134" s="84">
        <f t="shared" si="30"/>
        <v>91.578192213627176</v>
      </c>
      <c r="AA134" s="84">
        <f t="shared" si="31"/>
        <v>403475814.99784851</v>
      </c>
      <c r="AB134" s="1">
        <f t="shared" si="32"/>
        <v>-5.528567783884674E-4</v>
      </c>
      <c r="AC134" s="1">
        <v>3.2272682850795843E-4</v>
      </c>
    </row>
    <row r="135" spans="1:29" x14ac:dyDescent="0.2">
      <c r="A135" s="8">
        <v>44391</v>
      </c>
      <c r="B135" s="24">
        <v>0.08</v>
      </c>
      <c r="C135" s="24">
        <v>0.23</v>
      </c>
      <c r="D135" s="24">
        <v>0.44</v>
      </c>
      <c r="E135" s="24">
        <v>0.62001561824918894</v>
      </c>
      <c r="F135" s="24">
        <v>0.8</v>
      </c>
      <c r="G135" s="83">
        <f t="shared" si="23"/>
        <v>99.920063948840934</v>
      </c>
      <c r="H135" s="84">
        <f t="shared" si="26"/>
        <v>113.59919024830967</v>
      </c>
      <c r="I135" s="84">
        <f t="shared" si="24"/>
        <v>105.93034269712773</v>
      </c>
      <c r="J135" s="84">
        <f t="shared" si="25"/>
        <v>453162713.31372827</v>
      </c>
      <c r="L135" s="19">
        <f t="shared" si="33"/>
        <v>0</v>
      </c>
      <c r="M135" s="19">
        <f t="shared" si="34"/>
        <v>-0.03</v>
      </c>
      <c r="N135" s="19">
        <f t="shared" si="34"/>
        <v>-2.9999999999999971E-2</v>
      </c>
      <c r="O135" s="19">
        <f t="shared" si="34"/>
        <v>-4.0104925382102641E-2</v>
      </c>
      <c r="P135" s="19">
        <f t="shared" si="27"/>
        <v>-4.9999999999999933E-2</v>
      </c>
      <c r="Q135" s="1">
        <v>133</v>
      </c>
      <c r="R135" s="82">
        <f>TSIR!$B$1080/100+TSIR!L962/100</f>
        <v>3.960000000000001E-2</v>
      </c>
      <c r="S135" s="82">
        <f>TSIR!$C$1080/100+TSIR!M962/100</f>
        <v>3.7900000000000003E-2</v>
      </c>
      <c r="T135" s="82">
        <f>TSIR!$D$1080/100+TSIR!N962/100</f>
        <v>3.8199999999999991E-2</v>
      </c>
      <c r="U135" s="82">
        <f>TSIR!$E$1080/100+TSIR!O962/100</f>
        <v>3.8456000000000004E-2</v>
      </c>
      <c r="V135" s="82">
        <f>TSIR!$F$1080/100+TSIR!P962/100</f>
        <v>3.9499999999999993E-2</v>
      </c>
      <c r="X135" s="84">
        <f t="shared" si="28"/>
        <v>96.19084263178145</v>
      </c>
      <c r="Y135" s="84">
        <f t="shared" si="29"/>
        <v>103.28202302466471</v>
      </c>
      <c r="Z135" s="84">
        <f t="shared" si="30"/>
        <v>91.325860886310437</v>
      </c>
      <c r="AA135" s="84">
        <f t="shared" si="31"/>
        <v>402762094.27180761</v>
      </c>
      <c r="AB135" s="1">
        <f t="shared" si="32"/>
        <v>-2.320809439202686E-3</v>
      </c>
      <c r="AC135" s="1">
        <v>3.2433086148358646E-4</v>
      </c>
    </row>
    <row r="136" spans="1:29" x14ac:dyDescent="0.2">
      <c r="A136" s="8">
        <v>44392</v>
      </c>
      <c r="B136" s="24">
        <v>7.0000000000000007E-2</v>
      </c>
      <c r="C136" s="24">
        <v>0.23</v>
      </c>
      <c r="D136" s="24">
        <v>0.43</v>
      </c>
      <c r="E136" s="24">
        <v>0.60538600250499397</v>
      </c>
      <c r="F136" s="24">
        <v>0.78</v>
      </c>
      <c r="G136" s="83">
        <f t="shared" si="23"/>
        <v>99.930048965723998</v>
      </c>
      <c r="H136" s="84">
        <f t="shared" si="26"/>
        <v>113.63064730853199</v>
      </c>
      <c r="I136" s="84">
        <f t="shared" si="24"/>
        <v>106.02956335670073</v>
      </c>
      <c r="J136" s="84">
        <f t="shared" si="25"/>
        <v>453532380.39545292</v>
      </c>
      <c r="L136" s="19">
        <f t="shared" si="33"/>
        <v>-9.999999999999995E-3</v>
      </c>
      <c r="M136" s="19">
        <f t="shared" si="34"/>
        <v>0</v>
      </c>
      <c r="N136" s="19">
        <f t="shared" si="34"/>
        <v>-1.0000000000000009E-2</v>
      </c>
      <c r="O136" s="19">
        <f t="shared" si="34"/>
        <v>-1.4629615744194968E-2</v>
      </c>
      <c r="P136" s="19">
        <f t="shared" si="27"/>
        <v>-2.0000000000000018E-2</v>
      </c>
      <c r="Q136" s="1">
        <v>134</v>
      </c>
      <c r="R136" s="82">
        <f>TSIR!$B$1080/100+TSIR!L963/100</f>
        <v>3.9199999999999999E-2</v>
      </c>
      <c r="S136" s="82">
        <f>TSIR!$C$1080/100+TSIR!M963/100</f>
        <v>3.7000000000000005E-2</v>
      </c>
      <c r="T136" s="82">
        <f>TSIR!$D$1080/100+TSIR!N963/100</f>
        <v>3.6799999999999992E-2</v>
      </c>
      <c r="U136" s="82">
        <f>TSIR!$E$1080/100+TSIR!O963/100</f>
        <v>3.7622999999999997E-2</v>
      </c>
      <c r="V136" s="82">
        <f>TSIR!$F$1080/100+TSIR!P963/100</f>
        <v>3.8300000000000001E-2</v>
      </c>
      <c r="X136" s="84">
        <f t="shared" si="28"/>
        <v>96.22786759045421</v>
      </c>
      <c r="Y136" s="84">
        <f t="shared" si="29"/>
        <v>103.67255019846067</v>
      </c>
      <c r="Z136" s="84">
        <f t="shared" si="30"/>
        <v>91.829358983440258</v>
      </c>
      <c r="AA136" s="84">
        <f t="shared" si="31"/>
        <v>404264345.81697845</v>
      </c>
      <c r="AB136" s="1">
        <f t="shared" si="32"/>
        <v>1.4004074452077402E-3</v>
      </c>
      <c r="AC136" s="1">
        <v>3.5746135889914516E-4</v>
      </c>
    </row>
    <row r="137" spans="1:29" x14ac:dyDescent="0.2">
      <c r="A137" s="8">
        <v>44393</v>
      </c>
      <c r="B137" s="24">
        <v>0.08</v>
      </c>
      <c r="C137" s="24">
        <v>0.25</v>
      </c>
      <c r="D137" s="24">
        <v>0.43</v>
      </c>
      <c r="E137" s="24">
        <v>0.61037470264544724</v>
      </c>
      <c r="F137" s="24">
        <v>0.79</v>
      </c>
      <c r="G137" s="83">
        <f t="shared" si="23"/>
        <v>99.920063948840934</v>
      </c>
      <c r="H137" s="84">
        <f t="shared" si="26"/>
        <v>113.6281623888038</v>
      </c>
      <c r="I137" s="84">
        <f t="shared" si="24"/>
        <v>105.97951966381001</v>
      </c>
      <c r="J137" s="84">
        <f t="shared" si="25"/>
        <v>453315962.96971619</v>
      </c>
      <c r="L137" s="19">
        <f t="shared" si="33"/>
        <v>9.999999999999995E-3</v>
      </c>
      <c r="M137" s="19">
        <f t="shared" si="34"/>
        <v>1.999999999999999E-2</v>
      </c>
      <c r="N137" s="19">
        <f t="shared" si="34"/>
        <v>0</v>
      </c>
      <c r="O137" s="19">
        <f t="shared" si="34"/>
        <v>4.9887001404532727E-3</v>
      </c>
      <c r="P137" s="19">
        <f t="shared" si="27"/>
        <v>1.0000000000000009E-2</v>
      </c>
      <c r="Q137" s="1">
        <v>135</v>
      </c>
      <c r="R137" s="82">
        <f>TSIR!$B$1080/100+TSIR!L964/100</f>
        <v>3.9699999999999999E-2</v>
      </c>
      <c r="S137" s="82">
        <f>TSIR!$C$1080/100+TSIR!M964/100</f>
        <v>3.7600000000000008E-2</v>
      </c>
      <c r="T137" s="82">
        <f>TSIR!$D$1080/100+TSIR!N964/100</f>
        <v>3.7700000000000004E-2</v>
      </c>
      <c r="U137" s="82">
        <f>TSIR!$E$1080/100+TSIR!O964/100</f>
        <v>3.7799000000000006E-2</v>
      </c>
      <c r="V137" s="82">
        <f>TSIR!$F$1080/100+TSIR!P964/100</f>
        <v>3.8700000000000005E-2</v>
      </c>
      <c r="X137" s="84">
        <f t="shared" si="28"/>
        <v>96.181590843512552</v>
      </c>
      <c r="Y137" s="84">
        <f t="shared" si="29"/>
        <v>103.41994326631615</v>
      </c>
      <c r="Z137" s="84">
        <f t="shared" si="30"/>
        <v>91.657821481961818</v>
      </c>
      <c r="AA137" s="84">
        <f t="shared" si="31"/>
        <v>403864552.71539813</v>
      </c>
      <c r="AB137" s="1">
        <f t="shared" si="32"/>
        <v>4.1008272585302285E-4</v>
      </c>
      <c r="AC137" s="1">
        <v>3.6034082714421023E-4</v>
      </c>
    </row>
    <row r="138" spans="1:29" x14ac:dyDescent="0.2">
      <c r="A138" s="8">
        <v>44396</v>
      </c>
      <c r="B138" s="24">
        <v>7.0000000000000007E-2</v>
      </c>
      <c r="C138" s="24">
        <v>0.21</v>
      </c>
      <c r="D138" s="24">
        <v>0.38</v>
      </c>
      <c r="E138" s="24">
        <v>0.54020582514903848</v>
      </c>
      <c r="F138" s="24">
        <v>0.7</v>
      </c>
      <c r="G138" s="83">
        <f t="shared" si="23"/>
        <v>99.930048965723998</v>
      </c>
      <c r="H138" s="84">
        <f t="shared" si="26"/>
        <v>113.78760832462177</v>
      </c>
      <c r="I138" s="84">
        <f t="shared" si="24"/>
        <v>106.42872290582311</v>
      </c>
      <c r="J138" s="84">
        <f t="shared" si="25"/>
        <v>454893577.06780779</v>
      </c>
      <c r="L138" s="19">
        <f t="shared" si="33"/>
        <v>-9.999999999999995E-3</v>
      </c>
      <c r="M138" s="19">
        <f t="shared" si="34"/>
        <v>-4.0000000000000008E-2</v>
      </c>
      <c r="N138" s="19">
        <f t="shared" si="34"/>
        <v>-4.9999999999999989E-2</v>
      </c>
      <c r="O138" s="19">
        <f t="shared" si="34"/>
        <v>-7.0168877496408766E-2</v>
      </c>
      <c r="P138" s="19">
        <f t="shared" si="27"/>
        <v>-9.000000000000008E-2</v>
      </c>
      <c r="Q138" s="1">
        <v>136</v>
      </c>
      <c r="R138" s="82">
        <f>TSIR!$B$1080/100+TSIR!L965/100</f>
        <v>3.9899999999999998E-2</v>
      </c>
      <c r="S138" s="82">
        <f>TSIR!$C$1080/100+TSIR!M965/100</f>
        <v>3.8199999999999998E-2</v>
      </c>
      <c r="T138" s="82">
        <f>TSIR!$D$1080/100+TSIR!N965/100</f>
        <v>3.8499999999999993E-2</v>
      </c>
      <c r="U138" s="82">
        <f>TSIR!$E$1080/100+TSIR!O965/100</f>
        <v>3.8779000000000001E-2</v>
      </c>
      <c r="V138" s="82">
        <f>TSIR!$F$1080/100+TSIR!P965/100</f>
        <v>3.9899999999999998E-2</v>
      </c>
      <c r="X138" s="84">
        <f t="shared" si="28"/>
        <v>96.163092605058168</v>
      </c>
      <c r="Y138" s="84">
        <f t="shared" si="29"/>
        <v>103.19665979848881</v>
      </c>
      <c r="Z138" s="84">
        <f t="shared" si="30"/>
        <v>91.15904305406589</v>
      </c>
      <c r="AA138" s="84">
        <f t="shared" si="31"/>
        <v>402167367.72864664</v>
      </c>
      <c r="AB138" s="1">
        <f t="shared" si="32"/>
        <v>-3.7940024348311115E-3</v>
      </c>
      <c r="AC138" s="1">
        <v>3.6063210074777319E-4</v>
      </c>
    </row>
    <row r="139" spans="1:29" x14ac:dyDescent="0.2">
      <c r="A139" s="8">
        <v>44397</v>
      </c>
      <c r="B139" s="24">
        <v>0.08</v>
      </c>
      <c r="C139" s="24">
        <v>0.2</v>
      </c>
      <c r="D139" s="24">
        <v>0.37</v>
      </c>
      <c r="E139" s="24">
        <v>0.53035941572245904</v>
      </c>
      <c r="F139" s="24">
        <v>0.69</v>
      </c>
      <c r="G139" s="83">
        <f t="shared" si="23"/>
        <v>99.920063948840934</v>
      </c>
      <c r="H139" s="84">
        <f t="shared" si="26"/>
        <v>113.8191348458499</v>
      </c>
      <c r="I139" s="84">
        <f t="shared" si="24"/>
        <v>106.47920289281745</v>
      </c>
      <c r="J139" s="84">
        <f t="shared" si="25"/>
        <v>455028237.20017684</v>
      </c>
      <c r="L139" s="19">
        <f t="shared" si="33"/>
        <v>9.999999999999995E-3</v>
      </c>
      <c r="M139" s="19">
        <f t="shared" si="34"/>
        <v>-9.9999999999999811E-3</v>
      </c>
      <c r="N139" s="19">
        <f t="shared" si="34"/>
        <v>-1.0000000000000009E-2</v>
      </c>
      <c r="O139" s="19">
        <f t="shared" si="34"/>
        <v>-9.8464094265794389E-3</v>
      </c>
      <c r="P139" s="19">
        <f t="shared" si="27"/>
        <v>-1.0000000000000009E-2</v>
      </c>
      <c r="Q139" s="1">
        <v>137</v>
      </c>
      <c r="R139" s="82">
        <f>TSIR!$B$1080/100+TSIR!L966/100</f>
        <v>3.9200000000000006E-2</v>
      </c>
      <c r="S139" s="82">
        <f>TSIR!$C$1080/100+TSIR!M966/100</f>
        <v>3.6800000000000006E-2</v>
      </c>
      <c r="T139" s="82">
        <f>TSIR!$D$1080/100+TSIR!N966/100</f>
        <v>3.6899999999999988E-2</v>
      </c>
      <c r="U139" s="82">
        <f>TSIR!$E$1080/100+TSIR!O966/100</f>
        <v>3.7359000000000003E-2</v>
      </c>
      <c r="V139" s="82">
        <f>TSIR!$F$1080/100+TSIR!P966/100</f>
        <v>3.7800000000000007E-2</v>
      </c>
      <c r="X139" s="84">
        <f t="shared" si="28"/>
        <v>96.22786759045421</v>
      </c>
      <c r="Y139" s="84">
        <f t="shared" si="29"/>
        <v>103.64708914548899</v>
      </c>
      <c r="Z139" s="84">
        <f t="shared" si="30"/>
        <v>92.035126891686957</v>
      </c>
      <c r="AA139" s="84">
        <f t="shared" si="31"/>
        <v>405125609.02942276</v>
      </c>
      <c r="AB139" s="1">
        <f t="shared" si="32"/>
        <v>3.5338365758829432E-3</v>
      </c>
      <c r="AC139" s="1">
        <v>4.0481280149441972E-4</v>
      </c>
    </row>
    <row r="140" spans="1:29" x14ac:dyDescent="0.2">
      <c r="A140" s="8">
        <v>44398</v>
      </c>
      <c r="B140" s="24">
        <v>7.0000000000000007E-2</v>
      </c>
      <c r="C140" s="24">
        <v>0.22</v>
      </c>
      <c r="D140" s="24">
        <v>0.39</v>
      </c>
      <c r="E140" s="24">
        <v>0.56518492140373178</v>
      </c>
      <c r="F140" s="24">
        <v>0.74</v>
      </c>
      <c r="G140" s="83">
        <f t="shared" si="23"/>
        <v>99.930048965723998</v>
      </c>
      <c r="H140" s="84">
        <f t="shared" si="26"/>
        <v>113.75559521334812</v>
      </c>
      <c r="I140" s="84">
        <f t="shared" si="24"/>
        <v>106.23038547740563</v>
      </c>
      <c r="J140" s="84">
        <f t="shared" si="25"/>
        <v>454148247.02104837</v>
      </c>
      <c r="L140" s="19">
        <f t="shared" si="33"/>
        <v>-9.999999999999995E-3</v>
      </c>
      <c r="M140" s="19">
        <f t="shared" si="34"/>
        <v>1.999999999999999E-2</v>
      </c>
      <c r="N140" s="19">
        <f t="shared" si="34"/>
        <v>2.0000000000000018E-2</v>
      </c>
      <c r="O140" s="19">
        <f t="shared" si="34"/>
        <v>3.4825505681272739E-2</v>
      </c>
      <c r="P140" s="19">
        <f t="shared" si="27"/>
        <v>5.0000000000000044E-2</v>
      </c>
      <c r="Q140" s="1">
        <v>138</v>
      </c>
      <c r="R140" s="82">
        <f>TSIR!$B$1080/100+TSIR!L967/100</f>
        <v>3.9899999999999998E-2</v>
      </c>
      <c r="S140" s="82">
        <f>TSIR!$C$1080/100+TSIR!M967/100</f>
        <v>3.7900000000000003E-2</v>
      </c>
      <c r="T140" s="82">
        <f>TSIR!$D$1080/100+TSIR!N967/100</f>
        <v>3.8099999999999995E-2</v>
      </c>
      <c r="U140" s="82">
        <f>TSIR!$E$1080/100+TSIR!O967/100</f>
        <v>3.7879000000000003E-2</v>
      </c>
      <c r="V140" s="82">
        <f>TSIR!$F$1080/100+TSIR!P967/100</f>
        <v>3.9100000000000003E-2</v>
      </c>
      <c r="X140" s="84">
        <f t="shared" si="28"/>
        <v>96.163092605058168</v>
      </c>
      <c r="Y140" s="84">
        <f t="shared" si="29"/>
        <v>103.3077543018332</v>
      </c>
      <c r="Z140" s="84">
        <f t="shared" si="30"/>
        <v>91.491526893387856</v>
      </c>
      <c r="AA140" s="84">
        <f t="shared" si="31"/>
        <v>403330661.33091795</v>
      </c>
      <c r="AB140" s="1">
        <f t="shared" si="32"/>
        <v>-9.1241592009974788E-4</v>
      </c>
      <c r="AC140" s="1">
        <v>4.1008272585302285E-4</v>
      </c>
    </row>
    <row r="141" spans="1:29" x14ac:dyDescent="0.2">
      <c r="A141" s="8">
        <v>44399</v>
      </c>
      <c r="B141" s="24">
        <v>7.0000000000000007E-2</v>
      </c>
      <c r="C141" s="24">
        <v>0.2</v>
      </c>
      <c r="D141" s="24">
        <v>0.37</v>
      </c>
      <c r="E141" s="24">
        <v>0.54029372160657163</v>
      </c>
      <c r="F141" s="24">
        <v>0.71</v>
      </c>
      <c r="G141" s="83">
        <f t="shared" si="23"/>
        <v>99.930048965723998</v>
      </c>
      <c r="H141" s="84">
        <f t="shared" si="26"/>
        <v>113.81963409669406</v>
      </c>
      <c r="I141" s="84">
        <f t="shared" si="24"/>
        <v>106.38080974769049</v>
      </c>
      <c r="J141" s="84">
        <f t="shared" si="25"/>
        <v>454653885.77716887</v>
      </c>
      <c r="L141" s="19">
        <f t="shared" si="33"/>
        <v>0</v>
      </c>
      <c r="M141" s="19">
        <f t="shared" si="34"/>
        <v>-1.999999999999999E-2</v>
      </c>
      <c r="N141" s="19">
        <f t="shared" si="34"/>
        <v>-2.0000000000000018E-2</v>
      </c>
      <c r="O141" s="19">
        <f t="shared" si="34"/>
        <v>-2.4891199797160146E-2</v>
      </c>
      <c r="P141" s="19">
        <f t="shared" si="27"/>
        <v>-3.0000000000000027E-2</v>
      </c>
      <c r="Q141" s="1">
        <v>139</v>
      </c>
      <c r="R141" s="82">
        <f>TSIR!$B$1080/100+TSIR!L968/100</f>
        <v>4.0099999999999997E-2</v>
      </c>
      <c r="S141" s="82">
        <f>TSIR!$C$1080/100+TSIR!M968/100</f>
        <v>3.8200000000000005E-2</v>
      </c>
      <c r="T141" s="82">
        <f>TSIR!$D$1080/100+TSIR!N968/100</f>
        <v>3.8699999999999998E-2</v>
      </c>
      <c r="U141" s="82">
        <f>TSIR!$E$1080/100+TSIR!O968/100</f>
        <v>3.8800999999999995E-2</v>
      </c>
      <c r="V141" s="82">
        <f>TSIR!$F$1080/100+TSIR!P968/100</f>
        <v>0.04</v>
      </c>
      <c r="X141" s="84">
        <f t="shared" si="28"/>
        <v>96.144601480626861</v>
      </c>
      <c r="Y141" s="84">
        <f t="shared" si="29"/>
        <v>103.14159162216203</v>
      </c>
      <c r="Z141" s="84">
        <f t="shared" si="30"/>
        <v>91.117178750720754</v>
      </c>
      <c r="AA141" s="84">
        <f t="shared" si="31"/>
        <v>402045530.53089368</v>
      </c>
      <c r="AB141" s="1">
        <f t="shared" si="32"/>
        <v>-4.0958045124425404E-3</v>
      </c>
      <c r="AC141" s="1">
        <v>4.1893298468611645E-4</v>
      </c>
    </row>
    <row r="142" spans="1:29" x14ac:dyDescent="0.2">
      <c r="A142" s="8">
        <v>44400</v>
      </c>
      <c r="B142" s="24">
        <v>7.0000000000000007E-2</v>
      </c>
      <c r="C142" s="24">
        <v>0.22</v>
      </c>
      <c r="D142" s="24">
        <v>0.38</v>
      </c>
      <c r="E142" s="24">
        <v>0.55032274264356451</v>
      </c>
      <c r="F142" s="24">
        <v>0.72</v>
      </c>
      <c r="G142" s="83">
        <f t="shared" si="23"/>
        <v>99.930048965723998</v>
      </c>
      <c r="H142" s="84">
        <f t="shared" si="26"/>
        <v>113.7866147469809</v>
      </c>
      <c r="I142" s="84">
        <f t="shared" si="24"/>
        <v>106.32977705774701</v>
      </c>
      <c r="J142" s="84">
        <f t="shared" si="25"/>
        <v>454499284.04196465</v>
      </c>
      <c r="L142" s="19">
        <f t="shared" si="33"/>
        <v>0</v>
      </c>
      <c r="M142" s="19">
        <f t="shared" si="34"/>
        <v>1.999999999999999E-2</v>
      </c>
      <c r="N142" s="19">
        <f t="shared" si="34"/>
        <v>1.0000000000000009E-2</v>
      </c>
      <c r="O142" s="19">
        <f t="shared" si="34"/>
        <v>1.002902103699288E-2</v>
      </c>
      <c r="P142" s="19">
        <f t="shared" si="27"/>
        <v>1.0000000000000009E-2</v>
      </c>
      <c r="Q142" s="1">
        <v>140</v>
      </c>
      <c r="R142" s="82">
        <f>TSIR!$B$1080/100+TSIR!L969/100</f>
        <v>3.8799999999999994E-2</v>
      </c>
      <c r="S142" s="82">
        <f>TSIR!$C$1080/100+TSIR!M969/100</f>
        <v>3.6699999999999997E-2</v>
      </c>
      <c r="T142" s="82">
        <f>TSIR!$D$1080/100+TSIR!N969/100</f>
        <v>3.7199999999999997E-2</v>
      </c>
      <c r="U142" s="82">
        <f>TSIR!$E$1080/100+TSIR!O969/100</f>
        <v>3.7878000000000009E-2</v>
      </c>
      <c r="V142" s="82">
        <f>TSIR!$F$1080/100+TSIR!P969/100</f>
        <v>3.8599999999999995E-2</v>
      </c>
      <c r="X142" s="84">
        <f t="shared" si="28"/>
        <v>96.264921062764728</v>
      </c>
      <c r="Y142" s="84">
        <f t="shared" si="29"/>
        <v>103.56813713301007</v>
      </c>
      <c r="Z142" s="84">
        <f t="shared" si="30"/>
        <v>91.705401153994643</v>
      </c>
      <c r="AA142" s="84">
        <f t="shared" si="31"/>
        <v>403999241.04199296</v>
      </c>
      <c r="AB142" s="1">
        <f t="shared" si="32"/>
        <v>7.4371824559593387E-4</v>
      </c>
      <c r="AC142" s="1">
        <v>4.8672562261440006E-4</v>
      </c>
    </row>
    <row r="143" spans="1:29" x14ac:dyDescent="0.2">
      <c r="A143" s="8">
        <v>44403</v>
      </c>
      <c r="B143" s="24">
        <v>0.08</v>
      </c>
      <c r="C143" s="24">
        <v>0.22</v>
      </c>
      <c r="D143" s="24">
        <v>0.38</v>
      </c>
      <c r="E143" s="24">
        <v>0.55509996454664512</v>
      </c>
      <c r="F143" s="24">
        <v>0.73</v>
      </c>
      <c r="G143" s="83">
        <f t="shared" si="23"/>
        <v>99.920063948840934</v>
      </c>
      <c r="H143" s="84">
        <f t="shared" si="26"/>
        <v>113.78611549613674</v>
      </c>
      <c r="I143" s="84">
        <f t="shared" si="24"/>
        <v>106.28036884404131</v>
      </c>
      <c r="J143" s="84">
        <f t="shared" si="25"/>
        <v>454282430.02964199</v>
      </c>
      <c r="L143" s="19">
        <f t="shared" si="33"/>
        <v>9.999999999999995E-3</v>
      </c>
      <c r="M143" s="19">
        <f t="shared" si="34"/>
        <v>0</v>
      </c>
      <c r="N143" s="19">
        <f t="shared" si="34"/>
        <v>0</v>
      </c>
      <c r="O143" s="19">
        <f t="shared" si="34"/>
        <v>4.7772219030806085E-3</v>
      </c>
      <c r="P143" s="19">
        <f t="shared" si="27"/>
        <v>1.0000000000000009E-2</v>
      </c>
      <c r="Q143" s="1">
        <v>141</v>
      </c>
      <c r="R143" s="82">
        <f>TSIR!$B$1080/100+TSIR!L970/100</f>
        <v>4.0000000000000008E-2</v>
      </c>
      <c r="S143" s="82">
        <f>TSIR!$C$1080/100+TSIR!M970/100</f>
        <v>3.8100000000000009E-2</v>
      </c>
      <c r="T143" s="82">
        <f>TSIR!$D$1080/100+TSIR!N970/100</f>
        <v>3.8099999999999995E-2</v>
      </c>
      <c r="U143" s="82">
        <f>TSIR!$E$1080/100+TSIR!O970/100</f>
        <v>3.8065999999999996E-2</v>
      </c>
      <c r="V143" s="82">
        <f>TSIR!$F$1080/100+TSIR!P970/100</f>
        <v>3.9000000000000007E-2</v>
      </c>
      <c r="X143" s="84">
        <f t="shared" si="28"/>
        <v>96.153846153846146</v>
      </c>
      <c r="Y143" s="84">
        <f t="shared" si="29"/>
        <v>103.30550368929246</v>
      </c>
      <c r="Z143" s="84">
        <f t="shared" si="30"/>
        <v>91.529912646847578</v>
      </c>
      <c r="AA143" s="84">
        <f t="shared" si="31"/>
        <v>403469087.36114389</v>
      </c>
      <c r="AB143" s="1">
        <f t="shared" si="32"/>
        <v>-5.6952176061325047E-4</v>
      </c>
      <c r="AC143" s="1">
        <v>4.9793218359352718E-4</v>
      </c>
    </row>
    <row r="144" spans="1:29" x14ac:dyDescent="0.2">
      <c r="A144" s="8">
        <v>44404</v>
      </c>
      <c r="B144" s="24">
        <v>7.0000000000000007E-2</v>
      </c>
      <c r="C144" s="24">
        <v>0.2</v>
      </c>
      <c r="D144" s="24">
        <v>0.37</v>
      </c>
      <c r="E144" s="24">
        <v>0.54018615389381841</v>
      </c>
      <c r="F144" s="24">
        <v>0.71</v>
      </c>
      <c r="G144" s="83">
        <f t="shared" si="23"/>
        <v>99.930048965723998</v>
      </c>
      <c r="H144" s="84">
        <f t="shared" si="26"/>
        <v>113.81963409669406</v>
      </c>
      <c r="I144" s="84">
        <f t="shared" si="24"/>
        <v>106.38081812437838</v>
      </c>
      <c r="J144" s="84">
        <f t="shared" si="25"/>
        <v>454653919.28392041</v>
      </c>
      <c r="L144" s="19">
        <f t="shared" si="33"/>
        <v>-9.999999999999995E-3</v>
      </c>
      <c r="M144" s="19">
        <f t="shared" si="34"/>
        <v>-1.999999999999999E-2</v>
      </c>
      <c r="N144" s="19">
        <f t="shared" si="34"/>
        <v>-1.0000000000000009E-2</v>
      </c>
      <c r="O144" s="19">
        <f t="shared" si="34"/>
        <v>-1.4913810652826709E-2</v>
      </c>
      <c r="P144" s="19">
        <f t="shared" si="27"/>
        <v>-2.0000000000000018E-2</v>
      </c>
      <c r="Q144" s="1">
        <v>142</v>
      </c>
      <c r="R144" s="82">
        <f>TSIR!$B$1080/100+TSIR!L971/100</f>
        <v>3.9299999999999995E-2</v>
      </c>
      <c r="S144" s="82">
        <f>TSIR!$C$1080/100+TSIR!M971/100</f>
        <v>3.7100000000000001E-2</v>
      </c>
      <c r="T144" s="82">
        <f>TSIR!$D$1080/100+TSIR!N971/100</f>
        <v>3.7299999999999993E-2</v>
      </c>
      <c r="U144" s="82">
        <f>TSIR!$E$1080/100+TSIR!O971/100</f>
        <v>3.7807000000000007E-2</v>
      </c>
      <c r="V144" s="82">
        <f>TSIR!$F$1080/100+TSIR!P971/100</f>
        <v>3.8599999999999995E-2</v>
      </c>
      <c r="X144" s="84">
        <f t="shared" si="28"/>
        <v>96.218608678918514</v>
      </c>
      <c r="Y144" s="84">
        <f t="shared" si="29"/>
        <v>103.53502051623411</v>
      </c>
      <c r="Z144" s="84">
        <f t="shared" si="30"/>
        <v>91.702993100433631</v>
      </c>
      <c r="AA144" s="84">
        <f t="shared" si="31"/>
        <v>403946658.98522037</v>
      </c>
      <c r="AB144" s="1">
        <f t="shared" si="32"/>
        <v>6.1346759742173895E-4</v>
      </c>
      <c r="AC144" s="1">
        <v>5.8002461718576989E-4</v>
      </c>
    </row>
    <row r="145" spans="1:29" x14ac:dyDescent="0.2">
      <c r="A145" s="8">
        <v>44405</v>
      </c>
      <c r="B145" s="24">
        <v>7.0000000000000007E-2</v>
      </c>
      <c r="C145" s="24">
        <v>0.2</v>
      </c>
      <c r="D145" s="24">
        <v>0.38</v>
      </c>
      <c r="E145" s="24">
        <v>0.55046709980256892</v>
      </c>
      <c r="F145" s="24">
        <v>0.72</v>
      </c>
      <c r="G145" s="83">
        <f t="shared" si="23"/>
        <v>99.930048965723998</v>
      </c>
      <c r="H145" s="84">
        <f t="shared" si="26"/>
        <v>113.78860219975584</v>
      </c>
      <c r="I145" s="84">
        <f t="shared" si="24"/>
        <v>106.33056080291703</v>
      </c>
      <c r="J145" s="84">
        <f t="shared" si="25"/>
        <v>454499437.84348238</v>
      </c>
      <c r="L145" s="19">
        <f t="shared" si="33"/>
        <v>0</v>
      </c>
      <c r="M145" s="19">
        <f t="shared" si="34"/>
        <v>0</v>
      </c>
      <c r="N145" s="19">
        <f t="shared" si="34"/>
        <v>1.0000000000000009E-2</v>
      </c>
      <c r="O145" s="19">
        <f t="shared" si="34"/>
        <v>1.0280945908750505E-2</v>
      </c>
      <c r="P145" s="19">
        <f t="shared" si="27"/>
        <v>1.0000000000000009E-2</v>
      </c>
      <c r="Q145" s="1">
        <v>143</v>
      </c>
      <c r="R145" s="82">
        <f>TSIR!$B$1080/100+TSIR!L972/100</f>
        <v>3.9400000000000004E-2</v>
      </c>
      <c r="S145" s="82">
        <f>TSIR!$C$1080/100+TSIR!M972/100</f>
        <v>3.7200000000000004E-2</v>
      </c>
      <c r="T145" s="82">
        <f>TSIR!$D$1080/100+TSIR!N972/100</f>
        <v>3.7399999999999996E-2</v>
      </c>
      <c r="U145" s="82">
        <f>TSIR!$E$1080/100+TSIR!O972/100</f>
        <v>3.770600000000001E-2</v>
      </c>
      <c r="V145" s="82">
        <f>TSIR!$F$1080/100+TSIR!P972/100</f>
        <v>3.8600000000000002E-2</v>
      </c>
      <c r="X145" s="84">
        <f t="shared" si="28"/>
        <v>96.209351548970545</v>
      </c>
      <c r="Y145" s="84">
        <f t="shared" si="29"/>
        <v>103.50645878367453</v>
      </c>
      <c r="Z145" s="84">
        <f t="shared" si="30"/>
        <v>91.702602603225259</v>
      </c>
      <c r="AA145" s="84">
        <f t="shared" si="31"/>
        <v>403969425.33533037</v>
      </c>
      <c r="AB145" s="1">
        <f t="shared" si="32"/>
        <v>6.6986196539429825E-4</v>
      </c>
      <c r="AC145" s="1">
        <v>6.1346759742173895E-4</v>
      </c>
    </row>
    <row r="146" spans="1:29" x14ac:dyDescent="0.2">
      <c r="A146" s="8">
        <v>44406</v>
      </c>
      <c r="B146" s="24">
        <v>0.08</v>
      </c>
      <c r="C146" s="24">
        <v>0.2</v>
      </c>
      <c r="D146" s="24">
        <v>0.37</v>
      </c>
      <c r="E146" s="24">
        <v>0.55032811751130073</v>
      </c>
      <c r="F146" s="24">
        <v>0.73</v>
      </c>
      <c r="G146" s="83">
        <f t="shared" si="23"/>
        <v>99.920063948840934</v>
      </c>
      <c r="H146" s="84">
        <f t="shared" si="26"/>
        <v>113.8191348458499</v>
      </c>
      <c r="I146" s="84">
        <f t="shared" si="24"/>
        <v>106.28212627949938</v>
      </c>
      <c r="J146" s="84">
        <f t="shared" si="25"/>
        <v>454239930.74690449</v>
      </c>
      <c r="L146" s="19">
        <f t="shared" si="33"/>
        <v>9.999999999999995E-3</v>
      </c>
      <c r="M146" s="19">
        <f t="shared" si="34"/>
        <v>0</v>
      </c>
      <c r="N146" s="19">
        <f t="shared" si="34"/>
        <v>-1.0000000000000009E-2</v>
      </c>
      <c r="O146" s="19">
        <f t="shared" si="34"/>
        <v>-1.3898229126818595E-4</v>
      </c>
      <c r="P146" s="19">
        <f t="shared" si="27"/>
        <v>1.0000000000000009E-2</v>
      </c>
      <c r="Q146" s="1">
        <v>144</v>
      </c>
      <c r="R146" s="82">
        <f>TSIR!$B$1080/100+TSIR!L973/100</f>
        <v>3.9599999999999996E-2</v>
      </c>
      <c r="S146" s="82">
        <f>TSIR!$C$1080/100+TSIR!M973/100</f>
        <v>3.7199999999999997E-2</v>
      </c>
      <c r="T146" s="82">
        <f>TSIR!$D$1080/100+TSIR!N973/100</f>
        <v>3.7499999999999999E-2</v>
      </c>
      <c r="U146" s="82">
        <f>TSIR!$E$1080/100+TSIR!O973/100</f>
        <v>3.7646999999999993E-2</v>
      </c>
      <c r="V146" s="82">
        <f>TSIR!$F$1080/100+TSIR!P973/100</f>
        <v>3.85E-2</v>
      </c>
      <c r="X146" s="84">
        <f t="shared" si="28"/>
        <v>96.19084263178145</v>
      </c>
      <c r="Y146" s="84">
        <f t="shared" si="29"/>
        <v>103.47834129364382</v>
      </c>
      <c r="Z146" s="84">
        <f t="shared" si="30"/>
        <v>91.742751662128825</v>
      </c>
      <c r="AA146" s="84">
        <f t="shared" si="31"/>
        <v>404135179.97161245</v>
      </c>
      <c r="AB146" s="1">
        <f t="shared" si="32"/>
        <v>1.0804516254182873E-3</v>
      </c>
      <c r="AC146" s="1">
        <v>6.1414297164825787E-4</v>
      </c>
    </row>
    <row r="147" spans="1:29" x14ac:dyDescent="0.2">
      <c r="A147" s="8">
        <v>44407</v>
      </c>
      <c r="B147" s="24">
        <v>7.0000000000000007E-2</v>
      </c>
      <c r="C147" s="24">
        <v>0.19</v>
      </c>
      <c r="D147" s="24">
        <v>0.35</v>
      </c>
      <c r="E147" s="24">
        <v>0.5203053129272871</v>
      </c>
      <c r="F147" s="24">
        <v>0.69</v>
      </c>
      <c r="G147" s="83">
        <f t="shared" si="23"/>
        <v>99.930048965723998</v>
      </c>
      <c r="H147" s="84">
        <f t="shared" si="26"/>
        <v>113.88272917787695</v>
      </c>
      <c r="I147" s="84">
        <f t="shared" si="24"/>
        <v>106.48176666687273</v>
      </c>
      <c r="J147" s="84">
        <f t="shared" si="25"/>
        <v>454963070.83212346</v>
      </c>
      <c r="L147" s="19">
        <f t="shared" si="33"/>
        <v>-9.999999999999995E-3</v>
      </c>
      <c r="M147" s="19">
        <f t="shared" si="34"/>
        <v>-1.0000000000000009E-2</v>
      </c>
      <c r="N147" s="19">
        <f t="shared" si="34"/>
        <v>-2.0000000000000018E-2</v>
      </c>
      <c r="O147" s="19">
        <f t="shared" si="34"/>
        <v>-3.0022804584013629E-2</v>
      </c>
      <c r="P147" s="19">
        <f t="shared" si="27"/>
        <v>-4.0000000000000036E-2</v>
      </c>
      <c r="Q147" s="1">
        <v>145</v>
      </c>
      <c r="R147" s="82">
        <f>TSIR!$B$1080/100+TSIR!L974/100</f>
        <v>3.9800000000000002E-2</v>
      </c>
      <c r="S147" s="82">
        <f>TSIR!$C$1080/100+TSIR!M974/100</f>
        <v>3.78E-2</v>
      </c>
      <c r="T147" s="82">
        <f>TSIR!$D$1080/100+TSIR!N974/100</f>
        <v>3.7799999999999993E-2</v>
      </c>
      <c r="U147" s="82">
        <f>TSIR!$E$1080/100+TSIR!O974/100</f>
        <v>3.7882000000000006E-2</v>
      </c>
      <c r="V147" s="82">
        <f>TSIR!$F$1080/100+TSIR!P974/100</f>
        <v>3.9100000000000003E-2</v>
      </c>
      <c r="X147" s="84">
        <f t="shared" si="28"/>
        <v>96.172340834775909</v>
      </c>
      <c r="Y147" s="84">
        <f t="shared" si="29"/>
        <v>103.39053031012097</v>
      </c>
      <c r="Z147" s="84">
        <f t="shared" si="30"/>
        <v>91.493600581893901</v>
      </c>
      <c r="AA147" s="84">
        <f t="shared" si="31"/>
        <v>403233288.531946</v>
      </c>
      <c r="AB147" s="1">
        <f t="shared" si="32"/>
        <v>-1.1536174051516529E-3</v>
      </c>
      <c r="AC147" s="1">
        <v>6.1524547288007857E-4</v>
      </c>
    </row>
    <row r="148" spans="1:29" x14ac:dyDescent="0.2">
      <c r="A148" s="8">
        <v>44410</v>
      </c>
      <c r="B148" s="24">
        <v>7.0000000000000007E-2</v>
      </c>
      <c r="C148" s="24">
        <v>0.17</v>
      </c>
      <c r="D148" s="24">
        <v>0.33</v>
      </c>
      <c r="E148" s="24">
        <v>0.49515233494845018</v>
      </c>
      <c r="F148" s="24">
        <v>0.66</v>
      </c>
      <c r="G148" s="83">
        <f t="shared" si="23"/>
        <v>99.930048965723998</v>
      </c>
      <c r="H148" s="84">
        <f t="shared" si="26"/>
        <v>113.94686885230796</v>
      </c>
      <c r="I148" s="84">
        <f t="shared" si="24"/>
        <v>106.63265542358445</v>
      </c>
      <c r="J148" s="84">
        <f t="shared" si="25"/>
        <v>455470416.34732383</v>
      </c>
      <c r="L148" s="19">
        <f t="shared" si="33"/>
        <v>0</v>
      </c>
      <c r="M148" s="19">
        <f t="shared" si="34"/>
        <v>-1.999999999999999E-2</v>
      </c>
      <c r="N148" s="19">
        <f t="shared" si="34"/>
        <v>-1.9999999999999962E-2</v>
      </c>
      <c r="O148" s="19">
        <f t="shared" si="34"/>
        <v>-2.5152977978836921E-2</v>
      </c>
      <c r="P148" s="19">
        <f t="shared" si="27"/>
        <v>-2.9999999999999916E-2</v>
      </c>
      <c r="Q148" s="1">
        <v>146</v>
      </c>
      <c r="R148" s="82">
        <f>TSIR!$B$1080/100+TSIR!L975/100</f>
        <v>3.9699999999999999E-2</v>
      </c>
      <c r="S148" s="82">
        <f>TSIR!$C$1080/100+TSIR!M975/100</f>
        <v>3.7700000000000004E-2</v>
      </c>
      <c r="T148" s="82">
        <f>TSIR!$D$1080/100+TSIR!N975/100</f>
        <v>3.7999999999999992E-2</v>
      </c>
      <c r="U148" s="82">
        <f>TSIR!$E$1080/100+TSIR!O975/100</f>
        <v>3.8196000000000001E-2</v>
      </c>
      <c r="V148" s="82">
        <f>TSIR!$F$1080/100+TSIR!P975/100</f>
        <v>3.9E-2</v>
      </c>
      <c r="X148" s="84">
        <f t="shared" si="28"/>
        <v>96.181590843512552</v>
      </c>
      <c r="Y148" s="84">
        <f t="shared" si="29"/>
        <v>103.33759776773594</v>
      </c>
      <c r="Z148" s="84">
        <f t="shared" si="30"/>
        <v>91.531552806796739</v>
      </c>
      <c r="AA148" s="84">
        <f t="shared" si="31"/>
        <v>403482996.26260817</v>
      </c>
      <c r="AB148" s="1">
        <f t="shared" si="32"/>
        <v>-5.3506811725447044E-4</v>
      </c>
      <c r="AC148" s="1">
        <v>6.1582980011056887E-4</v>
      </c>
    </row>
    <row r="149" spans="1:29" x14ac:dyDescent="0.2">
      <c r="A149" s="8">
        <v>44411</v>
      </c>
      <c r="B149" s="24">
        <v>7.0000000000000007E-2</v>
      </c>
      <c r="C149" s="24">
        <v>0.17</v>
      </c>
      <c r="D149" s="24">
        <v>0.33</v>
      </c>
      <c r="E149" s="24">
        <v>0.49021259951699403</v>
      </c>
      <c r="F149" s="24">
        <v>0.65</v>
      </c>
      <c r="G149" s="83">
        <f t="shared" si="23"/>
        <v>99.930048965723998</v>
      </c>
      <c r="H149" s="84">
        <f t="shared" si="26"/>
        <v>113.94686885230796</v>
      </c>
      <c r="I149" s="84">
        <f t="shared" si="24"/>
        <v>106.68208186831505</v>
      </c>
      <c r="J149" s="84">
        <f t="shared" si="25"/>
        <v>455668122.12624627</v>
      </c>
      <c r="L149" s="19">
        <f t="shared" si="33"/>
        <v>0</v>
      </c>
      <c r="M149" s="19">
        <f t="shared" si="34"/>
        <v>0</v>
      </c>
      <c r="N149" s="19">
        <f t="shared" si="34"/>
        <v>0</v>
      </c>
      <c r="O149" s="19">
        <f t="shared" si="34"/>
        <v>-4.9397354314561492E-3</v>
      </c>
      <c r="P149" s="19">
        <f t="shared" si="27"/>
        <v>-1.0000000000000009E-2</v>
      </c>
      <c r="Q149" s="1">
        <v>147</v>
      </c>
      <c r="R149" s="82">
        <f>TSIR!$B$1080/100+TSIR!L976/100</f>
        <v>3.9800000000000002E-2</v>
      </c>
      <c r="S149" s="82">
        <f>TSIR!$C$1080/100+TSIR!M976/100</f>
        <v>3.7700000000000004E-2</v>
      </c>
      <c r="T149" s="82">
        <f>TSIR!$D$1080/100+TSIR!N976/100</f>
        <v>3.78E-2</v>
      </c>
      <c r="U149" s="82">
        <f>TSIR!$E$1080/100+TSIR!O976/100</f>
        <v>3.7979000000000006E-2</v>
      </c>
      <c r="V149" s="82">
        <f>TSIR!$F$1080/100+TSIR!P976/100</f>
        <v>3.8800000000000001E-2</v>
      </c>
      <c r="X149" s="84">
        <f t="shared" si="28"/>
        <v>96.172340834775909</v>
      </c>
      <c r="Y149" s="84">
        <f t="shared" si="29"/>
        <v>103.39142510146843</v>
      </c>
      <c r="Z149" s="84">
        <f t="shared" si="30"/>
        <v>91.614967519273591</v>
      </c>
      <c r="AA149" s="84">
        <f t="shared" si="31"/>
        <v>403717414.09444356</v>
      </c>
      <c r="AB149" s="1">
        <f t="shared" si="32"/>
        <v>4.5606668294529901E-5</v>
      </c>
      <c r="AC149" s="1">
        <v>6.2485844525499352E-4</v>
      </c>
    </row>
    <row r="150" spans="1:29" x14ac:dyDescent="0.2">
      <c r="A150" s="8">
        <v>44412</v>
      </c>
      <c r="B150" s="24">
        <v>7.0000000000000007E-2</v>
      </c>
      <c r="C150" s="24">
        <v>0.17</v>
      </c>
      <c r="D150" s="24">
        <v>0.34</v>
      </c>
      <c r="E150" s="24">
        <v>0.50514528950942628</v>
      </c>
      <c r="F150" s="24">
        <v>0.67</v>
      </c>
      <c r="G150" s="83">
        <f t="shared" si="23"/>
        <v>99.930048965723998</v>
      </c>
      <c r="H150" s="84">
        <f t="shared" si="26"/>
        <v>113.91578744051014</v>
      </c>
      <c r="I150" s="84">
        <f t="shared" si="24"/>
        <v>106.58227202002051</v>
      </c>
      <c r="J150" s="84">
        <f t="shared" si="25"/>
        <v>455315504.85076487</v>
      </c>
      <c r="L150" s="19">
        <f t="shared" si="33"/>
        <v>0</v>
      </c>
      <c r="M150" s="19">
        <f t="shared" si="34"/>
        <v>0</v>
      </c>
      <c r="N150" s="19">
        <f t="shared" si="34"/>
        <v>1.0000000000000009E-2</v>
      </c>
      <c r="O150" s="19">
        <f t="shared" si="34"/>
        <v>1.4932689992432246E-2</v>
      </c>
      <c r="P150" s="19">
        <f t="shared" si="27"/>
        <v>2.0000000000000018E-2</v>
      </c>
      <c r="Q150" s="1">
        <v>148</v>
      </c>
      <c r="R150" s="82">
        <f>TSIR!$B$1080/100+TSIR!L977/100</f>
        <v>3.9E-2</v>
      </c>
      <c r="S150" s="82">
        <f>TSIR!$C$1080/100+TSIR!M977/100</f>
        <v>3.5799999999999998E-2</v>
      </c>
      <c r="T150" s="82">
        <f>TSIR!$D$1080/100+TSIR!N977/100</f>
        <v>3.6499999999999991E-2</v>
      </c>
      <c r="U150" s="82">
        <f>TSIR!$E$1080/100+TSIR!O977/100</f>
        <v>3.6958000000000005E-2</v>
      </c>
      <c r="V150" s="82">
        <f>TSIR!$F$1080/100+TSIR!P977/100</f>
        <v>3.7500000000000006E-2</v>
      </c>
      <c r="X150" s="84">
        <f t="shared" si="28"/>
        <v>96.2463907603465</v>
      </c>
      <c r="Y150" s="84">
        <f t="shared" si="29"/>
        <v>103.76608411836614</v>
      </c>
      <c r="Z150" s="84">
        <f t="shared" si="30"/>
        <v>92.16641295929125</v>
      </c>
      <c r="AA150" s="84">
        <f t="shared" si="31"/>
        <v>405509307.18030882</v>
      </c>
      <c r="AB150" s="1">
        <f t="shared" si="32"/>
        <v>4.4842926044915757E-3</v>
      </c>
      <c r="AC150" s="1">
        <v>6.5955983016355627E-4</v>
      </c>
    </row>
    <row r="151" spans="1:29" x14ac:dyDescent="0.2">
      <c r="A151" s="8">
        <v>44413</v>
      </c>
      <c r="B151" s="24">
        <v>0.08</v>
      </c>
      <c r="C151" s="24">
        <v>0.21</v>
      </c>
      <c r="D151" s="24">
        <v>0.38</v>
      </c>
      <c r="E151" s="24">
        <v>0.55004624244579114</v>
      </c>
      <c r="F151" s="24">
        <v>0.72</v>
      </c>
      <c r="G151" s="83">
        <f t="shared" si="23"/>
        <v>99.920063948840934</v>
      </c>
      <c r="H151" s="84">
        <f t="shared" si="26"/>
        <v>113.78710907377763</v>
      </c>
      <c r="I151" s="84">
        <f t="shared" si="24"/>
        <v>106.3299963098932</v>
      </c>
      <c r="J151" s="84">
        <f t="shared" si="25"/>
        <v>454479449.5265882</v>
      </c>
      <c r="L151" s="19">
        <f t="shared" si="33"/>
        <v>9.999999999999995E-3</v>
      </c>
      <c r="M151" s="19">
        <f t="shared" si="34"/>
        <v>3.999999999999998E-2</v>
      </c>
      <c r="N151" s="19">
        <f t="shared" si="34"/>
        <v>3.999999999999998E-2</v>
      </c>
      <c r="O151" s="19">
        <f t="shared" si="34"/>
        <v>4.4900952936364869E-2</v>
      </c>
      <c r="P151" s="19">
        <f t="shared" si="27"/>
        <v>4.9999999999999933E-2</v>
      </c>
      <c r="Q151" s="1">
        <v>149</v>
      </c>
      <c r="R151" s="82">
        <f>TSIR!$B$1080/100+TSIR!L978/100</f>
        <v>3.95E-2</v>
      </c>
      <c r="S151" s="82">
        <f>TSIR!$C$1080/100+TSIR!M978/100</f>
        <v>3.7400000000000003E-2</v>
      </c>
      <c r="T151" s="82">
        <f>TSIR!$D$1080/100+TSIR!N978/100</f>
        <v>3.7599999999999995E-2</v>
      </c>
      <c r="U151" s="82">
        <f>TSIR!$E$1080/100+TSIR!O978/100</f>
        <v>3.7862E-2</v>
      </c>
      <c r="V151" s="82">
        <f>TSIR!$F$1080/100+TSIR!P978/100</f>
        <v>3.8800000000000001E-2</v>
      </c>
      <c r="X151" s="84">
        <f t="shared" si="28"/>
        <v>96.200096200096198</v>
      </c>
      <c r="Y151" s="84">
        <f t="shared" si="29"/>
        <v>103.44983049675432</v>
      </c>
      <c r="Z151" s="84">
        <f t="shared" si="30"/>
        <v>91.618408948344765</v>
      </c>
      <c r="AA151" s="84">
        <f t="shared" si="31"/>
        <v>403699082.44844002</v>
      </c>
      <c r="AB151" s="1">
        <f t="shared" si="32"/>
        <v>1.9747510933254284E-7</v>
      </c>
      <c r="AC151" s="1">
        <v>6.6498808394426065E-4</v>
      </c>
    </row>
    <row r="152" spans="1:29" x14ac:dyDescent="0.2">
      <c r="A152" s="8">
        <v>44414</v>
      </c>
      <c r="B152" s="24">
        <v>0.09</v>
      </c>
      <c r="C152" s="24">
        <v>0.21</v>
      </c>
      <c r="D152" s="24">
        <v>0.42</v>
      </c>
      <c r="E152" s="24">
        <v>0.59543166469949904</v>
      </c>
      <c r="F152" s="24">
        <v>0.77</v>
      </c>
      <c r="G152" s="83">
        <f t="shared" si="23"/>
        <v>99.910080927165566</v>
      </c>
      <c r="H152" s="84">
        <f t="shared" si="26"/>
        <v>113.66260590644968</v>
      </c>
      <c r="I152" s="84">
        <f t="shared" si="24"/>
        <v>106.08001303273576</v>
      </c>
      <c r="J152" s="84">
        <f t="shared" si="25"/>
        <v>453646305.12559968</v>
      </c>
      <c r="L152" s="19">
        <f t="shared" si="33"/>
        <v>9.999999999999995E-3</v>
      </c>
      <c r="M152" s="19">
        <f t="shared" si="34"/>
        <v>0</v>
      </c>
      <c r="N152" s="19">
        <f t="shared" si="34"/>
        <v>3.999999999999998E-2</v>
      </c>
      <c r="O152" s="19">
        <f t="shared" si="34"/>
        <v>4.5385422253707897E-2</v>
      </c>
      <c r="P152" s="19">
        <f t="shared" si="27"/>
        <v>5.0000000000000044E-2</v>
      </c>
      <c r="Q152" s="1">
        <v>150</v>
      </c>
      <c r="R152" s="82">
        <f>TSIR!$B$1080/100+TSIR!L979/100</f>
        <v>3.9199999999999999E-2</v>
      </c>
      <c r="S152" s="82">
        <f>TSIR!$C$1080/100+TSIR!M979/100</f>
        <v>3.7200000000000004E-2</v>
      </c>
      <c r="T152" s="82">
        <f>TSIR!$D$1080/100+TSIR!N979/100</f>
        <v>3.7199999999999997E-2</v>
      </c>
      <c r="U152" s="82">
        <f>TSIR!$E$1080/100+TSIR!O979/100</f>
        <v>3.7451999999999999E-2</v>
      </c>
      <c r="V152" s="82">
        <f>TSIR!$F$1080/100+TSIR!P979/100</f>
        <v>3.8200000000000005E-2</v>
      </c>
      <c r="X152" s="84">
        <f t="shared" si="28"/>
        <v>96.22786759045421</v>
      </c>
      <c r="Y152" s="84">
        <f t="shared" si="29"/>
        <v>103.56180013928272</v>
      </c>
      <c r="Z152" s="84">
        <f t="shared" si="30"/>
        <v>91.868419617995414</v>
      </c>
      <c r="AA152" s="84">
        <f t="shared" si="31"/>
        <v>404586713.44396597</v>
      </c>
      <c r="AB152" s="1">
        <f t="shared" si="32"/>
        <v>2.1989420583952042E-3</v>
      </c>
      <c r="AC152" s="1">
        <v>6.6845095558924305E-4</v>
      </c>
    </row>
    <row r="153" spans="1:29" x14ac:dyDescent="0.2">
      <c r="A153" s="8">
        <v>44417</v>
      </c>
      <c r="B153" s="24">
        <v>0.08</v>
      </c>
      <c r="C153" s="24">
        <v>0.23</v>
      </c>
      <c r="D153" s="24">
        <v>0.43</v>
      </c>
      <c r="E153" s="24">
        <v>0.61044013107079542</v>
      </c>
      <c r="F153" s="24">
        <v>0.79</v>
      </c>
      <c r="G153" s="83">
        <f t="shared" si="23"/>
        <v>99.920063948840934</v>
      </c>
      <c r="H153" s="84">
        <f t="shared" si="26"/>
        <v>113.63014805768785</v>
      </c>
      <c r="I153" s="84">
        <f t="shared" si="24"/>
        <v>105.98030885395733</v>
      </c>
      <c r="J153" s="84">
        <f t="shared" si="25"/>
        <v>453316141.22697937</v>
      </c>
      <c r="L153" s="19">
        <f t="shared" si="33"/>
        <v>-9.999999999999995E-3</v>
      </c>
      <c r="M153" s="19">
        <f t="shared" si="34"/>
        <v>2.0000000000000018E-2</v>
      </c>
      <c r="N153" s="19">
        <f t="shared" si="34"/>
        <v>1.0000000000000009E-2</v>
      </c>
      <c r="O153" s="19">
        <f t="shared" si="34"/>
        <v>1.5008466371296381E-2</v>
      </c>
      <c r="P153" s="19">
        <f t="shared" si="27"/>
        <v>2.0000000000000018E-2</v>
      </c>
      <c r="Q153" s="1">
        <v>151</v>
      </c>
      <c r="R153" s="82">
        <f>TSIR!$B$1080/100+TSIR!L980/100</f>
        <v>3.9100000000000003E-2</v>
      </c>
      <c r="S153" s="82">
        <f>TSIR!$C$1080/100+TSIR!M980/100</f>
        <v>3.6799999999999999E-2</v>
      </c>
      <c r="T153" s="82">
        <f>TSIR!$D$1080/100+TSIR!N980/100</f>
        <v>3.6899999999999988E-2</v>
      </c>
      <c r="U153" s="82">
        <f>TSIR!$E$1080/100+TSIR!O980/100</f>
        <v>3.7322000000000008E-2</v>
      </c>
      <c r="V153" s="82">
        <f>TSIR!$F$1080/100+TSIR!P980/100</f>
        <v>3.8199999999999998E-2</v>
      </c>
      <c r="X153" s="84">
        <f t="shared" si="28"/>
        <v>96.237128284092009</v>
      </c>
      <c r="Y153" s="84">
        <f t="shared" si="29"/>
        <v>103.64755218017088</v>
      </c>
      <c r="Z153" s="84">
        <f t="shared" si="30"/>
        <v>91.872461460679148</v>
      </c>
      <c r="AA153" s="84">
        <f t="shared" si="31"/>
        <v>404492774.14064431</v>
      </c>
      <c r="AB153" s="1">
        <f t="shared" si="32"/>
        <v>1.9662456616073034E-3</v>
      </c>
      <c r="AC153" s="1">
        <v>6.6979609054786517E-4</v>
      </c>
    </row>
    <row r="154" spans="1:29" x14ac:dyDescent="0.2">
      <c r="A154" s="8">
        <v>44418</v>
      </c>
      <c r="B154" s="24">
        <v>0.08</v>
      </c>
      <c r="C154" s="24">
        <v>0.24</v>
      </c>
      <c r="D154" s="24">
        <v>0.47</v>
      </c>
      <c r="E154" s="24">
        <v>0.64500715201760439</v>
      </c>
      <c r="F154" s="24">
        <v>0.82</v>
      </c>
      <c r="G154" s="83">
        <f t="shared" si="23"/>
        <v>99.920063948840934</v>
      </c>
      <c r="H154" s="84">
        <f t="shared" si="26"/>
        <v>113.50539777116332</v>
      </c>
      <c r="I154" s="84">
        <f t="shared" si="24"/>
        <v>105.82906025689631</v>
      </c>
      <c r="J154" s="84">
        <f t="shared" si="25"/>
        <v>452898272.26852214</v>
      </c>
      <c r="L154" s="19">
        <f t="shared" si="33"/>
        <v>0</v>
      </c>
      <c r="M154" s="19">
        <f t="shared" si="34"/>
        <v>9.9999999999999811E-3</v>
      </c>
      <c r="N154" s="19">
        <f t="shared" si="34"/>
        <v>3.999999999999998E-2</v>
      </c>
      <c r="O154" s="19">
        <f t="shared" si="34"/>
        <v>3.4567020946808968E-2</v>
      </c>
      <c r="P154" s="19">
        <f t="shared" si="27"/>
        <v>2.9999999999999916E-2</v>
      </c>
      <c r="Q154" s="1">
        <v>152</v>
      </c>
      <c r="R154" s="82">
        <f>TSIR!$B$1080/100+TSIR!L981/100</f>
        <v>3.95E-2</v>
      </c>
      <c r="S154" s="82">
        <f>TSIR!$C$1080/100+TSIR!M981/100</f>
        <v>3.78E-2</v>
      </c>
      <c r="T154" s="82">
        <f>TSIR!$D$1080/100+TSIR!N981/100</f>
        <v>3.7700000000000004E-2</v>
      </c>
      <c r="U154" s="82">
        <f>TSIR!$E$1080/100+TSIR!O981/100</f>
        <v>3.7821E-2</v>
      </c>
      <c r="V154" s="82">
        <f>TSIR!$F$1080/100+TSIR!P981/100</f>
        <v>3.9100000000000003E-2</v>
      </c>
      <c r="X154" s="84">
        <f t="shared" si="28"/>
        <v>96.200096200096198</v>
      </c>
      <c r="Y154" s="84">
        <f t="shared" si="29"/>
        <v>103.41907869272802</v>
      </c>
      <c r="Z154" s="84">
        <f t="shared" si="30"/>
        <v>91.495078303564213</v>
      </c>
      <c r="AA154" s="84">
        <f t="shared" si="31"/>
        <v>403251887.57535726</v>
      </c>
      <c r="AB154" s="1">
        <f t="shared" si="32"/>
        <v>-1.1075458437022198E-3</v>
      </c>
      <c r="AC154" s="1">
        <v>6.6986196539429825E-4</v>
      </c>
    </row>
    <row r="155" spans="1:29" x14ac:dyDescent="0.2">
      <c r="A155" s="8">
        <v>44419</v>
      </c>
      <c r="B155" s="24">
        <v>0.08</v>
      </c>
      <c r="C155" s="24">
        <v>0.23</v>
      </c>
      <c r="D155" s="24">
        <v>0.45</v>
      </c>
      <c r="E155" s="24">
        <v>0.63018193268680989</v>
      </c>
      <c r="F155" s="24">
        <v>0.81</v>
      </c>
      <c r="G155" s="83">
        <f t="shared" si="23"/>
        <v>99.920063948840934</v>
      </c>
      <c r="H155" s="84">
        <f t="shared" si="26"/>
        <v>113.5682447653536</v>
      </c>
      <c r="I155" s="84">
        <f t="shared" si="24"/>
        <v>105.88036026315503</v>
      </c>
      <c r="J155" s="84">
        <f t="shared" si="25"/>
        <v>453009201.8022716</v>
      </c>
      <c r="L155" s="19">
        <f t="shared" si="33"/>
        <v>0</v>
      </c>
      <c r="M155" s="19">
        <f t="shared" si="34"/>
        <v>-9.9999999999999811E-3</v>
      </c>
      <c r="N155" s="19">
        <f t="shared" si="34"/>
        <v>-1.9999999999999962E-2</v>
      </c>
      <c r="O155" s="19">
        <f t="shared" si="34"/>
        <v>-1.4825219330794503E-2</v>
      </c>
      <c r="P155" s="19">
        <f t="shared" si="27"/>
        <v>-9.9999999999998979E-3</v>
      </c>
      <c r="Q155" s="1">
        <v>153</v>
      </c>
      <c r="R155" s="82">
        <f>TSIR!$B$1080/100+TSIR!L982/100</f>
        <v>3.9199999999999999E-2</v>
      </c>
      <c r="S155" s="82">
        <f>TSIR!$C$1080/100+TSIR!M982/100</f>
        <v>3.7400000000000003E-2</v>
      </c>
      <c r="T155" s="82">
        <f>TSIR!$D$1080/100+TSIR!N982/100</f>
        <v>3.7799999999999993E-2</v>
      </c>
      <c r="U155" s="82">
        <f>TSIR!$E$1080/100+TSIR!O982/100</f>
        <v>3.8005000000000004E-2</v>
      </c>
      <c r="V155" s="82">
        <f>TSIR!$F$1080/100+TSIR!P982/100</f>
        <v>3.9100000000000003E-2</v>
      </c>
      <c r="X155" s="84">
        <f t="shared" si="28"/>
        <v>96.22786759045421</v>
      </c>
      <c r="Y155" s="84">
        <f t="shared" si="29"/>
        <v>103.39688736602807</v>
      </c>
      <c r="Z155" s="84">
        <f t="shared" si="30"/>
        <v>91.495326583926797</v>
      </c>
      <c r="AA155" s="84">
        <f t="shared" si="31"/>
        <v>403341710.46757352</v>
      </c>
      <c r="AB155" s="1">
        <f t="shared" si="32"/>
        <v>-8.8504618031613139E-4</v>
      </c>
      <c r="AC155" s="1">
        <v>6.8497343631997957E-4</v>
      </c>
    </row>
    <row r="156" spans="1:29" x14ac:dyDescent="0.2">
      <c r="A156" s="8">
        <v>44420</v>
      </c>
      <c r="B156" s="24">
        <v>0.09</v>
      </c>
      <c r="C156" s="24">
        <v>0.23</v>
      </c>
      <c r="D156" s="24">
        <v>0.46</v>
      </c>
      <c r="E156" s="24">
        <v>0.64538188277789676</v>
      </c>
      <c r="F156" s="24">
        <v>0.83</v>
      </c>
      <c r="G156" s="83">
        <f t="shared" si="23"/>
        <v>99.910080927165566</v>
      </c>
      <c r="H156" s="84">
        <f t="shared" si="26"/>
        <v>113.53681245160151</v>
      </c>
      <c r="I156" s="84">
        <f t="shared" si="24"/>
        <v>105.78127090703626</v>
      </c>
      <c r="J156" s="84">
        <f t="shared" si="25"/>
        <v>452640026.80507392</v>
      </c>
      <c r="L156" s="19">
        <f t="shared" si="33"/>
        <v>9.999999999999995E-3</v>
      </c>
      <c r="M156" s="19">
        <f t="shared" si="34"/>
        <v>0</v>
      </c>
      <c r="N156" s="19">
        <f t="shared" si="34"/>
        <v>1.0000000000000009E-2</v>
      </c>
      <c r="O156" s="19">
        <f t="shared" si="34"/>
        <v>1.5199950091086878E-2</v>
      </c>
      <c r="P156" s="19">
        <f t="shared" si="27"/>
        <v>1.9999999999999907E-2</v>
      </c>
      <c r="Q156" s="1">
        <v>154</v>
      </c>
      <c r="R156" s="82">
        <f>TSIR!$B$1080/100+TSIR!L983/100</f>
        <v>3.910000000000001E-2</v>
      </c>
      <c r="S156" s="82">
        <f>TSIR!$C$1080/100+TSIR!M983/100</f>
        <v>3.7000000000000005E-2</v>
      </c>
      <c r="T156" s="82">
        <f>TSIR!$D$1080/100+TSIR!N983/100</f>
        <v>3.7199999999999997E-2</v>
      </c>
      <c r="U156" s="82">
        <f>TSIR!$E$1080/100+TSIR!O983/100</f>
        <v>3.7572000000000001E-2</v>
      </c>
      <c r="V156" s="82">
        <f>TSIR!$F$1080/100+TSIR!P983/100</f>
        <v>3.8400000000000004E-2</v>
      </c>
      <c r="X156" s="84">
        <f t="shared" si="28"/>
        <v>96.237128284092009</v>
      </c>
      <c r="Y156" s="84">
        <f t="shared" si="29"/>
        <v>103.56405612364422</v>
      </c>
      <c r="Z156" s="84">
        <f t="shared" si="30"/>
        <v>91.787116206891739</v>
      </c>
      <c r="AA156" s="84">
        <f t="shared" si="31"/>
        <v>404276637.21028471</v>
      </c>
      <c r="AB156" s="1">
        <f t="shared" si="32"/>
        <v>1.430854370325707E-3</v>
      </c>
      <c r="AC156" s="1">
        <v>7.0333973023271239E-4</v>
      </c>
    </row>
    <row r="157" spans="1:29" x14ac:dyDescent="0.2">
      <c r="A157" s="8">
        <v>44421</v>
      </c>
      <c r="B157" s="24">
        <v>0.08</v>
      </c>
      <c r="C157" s="24">
        <v>0.23</v>
      </c>
      <c r="D157" s="24">
        <v>0.44</v>
      </c>
      <c r="E157" s="24">
        <v>0.61530321678286348</v>
      </c>
      <c r="F157" s="24">
        <v>0.79</v>
      </c>
      <c r="G157" s="83">
        <f t="shared" si="23"/>
        <v>99.920063948840934</v>
      </c>
      <c r="H157" s="84">
        <f t="shared" si="26"/>
        <v>113.59919024830967</v>
      </c>
      <c r="I157" s="84">
        <f t="shared" si="24"/>
        <v>105.97934184023035</v>
      </c>
      <c r="J157" s="84">
        <f t="shared" si="25"/>
        <v>453358709.88613874</v>
      </c>
      <c r="L157" s="19">
        <f t="shared" si="33"/>
        <v>-9.999999999999995E-3</v>
      </c>
      <c r="M157" s="19">
        <f t="shared" si="34"/>
        <v>0</v>
      </c>
      <c r="N157" s="19">
        <f t="shared" si="34"/>
        <v>-2.0000000000000018E-2</v>
      </c>
      <c r="O157" s="19">
        <f t="shared" si="34"/>
        <v>-3.0078665995033282E-2</v>
      </c>
      <c r="P157" s="19">
        <f t="shared" si="27"/>
        <v>-3.9999999999999925E-2</v>
      </c>
      <c r="Q157" s="1">
        <v>155</v>
      </c>
      <c r="R157" s="82">
        <f>TSIR!$B$1080/100+TSIR!L984/100</f>
        <v>3.95E-2</v>
      </c>
      <c r="S157" s="82">
        <f>TSIR!$C$1080/100+TSIR!M984/100</f>
        <v>3.7600000000000008E-2</v>
      </c>
      <c r="T157" s="82">
        <f>TSIR!$D$1080/100+TSIR!N984/100</f>
        <v>3.769999999999999E-2</v>
      </c>
      <c r="U157" s="82">
        <f>TSIR!$E$1080/100+TSIR!O984/100</f>
        <v>3.7751E-2</v>
      </c>
      <c r="V157" s="82">
        <f>TSIR!$F$1080/100+TSIR!P984/100</f>
        <v>3.8800000000000001E-2</v>
      </c>
      <c r="X157" s="84">
        <f t="shared" si="28"/>
        <v>96.200096200096198</v>
      </c>
      <c r="Y157" s="84">
        <f t="shared" si="29"/>
        <v>103.42086853414533</v>
      </c>
      <c r="Z157" s="84">
        <f t="shared" si="30"/>
        <v>91.617912670376796</v>
      </c>
      <c r="AA157" s="84">
        <f t="shared" si="31"/>
        <v>403740540.28048158</v>
      </c>
      <c r="AB157" s="1">
        <f t="shared" si="32"/>
        <v>1.0289238334892822E-4</v>
      </c>
      <c r="AC157" s="1">
        <v>7.1099102961816817E-4</v>
      </c>
    </row>
    <row r="158" spans="1:29" x14ac:dyDescent="0.2">
      <c r="A158" s="8">
        <v>44424</v>
      </c>
      <c r="B158" s="24">
        <v>0.08</v>
      </c>
      <c r="C158" s="24">
        <v>0.21</v>
      </c>
      <c r="D158" s="24">
        <v>0.42</v>
      </c>
      <c r="E158" s="24">
        <v>0.58505397480964383</v>
      </c>
      <c r="F158" s="24">
        <v>0.75</v>
      </c>
      <c r="G158" s="83">
        <f t="shared" si="23"/>
        <v>99.920063948840934</v>
      </c>
      <c r="H158" s="84">
        <f t="shared" si="26"/>
        <v>113.66310505753346</v>
      </c>
      <c r="I158" s="84">
        <f t="shared" si="24"/>
        <v>106.17848889833553</v>
      </c>
      <c r="J158" s="84">
        <f t="shared" si="25"/>
        <v>454059425.90472376</v>
      </c>
      <c r="L158" s="19">
        <f t="shared" si="33"/>
        <v>0</v>
      </c>
      <c r="M158" s="19">
        <f t="shared" si="34"/>
        <v>-2.0000000000000018E-2</v>
      </c>
      <c r="N158" s="19">
        <f t="shared" si="34"/>
        <v>-2.0000000000000018E-2</v>
      </c>
      <c r="O158" s="19">
        <f t="shared" si="34"/>
        <v>-3.0249241973219654E-2</v>
      </c>
      <c r="P158" s="19">
        <f t="shared" si="27"/>
        <v>-4.0000000000000036E-2</v>
      </c>
      <c r="Q158" s="1">
        <v>156</v>
      </c>
      <c r="R158" s="82">
        <f>TSIR!$B$1080/100+TSIR!L985/100</f>
        <v>3.9100000000000003E-2</v>
      </c>
      <c r="S158" s="82">
        <f>TSIR!$C$1080/100+TSIR!M985/100</f>
        <v>3.6899999999999995E-2</v>
      </c>
      <c r="T158" s="82">
        <f>TSIR!$D$1080/100+TSIR!N985/100</f>
        <v>3.7099999999999994E-2</v>
      </c>
      <c r="U158" s="82">
        <f>TSIR!$E$1080/100+TSIR!O985/100</f>
        <v>3.7567000000000003E-2</v>
      </c>
      <c r="V158" s="82">
        <f>TSIR!$F$1080/100+TSIR!P985/100</f>
        <v>3.8400000000000004E-2</v>
      </c>
      <c r="X158" s="84">
        <f t="shared" si="28"/>
        <v>96.237128284092009</v>
      </c>
      <c r="Y158" s="84">
        <f t="shared" si="29"/>
        <v>103.59217650704372</v>
      </c>
      <c r="Z158" s="84">
        <f t="shared" si="30"/>
        <v>91.788026759653164</v>
      </c>
      <c r="AA158" s="84">
        <f t="shared" si="31"/>
        <v>404238098.8462311</v>
      </c>
      <c r="AB158" s="1">
        <f t="shared" si="32"/>
        <v>1.3353912559925286E-3</v>
      </c>
      <c r="AC158" s="1">
        <v>7.15549702342595E-4</v>
      </c>
    </row>
    <row r="159" spans="1:29" x14ac:dyDescent="0.2">
      <c r="A159" s="8">
        <v>44425</v>
      </c>
      <c r="B159" s="24">
        <v>7.0000000000000007E-2</v>
      </c>
      <c r="C159" s="24">
        <v>0.23</v>
      </c>
      <c r="D159" s="24">
        <v>0.43</v>
      </c>
      <c r="E159" s="24">
        <v>0.60048085396487183</v>
      </c>
      <c r="F159" s="24">
        <v>0.77</v>
      </c>
      <c r="G159" s="83">
        <f t="shared" si="23"/>
        <v>99.930048965723998</v>
      </c>
      <c r="H159" s="84">
        <f t="shared" si="26"/>
        <v>113.63064730853199</v>
      </c>
      <c r="I159" s="84">
        <f t="shared" si="24"/>
        <v>106.0786356708587</v>
      </c>
      <c r="J159" s="84">
        <f t="shared" si="25"/>
        <v>453728669.65208477</v>
      </c>
      <c r="L159" s="19">
        <f t="shared" si="33"/>
        <v>-9.999999999999995E-3</v>
      </c>
      <c r="M159" s="19">
        <f t="shared" si="34"/>
        <v>2.0000000000000018E-2</v>
      </c>
      <c r="N159" s="19">
        <f t="shared" si="34"/>
        <v>1.0000000000000009E-2</v>
      </c>
      <c r="O159" s="19">
        <f t="shared" si="34"/>
        <v>1.5426879155228002E-2</v>
      </c>
      <c r="P159" s="19">
        <f t="shared" si="27"/>
        <v>2.0000000000000018E-2</v>
      </c>
      <c r="Q159" s="1">
        <v>157</v>
      </c>
      <c r="R159" s="82">
        <f>TSIR!$B$1080/100+TSIR!L986/100</f>
        <v>3.9599999999999996E-2</v>
      </c>
      <c r="S159" s="82">
        <f>TSIR!$C$1080/100+TSIR!M986/100</f>
        <v>3.7700000000000004E-2</v>
      </c>
      <c r="T159" s="82">
        <f>TSIR!$D$1080/100+TSIR!N986/100</f>
        <v>3.7999999999999992E-2</v>
      </c>
      <c r="U159" s="82">
        <f>TSIR!$E$1080/100+TSIR!O986/100</f>
        <v>3.8053000000000003E-2</v>
      </c>
      <c r="V159" s="82">
        <f>TSIR!$F$1080/100+TSIR!P986/100</f>
        <v>3.9199999999999999E-2</v>
      </c>
      <c r="X159" s="84">
        <f t="shared" si="28"/>
        <v>96.19084263178145</v>
      </c>
      <c r="Y159" s="84">
        <f t="shared" si="29"/>
        <v>103.33806035714939</v>
      </c>
      <c r="Z159" s="84">
        <f t="shared" si="30"/>
        <v>91.451654731338095</v>
      </c>
      <c r="AA159" s="84">
        <f t="shared" si="31"/>
        <v>403181213.65319121</v>
      </c>
      <c r="AB159" s="1">
        <f t="shared" si="32"/>
        <v>-1.2826117261752531E-3</v>
      </c>
      <c r="AC159" s="1">
        <v>7.2462561245604249E-4</v>
      </c>
    </row>
    <row r="160" spans="1:29" x14ac:dyDescent="0.2">
      <c r="A160" s="8">
        <v>44426</v>
      </c>
      <c r="B160" s="24">
        <v>7.0000000000000007E-2</v>
      </c>
      <c r="C160" s="24">
        <v>0.23</v>
      </c>
      <c r="D160" s="24">
        <v>0.43</v>
      </c>
      <c r="E160" s="24">
        <v>0.61036241909455202</v>
      </c>
      <c r="F160" s="24">
        <v>0.79</v>
      </c>
      <c r="G160" s="83">
        <f t="shared" si="23"/>
        <v>99.930048965723998</v>
      </c>
      <c r="H160" s="84">
        <f t="shared" si="26"/>
        <v>113.63064730853199</v>
      </c>
      <c r="I160" s="84">
        <f t="shared" si="24"/>
        <v>105.9805145849368</v>
      </c>
      <c r="J160" s="84">
        <f t="shared" si="25"/>
        <v>453336185.30839717</v>
      </c>
      <c r="L160" s="19">
        <f t="shared" si="33"/>
        <v>0</v>
      </c>
      <c r="M160" s="19">
        <f t="shared" si="34"/>
        <v>0</v>
      </c>
      <c r="N160" s="19">
        <f t="shared" si="34"/>
        <v>0</v>
      </c>
      <c r="O160" s="19">
        <f t="shared" si="34"/>
        <v>9.8815651296801921E-3</v>
      </c>
      <c r="P160" s="19">
        <f t="shared" si="27"/>
        <v>2.0000000000000018E-2</v>
      </c>
      <c r="Q160" s="1">
        <v>158</v>
      </c>
      <c r="R160" s="82">
        <f>TSIR!$B$1080/100+TSIR!L987/100</f>
        <v>3.9699999999999999E-2</v>
      </c>
      <c r="S160" s="82">
        <f>TSIR!$C$1080/100+TSIR!M987/100</f>
        <v>3.7600000000000008E-2</v>
      </c>
      <c r="T160" s="82">
        <f>TSIR!$D$1080/100+TSIR!N987/100</f>
        <v>3.7499999999999999E-2</v>
      </c>
      <c r="U160" s="82">
        <f>TSIR!$E$1080/100+TSIR!O987/100</f>
        <v>3.8071000000000001E-2</v>
      </c>
      <c r="V160" s="82">
        <f>TSIR!$F$1080/100+TSIR!P987/100</f>
        <v>3.9E-2</v>
      </c>
      <c r="X160" s="84">
        <f t="shared" si="28"/>
        <v>96.181590843512552</v>
      </c>
      <c r="Y160" s="84">
        <f t="shared" si="29"/>
        <v>103.47429591473144</v>
      </c>
      <c r="Z160" s="84">
        <f t="shared" si="30"/>
        <v>91.535326895090691</v>
      </c>
      <c r="AA160" s="84">
        <f t="shared" si="31"/>
        <v>403293045.39529067</v>
      </c>
      <c r="AB160" s="1">
        <f t="shared" si="32"/>
        <v>-1.005594093375128E-3</v>
      </c>
      <c r="AC160" s="1">
        <v>7.2642921824757356E-4</v>
      </c>
    </row>
    <row r="161" spans="1:29" x14ac:dyDescent="0.2">
      <c r="A161" s="8">
        <v>44427</v>
      </c>
      <c r="B161" s="24">
        <v>0.06</v>
      </c>
      <c r="C161" s="24">
        <v>0.22</v>
      </c>
      <c r="D161" s="24">
        <v>0.44</v>
      </c>
      <c r="E161" s="24">
        <v>0.61034995131253511</v>
      </c>
      <c r="F161" s="24">
        <v>0.78</v>
      </c>
      <c r="G161" s="83">
        <f t="shared" si="23"/>
        <v>99.940035978412965</v>
      </c>
      <c r="H161" s="84">
        <f t="shared" si="26"/>
        <v>113.6011821300547</v>
      </c>
      <c r="I161" s="84">
        <f t="shared" si="24"/>
        <v>106.02918547327855</v>
      </c>
      <c r="J161" s="84">
        <f t="shared" si="25"/>
        <v>453595040.65485811</v>
      </c>
      <c r="L161" s="19">
        <f t="shared" si="33"/>
        <v>-1.0000000000000009E-2</v>
      </c>
      <c r="M161" s="19">
        <f t="shared" si="34"/>
        <v>-1.0000000000000009E-2</v>
      </c>
      <c r="N161" s="19">
        <f t="shared" si="34"/>
        <v>1.0000000000000009E-2</v>
      </c>
      <c r="O161" s="19">
        <f t="shared" si="34"/>
        <v>-1.2467782016911677E-5</v>
      </c>
      <c r="P161" s="19">
        <f t="shared" si="27"/>
        <v>-1.0000000000000009E-2</v>
      </c>
      <c r="Q161" s="1">
        <v>159</v>
      </c>
      <c r="R161" s="82">
        <f>TSIR!$B$1080/100+TSIR!L988/100</f>
        <v>3.9400000000000004E-2</v>
      </c>
      <c r="S161" s="82">
        <f>TSIR!$C$1080/100+TSIR!M988/100</f>
        <v>3.7400000000000003E-2</v>
      </c>
      <c r="T161" s="82">
        <f>TSIR!$D$1080/100+TSIR!N988/100</f>
        <v>3.769999999999999E-2</v>
      </c>
      <c r="U161" s="82">
        <f>TSIR!$E$1080/100+TSIR!O988/100</f>
        <v>3.8177000000000003E-2</v>
      </c>
      <c r="V161" s="82">
        <f>TSIR!$F$1080/100+TSIR!P988/100</f>
        <v>3.9199999999999999E-2</v>
      </c>
      <c r="X161" s="84">
        <f t="shared" si="28"/>
        <v>96.209351548970545</v>
      </c>
      <c r="Y161" s="84">
        <f t="shared" si="29"/>
        <v>103.42312217829493</v>
      </c>
      <c r="Z161" s="84">
        <f t="shared" si="30"/>
        <v>91.45382793632848</v>
      </c>
      <c r="AA161" s="84">
        <f t="shared" si="31"/>
        <v>403099331.57581264</v>
      </c>
      <c r="AB161" s="1">
        <f t="shared" si="32"/>
        <v>-1.4854412521965344E-3</v>
      </c>
      <c r="AC161" s="1">
        <v>7.3011638086989546E-4</v>
      </c>
    </row>
    <row r="162" spans="1:29" x14ac:dyDescent="0.2">
      <c r="A162" s="8">
        <v>44428</v>
      </c>
      <c r="B162" s="24">
        <v>0.06</v>
      </c>
      <c r="C162" s="24">
        <v>0.23</v>
      </c>
      <c r="D162" s="24">
        <v>0.44</v>
      </c>
      <c r="E162" s="24">
        <v>0.62006966044621104</v>
      </c>
      <c r="F162" s="24">
        <v>0.8</v>
      </c>
      <c r="G162" s="83">
        <f t="shared" si="23"/>
        <v>99.940035978412965</v>
      </c>
      <c r="H162" s="84">
        <f t="shared" si="26"/>
        <v>113.60018884978828</v>
      </c>
      <c r="I162" s="84">
        <f t="shared" si="24"/>
        <v>105.9307379459197</v>
      </c>
      <c r="J162" s="84">
        <f t="shared" si="25"/>
        <v>453202740.46582234</v>
      </c>
      <c r="L162" s="19">
        <f t="shared" si="33"/>
        <v>0</v>
      </c>
      <c r="M162" s="19">
        <f t="shared" si="34"/>
        <v>1.0000000000000009E-2</v>
      </c>
      <c r="N162" s="19">
        <f t="shared" si="34"/>
        <v>0</v>
      </c>
      <c r="O162" s="19">
        <f t="shared" si="34"/>
        <v>9.7197091336759245E-3</v>
      </c>
      <c r="P162" s="19">
        <f t="shared" si="27"/>
        <v>2.0000000000000018E-2</v>
      </c>
      <c r="Q162" s="1">
        <v>160</v>
      </c>
      <c r="R162" s="82">
        <f>TSIR!$B$1080/100+TSIR!L989/100</f>
        <v>3.9599999999999996E-2</v>
      </c>
      <c r="S162" s="82">
        <f>TSIR!$C$1080/100+TSIR!M989/100</f>
        <v>3.7699999999999997E-2</v>
      </c>
      <c r="T162" s="82">
        <f>TSIR!$D$1080/100+TSIR!N989/100</f>
        <v>3.8099999999999995E-2</v>
      </c>
      <c r="U162" s="82">
        <f>TSIR!$E$1080/100+TSIR!O989/100</f>
        <v>3.8286000000000008E-2</v>
      </c>
      <c r="V162" s="82">
        <f>TSIR!$F$1080/100+TSIR!P989/100</f>
        <v>3.9300000000000002E-2</v>
      </c>
      <c r="X162" s="84">
        <f t="shared" si="28"/>
        <v>96.19084263178145</v>
      </c>
      <c r="Y162" s="84">
        <f t="shared" si="29"/>
        <v>103.31093112724163</v>
      </c>
      <c r="Z162" s="84">
        <f t="shared" si="30"/>
        <v>91.409111473769414</v>
      </c>
      <c r="AA162" s="84">
        <f t="shared" si="31"/>
        <v>403051734.46777809</v>
      </c>
      <c r="AB162" s="1">
        <f t="shared" si="32"/>
        <v>-1.6033437184224126E-3</v>
      </c>
      <c r="AC162" s="1">
        <v>7.4371824559593387E-4</v>
      </c>
    </row>
    <row r="163" spans="1:29" x14ac:dyDescent="0.2">
      <c r="A163" s="8">
        <v>44431</v>
      </c>
      <c r="B163" s="24">
        <v>7.0000000000000007E-2</v>
      </c>
      <c r="C163" s="24">
        <v>0.23</v>
      </c>
      <c r="D163" s="24">
        <v>0.43</v>
      </c>
      <c r="E163" s="24">
        <v>0.60500463551081463</v>
      </c>
      <c r="F163" s="24">
        <v>0.78</v>
      </c>
      <c r="G163" s="83">
        <f t="shared" si="23"/>
        <v>99.930048965723998</v>
      </c>
      <c r="H163" s="84">
        <f t="shared" si="26"/>
        <v>113.63064730853199</v>
      </c>
      <c r="I163" s="84">
        <f t="shared" si="24"/>
        <v>106.02959295938193</v>
      </c>
      <c r="J163" s="84">
        <f t="shared" si="25"/>
        <v>453532498.80617768</v>
      </c>
      <c r="L163" s="19">
        <f t="shared" si="33"/>
        <v>1.0000000000000009E-2</v>
      </c>
      <c r="M163" s="19">
        <f t="shared" si="34"/>
        <v>0</v>
      </c>
      <c r="N163" s="19">
        <f t="shared" si="34"/>
        <v>-1.0000000000000009E-2</v>
      </c>
      <c r="O163" s="19">
        <f t="shared" si="34"/>
        <v>-1.5065024935396409E-2</v>
      </c>
      <c r="P163" s="19">
        <f t="shared" si="27"/>
        <v>-2.0000000000000018E-2</v>
      </c>
      <c r="Q163" s="1">
        <v>161</v>
      </c>
      <c r="R163" s="82">
        <f>TSIR!$B$1080/100+TSIR!L990/100</f>
        <v>3.9700000000000006E-2</v>
      </c>
      <c r="S163" s="82">
        <f>TSIR!$C$1080/100+TSIR!M990/100</f>
        <v>3.8100000000000009E-2</v>
      </c>
      <c r="T163" s="82">
        <f>TSIR!$D$1080/100+TSIR!N990/100</f>
        <v>3.8300000000000001E-2</v>
      </c>
      <c r="U163" s="82">
        <f>TSIR!$E$1080/100+TSIR!O990/100</f>
        <v>3.8518999999999998E-2</v>
      </c>
      <c r="V163" s="82">
        <f>TSIR!$F$1080/100+TSIR!P990/100</f>
        <v>3.9500000000000007E-2</v>
      </c>
      <c r="X163" s="84">
        <f t="shared" si="28"/>
        <v>96.181590843512552</v>
      </c>
      <c r="Y163" s="84">
        <f t="shared" si="29"/>
        <v>103.25266381313718</v>
      </c>
      <c r="Z163" s="84">
        <f t="shared" si="30"/>
        <v>91.324026908634693</v>
      </c>
      <c r="AA163" s="84">
        <f t="shared" si="31"/>
        <v>402780293.60185814</v>
      </c>
      <c r="AB163" s="1">
        <f t="shared" si="32"/>
        <v>-2.2757280049470925E-3</v>
      </c>
      <c r="AC163" s="1">
        <v>7.6262134054921708E-4</v>
      </c>
    </row>
    <row r="164" spans="1:29" x14ac:dyDescent="0.2">
      <c r="A164" s="8">
        <v>44432</v>
      </c>
      <c r="B164" s="24">
        <v>0.06</v>
      </c>
      <c r="C164" s="24">
        <v>0.24</v>
      </c>
      <c r="D164" s="24">
        <v>0.44</v>
      </c>
      <c r="E164" s="24">
        <v>0.62022786573352018</v>
      </c>
      <c r="F164" s="24">
        <v>0.8</v>
      </c>
      <c r="G164" s="83">
        <f t="shared" si="23"/>
        <v>99.940035978412965</v>
      </c>
      <c r="H164" s="84">
        <f t="shared" si="26"/>
        <v>113.59919586677765</v>
      </c>
      <c r="I164" s="84">
        <f t="shared" si="24"/>
        <v>105.93032848153888</v>
      </c>
      <c r="J164" s="84">
        <f t="shared" si="25"/>
        <v>453202592.08281493</v>
      </c>
      <c r="L164" s="19">
        <f t="shared" si="33"/>
        <v>-1.0000000000000009E-2</v>
      </c>
      <c r="M164" s="19">
        <f t="shared" si="34"/>
        <v>9.9999999999999811E-3</v>
      </c>
      <c r="N164" s="19">
        <f t="shared" si="34"/>
        <v>1.0000000000000009E-2</v>
      </c>
      <c r="O164" s="19">
        <f t="shared" si="34"/>
        <v>1.5223230222705553E-2</v>
      </c>
      <c r="P164" s="19">
        <f t="shared" si="27"/>
        <v>2.0000000000000018E-2</v>
      </c>
      <c r="Q164" s="1">
        <v>162</v>
      </c>
      <c r="R164" s="82">
        <f>TSIR!$B$1080/100+TSIR!L991/100</f>
        <v>3.95E-2</v>
      </c>
      <c r="S164" s="82">
        <f>TSIR!$C$1080/100+TSIR!M991/100</f>
        <v>3.7400000000000003E-2</v>
      </c>
      <c r="T164" s="82">
        <f>TSIR!$D$1080/100+TSIR!N991/100</f>
        <v>3.769999999999999E-2</v>
      </c>
      <c r="U164" s="82">
        <f>TSIR!$E$1080/100+TSIR!O991/100</f>
        <v>3.7967000000000008E-2</v>
      </c>
      <c r="V164" s="82">
        <f>TSIR!$F$1080/100+TSIR!P991/100</f>
        <v>3.8800000000000001E-2</v>
      </c>
      <c r="X164" s="84">
        <f t="shared" si="28"/>
        <v>96.200096200096198</v>
      </c>
      <c r="Y164" s="84">
        <f t="shared" si="29"/>
        <v>103.42265941085121</v>
      </c>
      <c r="Z164" s="84">
        <f t="shared" si="30"/>
        <v>91.617194020788673</v>
      </c>
      <c r="AA164" s="84">
        <f t="shared" si="31"/>
        <v>403734979.36707032</v>
      </c>
      <c r="AB164" s="1">
        <f t="shared" si="32"/>
        <v>8.9117483302897358E-5</v>
      </c>
      <c r="AC164" s="1">
        <v>8.0247374590098534E-4</v>
      </c>
    </row>
    <row r="165" spans="1:29" x14ac:dyDescent="0.2">
      <c r="A165" s="8">
        <v>44433</v>
      </c>
      <c r="B165" s="24">
        <v>7.0000000000000007E-2</v>
      </c>
      <c r="C165" s="24">
        <v>0.23</v>
      </c>
      <c r="D165" s="24">
        <v>0.47</v>
      </c>
      <c r="E165" s="24">
        <v>0.65501544345503404</v>
      </c>
      <c r="F165" s="24">
        <v>0.84</v>
      </c>
      <c r="G165" s="83">
        <f t="shared" si="23"/>
        <v>99.930048965723998</v>
      </c>
      <c r="H165" s="84">
        <f t="shared" si="26"/>
        <v>113.50689000501809</v>
      </c>
      <c r="I165" s="84">
        <f t="shared" si="24"/>
        <v>105.73181724627113</v>
      </c>
      <c r="J165" s="84">
        <f t="shared" si="25"/>
        <v>452527031.9090054</v>
      </c>
      <c r="L165" s="19">
        <f t="shared" si="33"/>
        <v>1.0000000000000009E-2</v>
      </c>
      <c r="M165" s="19">
        <f t="shared" si="34"/>
        <v>-9.9999999999999811E-3</v>
      </c>
      <c r="N165" s="19">
        <f t="shared" si="34"/>
        <v>2.9999999999999971E-2</v>
      </c>
      <c r="O165" s="19">
        <f t="shared" si="34"/>
        <v>3.4787577721513863E-2</v>
      </c>
      <c r="P165" s="19">
        <f t="shared" si="27"/>
        <v>3.9999999999999925E-2</v>
      </c>
      <c r="Q165" s="1">
        <v>163</v>
      </c>
      <c r="R165" s="82">
        <f>TSIR!$B$1080/100+TSIR!L992/100</f>
        <v>3.9599999999999996E-2</v>
      </c>
      <c r="S165" s="82">
        <f>TSIR!$C$1080/100+TSIR!M992/100</f>
        <v>3.7400000000000003E-2</v>
      </c>
      <c r="T165" s="82">
        <f>TSIR!$D$1080/100+TSIR!N992/100</f>
        <v>3.7599999999999995E-2</v>
      </c>
      <c r="U165" s="82">
        <f>TSIR!$E$1080/100+TSIR!O992/100</f>
        <v>3.793500000000001E-2</v>
      </c>
      <c r="V165" s="82">
        <f>TSIR!$F$1080/100+TSIR!P992/100</f>
        <v>3.8899999999999997E-2</v>
      </c>
      <c r="X165" s="84">
        <f t="shared" si="28"/>
        <v>96.19084263178145</v>
      </c>
      <c r="Y165" s="84">
        <f t="shared" si="29"/>
        <v>103.44936781833859</v>
      </c>
      <c r="Z165" s="84">
        <f t="shared" si="30"/>
        <v>91.577164497781141</v>
      </c>
      <c r="AA165" s="84">
        <f t="shared" si="31"/>
        <v>403516291.5271796</v>
      </c>
      <c r="AB165" s="1">
        <f t="shared" si="32"/>
        <v>-4.525926482876398E-4</v>
      </c>
      <c r="AC165" s="1">
        <v>8.1352630077385229E-4</v>
      </c>
    </row>
    <row r="166" spans="1:29" x14ac:dyDescent="0.2">
      <c r="A166" s="8">
        <v>44434</v>
      </c>
      <c r="B166" s="24">
        <v>7.0000000000000007E-2</v>
      </c>
      <c r="C166" s="24">
        <v>0.25</v>
      </c>
      <c r="D166" s="24">
        <v>0.46</v>
      </c>
      <c r="E166" s="24">
        <v>0.65039485012015041</v>
      </c>
      <c r="F166" s="24">
        <v>0.84</v>
      </c>
      <c r="G166" s="83">
        <f t="shared" si="23"/>
        <v>99.930048965723998</v>
      </c>
      <c r="H166" s="84">
        <f t="shared" si="26"/>
        <v>113.53582518464539</v>
      </c>
      <c r="I166" s="84">
        <f t="shared" si="24"/>
        <v>105.73196976385503</v>
      </c>
      <c r="J166" s="84">
        <f t="shared" si="25"/>
        <v>452484239.20990002</v>
      </c>
      <c r="L166" s="19">
        <f t="shared" si="33"/>
        <v>0</v>
      </c>
      <c r="M166" s="19">
        <f t="shared" si="34"/>
        <v>1.999999999999999E-2</v>
      </c>
      <c r="N166" s="19">
        <f t="shared" si="34"/>
        <v>-9.9999999999999534E-3</v>
      </c>
      <c r="O166" s="19">
        <f t="shared" si="34"/>
        <v>-4.620593334883627E-3</v>
      </c>
      <c r="P166" s="19">
        <f t="shared" si="27"/>
        <v>0</v>
      </c>
      <c r="Q166" s="1">
        <v>164</v>
      </c>
      <c r="R166" s="82">
        <f>TSIR!$B$1080/100+TSIR!L993/100</f>
        <v>0.04</v>
      </c>
      <c r="S166" s="82">
        <f>TSIR!$C$1080/100+TSIR!M993/100</f>
        <v>3.8399999999999997E-2</v>
      </c>
      <c r="T166" s="82">
        <f>TSIR!$D$1080/100+TSIR!N993/100</f>
        <v>3.889999999999999E-2</v>
      </c>
      <c r="U166" s="82">
        <f>TSIR!$E$1080/100+TSIR!O993/100</f>
        <v>3.8755999999999999E-2</v>
      </c>
      <c r="V166" s="82">
        <f>TSIR!$F$1080/100+TSIR!P993/100</f>
        <v>4.0200000000000007E-2</v>
      </c>
      <c r="X166" s="84">
        <f t="shared" si="28"/>
        <v>96.153846153846146</v>
      </c>
      <c r="Y166" s="84">
        <f t="shared" si="29"/>
        <v>103.0861651803931</v>
      </c>
      <c r="Z166" s="84">
        <f t="shared" si="30"/>
        <v>91.035350477050002</v>
      </c>
      <c r="AA166" s="84">
        <f t="shared" si="31"/>
        <v>401819846.44530267</v>
      </c>
      <c r="AB166" s="1">
        <f t="shared" si="32"/>
        <v>-4.6548449957382427E-3</v>
      </c>
      <c r="AC166" s="1">
        <v>8.1702542309969339E-4</v>
      </c>
    </row>
    <row r="167" spans="1:29" x14ac:dyDescent="0.2">
      <c r="A167" s="8">
        <v>44435</v>
      </c>
      <c r="B167" s="24">
        <v>7.0000000000000007E-2</v>
      </c>
      <c r="C167" s="24">
        <v>0.22</v>
      </c>
      <c r="D167" s="24">
        <v>0.41</v>
      </c>
      <c r="E167" s="24">
        <v>0.60005756305649893</v>
      </c>
      <c r="F167" s="24">
        <v>0.79</v>
      </c>
      <c r="G167" s="83">
        <f t="shared" si="23"/>
        <v>99.930048965723998</v>
      </c>
      <c r="H167" s="84">
        <f t="shared" si="26"/>
        <v>113.69359321137694</v>
      </c>
      <c r="I167" s="84">
        <f t="shared" si="24"/>
        <v>105.98289183569835</v>
      </c>
      <c r="J167" s="84">
        <f t="shared" si="25"/>
        <v>453251275.45717597</v>
      </c>
      <c r="L167" s="19">
        <f t="shared" si="33"/>
        <v>0</v>
      </c>
      <c r="M167" s="19">
        <f t="shared" si="34"/>
        <v>-0.03</v>
      </c>
      <c r="N167" s="19">
        <f t="shared" si="34"/>
        <v>-5.0000000000000044E-2</v>
      </c>
      <c r="O167" s="19">
        <f t="shared" si="34"/>
        <v>-5.0337287063651481E-2</v>
      </c>
      <c r="P167" s="19">
        <f t="shared" si="27"/>
        <v>-4.9999999999999933E-2</v>
      </c>
      <c r="Q167" s="1">
        <v>165</v>
      </c>
      <c r="R167" s="82">
        <f>TSIR!$B$1080/100+TSIR!L994/100</f>
        <v>3.9300000000000002E-2</v>
      </c>
      <c r="S167" s="82">
        <f>TSIR!$C$1080/100+TSIR!M994/100</f>
        <v>3.7100000000000008E-2</v>
      </c>
      <c r="T167" s="82">
        <f>TSIR!$D$1080/100+TSIR!N994/100</f>
        <v>3.7599999999999995E-2</v>
      </c>
      <c r="U167" s="82">
        <f>TSIR!$E$1080/100+TSIR!O994/100</f>
        <v>3.8302000000000003E-2</v>
      </c>
      <c r="V167" s="82">
        <f>TSIR!$F$1080/100+TSIR!P994/100</f>
        <v>3.9099999999999996E-2</v>
      </c>
      <c r="X167" s="84">
        <f t="shared" si="28"/>
        <v>96.218608678918514</v>
      </c>
      <c r="Y167" s="84">
        <f t="shared" si="29"/>
        <v>103.45344437866748</v>
      </c>
      <c r="Z167" s="84">
        <f t="shared" si="30"/>
        <v>91.495281270008064</v>
      </c>
      <c r="AA167" s="84">
        <f t="shared" si="31"/>
        <v>403238175.86986804</v>
      </c>
      <c r="AB167" s="1">
        <f t="shared" si="32"/>
        <v>-1.1415110142787223E-3</v>
      </c>
      <c r="AC167" s="1">
        <v>8.8876623362218153E-4</v>
      </c>
    </row>
    <row r="168" spans="1:29" x14ac:dyDescent="0.2">
      <c r="A168" s="8">
        <v>44438</v>
      </c>
      <c r="B168" s="24">
        <v>0.08</v>
      </c>
      <c r="C168" s="24">
        <v>0.2</v>
      </c>
      <c r="D168" s="24">
        <v>0.4</v>
      </c>
      <c r="E168" s="24">
        <v>0.58517476590358242</v>
      </c>
      <c r="F168" s="24">
        <v>0.77</v>
      </c>
      <c r="G168" s="83">
        <f t="shared" si="23"/>
        <v>99.920063948840934</v>
      </c>
      <c r="H168" s="84">
        <f t="shared" si="26"/>
        <v>113.72607623879514</v>
      </c>
      <c r="I168" s="84">
        <f t="shared" si="24"/>
        <v>106.08258751958553</v>
      </c>
      <c r="J168" s="84">
        <f t="shared" si="25"/>
        <v>453581363.61783129</v>
      </c>
      <c r="L168" s="19">
        <f t="shared" si="33"/>
        <v>9.999999999999995E-3</v>
      </c>
      <c r="M168" s="19">
        <f t="shared" si="34"/>
        <v>-1.999999999999999E-2</v>
      </c>
      <c r="N168" s="19">
        <f t="shared" si="34"/>
        <v>-9.9999999999999534E-3</v>
      </c>
      <c r="O168" s="19">
        <f t="shared" si="34"/>
        <v>-1.4882797152916516E-2</v>
      </c>
      <c r="P168" s="19">
        <f t="shared" si="27"/>
        <v>-2.0000000000000018E-2</v>
      </c>
      <c r="Q168" s="1">
        <v>166</v>
      </c>
      <c r="R168" s="82">
        <f>TSIR!$B$1080/100+TSIR!L995/100</f>
        <v>3.9399999999999991E-2</v>
      </c>
      <c r="S168" s="82">
        <f>TSIR!$C$1080/100+TSIR!M995/100</f>
        <v>3.7199999999999997E-2</v>
      </c>
      <c r="T168" s="82">
        <f>TSIR!$D$1080/100+TSIR!N995/100</f>
        <v>3.73E-2</v>
      </c>
      <c r="U168" s="82">
        <f>TSIR!$E$1080/100+TSIR!O995/100</f>
        <v>3.7626E-2</v>
      </c>
      <c r="V168" s="82">
        <f>TSIR!$F$1080/100+TSIR!P995/100</f>
        <v>3.8200000000000005E-2</v>
      </c>
      <c r="X168" s="84">
        <f t="shared" si="28"/>
        <v>96.209351548970545</v>
      </c>
      <c r="Y168" s="84">
        <f t="shared" si="29"/>
        <v>103.53366131455766</v>
      </c>
      <c r="Z168" s="84">
        <f t="shared" si="30"/>
        <v>91.8663731977216</v>
      </c>
      <c r="AA168" s="84">
        <f t="shared" si="31"/>
        <v>404583703.916991</v>
      </c>
      <c r="AB168" s="1">
        <f t="shared" si="32"/>
        <v>2.1914871799965964E-3</v>
      </c>
      <c r="AC168" s="1">
        <v>9.1533397054204197E-4</v>
      </c>
    </row>
    <row r="169" spans="1:29" x14ac:dyDescent="0.2">
      <c r="A169" s="8">
        <v>44439</v>
      </c>
      <c r="B169" s="24">
        <v>7.0000000000000007E-2</v>
      </c>
      <c r="C169" s="24">
        <v>0.2</v>
      </c>
      <c r="D169" s="24">
        <v>0.4</v>
      </c>
      <c r="E169" s="24">
        <v>0.58534930072784741</v>
      </c>
      <c r="F169" s="24">
        <v>0.77</v>
      </c>
      <c r="G169" s="83">
        <f t="shared" si="23"/>
        <v>99.930048965723998</v>
      </c>
      <c r="H169" s="84">
        <f t="shared" si="26"/>
        <v>113.7265754896393</v>
      </c>
      <c r="I169" s="84">
        <f t="shared" si="24"/>
        <v>106.08277365865446</v>
      </c>
      <c r="J169" s="84">
        <f t="shared" si="25"/>
        <v>453601329.33160686</v>
      </c>
      <c r="L169" s="19">
        <f t="shared" si="33"/>
        <v>-9.999999999999995E-3</v>
      </c>
      <c r="M169" s="19">
        <f t="shared" si="34"/>
        <v>0</v>
      </c>
      <c r="N169" s="19">
        <f t="shared" si="34"/>
        <v>0</v>
      </c>
      <c r="O169" s="19">
        <f t="shared" si="34"/>
        <v>1.7453482426499356E-4</v>
      </c>
      <c r="P169" s="19">
        <f t="shared" si="27"/>
        <v>0</v>
      </c>
      <c r="Q169" s="1">
        <v>167</v>
      </c>
      <c r="R169" s="82">
        <f>TSIR!$B$1080/100+TSIR!L996/100</f>
        <v>3.9400000000000004E-2</v>
      </c>
      <c r="S169" s="82">
        <f>TSIR!$C$1080/100+TSIR!M996/100</f>
        <v>3.7400000000000003E-2</v>
      </c>
      <c r="T169" s="82">
        <f>TSIR!$D$1080/100+TSIR!N996/100</f>
        <v>3.7999999999999992E-2</v>
      </c>
      <c r="U169" s="82">
        <f>TSIR!$E$1080/100+TSIR!O996/100</f>
        <v>3.8305000000000006E-2</v>
      </c>
      <c r="V169" s="82">
        <f>TSIR!$F$1080/100+TSIR!P996/100</f>
        <v>3.9500000000000007E-2</v>
      </c>
      <c r="X169" s="84">
        <f t="shared" si="28"/>
        <v>96.209351548970545</v>
      </c>
      <c r="Y169" s="84">
        <f t="shared" si="29"/>
        <v>103.34167172978457</v>
      </c>
      <c r="Z169" s="84">
        <f t="shared" si="30"/>
        <v>91.330055115292552</v>
      </c>
      <c r="AA169" s="84">
        <f t="shared" si="31"/>
        <v>402726415.96443444</v>
      </c>
      <c r="AB169" s="1">
        <f t="shared" si="32"/>
        <v>-2.4091879269672713E-3</v>
      </c>
      <c r="AC169" s="1">
        <v>9.4903324978335443E-4</v>
      </c>
    </row>
    <row r="170" spans="1:29" x14ac:dyDescent="0.2">
      <c r="A170" s="8">
        <v>44440</v>
      </c>
      <c r="B170" s="24">
        <v>7.0000000000000007E-2</v>
      </c>
      <c r="C170" s="24">
        <v>0.2</v>
      </c>
      <c r="D170" s="24">
        <v>0.42</v>
      </c>
      <c r="E170" s="24">
        <v>0.60013141493845523</v>
      </c>
      <c r="F170" s="24">
        <v>0.78</v>
      </c>
      <c r="G170" s="83">
        <f t="shared" si="23"/>
        <v>99.930048965723998</v>
      </c>
      <c r="H170" s="84">
        <f t="shared" si="26"/>
        <v>113.66459818351167</v>
      </c>
      <c r="I170" s="84">
        <f t="shared" si="24"/>
        <v>106.03175348130262</v>
      </c>
      <c r="J170" s="84">
        <f t="shared" si="25"/>
        <v>453490214.58139098</v>
      </c>
      <c r="L170" s="19">
        <f t="shared" si="33"/>
        <v>0</v>
      </c>
      <c r="M170" s="19">
        <f t="shared" si="34"/>
        <v>0</v>
      </c>
      <c r="N170" s="19">
        <f t="shared" si="34"/>
        <v>1.9999999999999962E-2</v>
      </c>
      <c r="O170" s="19">
        <f t="shared" si="34"/>
        <v>1.4782114210607822E-2</v>
      </c>
      <c r="P170" s="19">
        <f t="shared" si="27"/>
        <v>1.0000000000000009E-2</v>
      </c>
      <c r="Q170" s="1">
        <v>168</v>
      </c>
      <c r="R170" s="82">
        <f>TSIR!$B$1080/100+TSIR!L997/100</f>
        <v>3.9300000000000002E-2</v>
      </c>
      <c r="S170" s="82">
        <f>TSIR!$C$1080/100+TSIR!M997/100</f>
        <v>3.7300000000000007E-2</v>
      </c>
      <c r="T170" s="82">
        <f>TSIR!$D$1080/100+TSIR!N997/100</f>
        <v>3.7599999999999995E-2</v>
      </c>
      <c r="U170" s="82">
        <f>TSIR!$E$1080/100+TSIR!O997/100</f>
        <v>3.7981999999999995E-2</v>
      </c>
      <c r="V170" s="82">
        <f>TSIR!$F$1080/100+TSIR!P997/100</f>
        <v>3.8699999999999991E-2</v>
      </c>
      <c r="X170" s="84">
        <f t="shared" si="28"/>
        <v>96.218608678918514</v>
      </c>
      <c r="Y170" s="84">
        <f t="shared" si="29"/>
        <v>103.45165194753113</v>
      </c>
      <c r="Z170" s="84">
        <f t="shared" si="30"/>
        <v>91.658938484961638</v>
      </c>
      <c r="AA170" s="84">
        <f t="shared" si="31"/>
        <v>403895493.37638688</v>
      </c>
      <c r="AB170" s="1">
        <f t="shared" si="32"/>
        <v>4.8672562261440006E-4</v>
      </c>
      <c r="AC170" s="1">
        <v>9.7056266498996436E-4</v>
      </c>
    </row>
    <row r="171" spans="1:29" x14ac:dyDescent="0.2">
      <c r="A171" s="8">
        <v>44441</v>
      </c>
      <c r="B171" s="24">
        <v>7.0000000000000007E-2</v>
      </c>
      <c r="C171" s="24">
        <v>0.2</v>
      </c>
      <c r="D171" s="24">
        <v>0.42</v>
      </c>
      <c r="E171" s="24">
        <v>0.60034634076446758</v>
      </c>
      <c r="F171" s="24">
        <v>0.78</v>
      </c>
      <c r="G171" s="83">
        <f t="shared" si="23"/>
        <v>99.930048965723998</v>
      </c>
      <c r="H171" s="84">
        <f t="shared" si="26"/>
        <v>113.66459818351167</v>
      </c>
      <c r="I171" s="84">
        <f t="shared" si="24"/>
        <v>106.0317367941003</v>
      </c>
      <c r="J171" s="84">
        <f t="shared" si="25"/>
        <v>453490147.83258164</v>
      </c>
      <c r="L171" s="19">
        <f t="shared" si="33"/>
        <v>0</v>
      </c>
      <c r="M171" s="19">
        <f t="shared" si="34"/>
        <v>0</v>
      </c>
      <c r="N171" s="19">
        <f t="shared" si="34"/>
        <v>0</v>
      </c>
      <c r="O171" s="19">
        <f t="shared" si="34"/>
        <v>2.1492582601234655E-4</v>
      </c>
      <c r="P171" s="19">
        <f t="shared" si="27"/>
        <v>0</v>
      </c>
      <c r="Q171" s="1">
        <v>169</v>
      </c>
      <c r="R171" s="82">
        <f>TSIR!$B$1080/100+TSIR!L998/100</f>
        <v>3.9400000000000004E-2</v>
      </c>
      <c r="S171" s="82">
        <f>TSIR!$C$1080/100+TSIR!M998/100</f>
        <v>3.7499999999999999E-2</v>
      </c>
      <c r="T171" s="82">
        <f>TSIR!$D$1080/100+TSIR!N998/100</f>
        <v>3.7499999999999985E-2</v>
      </c>
      <c r="U171" s="82">
        <f>TSIR!$E$1080/100+TSIR!O998/100</f>
        <v>3.7736000000000013E-2</v>
      </c>
      <c r="V171" s="82">
        <f>TSIR!$F$1080/100+TSIR!P998/100</f>
        <v>3.8700000000000005E-2</v>
      </c>
      <c r="X171" s="84">
        <f t="shared" si="28"/>
        <v>96.209351548970545</v>
      </c>
      <c r="Y171" s="84">
        <f t="shared" si="29"/>
        <v>103.47657925889631</v>
      </c>
      <c r="Z171" s="84">
        <f t="shared" si="30"/>
        <v>91.660188834440561</v>
      </c>
      <c r="AA171" s="84">
        <f t="shared" si="31"/>
        <v>403844589.54735887</v>
      </c>
      <c r="AB171" s="1">
        <f t="shared" si="32"/>
        <v>3.6063210074777319E-4</v>
      </c>
      <c r="AC171" s="1">
        <v>9.8130639091228945E-4</v>
      </c>
    </row>
    <row r="172" spans="1:29" x14ac:dyDescent="0.2">
      <c r="A172" s="8">
        <v>44442</v>
      </c>
      <c r="B172" s="24">
        <v>0.08</v>
      </c>
      <c r="C172" s="24">
        <v>0.21</v>
      </c>
      <c r="D172" s="24">
        <v>0.42</v>
      </c>
      <c r="E172" s="24">
        <v>0.60016027109839065</v>
      </c>
      <c r="F172" s="24">
        <v>0.78</v>
      </c>
      <c r="G172" s="83">
        <f t="shared" si="23"/>
        <v>99.920063948840934</v>
      </c>
      <c r="H172" s="84">
        <f t="shared" si="26"/>
        <v>113.66310505753346</v>
      </c>
      <c r="I172" s="84">
        <f t="shared" si="24"/>
        <v>106.03115399046023</v>
      </c>
      <c r="J172" s="84">
        <f t="shared" si="25"/>
        <v>453470086.27322257</v>
      </c>
      <c r="L172" s="19">
        <f t="shared" si="33"/>
        <v>9.999999999999995E-3</v>
      </c>
      <c r="M172" s="19">
        <f t="shared" si="34"/>
        <v>9.9999999999999811E-3</v>
      </c>
      <c r="N172" s="19">
        <f t="shared" si="34"/>
        <v>0</v>
      </c>
      <c r="O172" s="19">
        <f t="shared" si="34"/>
        <v>-1.8606966607692677E-4</v>
      </c>
      <c r="P172" s="19">
        <f t="shared" si="27"/>
        <v>0</v>
      </c>
      <c r="Q172" s="1">
        <v>170</v>
      </c>
      <c r="R172" s="82">
        <f>TSIR!$B$1080/100+TSIR!L999/100</f>
        <v>3.9199999999999999E-2</v>
      </c>
      <c r="S172" s="82">
        <f>TSIR!$C$1080/100+TSIR!M999/100</f>
        <v>3.7499999999999999E-2</v>
      </c>
      <c r="T172" s="82">
        <f>TSIR!$D$1080/100+TSIR!N999/100</f>
        <v>3.7700000000000004E-2</v>
      </c>
      <c r="U172" s="82">
        <f>TSIR!$E$1080/100+TSIR!O999/100</f>
        <v>3.7996999999999996E-2</v>
      </c>
      <c r="V172" s="82">
        <f>TSIR!$F$1080/100+TSIR!P999/100</f>
        <v>3.9100000000000003E-2</v>
      </c>
      <c r="X172" s="84">
        <f t="shared" si="28"/>
        <v>96.22786759045421</v>
      </c>
      <c r="Y172" s="84">
        <f t="shared" si="29"/>
        <v>103.42315241255521</v>
      </c>
      <c r="Z172" s="84">
        <f t="shared" si="30"/>
        <v>91.495538813647826</v>
      </c>
      <c r="AA172" s="84">
        <f t="shared" si="31"/>
        <v>403303161.81666684</v>
      </c>
      <c r="AB172" s="1">
        <f t="shared" si="32"/>
        <v>-9.8053477614172243E-4</v>
      </c>
      <c r="AC172" s="1">
        <v>1.0074709137783346E-3</v>
      </c>
    </row>
    <row r="173" spans="1:29" x14ac:dyDescent="0.2">
      <c r="A173" s="8">
        <v>44446</v>
      </c>
      <c r="B173" s="24">
        <v>0.08</v>
      </c>
      <c r="C173" s="24">
        <v>0.22</v>
      </c>
      <c r="D173" s="24">
        <v>0.45</v>
      </c>
      <c r="E173" s="24">
        <v>0.6353510806590652</v>
      </c>
      <c r="F173" s="24">
        <v>0.82</v>
      </c>
      <c r="G173" s="83">
        <f t="shared" si="23"/>
        <v>99.920063948840934</v>
      </c>
      <c r="H173" s="84">
        <f t="shared" si="26"/>
        <v>113.56923804562003</v>
      </c>
      <c r="I173" s="84">
        <f t="shared" si="24"/>
        <v>105.83178116098219</v>
      </c>
      <c r="J173" s="84">
        <f t="shared" si="25"/>
        <v>452813395.47318059</v>
      </c>
      <c r="L173" s="19">
        <f t="shared" si="33"/>
        <v>0</v>
      </c>
      <c r="M173" s="19">
        <f t="shared" si="34"/>
        <v>1.0000000000000009E-2</v>
      </c>
      <c r="N173" s="19">
        <f t="shared" si="34"/>
        <v>3.0000000000000027E-2</v>
      </c>
      <c r="O173" s="19">
        <f t="shared" si="34"/>
        <v>3.5190809560674552E-2</v>
      </c>
      <c r="P173" s="19">
        <f t="shared" si="27"/>
        <v>3.9999999999999925E-2</v>
      </c>
      <c r="Q173" s="1">
        <v>171</v>
      </c>
      <c r="R173" s="82">
        <f>TSIR!$B$1080/100+TSIR!L1000/100</f>
        <v>3.9199999999999999E-2</v>
      </c>
      <c r="S173" s="82">
        <f>TSIR!$C$1080/100+TSIR!M1000/100</f>
        <v>3.670000000000001E-2</v>
      </c>
      <c r="T173" s="82">
        <f>TSIR!$D$1080/100+TSIR!N1000/100</f>
        <v>3.6899999999999988E-2</v>
      </c>
      <c r="U173" s="82">
        <f>TSIR!$E$1080/100+TSIR!O1000/100</f>
        <v>3.7255000000000003E-2</v>
      </c>
      <c r="V173" s="82">
        <f>TSIR!$F$1080/100+TSIR!P1000/100</f>
        <v>3.7999999999999999E-2</v>
      </c>
      <c r="X173" s="84">
        <f t="shared" si="28"/>
        <v>96.22786759045421</v>
      </c>
      <c r="Y173" s="84">
        <f t="shared" si="29"/>
        <v>103.6479865285549</v>
      </c>
      <c r="Z173" s="84">
        <f t="shared" si="30"/>
        <v>91.954582938373903</v>
      </c>
      <c r="AA173" s="84">
        <f t="shared" si="31"/>
        <v>404802087.1415717</v>
      </c>
      <c r="AB173" s="1">
        <f t="shared" si="32"/>
        <v>2.7324427511152103E-3</v>
      </c>
      <c r="AC173" s="1">
        <v>1.0234296176984414E-3</v>
      </c>
    </row>
    <row r="174" spans="1:29" x14ac:dyDescent="0.2">
      <c r="A174" s="8">
        <v>44447</v>
      </c>
      <c r="B174" s="24">
        <v>0.08</v>
      </c>
      <c r="C174" s="24">
        <v>0.22</v>
      </c>
      <c r="D174" s="24">
        <v>0.43</v>
      </c>
      <c r="E174" s="24">
        <v>0.62005611437261343</v>
      </c>
      <c r="F174" s="24">
        <v>0.81</v>
      </c>
      <c r="G174" s="83">
        <f t="shared" si="23"/>
        <v>99.920063948840934</v>
      </c>
      <c r="H174" s="84">
        <f t="shared" si="26"/>
        <v>113.63114133795426</v>
      </c>
      <c r="I174" s="84">
        <f t="shared" si="24"/>
        <v>105.88272189968848</v>
      </c>
      <c r="J174" s="84">
        <f t="shared" si="25"/>
        <v>452924303.4895044</v>
      </c>
      <c r="L174" s="19">
        <f t="shared" si="33"/>
        <v>0</v>
      </c>
      <c r="M174" s="19">
        <f t="shared" si="34"/>
        <v>0</v>
      </c>
      <c r="N174" s="19">
        <f t="shared" si="34"/>
        <v>-2.0000000000000018E-2</v>
      </c>
      <c r="O174" s="19">
        <f t="shared" si="34"/>
        <v>-1.5294966286451772E-2</v>
      </c>
      <c r="P174" s="19">
        <f t="shared" si="27"/>
        <v>-9.9999999999998979E-3</v>
      </c>
      <c r="Q174" s="1">
        <v>172</v>
      </c>
      <c r="R174" s="82">
        <f>TSIR!$B$1080/100+TSIR!L1001/100</f>
        <v>3.9400000000000004E-2</v>
      </c>
      <c r="S174" s="82">
        <f>TSIR!$C$1080/100+TSIR!M1001/100</f>
        <v>3.7499999999999999E-2</v>
      </c>
      <c r="T174" s="82">
        <f>TSIR!$D$1080/100+TSIR!N1001/100</f>
        <v>3.7399999999999989E-2</v>
      </c>
      <c r="U174" s="82">
        <f>TSIR!$E$1080/100+TSIR!O1001/100</f>
        <v>3.7808000000000001E-2</v>
      </c>
      <c r="V174" s="82">
        <f>TSIR!$F$1080/100+TSIR!P1001/100</f>
        <v>3.8899999999999997E-2</v>
      </c>
      <c r="X174" s="84">
        <f t="shared" si="28"/>
        <v>96.209351548970545</v>
      </c>
      <c r="Y174" s="84">
        <f t="shared" si="29"/>
        <v>103.50377130306761</v>
      </c>
      <c r="Z174" s="84">
        <f t="shared" si="30"/>
        <v>91.579055812919194</v>
      </c>
      <c r="AA174" s="84">
        <f t="shared" si="31"/>
        <v>403479269.39501649</v>
      </c>
      <c r="AB174" s="1">
        <f t="shared" si="32"/>
        <v>-5.4429991511994774E-4</v>
      </c>
      <c r="AC174" s="1">
        <v>1.0245080026387329E-3</v>
      </c>
    </row>
    <row r="175" spans="1:29" x14ac:dyDescent="0.2">
      <c r="A175" s="8">
        <v>44448</v>
      </c>
      <c r="B175" s="24">
        <v>7.0000000000000007E-2</v>
      </c>
      <c r="C175" s="24">
        <v>0.23</v>
      </c>
      <c r="D175" s="24">
        <v>0.43</v>
      </c>
      <c r="E175" s="24">
        <v>0.61011495271380967</v>
      </c>
      <c r="F175" s="24">
        <v>0.79</v>
      </c>
      <c r="G175" s="83">
        <f t="shared" si="23"/>
        <v>99.930048965723998</v>
      </c>
      <c r="H175" s="84">
        <f t="shared" si="26"/>
        <v>113.63064730853199</v>
      </c>
      <c r="I175" s="84">
        <f t="shared" si="24"/>
        <v>105.98053378909599</v>
      </c>
      <c r="J175" s="84">
        <f t="shared" si="25"/>
        <v>453336262.12503392</v>
      </c>
      <c r="L175" s="19">
        <f t="shared" si="33"/>
        <v>-9.999999999999995E-3</v>
      </c>
      <c r="M175" s="19">
        <f t="shared" si="34"/>
        <v>1.0000000000000009E-2</v>
      </c>
      <c r="N175" s="19">
        <f t="shared" si="34"/>
        <v>0</v>
      </c>
      <c r="O175" s="19">
        <f t="shared" si="34"/>
        <v>-9.9411616588037655E-3</v>
      </c>
      <c r="P175" s="19">
        <f t="shared" si="27"/>
        <v>-2.0000000000000018E-2</v>
      </c>
      <c r="Q175" s="1">
        <v>173</v>
      </c>
      <c r="R175" s="82">
        <f>TSIR!$B$1080/100+TSIR!L1002/100</f>
        <v>3.9599999999999996E-2</v>
      </c>
      <c r="S175" s="82">
        <f>TSIR!$C$1080/100+TSIR!M1002/100</f>
        <v>3.7400000000000003E-2</v>
      </c>
      <c r="T175" s="82">
        <f>TSIR!$D$1080/100+TSIR!N1002/100</f>
        <v>3.78E-2</v>
      </c>
      <c r="U175" s="82">
        <f>TSIR!$E$1080/100+TSIR!O1002/100</f>
        <v>3.7767000000000009E-2</v>
      </c>
      <c r="V175" s="82">
        <f>TSIR!$F$1080/100+TSIR!P1002/100</f>
        <v>3.8800000000000001E-2</v>
      </c>
      <c r="X175" s="84">
        <f t="shared" si="28"/>
        <v>96.19084263178145</v>
      </c>
      <c r="Y175" s="84">
        <f t="shared" si="29"/>
        <v>103.39503611809444</v>
      </c>
      <c r="Z175" s="84">
        <f t="shared" si="30"/>
        <v>91.617820257122943</v>
      </c>
      <c r="AA175" s="84">
        <f t="shared" si="31"/>
        <v>403760412.11491299</v>
      </c>
      <c r="AB175" s="1">
        <f t="shared" si="32"/>
        <v>1.5211676660756624E-4</v>
      </c>
      <c r="AC175" s="1">
        <v>1.038447243249402E-3</v>
      </c>
    </row>
    <row r="176" spans="1:29" x14ac:dyDescent="0.2">
      <c r="A176" s="8">
        <v>44449</v>
      </c>
      <c r="B176" s="24">
        <v>0.08</v>
      </c>
      <c r="C176" s="24">
        <v>0.23</v>
      </c>
      <c r="D176" s="24">
        <v>0.45</v>
      </c>
      <c r="E176" s="24">
        <v>0.63507800094513867</v>
      </c>
      <c r="F176" s="24">
        <v>0.82</v>
      </c>
      <c r="G176" s="83">
        <f t="shared" si="23"/>
        <v>99.920063948840934</v>
      </c>
      <c r="H176" s="84">
        <f t="shared" si="26"/>
        <v>113.5682447653536</v>
      </c>
      <c r="I176" s="84">
        <f t="shared" si="24"/>
        <v>105.83140501442483</v>
      </c>
      <c r="J176" s="84">
        <f t="shared" si="25"/>
        <v>452813380.80735075</v>
      </c>
      <c r="L176" s="19">
        <f t="shared" si="33"/>
        <v>9.999999999999995E-3</v>
      </c>
      <c r="M176" s="19">
        <f t="shared" si="34"/>
        <v>0</v>
      </c>
      <c r="N176" s="19">
        <f t="shared" si="34"/>
        <v>2.0000000000000018E-2</v>
      </c>
      <c r="O176" s="19">
        <f t="shared" si="34"/>
        <v>2.4963048231328999E-2</v>
      </c>
      <c r="P176" s="19">
        <f t="shared" si="27"/>
        <v>2.9999999999999916E-2</v>
      </c>
      <c r="Q176" s="1">
        <v>174</v>
      </c>
      <c r="R176" s="82">
        <f>TSIR!$B$1080/100+TSIR!L1003/100</f>
        <v>3.9599999999999996E-2</v>
      </c>
      <c r="S176" s="82">
        <f>TSIR!$C$1080/100+TSIR!M1003/100</f>
        <v>3.7700000000000004E-2</v>
      </c>
      <c r="T176" s="82">
        <f>TSIR!$D$1080/100+TSIR!N1003/100</f>
        <v>3.7899999999999996E-2</v>
      </c>
      <c r="U176" s="82">
        <f>TSIR!$E$1080/100+TSIR!O1003/100</f>
        <v>3.8117000000000005E-2</v>
      </c>
      <c r="V176" s="82">
        <f>TSIR!$F$1080/100+TSIR!P1003/100</f>
        <v>3.9100000000000003E-2</v>
      </c>
      <c r="X176" s="84">
        <f t="shared" si="28"/>
        <v>96.19084263178145</v>
      </c>
      <c r="Y176" s="84">
        <f t="shared" si="29"/>
        <v>103.36520004349568</v>
      </c>
      <c r="Z176" s="84">
        <f t="shared" si="30"/>
        <v>91.492251217863952</v>
      </c>
      <c r="AA176" s="84">
        <f t="shared" si="31"/>
        <v>403302890.06977516</v>
      </c>
      <c r="AB176" s="1">
        <f t="shared" si="32"/>
        <v>-9.8120791848252853E-4</v>
      </c>
      <c r="AC176" s="1">
        <v>1.0391319629939435E-3</v>
      </c>
    </row>
    <row r="177" spans="1:29" x14ac:dyDescent="0.2">
      <c r="A177" s="8">
        <v>44452</v>
      </c>
      <c r="B177" s="24">
        <v>7.0000000000000007E-2</v>
      </c>
      <c r="C177" s="24">
        <v>0.21</v>
      </c>
      <c r="D177" s="24">
        <v>0.44</v>
      </c>
      <c r="E177" s="24">
        <v>0.62545297217002604</v>
      </c>
      <c r="F177" s="24">
        <v>0.81</v>
      </c>
      <c r="G177" s="83">
        <f t="shared" si="23"/>
        <v>99.930048965723998</v>
      </c>
      <c r="H177" s="84">
        <f t="shared" si="26"/>
        <v>113.60167635706114</v>
      </c>
      <c r="I177" s="84">
        <f t="shared" si="24"/>
        <v>105.88231080600993</v>
      </c>
      <c r="J177" s="84">
        <f t="shared" si="25"/>
        <v>452986826.61989594</v>
      </c>
      <c r="L177" s="19">
        <f t="shared" si="33"/>
        <v>-9.999999999999995E-3</v>
      </c>
      <c r="M177" s="19">
        <f t="shared" si="34"/>
        <v>-2.0000000000000018E-2</v>
      </c>
      <c r="N177" s="19">
        <f t="shared" si="34"/>
        <v>-1.0000000000000009E-2</v>
      </c>
      <c r="O177" s="19">
        <f t="shared" si="34"/>
        <v>-9.6250287751126207E-3</v>
      </c>
      <c r="P177" s="19">
        <f t="shared" si="27"/>
        <v>-9.9999999999998979E-3</v>
      </c>
      <c r="Q177" s="1">
        <v>175</v>
      </c>
      <c r="R177" s="82">
        <f>TSIR!$B$1080/100+TSIR!L1004/100</f>
        <v>3.9400000000000004E-2</v>
      </c>
      <c r="S177" s="82">
        <f>TSIR!$C$1080/100+TSIR!M1004/100</f>
        <v>3.7400000000000003E-2</v>
      </c>
      <c r="T177" s="82">
        <f>TSIR!$D$1080/100+TSIR!N1004/100</f>
        <v>3.7399999999999989E-2</v>
      </c>
      <c r="U177" s="82">
        <f>TSIR!$E$1080/100+TSIR!O1004/100</f>
        <v>3.7971999999999999E-2</v>
      </c>
      <c r="V177" s="82">
        <f>TSIR!$F$1080/100+TSIR!P1004/100</f>
        <v>3.8899999999999997E-2</v>
      </c>
      <c r="X177" s="84">
        <f t="shared" si="28"/>
        <v>96.209351548970545</v>
      </c>
      <c r="Y177" s="84">
        <f t="shared" si="29"/>
        <v>103.50466687088152</v>
      </c>
      <c r="Z177" s="84">
        <f t="shared" si="30"/>
        <v>91.578324665530701</v>
      </c>
      <c r="AA177" s="84">
        <f t="shared" si="31"/>
        <v>403475001.45374161</v>
      </c>
      <c r="AB177" s="1">
        <f t="shared" si="32"/>
        <v>-5.5487200285373307E-4</v>
      </c>
      <c r="AC177" s="1">
        <v>1.0804516254182873E-3</v>
      </c>
    </row>
    <row r="178" spans="1:29" x14ac:dyDescent="0.2">
      <c r="A178" s="8">
        <v>44453</v>
      </c>
      <c r="B178" s="24">
        <v>7.0000000000000007E-2</v>
      </c>
      <c r="C178" s="24">
        <v>0.21</v>
      </c>
      <c r="D178" s="24">
        <v>0.43</v>
      </c>
      <c r="E178" s="24">
        <v>0.61004274774703482</v>
      </c>
      <c r="F178" s="24">
        <v>0.79</v>
      </c>
      <c r="G178" s="83">
        <f t="shared" si="23"/>
        <v>99.930048965723998</v>
      </c>
      <c r="H178" s="84">
        <f t="shared" si="26"/>
        <v>113.63263416643929</v>
      </c>
      <c r="I178" s="84">
        <f t="shared" si="24"/>
        <v>105.98133413563293</v>
      </c>
      <c r="J178" s="84">
        <f t="shared" si="25"/>
        <v>453336483.22432077</v>
      </c>
      <c r="L178" s="19">
        <f t="shared" si="33"/>
        <v>0</v>
      </c>
      <c r="M178" s="19">
        <f t="shared" si="34"/>
        <v>0</v>
      </c>
      <c r="N178" s="19">
        <f t="shared" si="34"/>
        <v>-1.0000000000000009E-2</v>
      </c>
      <c r="O178" s="19">
        <f t="shared" si="34"/>
        <v>-1.5410224422991226E-2</v>
      </c>
      <c r="P178" s="19">
        <f t="shared" si="27"/>
        <v>-2.0000000000000018E-2</v>
      </c>
      <c r="Q178" s="1">
        <v>176</v>
      </c>
      <c r="R178" s="82">
        <f>TSIR!$B$1080/100+TSIR!L1005/100</f>
        <v>3.9700000000000006E-2</v>
      </c>
      <c r="S178" s="82">
        <f>TSIR!$C$1080/100+TSIR!M1005/100</f>
        <v>3.7600000000000001E-2</v>
      </c>
      <c r="T178" s="82">
        <f>TSIR!$D$1080/100+TSIR!N1005/100</f>
        <v>3.7899999999999996E-2</v>
      </c>
      <c r="U178" s="82">
        <f>TSIR!$E$1080/100+TSIR!O1005/100</f>
        <v>3.8200000000000005E-2</v>
      </c>
      <c r="V178" s="82">
        <f>TSIR!$F$1080/100+TSIR!P1005/100</f>
        <v>3.9199999999999999E-2</v>
      </c>
      <c r="X178" s="84">
        <f t="shared" si="28"/>
        <v>96.181590843512552</v>
      </c>
      <c r="Y178" s="84">
        <f t="shared" si="29"/>
        <v>103.36563250415207</v>
      </c>
      <c r="Z178" s="84">
        <f t="shared" si="30"/>
        <v>91.451369322208279</v>
      </c>
      <c r="AA178" s="84">
        <f t="shared" si="31"/>
        <v>403120210.21963012</v>
      </c>
      <c r="AB178" s="1">
        <f t="shared" si="32"/>
        <v>-1.4337229083898862E-3</v>
      </c>
      <c r="AC178" s="1">
        <v>1.1145803469199565E-3</v>
      </c>
    </row>
    <row r="179" spans="1:29" x14ac:dyDescent="0.2">
      <c r="A179" s="8">
        <v>44454</v>
      </c>
      <c r="B179" s="24">
        <v>7.0000000000000007E-2</v>
      </c>
      <c r="C179" s="24">
        <v>0.21</v>
      </c>
      <c r="D179" s="24">
        <v>0.43</v>
      </c>
      <c r="E179" s="24">
        <v>0.62006936074782937</v>
      </c>
      <c r="F179" s="24">
        <v>0.81</v>
      </c>
      <c r="G179" s="83">
        <f t="shared" si="23"/>
        <v>99.930048965723998</v>
      </c>
      <c r="H179" s="84">
        <f t="shared" si="26"/>
        <v>113.63263416643929</v>
      </c>
      <c r="I179" s="84">
        <f t="shared" si="24"/>
        <v>105.8833180036244</v>
      </c>
      <c r="J179" s="84">
        <f t="shared" si="25"/>
        <v>452944418.69628662</v>
      </c>
      <c r="L179" s="19">
        <f t="shared" si="33"/>
        <v>0</v>
      </c>
      <c r="M179" s="19">
        <f t="shared" si="34"/>
        <v>0</v>
      </c>
      <c r="N179" s="19">
        <f t="shared" si="34"/>
        <v>0</v>
      </c>
      <c r="O179" s="19">
        <f t="shared" si="34"/>
        <v>1.0026613000794549E-2</v>
      </c>
      <c r="P179" s="19">
        <f t="shared" si="27"/>
        <v>2.0000000000000018E-2</v>
      </c>
      <c r="Q179" s="1">
        <v>177</v>
      </c>
      <c r="R179" s="82">
        <f>TSIR!$B$1080/100+TSIR!L1006/100</f>
        <v>3.95E-2</v>
      </c>
      <c r="S179" s="82">
        <f>TSIR!$C$1080/100+TSIR!M1006/100</f>
        <v>3.7200000000000004E-2</v>
      </c>
      <c r="T179" s="82">
        <f>TSIR!$D$1080/100+TSIR!N1006/100</f>
        <v>3.7399999999999989E-2</v>
      </c>
      <c r="U179" s="82">
        <f>TSIR!$E$1080/100+TSIR!O1006/100</f>
        <v>3.7844999999999997E-2</v>
      </c>
      <c r="V179" s="82">
        <f>TSIR!$F$1080/100+TSIR!P1006/100</f>
        <v>3.8700000000000005E-2</v>
      </c>
      <c r="X179" s="84">
        <f t="shared" si="28"/>
        <v>96.200096200096198</v>
      </c>
      <c r="Y179" s="84">
        <f t="shared" si="29"/>
        <v>103.50599601623087</v>
      </c>
      <c r="Z179" s="84">
        <f t="shared" si="30"/>
        <v>91.660872280759307</v>
      </c>
      <c r="AA179" s="84">
        <f t="shared" si="31"/>
        <v>403784687.49888337</v>
      </c>
      <c r="AB179" s="1">
        <f t="shared" si="32"/>
        <v>2.1224915189051855E-4</v>
      </c>
      <c r="AC179" s="1">
        <v>1.1169968348455684E-3</v>
      </c>
    </row>
    <row r="180" spans="1:29" x14ac:dyDescent="0.2">
      <c r="A180" s="8">
        <v>44455</v>
      </c>
      <c r="B180" s="24">
        <v>7.0000000000000007E-2</v>
      </c>
      <c r="C180" s="24">
        <v>0.23</v>
      </c>
      <c r="D180" s="24">
        <v>0.46</v>
      </c>
      <c r="E180" s="24">
        <v>0.65004585970628193</v>
      </c>
      <c r="F180" s="24">
        <v>0.84</v>
      </c>
      <c r="G180" s="83">
        <f t="shared" si="23"/>
        <v>99.930048965723998</v>
      </c>
      <c r="H180" s="84">
        <f t="shared" si="26"/>
        <v>113.53781085352942</v>
      </c>
      <c r="I180" s="84">
        <f t="shared" si="24"/>
        <v>105.73279106039971</v>
      </c>
      <c r="J180" s="84">
        <f t="shared" si="25"/>
        <v>452484545.89275271</v>
      </c>
      <c r="L180" s="19">
        <f t="shared" si="33"/>
        <v>0</v>
      </c>
      <c r="M180" s="19">
        <f t="shared" si="34"/>
        <v>2.0000000000000018E-2</v>
      </c>
      <c r="N180" s="19">
        <f t="shared" si="34"/>
        <v>3.0000000000000027E-2</v>
      </c>
      <c r="O180" s="19">
        <f t="shared" si="34"/>
        <v>2.9976498958452558E-2</v>
      </c>
      <c r="P180" s="19">
        <f t="shared" si="27"/>
        <v>2.9999999999999916E-2</v>
      </c>
      <c r="Q180" s="1">
        <v>178</v>
      </c>
      <c r="R180" s="82">
        <f>TSIR!$B$1080/100+TSIR!L1007/100</f>
        <v>3.9199999999999999E-2</v>
      </c>
      <c r="S180" s="82">
        <f>TSIR!$C$1080/100+TSIR!M1007/100</f>
        <v>3.7299999999999993E-2</v>
      </c>
      <c r="T180" s="82">
        <f>TSIR!$D$1080/100+TSIR!N1007/100</f>
        <v>3.7599999999999995E-2</v>
      </c>
      <c r="U180" s="82">
        <f>TSIR!$E$1080/100+TSIR!O1007/100</f>
        <v>3.7891000000000001E-2</v>
      </c>
      <c r="V180" s="82">
        <f>TSIR!$F$1080/100+TSIR!P1007/100</f>
        <v>3.8899999999999997E-2</v>
      </c>
      <c r="X180" s="84">
        <f t="shared" si="28"/>
        <v>96.22786759045421</v>
      </c>
      <c r="Y180" s="84">
        <f t="shared" si="29"/>
        <v>103.4521148931079</v>
      </c>
      <c r="Z180" s="84">
        <f t="shared" si="30"/>
        <v>91.578555566509493</v>
      </c>
      <c r="AA180" s="84">
        <f t="shared" si="31"/>
        <v>403591785.10728455</v>
      </c>
      <c r="AB180" s="1">
        <f t="shared" si="32"/>
        <v>-2.6558802455854815E-4</v>
      </c>
      <c r="AC180" s="1">
        <v>1.1200201823831847E-3</v>
      </c>
    </row>
    <row r="181" spans="1:29" x14ac:dyDescent="0.2">
      <c r="A181" s="8">
        <v>44456</v>
      </c>
      <c r="B181" s="24">
        <v>7.0000000000000007E-2</v>
      </c>
      <c r="C181" s="24">
        <v>0.23</v>
      </c>
      <c r="D181" s="24">
        <v>0.47</v>
      </c>
      <c r="E181" s="24">
        <v>0.67513752634263147</v>
      </c>
      <c r="F181" s="24">
        <v>0.88</v>
      </c>
      <c r="G181" s="83">
        <f t="shared" si="23"/>
        <v>99.930048965723998</v>
      </c>
      <c r="H181" s="84">
        <f t="shared" si="26"/>
        <v>113.50689000501809</v>
      </c>
      <c r="I181" s="84">
        <f t="shared" si="24"/>
        <v>105.53647658885518</v>
      </c>
      <c r="J181" s="84">
        <f t="shared" si="25"/>
        <v>451745669.27934158</v>
      </c>
      <c r="L181" s="19">
        <f t="shared" si="33"/>
        <v>0</v>
      </c>
      <c r="M181" s="19">
        <f t="shared" si="34"/>
        <v>0</v>
      </c>
      <c r="N181" s="19">
        <f t="shared" si="34"/>
        <v>9.9999999999999534E-3</v>
      </c>
      <c r="O181" s="19">
        <f t="shared" si="34"/>
        <v>2.5091666636349541E-2</v>
      </c>
      <c r="P181" s="19">
        <f t="shared" si="27"/>
        <v>4.0000000000000036E-2</v>
      </c>
      <c r="Q181" s="1">
        <v>179</v>
      </c>
      <c r="R181" s="82">
        <f>TSIR!$B$1080/100+TSIR!L1008/100</f>
        <v>4.0399999999999998E-2</v>
      </c>
      <c r="S181" s="82">
        <f>TSIR!$C$1080/100+TSIR!M1008/100</f>
        <v>3.8700000000000012E-2</v>
      </c>
      <c r="T181" s="82">
        <f>TSIR!$D$1080/100+TSIR!N1008/100</f>
        <v>3.9099999999999996E-2</v>
      </c>
      <c r="U181" s="82">
        <f>TSIR!$E$1080/100+TSIR!O1008/100</f>
        <v>3.8829000000000002E-2</v>
      </c>
      <c r="V181" s="82">
        <f>TSIR!$F$1080/100+TSIR!P1008/100</f>
        <v>4.0099999999999997E-2</v>
      </c>
      <c r="X181" s="84">
        <f t="shared" si="28"/>
        <v>96.116878123798543</v>
      </c>
      <c r="Y181" s="84">
        <f t="shared" si="29"/>
        <v>103.0275783131377</v>
      </c>
      <c r="Z181" s="84">
        <f t="shared" si="30"/>
        <v>91.072298503512854</v>
      </c>
      <c r="AA181" s="84">
        <f t="shared" si="31"/>
        <v>401981582.791942</v>
      </c>
      <c r="AB181" s="1">
        <f t="shared" si="32"/>
        <v>-4.2542090131214268E-3</v>
      </c>
      <c r="AC181" s="1">
        <v>1.1584471934592265E-3</v>
      </c>
    </row>
    <row r="182" spans="1:29" x14ac:dyDescent="0.2">
      <c r="A182" s="8">
        <v>44459</v>
      </c>
      <c r="B182" s="24">
        <v>7.0000000000000007E-2</v>
      </c>
      <c r="C182" s="24">
        <v>0.23</v>
      </c>
      <c r="D182" s="24">
        <v>0.45</v>
      </c>
      <c r="E182" s="24">
        <v>0.64012856003836338</v>
      </c>
      <c r="F182" s="24">
        <v>0.83</v>
      </c>
      <c r="G182" s="83">
        <f t="shared" si="23"/>
        <v>99.930048965723998</v>
      </c>
      <c r="H182" s="84">
        <f t="shared" si="26"/>
        <v>113.56874401619775</v>
      </c>
      <c r="I182" s="84">
        <f t="shared" si="24"/>
        <v>105.78266648690692</v>
      </c>
      <c r="J182" s="84">
        <f t="shared" si="25"/>
        <v>452637647.85477901</v>
      </c>
      <c r="L182" s="19">
        <f t="shared" si="33"/>
        <v>0</v>
      </c>
      <c r="M182" s="19">
        <f t="shared" si="34"/>
        <v>0</v>
      </c>
      <c r="N182" s="19">
        <f t="shared" si="34"/>
        <v>-1.9999999999999962E-2</v>
      </c>
      <c r="O182" s="19">
        <f t="shared" si="34"/>
        <v>-3.5008966304268085E-2</v>
      </c>
      <c r="P182" s="19">
        <f t="shared" si="27"/>
        <v>-5.0000000000000044E-2</v>
      </c>
      <c r="Q182" s="1">
        <v>180</v>
      </c>
      <c r="R182" s="82">
        <f>TSIR!$B$1080/100+TSIR!L1009/100</f>
        <v>3.9400000000000004E-2</v>
      </c>
      <c r="S182" s="82">
        <f>TSIR!$C$1080/100+TSIR!M1009/100</f>
        <v>3.7400000000000003E-2</v>
      </c>
      <c r="T182" s="82">
        <f>TSIR!$D$1080/100+TSIR!N1009/100</f>
        <v>3.7899999999999996E-2</v>
      </c>
      <c r="U182" s="82">
        <f>TSIR!$E$1080/100+TSIR!O1009/100</f>
        <v>3.8205000000000003E-2</v>
      </c>
      <c r="V182" s="82">
        <f>TSIR!$F$1080/100+TSIR!P1009/100</f>
        <v>3.9000000000000007E-2</v>
      </c>
      <c r="X182" s="84">
        <f t="shared" si="28"/>
        <v>96.209351548970545</v>
      </c>
      <c r="Y182" s="84">
        <f t="shared" si="29"/>
        <v>103.36881141613085</v>
      </c>
      <c r="Z182" s="84">
        <f t="shared" si="30"/>
        <v>91.533639644621147</v>
      </c>
      <c r="AA182" s="84">
        <f t="shared" si="31"/>
        <v>403500044.5522294</v>
      </c>
      <c r="AB182" s="1">
        <f t="shared" si="32"/>
        <v>-4.9283791726380244E-4</v>
      </c>
      <c r="AC182" s="1">
        <v>1.1657410057126394E-3</v>
      </c>
    </row>
    <row r="183" spans="1:29" x14ac:dyDescent="0.2">
      <c r="A183" s="8">
        <v>44460</v>
      </c>
      <c r="B183" s="24">
        <v>7.0000000000000007E-2</v>
      </c>
      <c r="C183" s="24">
        <v>0.22</v>
      </c>
      <c r="D183" s="24">
        <v>0.46</v>
      </c>
      <c r="E183" s="24">
        <v>0.65015156857273004</v>
      </c>
      <c r="F183" s="24">
        <v>0.84</v>
      </c>
      <c r="G183" s="83">
        <f t="shared" si="23"/>
        <v>99.930048965723998</v>
      </c>
      <c r="H183" s="84">
        <f t="shared" si="26"/>
        <v>113.53880413379585</v>
      </c>
      <c r="I183" s="84">
        <f t="shared" si="24"/>
        <v>105.73318018540097</v>
      </c>
      <c r="J183" s="84">
        <f t="shared" si="25"/>
        <v>452484612.47235805</v>
      </c>
      <c r="L183" s="19">
        <f t="shared" si="33"/>
        <v>0</v>
      </c>
      <c r="M183" s="19">
        <f t="shared" si="34"/>
        <v>-1.0000000000000009E-2</v>
      </c>
      <c r="N183" s="19">
        <f t="shared" si="34"/>
        <v>1.0000000000000009E-2</v>
      </c>
      <c r="O183" s="19">
        <f t="shared" si="34"/>
        <v>1.0023008534366662E-2</v>
      </c>
      <c r="P183" s="19">
        <f t="shared" si="27"/>
        <v>1.0000000000000009E-2</v>
      </c>
      <c r="Q183" s="1">
        <v>181</v>
      </c>
      <c r="R183" s="82">
        <f>TSIR!$B$1080/100+TSIR!L1010/100</f>
        <v>3.9299999999999995E-2</v>
      </c>
      <c r="S183" s="82">
        <f>TSIR!$C$1080/100+TSIR!M1010/100</f>
        <v>3.7100000000000001E-2</v>
      </c>
      <c r="T183" s="82">
        <f>TSIR!$D$1080/100+TSIR!N1010/100</f>
        <v>3.7299999999999993E-2</v>
      </c>
      <c r="U183" s="82">
        <f>TSIR!$E$1080/100+TSIR!O1010/100</f>
        <v>3.7780000000000008E-2</v>
      </c>
      <c r="V183" s="82">
        <f>TSIR!$F$1080/100+TSIR!P1010/100</f>
        <v>3.8599999999999995E-2</v>
      </c>
      <c r="X183" s="84">
        <f t="shared" si="28"/>
        <v>96.218608678918514</v>
      </c>
      <c r="Y183" s="84">
        <f t="shared" si="29"/>
        <v>103.53502051623411</v>
      </c>
      <c r="Z183" s="84">
        <f t="shared" si="30"/>
        <v>91.703172532071008</v>
      </c>
      <c r="AA183" s="84">
        <f t="shared" si="31"/>
        <v>403947376.71176988</v>
      </c>
      <c r="AB183" s="1">
        <f t="shared" si="32"/>
        <v>6.1524547288007857E-4</v>
      </c>
      <c r="AC183" s="1">
        <v>1.1973671099759198E-3</v>
      </c>
    </row>
    <row r="184" spans="1:29" x14ac:dyDescent="0.2">
      <c r="A184" s="8">
        <v>44461</v>
      </c>
      <c r="B184" s="24">
        <v>0.08</v>
      </c>
      <c r="C184" s="24">
        <v>0.25</v>
      </c>
      <c r="D184" s="24">
        <v>0.48</v>
      </c>
      <c r="E184" s="24">
        <v>0.67048021881862052</v>
      </c>
      <c r="F184" s="24">
        <v>0.86</v>
      </c>
      <c r="G184" s="83">
        <f t="shared" si="23"/>
        <v>99.920063948840934</v>
      </c>
      <c r="H184" s="84">
        <f t="shared" si="26"/>
        <v>113.47349654480854</v>
      </c>
      <c r="I184" s="84">
        <f t="shared" si="24"/>
        <v>105.6320882322607</v>
      </c>
      <c r="J184" s="84">
        <f t="shared" si="25"/>
        <v>452158236.00951183</v>
      </c>
      <c r="L184" s="19">
        <f t="shared" si="33"/>
        <v>9.999999999999995E-3</v>
      </c>
      <c r="M184" s="19">
        <f t="shared" si="34"/>
        <v>0.03</v>
      </c>
      <c r="N184" s="19">
        <f t="shared" si="34"/>
        <v>1.9999999999999962E-2</v>
      </c>
      <c r="O184" s="19">
        <f t="shared" si="34"/>
        <v>2.0328650245890478E-2</v>
      </c>
      <c r="P184" s="19">
        <f t="shared" si="27"/>
        <v>2.0000000000000018E-2</v>
      </c>
      <c r="Q184" s="1">
        <v>182</v>
      </c>
      <c r="R184" s="82">
        <f>TSIR!$B$1080/100+TSIR!L1011/100</f>
        <v>3.9200000000000006E-2</v>
      </c>
      <c r="S184" s="82">
        <f>TSIR!$C$1080/100+TSIR!M1011/100</f>
        <v>3.6399999999999995E-2</v>
      </c>
      <c r="T184" s="82">
        <f>TSIR!$D$1080/100+TSIR!N1011/100</f>
        <v>3.6399999999999995E-2</v>
      </c>
      <c r="U184" s="82">
        <f>TSIR!$E$1080/100+TSIR!O1011/100</f>
        <v>3.6829000000000001E-2</v>
      </c>
      <c r="V184" s="82">
        <f>TSIR!$F$1080/100+TSIR!P1011/100</f>
        <v>3.7400000000000003E-2</v>
      </c>
      <c r="X184" s="84">
        <f t="shared" si="28"/>
        <v>96.22786759045421</v>
      </c>
      <c r="Y184" s="84">
        <f t="shared" si="29"/>
        <v>103.78706065982968</v>
      </c>
      <c r="Z184" s="84">
        <f t="shared" si="30"/>
        <v>92.206169804670353</v>
      </c>
      <c r="AA184" s="84">
        <f t="shared" si="31"/>
        <v>405599823.40984529</v>
      </c>
      <c r="AB184" s="1">
        <f t="shared" si="32"/>
        <v>4.7085097289452501E-3</v>
      </c>
      <c r="AC184" s="1">
        <v>1.2473933044995441E-3</v>
      </c>
    </row>
    <row r="185" spans="1:29" x14ac:dyDescent="0.2">
      <c r="A185" s="8">
        <v>44462</v>
      </c>
      <c r="B185" s="24">
        <v>0.08</v>
      </c>
      <c r="C185" s="24">
        <v>0.27</v>
      </c>
      <c r="D185" s="24">
        <v>0.53</v>
      </c>
      <c r="E185" s="24">
        <v>0.73508667579586662</v>
      </c>
      <c r="F185" s="24">
        <v>0.94</v>
      </c>
      <c r="G185" s="83">
        <f t="shared" si="23"/>
        <v>99.920063948840934</v>
      </c>
      <c r="H185" s="84">
        <f t="shared" si="26"/>
        <v>113.31715376785061</v>
      </c>
      <c r="I185" s="84">
        <f t="shared" si="24"/>
        <v>105.2367175044961</v>
      </c>
      <c r="J185" s="84">
        <f t="shared" si="25"/>
        <v>450811267.26389033</v>
      </c>
      <c r="L185" s="19">
        <f t="shared" si="33"/>
        <v>0</v>
      </c>
      <c r="M185" s="19">
        <f t="shared" si="34"/>
        <v>2.0000000000000018E-2</v>
      </c>
      <c r="N185" s="19">
        <f t="shared" si="34"/>
        <v>5.0000000000000044E-2</v>
      </c>
      <c r="O185" s="19">
        <f t="shared" si="34"/>
        <v>6.4606456977246096E-2</v>
      </c>
      <c r="P185" s="19">
        <f t="shared" si="27"/>
        <v>7.999999999999996E-2</v>
      </c>
      <c r="Q185" s="1">
        <v>183</v>
      </c>
      <c r="R185" s="82">
        <f>TSIR!$B$1080/100+TSIR!L1012/100</f>
        <v>3.9399999999999991E-2</v>
      </c>
      <c r="S185" s="82">
        <f>TSIR!$C$1080/100+TSIR!M1012/100</f>
        <v>3.7000000000000012E-2</v>
      </c>
      <c r="T185" s="82">
        <f>TSIR!$D$1080/100+TSIR!N1012/100</f>
        <v>3.7099999999999994E-2</v>
      </c>
      <c r="U185" s="82">
        <f>TSIR!$E$1080/100+TSIR!O1012/100</f>
        <v>3.731000000000001E-2</v>
      </c>
      <c r="V185" s="82">
        <f>TSIR!$F$1080/100+TSIR!P1012/100</f>
        <v>3.8199999999999998E-2</v>
      </c>
      <c r="X185" s="84">
        <f t="shared" si="28"/>
        <v>96.209351548970545</v>
      </c>
      <c r="Y185" s="84">
        <f t="shared" si="29"/>
        <v>103.58989080636537</v>
      </c>
      <c r="Z185" s="84">
        <f t="shared" si="30"/>
        <v>91.870230575480605</v>
      </c>
      <c r="AA185" s="84">
        <f t="shared" si="31"/>
        <v>404514789.19031549</v>
      </c>
      <c r="AB185" s="1">
        <f t="shared" si="32"/>
        <v>2.0207789884731358E-3</v>
      </c>
      <c r="AC185" s="1">
        <v>1.3006741772976988E-3</v>
      </c>
    </row>
    <row r="186" spans="1:29" x14ac:dyDescent="0.2">
      <c r="A186" s="8">
        <v>44463</v>
      </c>
      <c r="B186" s="24">
        <v>0.08</v>
      </c>
      <c r="C186" s="24">
        <v>0.28999999999999998</v>
      </c>
      <c r="D186" s="24">
        <v>0.55000000000000004</v>
      </c>
      <c r="E186" s="24">
        <v>0.7603070102305014</v>
      </c>
      <c r="F186" s="24">
        <v>0.97</v>
      </c>
      <c r="G186" s="83">
        <f t="shared" si="23"/>
        <v>99.920063948840934</v>
      </c>
      <c r="H186" s="84">
        <f t="shared" si="26"/>
        <v>113.25351309788093</v>
      </c>
      <c r="I186" s="84">
        <f t="shared" si="24"/>
        <v>105.08828704899</v>
      </c>
      <c r="J186" s="84">
        <f t="shared" si="25"/>
        <v>450313006.4468205</v>
      </c>
      <c r="L186" s="19">
        <f t="shared" si="33"/>
        <v>0</v>
      </c>
      <c r="M186" s="19">
        <f t="shared" si="34"/>
        <v>1.9999999999999962E-2</v>
      </c>
      <c r="N186" s="19">
        <f t="shared" si="34"/>
        <v>2.0000000000000018E-2</v>
      </c>
      <c r="O186" s="19">
        <f t="shared" si="34"/>
        <v>2.5220334434634784E-2</v>
      </c>
      <c r="P186" s="19">
        <f t="shared" si="27"/>
        <v>3.0000000000000027E-2</v>
      </c>
      <c r="Q186" s="1">
        <v>184</v>
      </c>
      <c r="R186" s="82">
        <f>TSIR!$B$1080/100+TSIR!L1013/100</f>
        <v>3.9800000000000002E-2</v>
      </c>
      <c r="S186" s="82">
        <f>TSIR!$C$1080/100+TSIR!M1013/100</f>
        <v>3.7799999999999993E-2</v>
      </c>
      <c r="T186" s="82">
        <f>TSIR!$D$1080/100+TSIR!N1013/100</f>
        <v>3.7999999999999992E-2</v>
      </c>
      <c r="U186" s="82">
        <f>TSIR!$E$1080/100+TSIR!O1013/100</f>
        <v>3.7907000000000003E-2</v>
      </c>
      <c r="V186" s="82">
        <f>TSIR!$F$1080/100+TSIR!P1013/100</f>
        <v>3.9100000000000003E-2</v>
      </c>
      <c r="X186" s="84">
        <f t="shared" si="28"/>
        <v>96.172340834775909</v>
      </c>
      <c r="Y186" s="84">
        <f t="shared" si="29"/>
        <v>103.33624047595164</v>
      </c>
      <c r="Z186" s="84">
        <f t="shared" si="30"/>
        <v>91.492400430231399</v>
      </c>
      <c r="AA186" s="84">
        <f t="shared" si="31"/>
        <v>403309922.67654991</v>
      </c>
      <c r="AB186" s="1">
        <f t="shared" si="32"/>
        <v>-9.6378749701201327E-4</v>
      </c>
      <c r="AC186" s="1">
        <v>1.3336422822629601E-3</v>
      </c>
    </row>
    <row r="187" spans="1:29" x14ac:dyDescent="0.2">
      <c r="A187" s="8">
        <v>44466</v>
      </c>
      <c r="B187" s="24">
        <v>0.09</v>
      </c>
      <c r="C187" s="24">
        <v>0.31</v>
      </c>
      <c r="D187" s="24">
        <v>0.56000000000000005</v>
      </c>
      <c r="E187" s="24">
        <v>0.77014697464794424</v>
      </c>
      <c r="F187" s="24">
        <v>0.98</v>
      </c>
      <c r="G187" s="83">
        <f t="shared" si="23"/>
        <v>99.910080927165566</v>
      </c>
      <c r="H187" s="84">
        <f t="shared" si="26"/>
        <v>113.22022154291803</v>
      </c>
      <c r="I187" s="84">
        <f t="shared" si="24"/>
        <v>105.03783420293739</v>
      </c>
      <c r="J187" s="84">
        <f t="shared" si="25"/>
        <v>450141166.35170364</v>
      </c>
      <c r="L187" s="19">
        <f t="shared" si="33"/>
        <v>9.999999999999995E-3</v>
      </c>
      <c r="M187" s="19">
        <f t="shared" si="34"/>
        <v>2.0000000000000018E-2</v>
      </c>
      <c r="N187" s="19">
        <f t="shared" si="34"/>
        <v>1.0000000000000009E-2</v>
      </c>
      <c r="O187" s="19">
        <f t="shared" si="34"/>
        <v>9.8399644174428369E-3</v>
      </c>
      <c r="P187" s="19">
        <f t="shared" si="27"/>
        <v>1.0000000000000009E-2</v>
      </c>
      <c r="Q187" s="1">
        <v>185</v>
      </c>
      <c r="R187" s="82">
        <f>TSIR!$B$1080/100+TSIR!L1014/100</f>
        <v>3.95E-2</v>
      </c>
      <c r="S187" s="82">
        <f>TSIR!$C$1080/100+TSIR!M1014/100</f>
        <v>3.7600000000000008E-2</v>
      </c>
      <c r="T187" s="82">
        <f>TSIR!$D$1080/100+TSIR!N1014/100</f>
        <v>3.7599999999999995E-2</v>
      </c>
      <c r="U187" s="82">
        <f>TSIR!$E$1080/100+TSIR!O1014/100</f>
        <v>3.7725000000000002E-2</v>
      </c>
      <c r="V187" s="82">
        <f>TSIR!$F$1080/100+TSIR!P1014/100</f>
        <v>3.8600000000000002E-2</v>
      </c>
      <c r="X187" s="84">
        <f t="shared" si="28"/>
        <v>96.200096200096198</v>
      </c>
      <c r="Y187" s="84">
        <f t="shared" si="29"/>
        <v>103.44803962004843</v>
      </c>
      <c r="Z187" s="84">
        <f t="shared" si="30"/>
        <v>91.69982237853273</v>
      </c>
      <c r="AA187" s="84">
        <f t="shared" si="31"/>
        <v>404027422.48425066</v>
      </c>
      <c r="AB187" s="1">
        <f t="shared" si="32"/>
        <v>8.1352630077385229E-4</v>
      </c>
      <c r="AC187" s="1">
        <v>1.3353912559925286E-3</v>
      </c>
    </row>
    <row r="188" spans="1:29" x14ac:dyDescent="0.2">
      <c r="A188" s="8">
        <v>44467</v>
      </c>
      <c r="B188" s="24">
        <v>0.09</v>
      </c>
      <c r="C188" s="24">
        <v>0.31</v>
      </c>
      <c r="D188" s="24">
        <v>0.55000000000000004</v>
      </c>
      <c r="E188" s="24">
        <v>0.785081573282569</v>
      </c>
      <c r="F188" s="24">
        <v>1.02</v>
      </c>
      <c r="G188" s="83">
        <f t="shared" si="23"/>
        <v>99.910080927165566</v>
      </c>
      <c r="H188" s="84">
        <f t="shared" si="26"/>
        <v>113.25103183929534</v>
      </c>
      <c r="I188" s="84">
        <f t="shared" si="24"/>
        <v>104.84509440616601</v>
      </c>
      <c r="J188" s="84">
        <f t="shared" si="25"/>
        <v>449323991.72005224</v>
      </c>
      <c r="L188" s="19">
        <f t="shared" si="33"/>
        <v>0</v>
      </c>
      <c r="M188" s="19">
        <f t="shared" si="34"/>
        <v>0</v>
      </c>
      <c r="N188" s="19">
        <f t="shared" si="34"/>
        <v>-1.0000000000000009E-2</v>
      </c>
      <c r="O188" s="19">
        <f t="shared" si="34"/>
        <v>1.4934598634624763E-2</v>
      </c>
      <c r="P188" s="19">
        <f t="shared" si="27"/>
        <v>4.0000000000000036E-2</v>
      </c>
      <c r="Q188" s="1">
        <v>186</v>
      </c>
      <c r="R188" s="82">
        <f>TSIR!$B$1080/100+TSIR!L1015/100</f>
        <v>3.9400000000000004E-2</v>
      </c>
      <c r="S188" s="82">
        <f>TSIR!$C$1080/100+TSIR!M1015/100</f>
        <v>3.7400000000000003E-2</v>
      </c>
      <c r="T188" s="82">
        <f>TSIR!$D$1080/100+TSIR!N1015/100</f>
        <v>3.769999999999999E-2</v>
      </c>
      <c r="U188" s="82">
        <f>TSIR!$E$1080/100+TSIR!O1015/100</f>
        <v>3.7973E-2</v>
      </c>
      <c r="V188" s="82">
        <f>TSIR!$F$1080/100+TSIR!P1015/100</f>
        <v>3.9099999999999996E-2</v>
      </c>
      <c r="X188" s="84">
        <f t="shared" si="28"/>
        <v>96.209351548970545</v>
      </c>
      <c r="Y188" s="84">
        <f t="shared" si="29"/>
        <v>103.42312217829493</v>
      </c>
      <c r="Z188" s="84">
        <f t="shared" si="30"/>
        <v>91.495686067659122</v>
      </c>
      <c r="AA188" s="84">
        <f t="shared" si="31"/>
        <v>403266764.10113519</v>
      </c>
      <c r="AB188" s="1">
        <f t="shared" si="32"/>
        <v>-1.0706953048665773E-3</v>
      </c>
      <c r="AC188" s="1">
        <v>1.3357579113690541E-3</v>
      </c>
    </row>
    <row r="189" spans="1:29" x14ac:dyDescent="0.2">
      <c r="A189" s="8">
        <v>44468</v>
      </c>
      <c r="B189" s="24">
        <v>0.09</v>
      </c>
      <c r="C189" s="24">
        <v>0.3</v>
      </c>
      <c r="D189" s="24">
        <v>0.55000000000000004</v>
      </c>
      <c r="E189" s="24">
        <v>0.78018889922339452</v>
      </c>
      <c r="F189" s="24">
        <v>1.01</v>
      </c>
      <c r="G189" s="83">
        <f t="shared" si="23"/>
        <v>99.910080927165566</v>
      </c>
      <c r="H189" s="84">
        <f t="shared" si="26"/>
        <v>113.25202274483283</v>
      </c>
      <c r="I189" s="84">
        <f t="shared" si="24"/>
        <v>104.89386873705391</v>
      </c>
      <c r="J189" s="84">
        <f t="shared" si="25"/>
        <v>449517602.68529749</v>
      </c>
      <c r="L189" s="19">
        <f t="shared" si="33"/>
        <v>0</v>
      </c>
      <c r="M189" s="19">
        <f t="shared" si="34"/>
        <v>-1.0000000000000009E-2</v>
      </c>
      <c r="N189" s="19">
        <f t="shared" si="34"/>
        <v>0</v>
      </c>
      <c r="O189" s="19">
        <f t="shared" si="34"/>
        <v>-4.8926740591744844E-3</v>
      </c>
      <c r="P189" s="19">
        <f t="shared" si="27"/>
        <v>-1.0000000000000009E-2</v>
      </c>
      <c r="Q189" s="1">
        <v>187</v>
      </c>
      <c r="R189" s="82">
        <f>TSIR!$B$1080/100+TSIR!L1016/100</f>
        <v>3.9299999999999995E-2</v>
      </c>
      <c r="S189" s="82">
        <f>TSIR!$C$1080/100+TSIR!M1016/100</f>
        <v>3.7400000000000003E-2</v>
      </c>
      <c r="T189" s="82">
        <f>TSIR!$D$1080/100+TSIR!N1016/100</f>
        <v>3.769999999999999E-2</v>
      </c>
      <c r="U189" s="82">
        <f>TSIR!$E$1080/100+TSIR!O1016/100</f>
        <v>3.8066000000000003E-2</v>
      </c>
      <c r="V189" s="82">
        <f>TSIR!$F$1080/100+TSIR!P1016/100</f>
        <v>3.9000000000000007E-2</v>
      </c>
      <c r="X189" s="84">
        <f t="shared" si="28"/>
        <v>96.218608678918514</v>
      </c>
      <c r="Y189" s="84">
        <f t="shared" si="29"/>
        <v>103.42358503479232</v>
      </c>
      <c r="Z189" s="84">
        <f t="shared" si="30"/>
        <v>91.535781498031099</v>
      </c>
      <c r="AA189" s="84">
        <f t="shared" si="31"/>
        <v>403444965.79777288</v>
      </c>
      <c r="AB189" s="1">
        <f t="shared" si="32"/>
        <v>-6.2927311795623339E-4</v>
      </c>
      <c r="AC189" s="1">
        <v>1.3879299017702297E-3</v>
      </c>
    </row>
    <row r="190" spans="1:29" x14ac:dyDescent="0.2">
      <c r="A190" s="8">
        <v>44469</v>
      </c>
      <c r="B190" s="24">
        <v>0.09</v>
      </c>
      <c r="C190" s="24">
        <v>0.28000000000000003</v>
      </c>
      <c r="D190" s="24">
        <v>0.53</v>
      </c>
      <c r="E190" s="24">
        <v>0.75519144231839841</v>
      </c>
      <c r="F190" s="24">
        <v>0.98</v>
      </c>
      <c r="G190" s="83">
        <f t="shared" si="23"/>
        <v>99.910080927165566</v>
      </c>
      <c r="H190" s="84">
        <f t="shared" si="26"/>
        <v>113.31566282159403</v>
      </c>
      <c r="I190" s="84">
        <f t="shared" si="24"/>
        <v>105.04193677806187</v>
      </c>
      <c r="J190" s="84">
        <f t="shared" si="25"/>
        <v>450014414.73418754</v>
      </c>
      <c r="L190" s="19">
        <f t="shared" si="33"/>
        <v>0</v>
      </c>
      <c r="M190" s="19">
        <f t="shared" si="34"/>
        <v>-1.9999999999999962E-2</v>
      </c>
      <c r="N190" s="19">
        <f t="shared" si="34"/>
        <v>-2.0000000000000018E-2</v>
      </c>
      <c r="O190" s="19">
        <f t="shared" si="34"/>
        <v>-2.4997456904996107E-2</v>
      </c>
      <c r="P190" s="19">
        <f t="shared" si="27"/>
        <v>-3.0000000000000027E-2</v>
      </c>
      <c r="Q190" s="1">
        <v>188</v>
      </c>
      <c r="R190" s="82">
        <f>TSIR!$B$1080/100+TSIR!L1017/100</f>
        <v>3.9400000000000004E-2</v>
      </c>
      <c r="S190" s="82">
        <f>TSIR!$C$1080/100+TSIR!M1017/100</f>
        <v>3.7199999999999997E-2</v>
      </c>
      <c r="T190" s="82">
        <f>TSIR!$D$1080/100+TSIR!N1017/100</f>
        <v>3.7399999999999996E-2</v>
      </c>
      <c r="U190" s="82">
        <f>TSIR!$E$1080/100+TSIR!O1017/100</f>
        <v>3.7780000000000008E-2</v>
      </c>
      <c r="V190" s="82">
        <f>TSIR!$F$1080/100+TSIR!P1017/100</f>
        <v>3.8599999999999995E-2</v>
      </c>
      <c r="X190" s="84">
        <f t="shared" si="28"/>
        <v>96.209351548970545</v>
      </c>
      <c r="Y190" s="84">
        <f t="shared" si="29"/>
        <v>103.50645878367453</v>
      </c>
      <c r="Z190" s="84">
        <f t="shared" si="30"/>
        <v>91.702110707955057</v>
      </c>
      <c r="AA190" s="84">
        <f t="shared" si="31"/>
        <v>403967457.75424957</v>
      </c>
      <c r="AB190" s="1">
        <f t="shared" si="32"/>
        <v>6.6498808394426065E-4</v>
      </c>
      <c r="AC190" s="1">
        <v>1.4004074452077402E-3</v>
      </c>
    </row>
    <row r="191" spans="1:29" x14ac:dyDescent="0.2">
      <c r="A191" s="8">
        <v>44470</v>
      </c>
      <c r="B191" s="24">
        <v>0.09</v>
      </c>
      <c r="C191" s="24">
        <v>0.27</v>
      </c>
      <c r="D191" s="24">
        <v>0.49</v>
      </c>
      <c r="E191" s="24">
        <v>0.71012117174216738</v>
      </c>
      <c r="F191" s="24">
        <v>0.93</v>
      </c>
      <c r="G191" s="83">
        <f t="shared" si="23"/>
        <v>99.910080927165566</v>
      </c>
      <c r="H191" s="84">
        <f t="shared" si="26"/>
        <v>113.44011667434063</v>
      </c>
      <c r="I191" s="84">
        <f t="shared" si="24"/>
        <v>105.2890263644378</v>
      </c>
      <c r="J191" s="84">
        <f t="shared" si="25"/>
        <v>450816092.30057144</v>
      </c>
      <c r="L191" s="19">
        <f t="shared" si="33"/>
        <v>0</v>
      </c>
      <c r="M191" s="19">
        <f t="shared" si="34"/>
        <v>-1.0000000000000009E-2</v>
      </c>
      <c r="N191" s="19">
        <f t="shared" si="34"/>
        <v>-4.0000000000000036E-2</v>
      </c>
      <c r="O191" s="19">
        <f t="shared" si="34"/>
        <v>-4.5070270576231031E-2</v>
      </c>
      <c r="P191" s="19">
        <f t="shared" si="27"/>
        <v>-4.9999999999999933E-2</v>
      </c>
      <c r="Q191" s="1">
        <v>189</v>
      </c>
      <c r="R191" s="82">
        <f>TSIR!$B$1080/100+TSIR!L1018/100</f>
        <v>3.9100000000000003E-2</v>
      </c>
      <c r="S191" s="82">
        <f>TSIR!$C$1080/100+TSIR!M1018/100</f>
        <v>3.6400000000000009E-2</v>
      </c>
      <c r="T191" s="82">
        <f>TSIR!$D$1080/100+TSIR!N1018/100</f>
        <v>3.6699999999999997E-2</v>
      </c>
      <c r="U191" s="82">
        <f>TSIR!$E$1080/100+TSIR!O1018/100</f>
        <v>3.7150999999999997E-2</v>
      </c>
      <c r="V191" s="82">
        <f>TSIR!$F$1080/100+TSIR!P1018/100</f>
        <v>3.7700000000000004E-2</v>
      </c>
      <c r="X191" s="84">
        <f t="shared" si="28"/>
        <v>96.237128284092009</v>
      </c>
      <c r="Y191" s="84">
        <f t="shared" si="29"/>
        <v>103.70566386893448</v>
      </c>
      <c r="Z191" s="84">
        <f t="shared" si="30"/>
        <v>92.080006139250301</v>
      </c>
      <c r="AA191" s="84">
        <f t="shared" si="31"/>
        <v>405235785.32178354</v>
      </c>
      <c r="AB191" s="1">
        <f t="shared" si="32"/>
        <v>3.8067535056159445E-3</v>
      </c>
      <c r="AC191" s="1">
        <v>1.430854370325707E-3</v>
      </c>
    </row>
    <row r="192" spans="1:29" x14ac:dyDescent="0.2">
      <c r="A192" s="8">
        <v>44473</v>
      </c>
      <c r="B192" s="24">
        <v>0.09</v>
      </c>
      <c r="C192" s="24">
        <v>0.27</v>
      </c>
      <c r="D192" s="24">
        <v>0.52</v>
      </c>
      <c r="E192" s="24">
        <v>0.73513800965510856</v>
      </c>
      <c r="F192" s="24">
        <v>0.95</v>
      </c>
      <c r="G192" s="83">
        <f t="shared" si="23"/>
        <v>99.910080927165566</v>
      </c>
      <c r="H192" s="84">
        <f t="shared" si="26"/>
        <v>113.34750170887631</v>
      </c>
      <c r="I192" s="84">
        <f t="shared" si="24"/>
        <v>105.18889986478796</v>
      </c>
      <c r="J192" s="84">
        <f t="shared" si="25"/>
        <v>450554508.75016844</v>
      </c>
      <c r="L192" s="19">
        <f t="shared" si="33"/>
        <v>0</v>
      </c>
      <c r="M192" s="19">
        <f t="shared" si="34"/>
        <v>0</v>
      </c>
      <c r="N192" s="19">
        <f t="shared" si="34"/>
        <v>3.0000000000000027E-2</v>
      </c>
      <c r="O192" s="19">
        <f t="shared" si="34"/>
        <v>2.5016837912941181E-2</v>
      </c>
      <c r="P192" s="19">
        <f t="shared" si="27"/>
        <v>1.9999999999999907E-2</v>
      </c>
      <c r="Q192" s="1">
        <v>190</v>
      </c>
      <c r="R192" s="82">
        <f>TSIR!$B$1080/100+TSIR!L1019/100</f>
        <v>3.9599999999999996E-2</v>
      </c>
      <c r="S192" s="82">
        <f>TSIR!$C$1080/100+TSIR!M1019/100</f>
        <v>3.7600000000000008E-2</v>
      </c>
      <c r="T192" s="82">
        <f>TSIR!$D$1080/100+TSIR!N1019/100</f>
        <v>3.769999999999999E-2</v>
      </c>
      <c r="U192" s="82">
        <f>TSIR!$E$1080/100+TSIR!O1019/100</f>
        <v>3.7766000000000001E-2</v>
      </c>
      <c r="V192" s="82">
        <f>TSIR!$F$1080/100+TSIR!P1019/100</f>
        <v>3.8899999999999997E-2</v>
      </c>
      <c r="X192" s="84">
        <f t="shared" si="28"/>
        <v>96.19084263178145</v>
      </c>
      <c r="Y192" s="84">
        <f t="shared" si="29"/>
        <v>103.4204058557296</v>
      </c>
      <c r="Z192" s="84">
        <f t="shared" si="30"/>
        <v>91.577053403400654</v>
      </c>
      <c r="AA192" s="84">
        <f t="shared" si="31"/>
        <v>403559290.09357113</v>
      </c>
      <c r="AB192" s="1">
        <f t="shared" si="32"/>
        <v>-3.4608119767475421E-4</v>
      </c>
      <c r="AC192" s="1">
        <v>1.4315822488456598E-3</v>
      </c>
    </row>
    <row r="193" spans="1:29" x14ac:dyDescent="0.2">
      <c r="A193" s="8">
        <v>44474</v>
      </c>
      <c r="B193" s="24">
        <v>0.09</v>
      </c>
      <c r="C193" s="24">
        <v>0.28000000000000003</v>
      </c>
      <c r="D193" s="24">
        <v>0.54</v>
      </c>
      <c r="E193" s="24">
        <v>0.76024090193788862</v>
      </c>
      <c r="F193" s="24">
        <v>0.98</v>
      </c>
      <c r="G193" s="83">
        <f t="shared" si="23"/>
        <v>99.910080927165566</v>
      </c>
      <c r="H193" s="84">
        <f t="shared" si="26"/>
        <v>113.28482800082887</v>
      </c>
      <c r="I193" s="84">
        <f t="shared" si="24"/>
        <v>105.04096045377148</v>
      </c>
      <c r="J193" s="84">
        <f t="shared" si="25"/>
        <v>450056761.66817373</v>
      </c>
      <c r="L193" s="19">
        <f t="shared" si="33"/>
        <v>0</v>
      </c>
      <c r="M193" s="19">
        <f t="shared" si="34"/>
        <v>1.0000000000000009E-2</v>
      </c>
      <c r="N193" s="19">
        <f t="shared" si="34"/>
        <v>2.0000000000000018E-2</v>
      </c>
      <c r="O193" s="19">
        <f t="shared" si="34"/>
        <v>2.5102892282780065E-2</v>
      </c>
      <c r="P193" s="19">
        <f t="shared" si="27"/>
        <v>3.0000000000000027E-2</v>
      </c>
      <c r="Q193" s="1">
        <v>191</v>
      </c>
      <c r="R193" s="82">
        <f>TSIR!$B$1080/100+TSIR!L1020/100</f>
        <v>3.9800000000000002E-2</v>
      </c>
      <c r="S193" s="82">
        <f>TSIR!$C$1080/100+TSIR!M1020/100</f>
        <v>3.7600000000000001E-2</v>
      </c>
      <c r="T193" s="82">
        <f>TSIR!$D$1080/100+TSIR!N1020/100</f>
        <v>3.7799999999999993E-2</v>
      </c>
      <c r="U193" s="82">
        <f>TSIR!$E$1080/100+TSIR!O1020/100</f>
        <v>3.8008000000000007E-2</v>
      </c>
      <c r="V193" s="82">
        <f>TSIR!$F$1080/100+TSIR!P1020/100</f>
        <v>3.9E-2</v>
      </c>
      <c r="X193" s="84">
        <f t="shared" si="28"/>
        <v>96.172340834775909</v>
      </c>
      <c r="Y193" s="84">
        <f t="shared" si="29"/>
        <v>103.39232015153827</v>
      </c>
      <c r="Z193" s="84">
        <f t="shared" si="30"/>
        <v>91.534007439299344</v>
      </c>
      <c r="AA193" s="84">
        <f t="shared" si="31"/>
        <v>403392231.19944179</v>
      </c>
      <c r="AB193" s="1">
        <f t="shared" si="32"/>
        <v>-7.5990162576712139E-4</v>
      </c>
      <c r="AC193" s="1">
        <v>1.4426016529083831E-3</v>
      </c>
    </row>
    <row r="194" spans="1:29" x14ac:dyDescent="0.2">
      <c r="A194" s="8">
        <v>44475</v>
      </c>
      <c r="B194" s="24">
        <v>0.1</v>
      </c>
      <c r="C194" s="24">
        <v>0.3</v>
      </c>
      <c r="D194" s="24">
        <v>0.55000000000000004</v>
      </c>
      <c r="E194" s="24">
        <v>0.77046084062845654</v>
      </c>
      <c r="F194" s="24">
        <v>0.99</v>
      </c>
      <c r="G194" s="83">
        <f t="shared" ref="G194:G257" si="35">100/((1+B194/100)^1)</f>
        <v>99.900099900099917</v>
      </c>
      <c r="H194" s="84">
        <f t="shared" si="26"/>
        <v>113.25152369347954</v>
      </c>
      <c r="I194" s="84">
        <f t="shared" ref="I194:I257" si="36">SUM(2/(1+B194/100)^1, 2/(1+C194/100)^2, 2/(1+D194/100)^3, 2/(1+E194/100)^4, 102/(1+F194/100)^5)</f>
        <v>104.99050650141223</v>
      </c>
      <c r="J194" s="84">
        <f t="shared" ref="J194:J257" si="37">G194*2000000+H194*-1500000+I194*4000000</f>
        <v>449884940.26562941</v>
      </c>
      <c r="L194" s="19">
        <f t="shared" si="33"/>
        <v>1.0000000000000009E-2</v>
      </c>
      <c r="M194" s="19">
        <f t="shared" si="34"/>
        <v>1.9999999999999962E-2</v>
      </c>
      <c r="N194" s="19">
        <f t="shared" si="34"/>
        <v>1.0000000000000009E-2</v>
      </c>
      <c r="O194" s="19">
        <f t="shared" si="34"/>
        <v>1.021993869056792E-2</v>
      </c>
      <c r="P194" s="19">
        <f t="shared" si="27"/>
        <v>1.0000000000000009E-2</v>
      </c>
      <c r="Q194" s="1">
        <v>192</v>
      </c>
      <c r="R194" s="82">
        <f>TSIR!$B$1080/100+TSIR!L1021/100</f>
        <v>3.9400000000000004E-2</v>
      </c>
      <c r="S194" s="82">
        <f>TSIR!$C$1080/100+TSIR!M1021/100</f>
        <v>3.7100000000000001E-2</v>
      </c>
      <c r="T194" s="82">
        <f>TSIR!$D$1080/100+TSIR!N1021/100</f>
        <v>3.73E-2</v>
      </c>
      <c r="U194" s="82">
        <f>TSIR!$E$1080/100+TSIR!O1021/100</f>
        <v>3.7583000000000005E-2</v>
      </c>
      <c r="V194" s="82">
        <f>TSIR!$F$1080/100+TSIR!P1021/100</f>
        <v>3.8400000000000004E-2</v>
      </c>
      <c r="X194" s="84">
        <f t="shared" si="28"/>
        <v>96.209351548970545</v>
      </c>
      <c r="Y194" s="84">
        <f t="shared" si="29"/>
        <v>103.53455765973666</v>
      </c>
      <c r="Z194" s="84">
        <f t="shared" si="30"/>
        <v>91.785610509200026</v>
      </c>
      <c r="AA194" s="84">
        <f t="shared" si="31"/>
        <v>404259308.64513624</v>
      </c>
      <c r="AB194" s="1">
        <f t="shared" si="32"/>
        <v>1.3879299017702297E-3</v>
      </c>
      <c r="AC194" s="1">
        <v>1.4433029231827035E-3</v>
      </c>
    </row>
    <row r="195" spans="1:29" x14ac:dyDescent="0.2">
      <c r="A195" s="8">
        <v>44476</v>
      </c>
      <c r="B195" s="24">
        <v>0.1</v>
      </c>
      <c r="C195" s="24">
        <v>0.32</v>
      </c>
      <c r="D195" s="24">
        <v>0.56999999999999995</v>
      </c>
      <c r="E195" s="24">
        <v>0.7950724186870991</v>
      </c>
      <c r="F195" s="24">
        <v>1.02</v>
      </c>
      <c r="G195" s="83">
        <f t="shared" si="35"/>
        <v>99.900099900099917</v>
      </c>
      <c r="H195" s="84">
        <f t="shared" ref="H195:H258" si="38">SUM(5/(1+B195/100)^1, 5/(1+C195/100)^2, 105/(1+D195/100)^3)</f>
        <v>113.18793383900935</v>
      </c>
      <c r="I195" s="84">
        <f t="shared" si="36"/>
        <v>104.84255662145631</v>
      </c>
      <c r="J195" s="84">
        <f t="shared" si="37"/>
        <v>449388525.52751106</v>
      </c>
      <c r="L195" s="19">
        <f t="shared" si="33"/>
        <v>0</v>
      </c>
      <c r="M195" s="19">
        <f t="shared" si="34"/>
        <v>2.0000000000000018E-2</v>
      </c>
      <c r="N195" s="19">
        <f t="shared" si="34"/>
        <v>1.9999999999999907E-2</v>
      </c>
      <c r="O195" s="19">
        <f t="shared" si="34"/>
        <v>2.4611578058642558E-2</v>
      </c>
      <c r="P195" s="19">
        <f t="shared" si="27"/>
        <v>3.0000000000000027E-2</v>
      </c>
      <c r="Q195" s="1">
        <v>193</v>
      </c>
      <c r="R195" s="82">
        <f>TSIR!$B$1080/100+TSIR!L1022/100</f>
        <v>3.9599999999999996E-2</v>
      </c>
      <c r="S195" s="82">
        <f>TSIR!$C$1080/100+TSIR!M1022/100</f>
        <v>3.78E-2</v>
      </c>
      <c r="T195" s="82">
        <f>TSIR!$D$1080/100+TSIR!N1022/100</f>
        <v>3.7899999999999989E-2</v>
      </c>
      <c r="U195" s="82">
        <f>TSIR!$E$1080/100+TSIR!O1022/100</f>
        <v>3.8204000000000002E-2</v>
      </c>
      <c r="V195" s="82">
        <f>TSIR!$F$1080/100+TSIR!P1022/100</f>
        <v>3.9300000000000009E-2</v>
      </c>
      <c r="X195" s="84">
        <f t="shared" si="28"/>
        <v>96.19084263178145</v>
      </c>
      <c r="Y195" s="84">
        <f t="shared" si="29"/>
        <v>103.36430525214821</v>
      </c>
      <c r="Z195" s="84">
        <f t="shared" si="30"/>
        <v>91.410331007548251</v>
      </c>
      <c r="AA195" s="84">
        <f t="shared" si="31"/>
        <v>402976551.4155336</v>
      </c>
      <c r="AB195" s="1">
        <f t="shared" si="32"/>
        <v>-1.7895791357418667E-3</v>
      </c>
      <c r="AC195" s="1">
        <v>1.4750712974905037E-3</v>
      </c>
    </row>
    <row r="196" spans="1:29" x14ac:dyDescent="0.2">
      <c r="A196" s="8">
        <v>44477</v>
      </c>
      <c r="B196" s="24">
        <v>0.09</v>
      </c>
      <c r="C196" s="24">
        <v>0.32</v>
      </c>
      <c r="D196" s="24">
        <v>0.59</v>
      </c>
      <c r="E196" s="24">
        <v>0.82037401693378043</v>
      </c>
      <c r="F196" s="24">
        <v>1.05</v>
      </c>
      <c r="G196" s="83">
        <f t="shared" si="35"/>
        <v>99.910080927165566</v>
      </c>
      <c r="H196" s="84">
        <f t="shared" si="38"/>
        <v>113.12687353850305</v>
      </c>
      <c r="I196" s="84">
        <f t="shared" si="36"/>
        <v>104.69580573351585</v>
      </c>
      <c r="J196" s="84">
        <f t="shared" si="37"/>
        <v>448913074.48063999</v>
      </c>
      <c r="L196" s="19">
        <f t="shared" si="33"/>
        <v>-1.0000000000000009E-2</v>
      </c>
      <c r="M196" s="19">
        <f t="shared" si="34"/>
        <v>0</v>
      </c>
      <c r="N196" s="19">
        <f t="shared" si="34"/>
        <v>2.0000000000000018E-2</v>
      </c>
      <c r="O196" s="19">
        <f t="shared" si="34"/>
        <v>2.5301598246681323E-2</v>
      </c>
      <c r="P196" s="19">
        <f t="shared" si="34"/>
        <v>3.0000000000000027E-2</v>
      </c>
      <c r="Q196" s="1">
        <v>194</v>
      </c>
      <c r="R196" s="82">
        <f>TSIR!$B$1080/100+TSIR!L1023/100</f>
        <v>3.9800000000000002E-2</v>
      </c>
      <c r="S196" s="82">
        <f>TSIR!$C$1080/100+TSIR!M1023/100</f>
        <v>3.78E-2</v>
      </c>
      <c r="T196" s="82">
        <f>TSIR!$D$1080/100+TSIR!N1023/100</f>
        <v>3.7700000000000004E-2</v>
      </c>
      <c r="U196" s="82">
        <f>TSIR!$E$1080/100+TSIR!O1023/100</f>
        <v>3.7850000000000002E-2</v>
      </c>
      <c r="V196" s="82">
        <f>TSIR!$F$1080/100+TSIR!P1023/100</f>
        <v>3.8699999999999991E-2</v>
      </c>
      <c r="X196" s="84">
        <f t="shared" ref="X196:X252" si="39">100/((1+R196)^1)</f>
        <v>96.172340834775909</v>
      </c>
      <c r="Y196" s="84">
        <f t="shared" ref="Y196:Y252" si="40">SUM(5/(1+R196)^1, 5/(1+S196)^2, 105/(1+T196)^3)</f>
        <v>103.41769092446201</v>
      </c>
      <c r="Z196" s="84">
        <f t="shared" ref="Z196:Z252" si="41">SUM(2/(1+R196)^1, 2/(1+S196)^2, 2/(1+T196)^3, 2/(1+U196)^4, 102/(1+V196)^5)</f>
        <v>91.656581669409192</v>
      </c>
      <c r="AA196" s="84">
        <f t="shared" ref="AA196:AA251" si="42">X196*2000000+Y196*-1500000+Z196*4000000</f>
        <v>403844471.96049559</v>
      </c>
      <c r="AB196" s="1">
        <f t="shared" ref="AB196:AB251" si="43">(AA196-J$1080)/J$1080</f>
        <v>3.6034082714421023E-4</v>
      </c>
      <c r="AC196" s="1">
        <v>1.4805249620891987E-3</v>
      </c>
    </row>
    <row r="197" spans="1:29" x14ac:dyDescent="0.2">
      <c r="A197" s="8">
        <v>44481</v>
      </c>
      <c r="B197" s="24">
        <v>0.1</v>
      </c>
      <c r="C197" s="24">
        <v>0.35</v>
      </c>
      <c r="D197" s="24">
        <v>0.64</v>
      </c>
      <c r="E197" s="24">
        <v>0.86016990838979712</v>
      </c>
      <c r="F197" s="24">
        <v>1.08</v>
      </c>
      <c r="G197" s="83">
        <f t="shared" si="35"/>
        <v>99.900099900099917</v>
      </c>
      <c r="H197" s="84">
        <f t="shared" si="38"/>
        <v>112.96972005897678</v>
      </c>
      <c r="I197" s="84">
        <f t="shared" si="36"/>
        <v>104.54485990816573</v>
      </c>
      <c r="J197" s="84">
        <f t="shared" si="37"/>
        <v>448525059.34439766</v>
      </c>
      <c r="L197" s="19">
        <f t="shared" ref="L197:L260" si="44">B197-B196</f>
        <v>1.0000000000000009E-2</v>
      </c>
      <c r="M197" s="19">
        <f t="shared" ref="M197:P260" si="45">C197-C196</f>
        <v>2.9999999999999971E-2</v>
      </c>
      <c r="N197" s="19">
        <f t="shared" si="45"/>
        <v>5.0000000000000044E-2</v>
      </c>
      <c r="O197" s="19">
        <f t="shared" si="45"/>
        <v>3.9795891456016697E-2</v>
      </c>
      <c r="P197" s="19">
        <f t="shared" si="45"/>
        <v>3.0000000000000027E-2</v>
      </c>
      <c r="Q197" s="1">
        <v>195</v>
      </c>
      <c r="R197" s="82">
        <f>TSIR!$B$1080/100+TSIR!L1024/100</f>
        <v>3.9299999999999995E-2</v>
      </c>
      <c r="S197" s="82">
        <f>TSIR!$C$1080/100+TSIR!M1024/100</f>
        <v>3.6900000000000002E-2</v>
      </c>
      <c r="T197" s="82">
        <f>TSIR!$D$1080/100+TSIR!N1024/100</f>
        <v>3.7299999999999993E-2</v>
      </c>
      <c r="U197" s="82">
        <f>TSIR!$E$1080/100+TSIR!O1024/100</f>
        <v>3.7625000000000006E-2</v>
      </c>
      <c r="V197" s="82">
        <f>TSIR!$F$1080/100+TSIR!P1024/100</f>
        <v>3.8400000000000004E-2</v>
      </c>
      <c r="X197" s="84">
        <f t="shared" si="39"/>
        <v>96.218608678918514</v>
      </c>
      <c r="Y197" s="84">
        <f t="shared" si="40"/>
        <v>103.536813984657</v>
      </c>
      <c r="Z197" s="84">
        <f t="shared" si="41"/>
        <v>91.786233668316456</v>
      </c>
      <c r="AA197" s="84">
        <f t="shared" si="42"/>
        <v>404276931.05411732</v>
      </c>
      <c r="AB197" s="1">
        <f t="shared" si="43"/>
        <v>1.4315822488456598E-3</v>
      </c>
      <c r="AC197" s="1">
        <v>1.5336302054609499E-3</v>
      </c>
    </row>
    <row r="198" spans="1:29" x14ac:dyDescent="0.2">
      <c r="A198" s="8">
        <v>44482</v>
      </c>
      <c r="B198" s="24">
        <v>0.11</v>
      </c>
      <c r="C198" s="24">
        <v>0.37</v>
      </c>
      <c r="D198" s="24">
        <v>0.66</v>
      </c>
      <c r="E198" s="24">
        <v>0.87516250682850494</v>
      </c>
      <c r="F198" s="24">
        <v>1.0900000000000001</v>
      </c>
      <c r="G198" s="83">
        <f t="shared" si="35"/>
        <v>99.890120867046235</v>
      </c>
      <c r="H198" s="84">
        <f t="shared" si="38"/>
        <v>112.90585427530496</v>
      </c>
      <c r="I198" s="84">
        <f t="shared" si="36"/>
        <v>104.49374848317021</v>
      </c>
      <c r="J198" s="84">
        <f t="shared" si="37"/>
        <v>448396454.25381589</v>
      </c>
      <c r="L198" s="19">
        <f t="shared" si="44"/>
        <v>9.999999999999995E-3</v>
      </c>
      <c r="M198" s="19">
        <f t="shared" si="45"/>
        <v>2.0000000000000018E-2</v>
      </c>
      <c r="N198" s="19">
        <f t="shared" si="45"/>
        <v>2.0000000000000018E-2</v>
      </c>
      <c r="O198" s="19">
        <f t="shared" si="45"/>
        <v>1.4992598438707816E-2</v>
      </c>
      <c r="P198" s="19">
        <f t="shared" si="45"/>
        <v>1.0000000000000009E-2</v>
      </c>
      <c r="Q198" s="1">
        <v>196</v>
      </c>
      <c r="R198" s="82">
        <f>TSIR!$B$1080/100+TSIR!L1025/100</f>
        <v>3.9400000000000004E-2</v>
      </c>
      <c r="S198" s="82">
        <f>TSIR!$C$1080/100+TSIR!M1025/100</f>
        <v>3.7000000000000005E-2</v>
      </c>
      <c r="T198" s="82">
        <f>TSIR!$D$1080/100+TSIR!N1025/100</f>
        <v>3.6999999999999998E-2</v>
      </c>
      <c r="U198" s="82">
        <f>TSIR!$E$1080/100+TSIR!O1025/100</f>
        <v>3.7275999999999997E-2</v>
      </c>
      <c r="V198" s="82">
        <f>TSIR!$F$1080/100+TSIR!P1025/100</f>
        <v>3.8100000000000009E-2</v>
      </c>
      <c r="X198" s="84">
        <f t="shared" si="39"/>
        <v>96.209351548970545</v>
      </c>
      <c r="Y198" s="84">
        <f t="shared" si="40"/>
        <v>103.61712482773062</v>
      </c>
      <c r="Z198" s="84">
        <f t="shared" si="41"/>
        <v>91.911714737382127</v>
      </c>
      <c r="AA198" s="84">
        <f t="shared" si="42"/>
        <v>404639874.80587369</v>
      </c>
      <c r="AB198" s="1">
        <f t="shared" si="43"/>
        <v>2.330627699302144E-3</v>
      </c>
      <c r="AC198" s="1">
        <v>1.573323052142107E-3</v>
      </c>
    </row>
    <row r="199" spans="1:29" x14ac:dyDescent="0.2">
      <c r="A199" s="8">
        <v>44483</v>
      </c>
      <c r="B199" s="24">
        <v>0.1</v>
      </c>
      <c r="C199" s="24">
        <v>0.36</v>
      </c>
      <c r="D199" s="24">
        <v>0.62</v>
      </c>
      <c r="E199" s="24">
        <v>0.83536106302714142</v>
      </c>
      <c r="F199" s="24">
        <v>1.05</v>
      </c>
      <c r="G199" s="83">
        <f t="shared" si="35"/>
        <v>99.900099900099917</v>
      </c>
      <c r="H199" s="84">
        <f t="shared" si="38"/>
        <v>113.03016772890385</v>
      </c>
      <c r="I199" s="84">
        <f t="shared" si="36"/>
        <v>104.69111468767868</v>
      </c>
      <c r="J199" s="84">
        <f t="shared" si="37"/>
        <v>449019406.95755875</v>
      </c>
      <c r="L199" s="19">
        <f t="shared" si="44"/>
        <v>-9.999999999999995E-3</v>
      </c>
      <c r="M199" s="19">
        <f t="shared" si="45"/>
        <v>-1.0000000000000009E-2</v>
      </c>
      <c r="N199" s="19">
        <f t="shared" si="45"/>
        <v>-4.0000000000000036E-2</v>
      </c>
      <c r="O199" s="19">
        <f t="shared" si="45"/>
        <v>-3.9801443801363523E-2</v>
      </c>
      <c r="P199" s="19">
        <f t="shared" si="45"/>
        <v>-4.0000000000000036E-2</v>
      </c>
      <c r="Q199" s="1">
        <v>197</v>
      </c>
      <c r="R199" s="82">
        <f>TSIR!$B$1080/100+TSIR!L1026/100</f>
        <v>3.9700000000000006E-2</v>
      </c>
      <c r="S199" s="82">
        <f>TSIR!$C$1080/100+TSIR!M1026/100</f>
        <v>3.78E-2</v>
      </c>
      <c r="T199" s="82">
        <f>TSIR!$D$1080/100+TSIR!N1026/100</f>
        <v>3.7999999999999992E-2</v>
      </c>
      <c r="U199" s="82">
        <f>TSIR!$E$1080/100+TSIR!O1026/100</f>
        <v>3.7960000000000001E-2</v>
      </c>
      <c r="V199" s="82">
        <f>TSIR!$F$1080/100+TSIR!P1026/100</f>
        <v>3.9199999999999999E-2</v>
      </c>
      <c r="X199" s="84">
        <f t="shared" si="39"/>
        <v>96.181590843512552</v>
      </c>
      <c r="Y199" s="84">
        <f t="shared" si="40"/>
        <v>103.33670297638848</v>
      </c>
      <c r="Z199" s="84">
        <f t="shared" si="41"/>
        <v>91.451729187491523</v>
      </c>
      <c r="AA199" s="84">
        <f t="shared" si="42"/>
        <v>403165043.97240847</v>
      </c>
      <c r="AB199" s="1">
        <f t="shared" si="43"/>
        <v>-1.322665530305239E-3</v>
      </c>
      <c r="AC199" s="1">
        <v>1.6092818529351311E-3</v>
      </c>
    </row>
    <row r="200" spans="1:29" x14ac:dyDescent="0.2">
      <c r="A200" s="8">
        <v>44484</v>
      </c>
      <c r="B200" s="24">
        <v>0.12</v>
      </c>
      <c r="C200" s="24">
        <v>0.41</v>
      </c>
      <c r="D200" s="24">
        <v>0.7</v>
      </c>
      <c r="E200" s="24">
        <v>0.91517628513057303</v>
      </c>
      <c r="F200" s="24">
        <v>1.1299999999999999</v>
      </c>
      <c r="G200" s="83">
        <f t="shared" si="35"/>
        <v>99.880143827407096</v>
      </c>
      <c r="H200" s="84">
        <f t="shared" si="38"/>
        <v>112.77877156483858</v>
      </c>
      <c r="I200" s="84">
        <f t="shared" si="36"/>
        <v>104.29564386502092</v>
      </c>
      <c r="J200" s="84">
        <f t="shared" si="37"/>
        <v>447774705.76763999</v>
      </c>
      <c r="L200" s="19">
        <f t="shared" si="44"/>
        <v>1.999999999999999E-2</v>
      </c>
      <c r="M200" s="19">
        <f t="shared" si="45"/>
        <v>4.9999999999999989E-2</v>
      </c>
      <c r="N200" s="19">
        <f t="shared" si="45"/>
        <v>7.999999999999996E-2</v>
      </c>
      <c r="O200" s="19">
        <f t="shared" si="45"/>
        <v>7.9815222103431616E-2</v>
      </c>
      <c r="P200" s="19">
        <f t="shared" si="45"/>
        <v>7.9999999999999849E-2</v>
      </c>
      <c r="Q200" s="1">
        <v>198</v>
      </c>
      <c r="R200" s="82">
        <f>TSIR!$B$1080/100+TSIR!L1027/100</f>
        <v>4.0099999999999997E-2</v>
      </c>
      <c r="S200" s="82">
        <f>TSIR!$C$1080/100+TSIR!M1027/100</f>
        <v>3.8200000000000005E-2</v>
      </c>
      <c r="T200" s="82">
        <f>TSIR!$D$1080/100+TSIR!N1027/100</f>
        <v>3.839999999999999E-2</v>
      </c>
      <c r="U200" s="82">
        <f>TSIR!$E$1080/100+TSIR!O1027/100</f>
        <v>3.8382000000000006E-2</v>
      </c>
      <c r="V200" s="82">
        <f>TSIR!$F$1080/100+TSIR!P1027/100</f>
        <v>3.9399999999999998E-2</v>
      </c>
      <c r="X200" s="84">
        <f t="shared" si="39"/>
        <v>96.144601480626861</v>
      </c>
      <c r="Y200" s="84">
        <f t="shared" si="40"/>
        <v>103.22282269674557</v>
      </c>
      <c r="Z200" s="84">
        <f t="shared" si="41"/>
        <v>91.363755213785524</v>
      </c>
      <c r="AA200" s="84">
        <f t="shared" si="42"/>
        <v>402909989.77127749</v>
      </c>
      <c r="AB200" s="1">
        <f t="shared" si="43"/>
        <v>-1.9544585231228971E-3</v>
      </c>
      <c r="AC200" s="1">
        <v>1.7006494147252347E-3</v>
      </c>
    </row>
    <row r="201" spans="1:29" x14ac:dyDescent="0.2">
      <c r="A201" s="8">
        <v>44487</v>
      </c>
      <c r="B201" s="24">
        <v>0.11</v>
      </c>
      <c r="C201" s="24">
        <v>0.44</v>
      </c>
      <c r="D201" s="24">
        <v>0.72</v>
      </c>
      <c r="E201" s="24">
        <v>0.94039466828642293</v>
      </c>
      <c r="F201" s="24">
        <v>1.1599999999999999</v>
      </c>
      <c r="G201" s="83">
        <f t="shared" si="35"/>
        <v>99.890120867046235</v>
      </c>
      <c r="H201" s="84">
        <f t="shared" si="38"/>
        <v>112.71506622896651</v>
      </c>
      <c r="I201" s="84">
        <f t="shared" si="36"/>
        <v>104.14866801217443</v>
      </c>
      <c r="J201" s="84">
        <f t="shared" si="37"/>
        <v>447302314.43934041</v>
      </c>
      <c r="L201" s="19">
        <f t="shared" si="44"/>
        <v>-9.999999999999995E-3</v>
      </c>
      <c r="M201" s="19">
        <f t="shared" si="45"/>
        <v>3.0000000000000027E-2</v>
      </c>
      <c r="N201" s="19">
        <f t="shared" si="45"/>
        <v>2.0000000000000018E-2</v>
      </c>
      <c r="O201" s="19">
        <f t="shared" si="45"/>
        <v>2.5218383155849899E-2</v>
      </c>
      <c r="P201" s="19">
        <f t="shared" si="45"/>
        <v>3.0000000000000027E-2</v>
      </c>
      <c r="Q201" s="1">
        <v>199</v>
      </c>
      <c r="R201" s="82">
        <f>TSIR!$B$1080/100+TSIR!L1028/100</f>
        <v>3.9400000000000004E-2</v>
      </c>
      <c r="S201" s="82">
        <f>TSIR!$C$1080/100+TSIR!M1028/100</f>
        <v>3.7300000000000007E-2</v>
      </c>
      <c r="T201" s="82">
        <f>TSIR!$D$1080/100+TSIR!N1028/100</f>
        <v>3.7499999999999999E-2</v>
      </c>
      <c r="U201" s="82">
        <f>TSIR!$E$1080/100+TSIR!O1028/100</f>
        <v>3.7979000000000006E-2</v>
      </c>
      <c r="V201" s="82">
        <f>TSIR!$F$1080/100+TSIR!P1028/100</f>
        <v>3.8800000000000001E-2</v>
      </c>
      <c r="X201" s="84">
        <f t="shared" si="39"/>
        <v>96.209351548970545</v>
      </c>
      <c r="Y201" s="84">
        <f t="shared" si="40"/>
        <v>103.47837065354591</v>
      </c>
      <c r="Z201" s="84">
        <f t="shared" si="41"/>
        <v>91.618693068578366</v>
      </c>
      <c r="AA201" s="84">
        <f t="shared" si="42"/>
        <v>403675919.39193571</v>
      </c>
      <c r="AB201" s="1">
        <f t="shared" si="43"/>
        <v>-5.7179571521420334E-5</v>
      </c>
      <c r="AC201" s="1">
        <v>1.7525021490423002E-3</v>
      </c>
    </row>
    <row r="202" spans="1:29" x14ac:dyDescent="0.2">
      <c r="A202" s="8">
        <v>44488</v>
      </c>
      <c r="B202" s="24">
        <v>0.11</v>
      </c>
      <c r="C202" s="24">
        <v>0.41</v>
      </c>
      <c r="D202" s="24">
        <v>0.71</v>
      </c>
      <c r="E202" s="24">
        <v>0.94046322366221913</v>
      </c>
      <c r="F202" s="24">
        <v>1.17</v>
      </c>
      <c r="G202" s="83">
        <f t="shared" si="35"/>
        <v>99.890120867046235</v>
      </c>
      <c r="H202" s="84">
        <f t="shared" si="38"/>
        <v>112.74864327834177</v>
      </c>
      <c r="I202" s="84">
        <f t="shared" si="36"/>
        <v>104.10285469063828</v>
      </c>
      <c r="J202" s="84">
        <f t="shared" si="37"/>
        <v>447068695.57913297</v>
      </c>
      <c r="L202" s="19">
        <f t="shared" si="44"/>
        <v>0</v>
      </c>
      <c r="M202" s="19">
        <f t="shared" si="45"/>
        <v>-3.0000000000000027E-2</v>
      </c>
      <c r="N202" s="19">
        <f t="shared" si="45"/>
        <v>-1.0000000000000009E-2</v>
      </c>
      <c r="O202" s="19">
        <f t="shared" si="45"/>
        <v>6.8555375796197637E-5</v>
      </c>
      <c r="P202" s="19">
        <f t="shared" si="45"/>
        <v>1.0000000000000009E-2</v>
      </c>
      <c r="Q202" s="1">
        <v>200</v>
      </c>
      <c r="R202" s="82">
        <f>TSIR!$B$1080/100+TSIR!L1029/100</f>
        <v>3.9599999999999996E-2</v>
      </c>
      <c r="S202" s="82">
        <f>TSIR!$C$1080/100+TSIR!M1029/100</f>
        <v>3.7499999999999999E-2</v>
      </c>
      <c r="T202" s="82">
        <f>TSIR!$D$1080/100+TSIR!N1029/100</f>
        <v>3.7399999999999996E-2</v>
      </c>
      <c r="U202" s="82">
        <f>TSIR!$E$1080/100+TSIR!O1029/100</f>
        <v>3.8104000000000006E-2</v>
      </c>
      <c r="V202" s="82">
        <f>TSIR!$F$1080/100+TSIR!P1029/100</f>
        <v>3.9100000000000003E-2</v>
      </c>
      <c r="X202" s="84">
        <f t="shared" si="39"/>
        <v>96.19084263178145</v>
      </c>
      <c r="Y202" s="84">
        <f t="shared" si="40"/>
        <v>103.5028458572081</v>
      </c>
      <c r="Z202" s="84">
        <f t="shared" si="41"/>
        <v>91.495641345581447</v>
      </c>
      <c r="AA202" s="84">
        <f t="shared" si="42"/>
        <v>403109981.86007655</v>
      </c>
      <c r="AB202" s="1">
        <f t="shared" si="43"/>
        <v>-1.4590595069062533E-3</v>
      </c>
      <c r="AC202" s="1">
        <v>1.7836763316381515E-3</v>
      </c>
    </row>
    <row r="203" spans="1:29" x14ac:dyDescent="0.2">
      <c r="A203" s="8">
        <v>44489</v>
      </c>
      <c r="B203" s="24">
        <v>0.1</v>
      </c>
      <c r="C203" s="24">
        <v>0.4</v>
      </c>
      <c r="D203" s="24">
        <v>0.7</v>
      </c>
      <c r="E203" s="24">
        <v>0.93037064681075721</v>
      </c>
      <c r="F203" s="24">
        <v>1.1599999999999999</v>
      </c>
      <c r="G203" s="83">
        <f t="shared" si="35"/>
        <v>99.900099900099917</v>
      </c>
      <c r="H203" s="84">
        <f t="shared" si="38"/>
        <v>112.78075731623282</v>
      </c>
      <c r="I203" s="84">
        <f t="shared" si="36"/>
        <v>104.15237956404815</v>
      </c>
      <c r="J203" s="84">
        <f t="shared" si="37"/>
        <v>447238582.08204317</v>
      </c>
      <c r="L203" s="19">
        <f t="shared" si="44"/>
        <v>-9.999999999999995E-3</v>
      </c>
      <c r="M203" s="19">
        <f t="shared" si="45"/>
        <v>-9.9999999999999534E-3</v>
      </c>
      <c r="N203" s="19">
        <f t="shared" si="45"/>
        <v>-1.0000000000000009E-2</v>
      </c>
      <c r="O203" s="19">
        <f t="shared" si="45"/>
        <v>-1.0092576851461921E-2</v>
      </c>
      <c r="P203" s="19">
        <f t="shared" si="45"/>
        <v>-1.0000000000000009E-2</v>
      </c>
      <c r="Q203" s="1">
        <v>201</v>
      </c>
      <c r="R203" s="82">
        <f>TSIR!$B$1080/100+TSIR!L1030/100</f>
        <v>0.04</v>
      </c>
      <c r="S203" s="82">
        <f>TSIR!$C$1080/100+TSIR!M1030/100</f>
        <v>3.8100000000000009E-2</v>
      </c>
      <c r="T203" s="82">
        <f>TSIR!$D$1080/100+TSIR!N1030/100</f>
        <v>3.8499999999999993E-2</v>
      </c>
      <c r="U203" s="82">
        <f>TSIR!$E$1080/100+TSIR!O1030/100</f>
        <v>3.8706999999999991E-2</v>
      </c>
      <c r="V203" s="82">
        <f>TSIR!$F$1080/100+TSIR!P1030/100</f>
        <v>3.9900000000000005E-2</v>
      </c>
      <c r="X203" s="84">
        <f t="shared" si="39"/>
        <v>96.153846153846146</v>
      </c>
      <c r="Y203" s="84">
        <f t="shared" si="40"/>
        <v>103.19709123338274</v>
      </c>
      <c r="Z203" s="84">
        <f t="shared" si="41"/>
        <v>91.159691929508284</v>
      </c>
      <c r="AA203" s="84">
        <f t="shared" si="42"/>
        <v>402150823.17565131</v>
      </c>
      <c r="AB203" s="1">
        <f t="shared" si="43"/>
        <v>-3.8349848323191581E-3</v>
      </c>
      <c r="AC203" s="1">
        <v>1.794775847814075E-3</v>
      </c>
    </row>
    <row r="204" spans="1:29" x14ac:dyDescent="0.2">
      <c r="A204" s="8">
        <v>44490</v>
      </c>
      <c r="B204" s="24">
        <v>0.12</v>
      </c>
      <c r="C204" s="24">
        <v>0.45</v>
      </c>
      <c r="D204" s="24">
        <v>0.78</v>
      </c>
      <c r="E204" s="24">
        <v>1.0052461213557029</v>
      </c>
      <c r="F204" s="24">
        <v>1.23</v>
      </c>
      <c r="G204" s="83">
        <f t="shared" si="35"/>
        <v>99.880143827407096</v>
      </c>
      <c r="H204" s="84">
        <f t="shared" si="38"/>
        <v>112.53014581633147</v>
      </c>
      <c r="I204" s="84">
        <f t="shared" si="36"/>
        <v>103.80719605529538</v>
      </c>
      <c r="J204" s="84">
        <f t="shared" si="37"/>
        <v>446193853.1514985</v>
      </c>
      <c r="L204" s="19">
        <f t="shared" si="44"/>
        <v>1.999999999999999E-2</v>
      </c>
      <c r="M204" s="19">
        <f t="shared" si="45"/>
        <v>4.9999999999999989E-2</v>
      </c>
      <c r="N204" s="19">
        <f t="shared" si="45"/>
        <v>8.0000000000000071E-2</v>
      </c>
      <c r="O204" s="19">
        <f t="shared" si="45"/>
        <v>7.4875474544945697E-2</v>
      </c>
      <c r="P204" s="19">
        <f t="shared" si="45"/>
        <v>7.0000000000000062E-2</v>
      </c>
      <c r="Q204" s="1">
        <v>202</v>
      </c>
      <c r="R204" s="82">
        <f>TSIR!$B$1080/100+TSIR!L1031/100</f>
        <v>3.9199999999999999E-2</v>
      </c>
      <c r="S204" s="82">
        <f>TSIR!$C$1080/100+TSIR!M1031/100</f>
        <v>3.6899999999999995E-2</v>
      </c>
      <c r="T204" s="82">
        <f>TSIR!$D$1080/100+TSIR!N1031/100</f>
        <v>3.6999999999999991E-2</v>
      </c>
      <c r="U204" s="82">
        <f>TSIR!$E$1080/100+TSIR!O1031/100</f>
        <v>3.738600000000001E-2</v>
      </c>
      <c r="V204" s="82">
        <f>TSIR!$F$1080/100+TSIR!P1031/100</f>
        <v>3.7899999999999996E-2</v>
      </c>
      <c r="X204" s="84">
        <f t="shared" si="39"/>
        <v>96.22786759045421</v>
      </c>
      <c r="Y204" s="84">
        <f t="shared" si="40"/>
        <v>103.61894749372708</v>
      </c>
      <c r="Z204" s="84">
        <f t="shared" si="41"/>
        <v>91.993259674017295</v>
      </c>
      <c r="AA204" s="84">
        <f t="shared" si="42"/>
        <v>405000352.63638699</v>
      </c>
      <c r="AB204" s="1">
        <f t="shared" si="43"/>
        <v>3.2235648333486088E-3</v>
      </c>
      <c r="AC204" s="1">
        <v>1.8336283638260818E-3</v>
      </c>
    </row>
    <row r="205" spans="1:29" x14ac:dyDescent="0.2">
      <c r="A205" s="8">
        <v>44491</v>
      </c>
      <c r="B205" s="24">
        <v>0.13</v>
      </c>
      <c r="C205" s="24">
        <v>0.48</v>
      </c>
      <c r="D205" s="24">
        <v>0.79</v>
      </c>
      <c r="E205" s="24">
        <v>1.0052711954388578</v>
      </c>
      <c r="F205" s="24">
        <v>1.22</v>
      </c>
      <c r="G205" s="83">
        <f t="shared" si="35"/>
        <v>99.870168780585232</v>
      </c>
      <c r="H205" s="84">
        <f t="shared" si="38"/>
        <v>112.49615851693045</v>
      </c>
      <c r="I205" s="84">
        <f t="shared" si="36"/>
        <v>103.85263681663382</v>
      </c>
      <c r="J205" s="84">
        <f t="shared" si="37"/>
        <v>446406647.05231011</v>
      </c>
      <c r="L205" s="19">
        <f t="shared" si="44"/>
        <v>1.0000000000000009E-2</v>
      </c>
      <c r="M205" s="19">
        <f t="shared" si="45"/>
        <v>2.9999999999999971E-2</v>
      </c>
      <c r="N205" s="19">
        <f t="shared" si="45"/>
        <v>1.0000000000000009E-2</v>
      </c>
      <c r="O205" s="19">
        <f t="shared" si="45"/>
        <v>2.5074083154885685E-5</v>
      </c>
      <c r="P205" s="19">
        <f t="shared" si="45"/>
        <v>-1.0000000000000009E-2</v>
      </c>
      <c r="Q205" s="1">
        <v>203</v>
      </c>
      <c r="R205" s="82">
        <f>TSIR!$B$1080/100+TSIR!L1032/100</f>
        <v>3.910000000000001E-2</v>
      </c>
      <c r="S205" s="82">
        <f>TSIR!$C$1080/100+TSIR!M1032/100</f>
        <v>3.6900000000000002E-2</v>
      </c>
      <c r="T205" s="82">
        <f>TSIR!$D$1080/100+TSIR!N1032/100</f>
        <v>3.7099999999999994E-2</v>
      </c>
      <c r="U205" s="82">
        <f>TSIR!$E$1080/100+TSIR!O1032/100</f>
        <v>3.7351999999999996E-2</v>
      </c>
      <c r="V205" s="82">
        <f>TSIR!$F$1080/100+TSIR!P1032/100</f>
        <v>3.8200000000000005E-2</v>
      </c>
      <c r="X205" s="84">
        <f t="shared" si="39"/>
        <v>96.237128284092009</v>
      </c>
      <c r="Y205" s="84">
        <f t="shared" si="40"/>
        <v>103.59217650704372</v>
      </c>
      <c r="Z205" s="84">
        <f t="shared" si="41"/>
        <v>91.870865117089039</v>
      </c>
      <c r="AA205" s="84">
        <f t="shared" si="42"/>
        <v>404569452.27597457</v>
      </c>
      <c r="AB205" s="1">
        <f t="shared" si="43"/>
        <v>2.1561845388701124E-3</v>
      </c>
      <c r="AC205" s="1">
        <v>1.861271473164075E-3</v>
      </c>
    </row>
    <row r="206" spans="1:29" x14ac:dyDescent="0.2">
      <c r="A206" s="8">
        <v>44494</v>
      </c>
      <c r="B206" s="24">
        <v>0.14000000000000001</v>
      </c>
      <c r="C206" s="24">
        <v>0.47</v>
      </c>
      <c r="D206" s="24">
        <v>0.76</v>
      </c>
      <c r="E206" s="24">
        <v>0.97538379444826417</v>
      </c>
      <c r="F206" s="24">
        <v>1.19</v>
      </c>
      <c r="G206" s="83">
        <f t="shared" si="35"/>
        <v>99.860195725983615</v>
      </c>
      <c r="H206" s="84">
        <f t="shared" si="38"/>
        <v>112.58827214636538</v>
      </c>
      <c r="I206" s="84">
        <f t="shared" si="36"/>
        <v>103.9992430738549</v>
      </c>
      <c r="J206" s="84">
        <f t="shared" si="37"/>
        <v>446834955.52783871</v>
      </c>
      <c r="L206" s="19">
        <f t="shared" si="44"/>
        <v>1.0000000000000009E-2</v>
      </c>
      <c r="M206" s="19">
        <f t="shared" si="45"/>
        <v>-1.0000000000000009E-2</v>
      </c>
      <c r="N206" s="19">
        <f t="shared" si="45"/>
        <v>-3.0000000000000027E-2</v>
      </c>
      <c r="O206" s="19">
        <f t="shared" si="45"/>
        <v>-2.9887400990593616E-2</v>
      </c>
      <c r="P206" s="19">
        <f t="shared" si="45"/>
        <v>-3.0000000000000027E-2</v>
      </c>
      <c r="Q206" s="1">
        <v>204</v>
      </c>
      <c r="R206" s="82">
        <f>TSIR!$B$1080/100+TSIR!L1033/100</f>
        <v>3.9599999999999996E-2</v>
      </c>
      <c r="S206" s="82">
        <f>TSIR!$C$1080/100+TSIR!M1033/100</f>
        <v>3.7700000000000004E-2</v>
      </c>
      <c r="T206" s="82">
        <f>TSIR!$D$1080/100+TSIR!N1033/100</f>
        <v>3.8300000000000001E-2</v>
      </c>
      <c r="U206" s="82">
        <f>TSIR!$E$1080/100+TSIR!O1033/100</f>
        <v>3.8259000000000008E-2</v>
      </c>
      <c r="V206" s="82">
        <f>TSIR!$F$1080/100+TSIR!P1033/100</f>
        <v>3.9500000000000007E-2</v>
      </c>
      <c r="X206" s="84">
        <f t="shared" si="39"/>
        <v>96.19084263178145</v>
      </c>
      <c r="Y206" s="84">
        <f t="shared" si="40"/>
        <v>103.25670401660302</v>
      </c>
      <c r="Z206" s="84">
        <f t="shared" si="41"/>
        <v>91.327365901540503</v>
      </c>
      <c r="AA206" s="84">
        <f t="shared" si="42"/>
        <v>402806092.84482038</v>
      </c>
      <c r="AB206" s="1">
        <f t="shared" si="43"/>
        <v>-2.2118208791233806E-3</v>
      </c>
      <c r="AC206" s="1">
        <v>1.9662456616073034E-3</v>
      </c>
    </row>
    <row r="207" spans="1:29" x14ac:dyDescent="0.2">
      <c r="A207" s="8">
        <v>44495</v>
      </c>
      <c r="B207" s="24">
        <v>0.14000000000000001</v>
      </c>
      <c r="C207" s="24">
        <v>0.47</v>
      </c>
      <c r="D207" s="24">
        <v>0.77</v>
      </c>
      <c r="E207" s="24">
        <v>0.98529470771450622</v>
      </c>
      <c r="F207" s="24">
        <v>1.2</v>
      </c>
      <c r="G207" s="83">
        <f t="shared" si="35"/>
        <v>99.860195725983615</v>
      </c>
      <c r="H207" s="84">
        <f t="shared" si="38"/>
        <v>112.55771788984607</v>
      </c>
      <c r="I207" s="84">
        <f t="shared" si="36"/>
        <v>103.95041446528145</v>
      </c>
      <c r="J207" s="84">
        <f t="shared" si="37"/>
        <v>446685472.47832394</v>
      </c>
      <c r="L207" s="19">
        <f t="shared" si="44"/>
        <v>0</v>
      </c>
      <c r="M207" s="19">
        <f t="shared" si="45"/>
        <v>0</v>
      </c>
      <c r="N207" s="19">
        <f t="shared" si="45"/>
        <v>1.0000000000000009E-2</v>
      </c>
      <c r="O207" s="19">
        <f t="shared" si="45"/>
        <v>9.9109132662420496E-3</v>
      </c>
      <c r="P207" s="19">
        <f t="shared" si="45"/>
        <v>1.0000000000000009E-2</v>
      </c>
      <c r="Q207" s="1">
        <v>205</v>
      </c>
      <c r="R207" s="82">
        <f>TSIR!$B$1080/100+TSIR!L1034/100</f>
        <v>3.9299999999999995E-2</v>
      </c>
      <c r="S207" s="82">
        <f>TSIR!$C$1080/100+TSIR!M1034/100</f>
        <v>3.7300000000000007E-2</v>
      </c>
      <c r="T207" s="82">
        <f>TSIR!$D$1080/100+TSIR!N1034/100</f>
        <v>3.7299999999999993E-2</v>
      </c>
      <c r="U207" s="82">
        <f>TSIR!$E$1080/100+TSIR!O1034/100</f>
        <v>3.7673999999999992E-2</v>
      </c>
      <c r="V207" s="82">
        <f>TSIR!$F$1080/100+TSIR!P1034/100</f>
        <v>3.85E-2</v>
      </c>
      <c r="X207" s="84">
        <f t="shared" si="39"/>
        <v>96.218608678918514</v>
      </c>
      <c r="Y207" s="84">
        <f t="shared" si="40"/>
        <v>103.53322808509776</v>
      </c>
      <c r="Z207" s="84">
        <f t="shared" si="41"/>
        <v>91.743805089174245</v>
      </c>
      <c r="AA207" s="84">
        <f t="shared" si="42"/>
        <v>404112595.58688736</v>
      </c>
      <c r="AB207" s="1">
        <f t="shared" si="43"/>
        <v>1.0245080026387329E-3</v>
      </c>
      <c r="AC207" s="1">
        <v>1.9730554578443449E-3</v>
      </c>
    </row>
    <row r="208" spans="1:29" x14ac:dyDescent="0.2">
      <c r="A208" s="8">
        <v>44496</v>
      </c>
      <c r="B208" s="24">
        <v>0.12</v>
      </c>
      <c r="C208" s="24">
        <v>0.5</v>
      </c>
      <c r="D208" s="24">
        <v>0.77</v>
      </c>
      <c r="E208" s="24">
        <v>0.96535162500053751</v>
      </c>
      <c r="F208" s="24">
        <v>1.1599999999999999</v>
      </c>
      <c r="G208" s="83">
        <f t="shared" si="35"/>
        <v>99.880143827407096</v>
      </c>
      <c r="H208" s="84">
        <f t="shared" si="38"/>
        <v>112.55575852477827</v>
      </c>
      <c r="I208" s="84">
        <f t="shared" si="36"/>
        <v>104.14128566084162</v>
      </c>
      <c r="J208" s="84">
        <f t="shared" si="37"/>
        <v>447491792.51101327</v>
      </c>
      <c r="L208" s="19">
        <f t="shared" si="44"/>
        <v>-2.0000000000000018E-2</v>
      </c>
      <c r="M208" s="19">
        <f t="shared" si="45"/>
        <v>3.0000000000000027E-2</v>
      </c>
      <c r="N208" s="19">
        <f t="shared" si="45"/>
        <v>0</v>
      </c>
      <c r="O208" s="19">
        <f t="shared" si="45"/>
        <v>-1.9943082713968718E-2</v>
      </c>
      <c r="P208" s="19">
        <f t="shared" si="45"/>
        <v>-4.0000000000000036E-2</v>
      </c>
      <c r="Q208" s="1">
        <v>206</v>
      </c>
      <c r="R208" s="82">
        <f>TSIR!$B$1080/100+TSIR!L1035/100</f>
        <v>3.9300000000000002E-2</v>
      </c>
      <c r="S208" s="82">
        <f>TSIR!$C$1080/100+TSIR!M1035/100</f>
        <v>3.7400000000000003E-2</v>
      </c>
      <c r="T208" s="82">
        <f>TSIR!$D$1080/100+TSIR!N1035/100</f>
        <v>3.7299999999999993E-2</v>
      </c>
      <c r="U208" s="82">
        <f>TSIR!$E$1080/100+TSIR!O1035/100</f>
        <v>3.7687000000000012E-2</v>
      </c>
      <c r="V208" s="82">
        <f>TSIR!$F$1080/100+TSIR!P1035/100</f>
        <v>3.85E-2</v>
      </c>
      <c r="X208" s="84">
        <f t="shared" si="39"/>
        <v>96.218608678918514</v>
      </c>
      <c r="Y208" s="84">
        <f t="shared" si="40"/>
        <v>103.53233225826206</v>
      </c>
      <c r="Z208" s="84">
        <f t="shared" si="41"/>
        <v>91.743360318379615</v>
      </c>
      <c r="AA208" s="84">
        <f t="shared" si="42"/>
        <v>404112160.24396241</v>
      </c>
      <c r="AB208" s="1">
        <f t="shared" si="43"/>
        <v>1.0234296176984414E-3</v>
      </c>
      <c r="AC208" s="1">
        <v>2.0099996749102919E-3</v>
      </c>
    </row>
    <row r="209" spans="1:29" x14ac:dyDescent="0.2">
      <c r="A209" s="8">
        <v>44497</v>
      </c>
      <c r="B209" s="24">
        <v>0.15</v>
      </c>
      <c r="C209" s="24">
        <v>0.5</v>
      </c>
      <c r="D209" s="24">
        <v>0.77</v>
      </c>
      <c r="E209" s="24">
        <v>0.9753948642469773</v>
      </c>
      <c r="F209" s="24">
        <v>1.18</v>
      </c>
      <c r="G209" s="83">
        <f t="shared" si="35"/>
        <v>99.850224663005491</v>
      </c>
      <c r="H209" s="84">
        <f t="shared" si="38"/>
        <v>112.55426256655818</v>
      </c>
      <c r="I209" s="84">
        <f t="shared" si="36"/>
        <v>104.04479777974991</v>
      </c>
      <c r="J209" s="84">
        <f t="shared" si="37"/>
        <v>447048246.59517336</v>
      </c>
      <c r="L209" s="19">
        <f t="shared" si="44"/>
        <v>0.03</v>
      </c>
      <c r="M209" s="19">
        <f t="shared" si="45"/>
        <v>0</v>
      </c>
      <c r="N209" s="19">
        <f t="shared" si="45"/>
        <v>0</v>
      </c>
      <c r="O209" s="19">
        <f t="shared" si="45"/>
        <v>1.0043239246439795E-2</v>
      </c>
      <c r="P209" s="19">
        <f t="shared" si="45"/>
        <v>2.0000000000000018E-2</v>
      </c>
      <c r="Q209" s="1">
        <v>207</v>
      </c>
      <c r="R209" s="82">
        <f>TSIR!$B$1080/100+TSIR!L1036/100</f>
        <v>3.9E-2</v>
      </c>
      <c r="S209" s="82">
        <f>TSIR!$C$1080/100+TSIR!M1036/100</f>
        <v>3.6500000000000005E-2</v>
      </c>
      <c r="T209" s="82">
        <f>TSIR!$D$1080/100+TSIR!N1036/100</f>
        <v>3.6799999999999999E-2</v>
      </c>
      <c r="U209" s="82">
        <f>TSIR!$E$1080/100+TSIR!O1036/100</f>
        <v>3.7207999999999998E-2</v>
      </c>
      <c r="V209" s="82">
        <f>TSIR!$F$1080/100+TSIR!P1036/100</f>
        <v>3.7999999999999999E-2</v>
      </c>
      <c r="X209" s="84">
        <f t="shared" si="39"/>
        <v>96.2463907603465</v>
      </c>
      <c r="Y209" s="84">
        <f t="shared" si="40"/>
        <v>103.67796327278579</v>
      </c>
      <c r="Z209" s="84">
        <f t="shared" si="41"/>
        <v>91.95650395461783</v>
      </c>
      <c r="AA209" s="84">
        <f t="shared" si="42"/>
        <v>404801852.42998564</v>
      </c>
      <c r="AB209" s="1">
        <f t="shared" si="43"/>
        <v>2.7318613486731133E-3</v>
      </c>
      <c r="AC209" s="1">
        <v>2.0131665855802243E-3</v>
      </c>
    </row>
    <row r="210" spans="1:29" x14ac:dyDescent="0.2">
      <c r="A210" s="8">
        <v>44498</v>
      </c>
      <c r="B210" s="24">
        <v>0.15</v>
      </c>
      <c r="C210" s="24">
        <v>0.48</v>
      </c>
      <c r="D210" s="24">
        <v>0.75</v>
      </c>
      <c r="E210" s="24">
        <v>0.96541373670366937</v>
      </c>
      <c r="F210" s="24">
        <v>1.18</v>
      </c>
      <c r="G210" s="83">
        <f t="shared" si="35"/>
        <v>99.850224663005491</v>
      </c>
      <c r="H210" s="84">
        <f t="shared" si="38"/>
        <v>112.61735409734629</v>
      </c>
      <c r="I210" s="84">
        <f t="shared" si="36"/>
        <v>104.04751118697422</v>
      </c>
      <c r="J210" s="84">
        <f t="shared" si="37"/>
        <v>446964462.92788839</v>
      </c>
      <c r="L210" s="19">
        <f t="shared" si="44"/>
        <v>0</v>
      </c>
      <c r="M210" s="19">
        <f t="shared" si="45"/>
        <v>-2.0000000000000018E-2</v>
      </c>
      <c r="N210" s="19">
        <f t="shared" si="45"/>
        <v>-2.0000000000000018E-2</v>
      </c>
      <c r="O210" s="19">
        <f t="shared" si="45"/>
        <v>-9.9811275433079327E-3</v>
      </c>
      <c r="P210" s="19">
        <f t="shared" si="45"/>
        <v>0</v>
      </c>
      <c r="Q210" s="1">
        <v>208</v>
      </c>
      <c r="R210" s="82">
        <f>TSIR!$B$1080/100+TSIR!L1037/100</f>
        <v>3.95E-2</v>
      </c>
      <c r="S210" s="82">
        <f>TSIR!$C$1080/100+TSIR!M1037/100</f>
        <v>3.6799999999999999E-2</v>
      </c>
      <c r="T210" s="82">
        <f>TSIR!$D$1080/100+TSIR!N1037/100</f>
        <v>3.7399999999999989E-2</v>
      </c>
      <c r="U210" s="82">
        <f>TSIR!$E$1080/100+TSIR!O1037/100</f>
        <v>3.7540000000000004E-2</v>
      </c>
      <c r="V210" s="82">
        <f>TSIR!$F$1080/100+TSIR!P1037/100</f>
        <v>3.8500000000000006E-2</v>
      </c>
      <c r="X210" s="84">
        <f t="shared" si="39"/>
        <v>96.200096200096198</v>
      </c>
      <c r="Y210" s="84">
        <f t="shared" si="40"/>
        <v>103.50958295327678</v>
      </c>
      <c r="Z210" s="84">
        <f t="shared" si="41"/>
        <v>91.745601218535853</v>
      </c>
      <c r="AA210" s="84">
        <f t="shared" si="42"/>
        <v>404118222.84442067</v>
      </c>
      <c r="AB210" s="1">
        <f t="shared" si="43"/>
        <v>1.038447243249402E-3</v>
      </c>
      <c r="AC210" s="1">
        <v>2.0207789884731358E-3</v>
      </c>
    </row>
    <row r="211" spans="1:29" x14ac:dyDescent="0.2">
      <c r="A211" s="8">
        <v>44501</v>
      </c>
      <c r="B211" s="24">
        <v>0.15</v>
      </c>
      <c r="C211" s="24">
        <v>0.5</v>
      </c>
      <c r="D211" s="24">
        <v>0.79</v>
      </c>
      <c r="E211" s="24">
        <v>0.99519553749673773</v>
      </c>
      <c r="F211" s="24">
        <v>1.2</v>
      </c>
      <c r="G211" s="83">
        <f t="shared" si="35"/>
        <v>99.850224663005491</v>
      </c>
      <c r="H211" s="84">
        <f t="shared" si="38"/>
        <v>112.49319042522822</v>
      </c>
      <c r="I211" s="84">
        <f t="shared" si="36"/>
        <v>103.94711506904784</v>
      </c>
      <c r="J211" s="84">
        <f t="shared" si="37"/>
        <v>446749123.96436</v>
      </c>
      <c r="L211" s="19">
        <f t="shared" si="44"/>
        <v>0</v>
      </c>
      <c r="M211" s="19">
        <f t="shared" si="45"/>
        <v>2.0000000000000018E-2</v>
      </c>
      <c r="N211" s="19">
        <f t="shared" si="45"/>
        <v>4.0000000000000036E-2</v>
      </c>
      <c r="O211" s="19">
        <f t="shared" si="45"/>
        <v>2.9781800793068358E-2</v>
      </c>
      <c r="P211" s="19">
        <f t="shared" si="45"/>
        <v>2.0000000000000018E-2</v>
      </c>
      <c r="Q211" s="1">
        <v>209</v>
      </c>
      <c r="R211" s="82">
        <f>TSIR!$B$1080/100+TSIR!L1038/100</f>
        <v>3.9199999999999999E-2</v>
      </c>
      <c r="S211" s="82">
        <f>TSIR!$C$1080/100+TSIR!M1038/100</f>
        <v>3.6800000000000006E-2</v>
      </c>
      <c r="T211" s="82">
        <f>TSIR!$D$1080/100+TSIR!N1038/100</f>
        <v>3.6699999999999997E-2</v>
      </c>
      <c r="U211" s="82">
        <f>TSIR!$E$1080/100+TSIR!O1038/100</f>
        <v>3.7052000000000009E-2</v>
      </c>
      <c r="V211" s="82">
        <f>TSIR!$F$1080/100+TSIR!P1038/100</f>
        <v>3.7699999999999997E-2</v>
      </c>
      <c r="X211" s="84">
        <f t="shared" si="39"/>
        <v>96.22786759045421</v>
      </c>
      <c r="Y211" s="84">
        <f t="shared" si="40"/>
        <v>103.70160974325547</v>
      </c>
      <c r="Z211" s="84">
        <f t="shared" si="41"/>
        <v>92.079044602873779</v>
      </c>
      <c r="AA211" s="84">
        <f t="shared" si="42"/>
        <v>405219498.97752029</v>
      </c>
      <c r="AB211" s="1">
        <f t="shared" si="43"/>
        <v>3.7664107151874245E-3</v>
      </c>
      <c r="AC211" s="1">
        <v>2.0673466707500005E-3</v>
      </c>
    </row>
    <row r="212" spans="1:29" x14ac:dyDescent="0.2">
      <c r="A212" s="8">
        <v>44502</v>
      </c>
      <c r="B212" s="24">
        <v>0.15</v>
      </c>
      <c r="C212" s="24">
        <v>0.46</v>
      </c>
      <c r="D212" s="24">
        <v>0.73</v>
      </c>
      <c r="E212" s="24">
        <v>0.9401315445051035</v>
      </c>
      <c r="F212" s="24">
        <v>1.1499999999999999</v>
      </c>
      <c r="G212" s="83">
        <f t="shared" si="35"/>
        <v>99.850224663005491</v>
      </c>
      <c r="H212" s="84">
        <f t="shared" si="38"/>
        <v>112.68049535716494</v>
      </c>
      <c r="I212" s="84">
        <f t="shared" si="36"/>
        <v>104.19412225447387</v>
      </c>
      <c r="J212" s="84">
        <f t="shared" si="37"/>
        <v>447456195.30815899</v>
      </c>
      <c r="L212" s="19">
        <f t="shared" si="44"/>
        <v>0</v>
      </c>
      <c r="M212" s="19">
        <f t="shared" si="45"/>
        <v>-3.999999999999998E-2</v>
      </c>
      <c r="N212" s="19">
        <f t="shared" si="45"/>
        <v>-6.0000000000000053E-2</v>
      </c>
      <c r="O212" s="19">
        <f t="shared" si="45"/>
        <v>-5.5063992991634225E-2</v>
      </c>
      <c r="P212" s="19">
        <f t="shared" si="45"/>
        <v>-5.0000000000000044E-2</v>
      </c>
      <c r="Q212" s="1">
        <v>210</v>
      </c>
      <c r="R212" s="82">
        <f>TSIR!$B$1080/100+TSIR!L1039/100</f>
        <v>3.95E-2</v>
      </c>
      <c r="S212" s="82">
        <f>TSIR!$C$1080/100+TSIR!M1039/100</f>
        <v>3.7199999999999997E-2</v>
      </c>
      <c r="T212" s="82">
        <f>TSIR!$D$1080/100+TSIR!N1039/100</f>
        <v>3.7199999999999997E-2</v>
      </c>
      <c r="U212" s="82">
        <f>TSIR!$E$1080/100+TSIR!O1039/100</f>
        <v>3.7356E-2</v>
      </c>
      <c r="V212" s="82">
        <f>TSIR!$F$1080/100+TSIR!P1039/100</f>
        <v>3.8199999999999998E-2</v>
      </c>
      <c r="X212" s="84">
        <f t="shared" si="39"/>
        <v>96.200096200096198</v>
      </c>
      <c r="Y212" s="84">
        <f t="shared" si="40"/>
        <v>103.56041156976482</v>
      </c>
      <c r="Z212" s="84">
        <f t="shared" si="41"/>
        <v>91.868503367916219</v>
      </c>
      <c r="AA212" s="84">
        <f t="shared" si="42"/>
        <v>404533588.51721001</v>
      </c>
      <c r="AB212" s="1">
        <f t="shared" si="43"/>
        <v>2.0673466707500005E-3</v>
      </c>
      <c r="AC212" s="1">
        <v>2.0974365965436394E-3</v>
      </c>
    </row>
    <row r="213" spans="1:29" x14ac:dyDescent="0.2">
      <c r="A213" s="8">
        <v>44503</v>
      </c>
      <c r="B213" s="24">
        <v>0.17</v>
      </c>
      <c r="C213" s="24">
        <v>0.47</v>
      </c>
      <c r="D213" s="24">
        <v>0.77</v>
      </c>
      <c r="E213" s="24">
        <v>0.98012967447734389</v>
      </c>
      <c r="F213" s="24">
        <v>1.19</v>
      </c>
      <c r="G213" s="83">
        <f t="shared" si="35"/>
        <v>99.830288509533787</v>
      </c>
      <c r="H213" s="84">
        <f t="shared" si="38"/>
        <v>112.55622252902359</v>
      </c>
      <c r="I213" s="84">
        <f t="shared" si="36"/>
        <v>103.99770130227931</v>
      </c>
      <c r="J213" s="84">
        <f t="shared" si="37"/>
        <v>446817048.43464947</v>
      </c>
      <c r="L213" s="19">
        <f t="shared" si="44"/>
        <v>2.0000000000000018E-2</v>
      </c>
      <c r="M213" s="19">
        <f t="shared" si="45"/>
        <v>9.9999999999999534E-3</v>
      </c>
      <c r="N213" s="19">
        <f t="shared" si="45"/>
        <v>4.0000000000000036E-2</v>
      </c>
      <c r="O213" s="19">
        <f t="shared" si="45"/>
        <v>3.9998129972240393E-2</v>
      </c>
      <c r="P213" s="19">
        <f t="shared" si="45"/>
        <v>4.0000000000000036E-2</v>
      </c>
      <c r="Q213" s="1">
        <v>211</v>
      </c>
      <c r="R213" s="82">
        <f>TSIR!$B$1080/100+TSIR!L1040/100</f>
        <v>3.9599999999999996E-2</v>
      </c>
      <c r="S213" s="82">
        <f>TSIR!$C$1080/100+TSIR!M1040/100</f>
        <v>3.7600000000000008E-2</v>
      </c>
      <c r="T213" s="82">
        <f>TSIR!$D$1080/100+TSIR!N1040/100</f>
        <v>3.769999999999999E-2</v>
      </c>
      <c r="U213" s="82">
        <f>TSIR!$E$1080/100+TSIR!O1040/100</f>
        <v>3.7914000000000003E-2</v>
      </c>
      <c r="V213" s="82">
        <f>TSIR!$F$1080/100+TSIR!P1040/100</f>
        <v>3.9100000000000003E-2</v>
      </c>
      <c r="X213" s="84">
        <f t="shared" si="39"/>
        <v>96.19084263178145</v>
      </c>
      <c r="Y213" s="84">
        <f t="shared" si="40"/>
        <v>103.4204058557296</v>
      </c>
      <c r="Z213" s="84">
        <f t="shared" si="41"/>
        <v>91.494991346753451</v>
      </c>
      <c r="AA213" s="84">
        <f t="shared" si="42"/>
        <v>403231041.86698228</v>
      </c>
      <c r="AB213" s="1">
        <f t="shared" si="43"/>
        <v>-1.159182603352641E-3</v>
      </c>
      <c r="AC213" s="1">
        <v>2.1068022539580682E-3</v>
      </c>
    </row>
    <row r="214" spans="1:29" x14ac:dyDescent="0.2">
      <c r="A214" s="8">
        <v>44504</v>
      </c>
      <c r="B214" s="24">
        <v>0.14000000000000001</v>
      </c>
      <c r="C214" s="24">
        <v>0.41</v>
      </c>
      <c r="D214" s="24">
        <v>0.69</v>
      </c>
      <c r="E214" s="24">
        <v>0.89548555556401221</v>
      </c>
      <c r="F214" s="24">
        <v>1.1000000000000001</v>
      </c>
      <c r="G214" s="83">
        <f t="shared" si="35"/>
        <v>99.860195725983615</v>
      </c>
      <c r="H214" s="84">
        <f t="shared" si="38"/>
        <v>112.80841346635819</v>
      </c>
      <c r="I214" s="84">
        <f t="shared" si="36"/>
        <v>104.44048654203061</v>
      </c>
      <c r="J214" s="84">
        <f t="shared" si="37"/>
        <v>448269717.42055243</v>
      </c>
      <c r="L214" s="19">
        <f t="shared" si="44"/>
        <v>-0.03</v>
      </c>
      <c r="M214" s="19">
        <f t="shared" si="45"/>
        <v>-0.06</v>
      </c>
      <c r="N214" s="19">
        <f t="shared" si="45"/>
        <v>-8.0000000000000071E-2</v>
      </c>
      <c r="O214" s="19">
        <f t="shared" si="45"/>
        <v>-8.4644118913331678E-2</v>
      </c>
      <c r="P214" s="19">
        <f t="shared" si="45"/>
        <v>-8.9999999999999858E-2</v>
      </c>
      <c r="Q214" s="1">
        <v>212</v>
      </c>
      <c r="R214" s="82">
        <f>TSIR!$B$1080/100+TSIR!L1041/100</f>
        <v>3.9E-2</v>
      </c>
      <c r="S214" s="82">
        <f>TSIR!$C$1080/100+TSIR!M1041/100</f>
        <v>3.6600000000000001E-2</v>
      </c>
      <c r="T214" s="82">
        <f>TSIR!$D$1080/100+TSIR!N1041/100</f>
        <v>3.6999999999999998E-2</v>
      </c>
      <c r="U214" s="82">
        <f>TSIR!$E$1080/100+TSIR!O1041/100</f>
        <v>3.7352000000000003E-2</v>
      </c>
      <c r="V214" s="82">
        <f>TSIR!$F$1080/100+TSIR!P1041/100</f>
        <v>3.8200000000000005E-2</v>
      </c>
      <c r="X214" s="84">
        <f t="shared" si="39"/>
        <v>96.2463907603465</v>
      </c>
      <c r="Y214" s="84">
        <f t="shared" si="40"/>
        <v>103.62256580151963</v>
      </c>
      <c r="Z214" s="84">
        <f t="shared" si="41"/>
        <v>91.8726459695974</v>
      </c>
      <c r="AA214" s="84">
        <f t="shared" si="42"/>
        <v>404549516.69680315</v>
      </c>
      <c r="AB214" s="1">
        <f t="shared" si="43"/>
        <v>2.1068022539580682E-3</v>
      </c>
      <c r="AC214" s="1">
        <v>2.1106474676811852E-3</v>
      </c>
    </row>
    <row r="215" spans="1:29" x14ac:dyDescent="0.2">
      <c r="A215" s="8">
        <v>44505</v>
      </c>
      <c r="B215" s="24">
        <v>0.14000000000000001</v>
      </c>
      <c r="C215" s="24">
        <v>0.39</v>
      </c>
      <c r="D215" s="24">
        <v>0.66</v>
      </c>
      <c r="E215" s="24">
        <v>0.85014923030634182</v>
      </c>
      <c r="F215" s="24">
        <v>1.04</v>
      </c>
      <c r="G215" s="83">
        <f t="shared" si="35"/>
        <v>99.860195725983615</v>
      </c>
      <c r="H215" s="84">
        <f t="shared" si="38"/>
        <v>112.9023806460238</v>
      </c>
      <c r="I215" s="84">
        <f t="shared" si="36"/>
        <v>104.73357210701144</v>
      </c>
      <c r="J215" s="84">
        <f t="shared" si="37"/>
        <v>449301108.91097724</v>
      </c>
      <c r="L215" s="19">
        <f t="shared" si="44"/>
        <v>0</v>
      </c>
      <c r="M215" s="19">
        <f t="shared" si="45"/>
        <v>-1.9999999999999962E-2</v>
      </c>
      <c r="N215" s="19">
        <f t="shared" si="45"/>
        <v>-2.9999999999999916E-2</v>
      </c>
      <c r="O215" s="19">
        <f t="shared" si="45"/>
        <v>-4.5336325257670396E-2</v>
      </c>
      <c r="P215" s="19">
        <f t="shared" si="45"/>
        <v>-6.0000000000000053E-2</v>
      </c>
      <c r="Q215" s="1">
        <v>213</v>
      </c>
      <c r="R215" s="82">
        <f>TSIR!$B$1080/100+TSIR!L1042/100</f>
        <v>3.9299999999999995E-2</v>
      </c>
      <c r="S215" s="82">
        <f>TSIR!$C$1080/100+TSIR!M1042/100</f>
        <v>3.7100000000000001E-2</v>
      </c>
      <c r="T215" s="82">
        <f>TSIR!$D$1080/100+TSIR!N1042/100</f>
        <v>3.6999999999999991E-2</v>
      </c>
      <c r="U215" s="82">
        <f>TSIR!$E$1080/100+TSIR!O1042/100</f>
        <v>3.7270999999999999E-2</v>
      </c>
      <c r="V215" s="82">
        <f>TSIR!$F$1080/100+TSIR!P1042/100</f>
        <v>3.8199999999999998E-2</v>
      </c>
      <c r="X215" s="84">
        <f t="shared" si="39"/>
        <v>96.218608678918514</v>
      </c>
      <c r="Y215" s="84">
        <f t="shared" si="40"/>
        <v>103.61669107972742</v>
      </c>
      <c r="Z215" s="84">
        <f t="shared" si="41"/>
        <v>91.870835627587013</v>
      </c>
      <c r="AA215" s="84">
        <f t="shared" si="42"/>
        <v>404495523.24859399</v>
      </c>
      <c r="AB215" s="1">
        <f t="shared" si="43"/>
        <v>1.9730554578443449E-3</v>
      </c>
      <c r="AC215" s="1">
        <v>2.1561845388701124E-3</v>
      </c>
    </row>
    <row r="216" spans="1:29" x14ac:dyDescent="0.2">
      <c r="A216" s="8">
        <v>44508</v>
      </c>
      <c r="B216" s="24">
        <v>0.16</v>
      </c>
      <c r="C216" s="24">
        <v>0.45</v>
      </c>
      <c r="D216" s="24">
        <v>0.75</v>
      </c>
      <c r="E216" s="24">
        <v>0.94000678326360232</v>
      </c>
      <c r="F216" s="24">
        <v>1.1299999999999999</v>
      </c>
      <c r="G216" s="83">
        <f t="shared" si="35"/>
        <v>99.840255591054301</v>
      </c>
      <c r="H216" s="84">
        <f t="shared" si="38"/>
        <v>112.6198141800902</v>
      </c>
      <c r="I216" s="84">
        <f t="shared" si="36"/>
        <v>104.28845518997872</v>
      </c>
      <c r="J216" s="84">
        <f t="shared" si="37"/>
        <v>447904610.67188817</v>
      </c>
      <c r="L216" s="19">
        <f t="shared" si="44"/>
        <v>1.999999999999999E-2</v>
      </c>
      <c r="M216" s="19">
        <f t="shared" si="45"/>
        <v>0.06</v>
      </c>
      <c r="N216" s="19">
        <f t="shared" si="45"/>
        <v>8.9999999999999969E-2</v>
      </c>
      <c r="O216" s="19">
        <f t="shared" si="45"/>
        <v>8.98575529572605E-2</v>
      </c>
      <c r="P216" s="19">
        <f t="shared" si="45"/>
        <v>8.9999999999999858E-2</v>
      </c>
      <c r="Q216" s="1">
        <v>214</v>
      </c>
      <c r="R216" s="82">
        <f>TSIR!$B$1080/100+TSIR!L1043/100</f>
        <v>3.9300000000000002E-2</v>
      </c>
      <c r="S216" s="82">
        <f>TSIR!$C$1080/100+TSIR!M1043/100</f>
        <v>3.7400000000000003E-2</v>
      </c>
      <c r="T216" s="82">
        <f>TSIR!$D$1080/100+TSIR!N1043/100</f>
        <v>3.769999999999999E-2</v>
      </c>
      <c r="U216" s="82">
        <f>TSIR!$E$1080/100+TSIR!O1043/100</f>
        <v>3.7943000000000005E-2</v>
      </c>
      <c r="V216" s="82">
        <f>TSIR!$F$1080/100+TSIR!P1043/100</f>
        <v>3.9199999999999999E-2</v>
      </c>
      <c r="X216" s="84">
        <f t="shared" si="39"/>
        <v>96.218608678918514</v>
      </c>
      <c r="Y216" s="84">
        <f t="shared" si="40"/>
        <v>103.42358503479232</v>
      </c>
      <c r="Z216" s="84">
        <f t="shared" si="41"/>
        <v>91.45556615807763</v>
      </c>
      <c r="AA216" s="84">
        <f t="shared" si="42"/>
        <v>403124104.43795907</v>
      </c>
      <c r="AB216" s="1">
        <f t="shared" si="43"/>
        <v>-1.4240765671736874E-3</v>
      </c>
      <c r="AC216" s="1">
        <v>2.1914871799965964E-3</v>
      </c>
    </row>
    <row r="217" spans="1:29" x14ac:dyDescent="0.2">
      <c r="A217" s="8">
        <v>44509</v>
      </c>
      <c r="B217" s="24">
        <v>0.14000000000000001</v>
      </c>
      <c r="C217" s="24">
        <v>0.41</v>
      </c>
      <c r="D217" s="24">
        <v>0.71</v>
      </c>
      <c r="E217" s="24">
        <v>0.89548372042129931</v>
      </c>
      <c r="F217" s="24">
        <v>1.08</v>
      </c>
      <c r="G217" s="83">
        <f t="shared" si="35"/>
        <v>99.860195725983615</v>
      </c>
      <c r="H217" s="84">
        <f t="shared" si="38"/>
        <v>112.74714702128865</v>
      </c>
      <c r="I217" s="84">
        <f t="shared" si="36"/>
        <v>104.53489618043594</v>
      </c>
      <c r="J217" s="84">
        <f t="shared" si="37"/>
        <v>448739255.64177799</v>
      </c>
      <c r="L217" s="19">
        <f t="shared" si="44"/>
        <v>-1.999999999999999E-2</v>
      </c>
      <c r="M217" s="19">
        <f t="shared" si="45"/>
        <v>-4.0000000000000036E-2</v>
      </c>
      <c r="N217" s="19">
        <f t="shared" si="45"/>
        <v>-4.0000000000000036E-2</v>
      </c>
      <c r="O217" s="19">
        <f t="shared" si="45"/>
        <v>-4.4523062842303007E-2</v>
      </c>
      <c r="P217" s="19">
        <f t="shared" si="45"/>
        <v>-4.9999999999999822E-2</v>
      </c>
      <c r="Q217" s="1">
        <v>215</v>
      </c>
      <c r="R217" s="82">
        <f>TSIR!$B$1080/100+TSIR!L1044/100</f>
        <v>3.9699999999999999E-2</v>
      </c>
      <c r="S217" s="82">
        <f>TSIR!$C$1080/100+TSIR!M1044/100</f>
        <v>3.7700000000000004E-2</v>
      </c>
      <c r="T217" s="82">
        <f>TSIR!$D$1080/100+TSIR!N1044/100</f>
        <v>3.8299999999999994E-2</v>
      </c>
      <c r="U217" s="82">
        <f>TSIR!$E$1080/100+TSIR!O1044/100</f>
        <v>3.8339000000000005E-2</v>
      </c>
      <c r="V217" s="82">
        <f>TSIR!$F$1080/100+TSIR!P1044/100</f>
        <v>3.9500000000000007E-2</v>
      </c>
      <c r="X217" s="84">
        <f t="shared" si="39"/>
        <v>96.181590843512552</v>
      </c>
      <c r="Y217" s="84">
        <f t="shared" si="40"/>
        <v>103.25624142718958</v>
      </c>
      <c r="Z217" s="84">
        <f t="shared" si="41"/>
        <v>91.326650509394042</v>
      </c>
      <c r="AA217" s="84">
        <f t="shared" si="42"/>
        <v>402785421.58381689</v>
      </c>
      <c r="AB217" s="1">
        <f t="shared" si="43"/>
        <v>-2.2630255163996961E-3</v>
      </c>
      <c r="AC217" s="1">
        <v>2.1989420583952042E-3</v>
      </c>
    </row>
    <row r="218" spans="1:29" x14ac:dyDescent="0.2">
      <c r="A218" s="8">
        <v>44510</v>
      </c>
      <c r="B218" s="24">
        <v>0.17</v>
      </c>
      <c r="C218" s="24">
        <v>0.51</v>
      </c>
      <c r="D218" s="24">
        <v>0.83</v>
      </c>
      <c r="E218" s="24">
        <v>1.0303401228183551</v>
      </c>
      <c r="F218" s="24">
        <v>1.23</v>
      </c>
      <c r="G218" s="83">
        <f t="shared" si="35"/>
        <v>99.830288509533787</v>
      </c>
      <c r="H218" s="84">
        <f t="shared" si="38"/>
        <v>112.36920965169756</v>
      </c>
      <c r="I218" s="84">
        <f t="shared" si="36"/>
        <v>103.79901946051959</v>
      </c>
      <c r="J218" s="84">
        <f t="shared" si="37"/>
        <v>446302840.38359958</v>
      </c>
      <c r="L218" s="19">
        <f t="shared" si="44"/>
        <v>0.03</v>
      </c>
      <c r="M218" s="19">
        <f t="shared" si="45"/>
        <v>0.10000000000000003</v>
      </c>
      <c r="N218" s="19">
        <f t="shared" si="45"/>
        <v>0.12</v>
      </c>
      <c r="O218" s="19">
        <f t="shared" si="45"/>
        <v>0.13485640239705576</v>
      </c>
      <c r="P218" s="19">
        <f t="shared" si="45"/>
        <v>0.14999999999999991</v>
      </c>
      <c r="Q218" s="1">
        <v>216</v>
      </c>
      <c r="R218" s="82">
        <f>TSIR!$B$1080/100+TSIR!L1045/100</f>
        <v>3.9100000000000003E-2</v>
      </c>
      <c r="S218" s="82">
        <f>TSIR!$C$1080/100+TSIR!M1045/100</f>
        <v>3.7100000000000001E-2</v>
      </c>
      <c r="T218" s="82">
        <f>TSIR!$D$1080/100+TSIR!N1045/100</f>
        <v>3.73E-2</v>
      </c>
      <c r="U218" s="82">
        <f>TSIR!$E$1080/100+TSIR!O1045/100</f>
        <v>3.7839000000000005E-2</v>
      </c>
      <c r="V218" s="82">
        <f>TSIR!$F$1080/100+TSIR!P1045/100</f>
        <v>3.8599999999999995E-2</v>
      </c>
      <c r="X218" s="84">
        <f t="shared" si="39"/>
        <v>96.237128284092009</v>
      </c>
      <c r="Y218" s="84">
        <f t="shared" si="40"/>
        <v>103.53594649649274</v>
      </c>
      <c r="Z218" s="84">
        <f t="shared" si="41"/>
        <v>91.703150863041074</v>
      </c>
      <c r="AA218" s="84">
        <f t="shared" si="42"/>
        <v>403982940.2756092</v>
      </c>
      <c r="AB218" s="1">
        <f t="shared" si="43"/>
        <v>7.0333973023271239E-4</v>
      </c>
      <c r="AC218" s="1">
        <v>2.2006577379166028E-3</v>
      </c>
    </row>
    <row r="219" spans="1:29" x14ac:dyDescent="0.2">
      <c r="A219" s="8">
        <v>44512</v>
      </c>
      <c r="B219" s="24">
        <v>0.17</v>
      </c>
      <c r="C219" s="24">
        <v>0.53</v>
      </c>
      <c r="D219" s="24">
        <v>0.85</v>
      </c>
      <c r="E219" s="24">
        <v>1.0450503819674906</v>
      </c>
      <c r="F219" s="24">
        <v>1.24</v>
      </c>
      <c r="G219" s="83">
        <f t="shared" si="35"/>
        <v>99.830288509533787</v>
      </c>
      <c r="H219" s="84">
        <f t="shared" si="38"/>
        <v>112.30631361114645</v>
      </c>
      <c r="I219" s="84">
        <f t="shared" si="36"/>
        <v>103.74857466308504</v>
      </c>
      <c r="J219" s="84">
        <f t="shared" si="37"/>
        <v>446195405.25468808</v>
      </c>
      <c r="L219" s="19">
        <f t="shared" si="44"/>
        <v>0</v>
      </c>
      <c r="M219" s="19">
        <f t="shared" si="45"/>
        <v>2.0000000000000018E-2</v>
      </c>
      <c r="N219" s="19">
        <f t="shared" si="45"/>
        <v>2.0000000000000018E-2</v>
      </c>
      <c r="O219" s="19">
        <f t="shared" si="45"/>
        <v>1.4710259149135485E-2</v>
      </c>
      <c r="P219" s="19">
        <f t="shared" si="45"/>
        <v>1.0000000000000009E-2</v>
      </c>
      <c r="Q219" s="1">
        <v>217</v>
      </c>
      <c r="R219" s="82">
        <f>TSIR!$B$1080/100+TSIR!L1046/100</f>
        <v>3.9800000000000002E-2</v>
      </c>
      <c r="S219" s="82">
        <f>TSIR!$C$1080/100+TSIR!M1046/100</f>
        <v>3.7700000000000004E-2</v>
      </c>
      <c r="T219" s="82">
        <f>TSIR!$D$1080/100+TSIR!N1046/100</f>
        <v>3.7899999999999989E-2</v>
      </c>
      <c r="U219" s="82">
        <f>TSIR!$E$1080/100+TSIR!O1046/100</f>
        <v>3.8070000000000007E-2</v>
      </c>
      <c r="V219" s="82">
        <f>TSIR!$F$1080/100+TSIR!P1046/100</f>
        <v>3.9100000000000003E-2</v>
      </c>
      <c r="X219" s="84">
        <f t="shared" si="39"/>
        <v>96.172340834775909</v>
      </c>
      <c r="Y219" s="84">
        <f t="shared" si="40"/>
        <v>103.36427495364539</v>
      </c>
      <c r="Z219" s="84">
        <f t="shared" si="41"/>
        <v>91.492193074823064</v>
      </c>
      <c r="AA219" s="84">
        <f t="shared" si="42"/>
        <v>403267041.53837597</v>
      </c>
      <c r="AB219" s="1">
        <f t="shared" si="43"/>
        <v>-1.0700080670014731E-3</v>
      </c>
      <c r="AC219" s="1">
        <v>2.2370489985921393E-3</v>
      </c>
    </row>
    <row r="220" spans="1:29" x14ac:dyDescent="0.2">
      <c r="A220" s="8">
        <v>44515</v>
      </c>
      <c r="B220" s="24">
        <v>0.18</v>
      </c>
      <c r="C220" s="24">
        <v>0.53</v>
      </c>
      <c r="D220" s="24">
        <v>0.87</v>
      </c>
      <c r="E220" s="24">
        <v>1.0654471321464793</v>
      </c>
      <c r="F220" s="24">
        <v>1.26</v>
      </c>
      <c r="G220" s="83">
        <f t="shared" si="35"/>
        <v>99.820323417847874</v>
      </c>
      <c r="H220" s="84">
        <f t="shared" si="38"/>
        <v>112.24493674930022</v>
      </c>
      <c r="I220" s="84">
        <f t="shared" si="36"/>
        <v>103.65099361958767</v>
      </c>
      <c r="J220" s="84">
        <f t="shared" si="37"/>
        <v>445877216.19009602</v>
      </c>
      <c r="L220" s="19">
        <f t="shared" si="44"/>
        <v>9.9999999999999811E-3</v>
      </c>
      <c r="M220" s="19">
        <f t="shared" si="45"/>
        <v>0</v>
      </c>
      <c r="N220" s="19">
        <f t="shared" si="45"/>
        <v>2.0000000000000018E-2</v>
      </c>
      <c r="O220" s="19">
        <f t="shared" si="45"/>
        <v>2.0396750178988787E-2</v>
      </c>
      <c r="P220" s="19">
        <f t="shared" si="45"/>
        <v>2.0000000000000018E-2</v>
      </c>
      <c r="Q220" s="1">
        <v>218</v>
      </c>
      <c r="R220" s="82">
        <f>TSIR!$B$1080/100+TSIR!L1047/100</f>
        <v>3.8800000000000001E-2</v>
      </c>
      <c r="S220" s="82">
        <f>TSIR!$C$1080/100+TSIR!M1047/100</f>
        <v>3.6400000000000002E-2</v>
      </c>
      <c r="T220" s="82">
        <f>TSIR!$D$1080/100+TSIR!N1047/100</f>
        <v>3.6600000000000001E-2</v>
      </c>
      <c r="U220" s="82">
        <f>TSIR!$E$1080/100+TSIR!O1047/100</f>
        <v>3.7063000000000006E-2</v>
      </c>
      <c r="V220" s="82">
        <f>TSIR!$F$1080/100+TSIR!P1047/100</f>
        <v>3.7700000000000004E-2</v>
      </c>
      <c r="X220" s="84">
        <f t="shared" si="39"/>
        <v>96.264921062764728</v>
      </c>
      <c r="Y220" s="84">
        <f t="shared" si="40"/>
        <v>103.73432958746052</v>
      </c>
      <c r="Z220" s="84">
        <f t="shared" si="41"/>
        <v>92.081668291543664</v>
      </c>
      <c r="AA220" s="84">
        <f t="shared" si="42"/>
        <v>405255020.91051334</v>
      </c>
      <c r="AB220" s="1">
        <f t="shared" si="43"/>
        <v>3.8544018490594932E-3</v>
      </c>
      <c r="AC220" s="1">
        <v>2.3138071275403452E-3</v>
      </c>
    </row>
    <row r="221" spans="1:29" x14ac:dyDescent="0.2">
      <c r="A221" s="8">
        <v>44516</v>
      </c>
      <c r="B221" s="24">
        <v>0.17</v>
      </c>
      <c r="C221" s="24">
        <v>0.54</v>
      </c>
      <c r="D221" s="24">
        <v>0.87</v>
      </c>
      <c r="E221" s="24">
        <v>1.0701907804330411</v>
      </c>
      <c r="F221" s="24">
        <v>1.27</v>
      </c>
      <c r="G221" s="83">
        <f t="shared" si="35"/>
        <v>99.830288509533787</v>
      </c>
      <c r="H221" s="84">
        <f t="shared" si="38"/>
        <v>112.24445088366375</v>
      </c>
      <c r="I221" s="84">
        <f t="shared" si="36"/>
        <v>103.60314454563542</v>
      </c>
      <c r="J221" s="84">
        <f t="shared" si="37"/>
        <v>445706478.87611365</v>
      </c>
      <c r="L221" s="19">
        <f t="shared" si="44"/>
        <v>-9.9999999999999811E-3</v>
      </c>
      <c r="M221" s="19">
        <f t="shared" si="45"/>
        <v>1.0000000000000009E-2</v>
      </c>
      <c r="N221" s="19">
        <f t="shared" si="45"/>
        <v>0</v>
      </c>
      <c r="O221" s="19">
        <f t="shared" si="45"/>
        <v>4.743648286561708E-3</v>
      </c>
      <c r="P221" s="19">
        <f t="shared" si="45"/>
        <v>1.0000000000000009E-2</v>
      </c>
      <c r="Q221" s="1">
        <v>219</v>
      </c>
      <c r="R221" s="82">
        <f>TSIR!$B$1080/100+TSIR!L1048/100</f>
        <v>0.04</v>
      </c>
      <c r="S221" s="82">
        <f>TSIR!$C$1080/100+TSIR!M1048/100</f>
        <v>3.7900000000000003E-2</v>
      </c>
      <c r="T221" s="82">
        <f>TSIR!$D$1080/100+TSIR!N1048/100</f>
        <v>3.769999999999999E-2</v>
      </c>
      <c r="U221" s="82">
        <f>TSIR!$E$1080/100+TSIR!O1048/100</f>
        <v>3.8072000000000002E-2</v>
      </c>
      <c r="V221" s="82">
        <f>TSIR!$F$1080/100+TSIR!P1048/100</f>
        <v>3.9300000000000002E-2</v>
      </c>
      <c r="X221" s="84">
        <f t="shared" si="39"/>
        <v>96.153846153846146</v>
      </c>
      <c r="Y221" s="84">
        <f t="shared" si="40"/>
        <v>103.41587165769073</v>
      </c>
      <c r="Z221" s="84">
        <f t="shared" si="41"/>
        <v>91.411143522424766</v>
      </c>
      <c r="AA221" s="84">
        <f t="shared" si="42"/>
        <v>402828458.91085529</v>
      </c>
      <c r="AB221" s="1">
        <f t="shared" si="43"/>
        <v>-2.1564180520572307E-3</v>
      </c>
      <c r="AC221" s="1">
        <v>2.3237460917375939E-3</v>
      </c>
    </row>
    <row r="222" spans="1:29" x14ac:dyDescent="0.2">
      <c r="A222" s="8">
        <v>44517</v>
      </c>
      <c r="B222" s="24">
        <v>0.18</v>
      </c>
      <c r="C222" s="24">
        <v>0.52</v>
      </c>
      <c r="D222" s="24">
        <v>0.85</v>
      </c>
      <c r="E222" s="24">
        <v>1.0453556813490013</v>
      </c>
      <c r="F222" s="24">
        <v>1.24</v>
      </c>
      <c r="G222" s="83">
        <f t="shared" si="35"/>
        <v>99.820323417847874</v>
      </c>
      <c r="H222" s="84">
        <f t="shared" si="38"/>
        <v>112.3067997705063</v>
      </c>
      <c r="I222" s="84">
        <f t="shared" si="36"/>
        <v>103.74874594021097</v>
      </c>
      <c r="J222" s="84">
        <f t="shared" si="37"/>
        <v>446175430.94078016</v>
      </c>
      <c r="L222" s="19">
        <f t="shared" si="44"/>
        <v>9.9999999999999811E-3</v>
      </c>
      <c r="M222" s="19">
        <f t="shared" si="45"/>
        <v>-2.0000000000000018E-2</v>
      </c>
      <c r="N222" s="19">
        <f t="shared" si="45"/>
        <v>-2.0000000000000018E-2</v>
      </c>
      <c r="O222" s="19">
        <f t="shared" si="45"/>
        <v>-2.4835099084039802E-2</v>
      </c>
      <c r="P222" s="19">
        <f t="shared" si="45"/>
        <v>-3.0000000000000027E-2</v>
      </c>
      <c r="Q222" s="1">
        <v>220</v>
      </c>
      <c r="R222" s="82">
        <f>TSIR!$B$1080/100+TSIR!L1049/100</f>
        <v>3.9899999999999998E-2</v>
      </c>
      <c r="S222" s="82">
        <f>TSIR!$C$1080/100+TSIR!M1049/100</f>
        <v>3.8100000000000002E-2</v>
      </c>
      <c r="T222" s="82">
        <f>TSIR!$D$1080/100+TSIR!N1049/100</f>
        <v>3.8199999999999998E-2</v>
      </c>
      <c r="U222" s="82">
        <f>TSIR!$E$1080/100+TSIR!O1049/100</f>
        <v>3.8306000000000007E-2</v>
      </c>
      <c r="V222" s="82">
        <f>TSIR!$F$1080/100+TSIR!P1049/100</f>
        <v>3.9399999999999998E-2</v>
      </c>
      <c r="X222" s="84">
        <f t="shared" si="39"/>
        <v>96.163092605058168</v>
      </c>
      <c r="Y222" s="84">
        <f t="shared" si="40"/>
        <v>103.2788472333484</v>
      </c>
      <c r="Z222" s="84">
        <f t="shared" si="41"/>
        <v>91.366018768134026</v>
      </c>
      <c r="AA222" s="84">
        <f t="shared" si="42"/>
        <v>402871989.43262982</v>
      </c>
      <c r="AB222" s="1">
        <f t="shared" si="43"/>
        <v>-2.0485888984542256E-3</v>
      </c>
      <c r="AC222" s="1">
        <v>2.3278068204930558E-3</v>
      </c>
    </row>
    <row r="223" spans="1:29" x14ac:dyDescent="0.2">
      <c r="A223" s="8">
        <v>44518</v>
      </c>
      <c r="B223" s="24">
        <v>0.18</v>
      </c>
      <c r="C223" s="24">
        <v>0.52</v>
      </c>
      <c r="D223" s="24">
        <v>0.84</v>
      </c>
      <c r="E223" s="24">
        <v>1.030484175202141</v>
      </c>
      <c r="F223" s="24">
        <v>1.22</v>
      </c>
      <c r="G223" s="83">
        <f t="shared" si="35"/>
        <v>99.820323417847874</v>
      </c>
      <c r="H223" s="84">
        <f t="shared" si="38"/>
        <v>112.33725718797804</v>
      </c>
      <c r="I223" s="84">
        <f t="shared" si="36"/>
        <v>103.8452420646378</v>
      </c>
      <c r="J223" s="84">
        <f t="shared" si="37"/>
        <v>446515729.31227982</v>
      </c>
      <c r="L223" s="19">
        <f t="shared" si="44"/>
        <v>0</v>
      </c>
      <c r="M223" s="19">
        <f t="shared" si="45"/>
        <v>0</v>
      </c>
      <c r="N223" s="19">
        <f t="shared" si="45"/>
        <v>-1.0000000000000009E-2</v>
      </c>
      <c r="O223" s="19">
        <f t="shared" si="45"/>
        <v>-1.487150614686028E-2</v>
      </c>
      <c r="P223" s="19">
        <f t="shared" si="45"/>
        <v>-2.0000000000000018E-2</v>
      </c>
      <c r="Q223" s="1">
        <v>221</v>
      </c>
      <c r="R223" s="82">
        <f>TSIR!$B$1080/100+TSIR!L1050/100</f>
        <v>3.9100000000000003E-2</v>
      </c>
      <c r="S223" s="82">
        <f>TSIR!$C$1080/100+TSIR!M1050/100</f>
        <v>3.6700000000000003E-2</v>
      </c>
      <c r="T223" s="82">
        <f>TSIR!$D$1080/100+TSIR!N1050/100</f>
        <v>3.7099999999999994E-2</v>
      </c>
      <c r="U223" s="82">
        <f>TSIR!$E$1080/100+TSIR!O1050/100</f>
        <v>3.7522E-2</v>
      </c>
      <c r="V223" s="82">
        <f>TSIR!$F$1080/100+TSIR!P1050/100</f>
        <v>3.8099999999999995E-2</v>
      </c>
      <c r="X223" s="84">
        <f t="shared" si="39"/>
        <v>96.237128284092009</v>
      </c>
      <c r="Y223" s="84">
        <f t="shared" si="40"/>
        <v>103.59397101355367</v>
      </c>
      <c r="Z223" s="84">
        <f t="shared" si="41"/>
        <v>91.911190144496302</v>
      </c>
      <c r="AA223" s="84">
        <f t="shared" si="42"/>
        <v>404728060.62583876</v>
      </c>
      <c r="AB223" s="1">
        <f t="shared" si="43"/>
        <v>2.5490721823678989E-3</v>
      </c>
      <c r="AC223" s="1">
        <v>2.330627699302144E-3</v>
      </c>
    </row>
    <row r="224" spans="1:29" x14ac:dyDescent="0.2">
      <c r="A224" s="8">
        <v>44519</v>
      </c>
      <c r="B224" s="24">
        <v>0.18</v>
      </c>
      <c r="C224" s="24">
        <v>0.52</v>
      </c>
      <c r="D224" s="24">
        <v>0.86</v>
      </c>
      <c r="E224" s="24">
        <v>1.0404579369412792</v>
      </c>
      <c r="F224" s="24">
        <v>1.22</v>
      </c>
      <c r="G224" s="83">
        <f t="shared" si="35"/>
        <v>99.820323417847874</v>
      </c>
      <c r="H224" s="84">
        <f t="shared" si="38"/>
        <v>112.27635443092386</v>
      </c>
      <c r="I224" s="84">
        <f t="shared" si="36"/>
        <v>103.84332416845069</v>
      </c>
      <c r="J224" s="84">
        <f t="shared" si="37"/>
        <v>446599411.86311275</v>
      </c>
      <c r="L224" s="19">
        <f t="shared" si="44"/>
        <v>0</v>
      </c>
      <c r="M224" s="19">
        <f t="shared" si="45"/>
        <v>0</v>
      </c>
      <c r="N224" s="19">
        <f t="shared" si="45"/>
        <v>2.0000000000000018E-2</v>
      </c>
      <c r="O224" s="19">
        <f t="shared" si="45"/>
        <v>9.9737617391382205E-3</v>
      </c>
      <c r="P224" s="19">
        <f t="shared" si="45"/>
        <v>0</v>
      </c>
      <c r="Q224" s="1">
        <v>222</v>
      </c>
      <c r="R224" s="82">
        <f>TSIR!$B$1080/100+TSIR!L1051/100</f>
        <v>4.0099999999999997E-2</v>
      </c>
      <c r="S224" s="82">
        <f>TSIR!$C$1080/100+TSIR!M1051/100</f>
        <v>3.8199999999999998E-2</v>
      </c>
      <c r="T224" s="82">
        <f>TSIR!$D$1080/100+TSIR!N1051/100</f>
        <v>3.8299999999999994E-2</v>
      </c>
      <c r="U224" s="82">
        <f>TSIR!$E$1080/100+TSIR!O1051/100</f>
        <v>3.8276000000000004E-2</v>
      </c>
      <c r="V224" s="82">
        <f>TSIR!$F$1080/100+TSIR!P1051/100</f>
        <v>3.9500000000000007E-2</v>
      </c>
      <c r="X224" s="84">
        <f t="shared" si="39"/>
        <v>96.144601480626861</v>
      </c>
      <c r="Y224" s="84">
        <f t="shared" si="40"/>
        <v>103.24992058753837</v>
      </c>
      <c r="Z224" s="84">
        <f t="shared" si="41"/>
        <v>91.324539812087281</v>
      </c>
      <c r="AA224" s="84">
        <f t="shared" si="42"/>
        <v>402712481.32829535</v>
      </c>
      <c r="AB224" s="1">
        <f t="shared" si="43"/>
        <v>-2.4437053175105565E-3</v>
      </c>
      <c r="AC224" s="1">
        <v>2.3358347824160761E-3</v>
      </c>
    </row>
    <row r="225" spans="1:29" x14ac:dyDescent="0.2">
      <c r="A225" s="8">
        <v>44522</v>
      </c>
      <c r="B225" s="24">
        <v>0.2</v>
      </c>
      <c r="C225" s="24">
        <v>0.63</v>
      </c>
      <c r="D225" s="24">
        <v>0.95</v>
      </c>
      <c r="E225" s="24">
        <v>1.1403674319553834</v>
      </c>
      <c r="F225" s="24">
        <v>1.33</v>
      </c>
      <c r="G225" s="83">
        <f t="shared" si="35"/>
        <v>99.800399201596804</v>
      </c>
      <c r="H225" s="84">
        <f t="shared" si="38"/>
        <v>111.99108026446649</v>
      </c>
      <c r="I225" s="84">
        <f t="shared" si="36"/>
        <v>103.30588452230847</v>
      </c>
      <c r="J225" s="84">
        <f t="shared" si="37"/>
        <v>444837716.09572774</v>
      </c>
      <c r="L225" s="19">
        <f t="shared" si="44"/>
        <v>2.0000000000000018E-2</v>
      </c>
      <c r="M225" s="19">
        <f t="shared" si="45"/>
        <v>0.10999999999999999</v>
      </c>
      <c r="N225" s="19">
        <f t="shared" si="45"/>
        <v>8.9999999999999969E-2</v>
      </c>
      <c r="O225" s="19">
        <f t="shared" si="45"/>
        <v>9.9909495014104177E-2</v>
      </c>
      <c r="P225" s="19">
        <f t="shared" si="45"/>
        <v>0.1100000000000001</v>
      </c>
      <c r="Q225" s="1">
        <v>223</v>
      </c>
      <c r="R225" s="82">
        <f>TSIR!$B$1080/100+TSIR!L1052/100</f>
        <v>3.9700000000000006E-2</v>
      </c>
      <c r="S225" s="82">
        <f>TSIR!$C$1080/100+TSIR!M1052/100</f>
        <v>3.78E-2</v>
      </c>
      <c r="T225" s="82">
        <f>TSIR!$D$1080/100+TSIR!N1052/100</f>
        <v>3.7899999999999996E-2</v>
      </c>
      <c r="U225" s="82">
        <f>TSIR!$E$1080/100+TSIR!O1052/100</f>
        <v>3.8088999999999998E-2</v>
      </c>
      <c r="V225" s="82">
        <f>TSIR!$F$1080/100+TSIR!P1052/100</f>
        <v>3.9000000000000007E-2</v>
      </c>
      <c r="X225" s="84">
        <f t="shared" si="39"/>
        <v>96.181590843512552</v>
      </c>
      <c r="Y225" s="84">
        <f t="shared" si="40"/>
        <v>103.36384266273477</v>
      </c>
      <c r="Z225" s="84">
        <f t="shared" si="41"/>
        <v>91.53242172316331</v>
      </c>
      <c r="AA225" s="84">
        <f t="shared" si="42"/>
        <v>403447104.58557618</v>
      </c>
      <c r="AB225" s="1">
        <f t="shared" si="43"/>
        <v>-6.2397514152121687E-4</v>
      </c>
      <c r="AC225" s="1">
        <v>2.3595419202218121E-3</v>
      </c>
    </row>
    <row r="226" spans="1:29" x14ac:dyDescent="0.2">
      <c r="A226" s="8">
        <v>44523</v>
      </c>
      <c r="B226" s="24">
        <v>0.21</v>
      </c>
      <c r="C226" s="24">
        <v>0.6</v>
      </c>
      <c r="D226" s="24">
        <v>0.95</v>
      </c>
      <c r="E226" s="24">
        <v>1.1400480727607267</v>
      </c>
      <c r="F226" s="24">
        <v>1.33</v>
      </c>
      <c r="G226" s="83">
        <f t="shared" si="35"/>
        <v>99.790440075840735</v>
      </c>
      <c r="H226" s="84">
        <f t="shared" si="38"/>
        <v>111.99352763220018</v>
      </c>
      <c r="I226" s="84">
        <f t="shared" si="36"/>
        <v>103.30688761012115</v>
      </c>
      <c r="J226" s="84">
        <f t="shared" si="37"/>
        <v>444818139.14386582</v>
      </c>
      <c r="L226" s="19">
        <f t="shared" si="44"/>
        <v>9.9999999999999811E-3</v>
      </c>
      <c r="M226" s="19">
        <f t="shared" si="45"/>
        <v>-3.0000000000000027E-2</v>
      </c>
      <c r="N226" s="19">
        <f t="shared" si="45"/>
        <v>0</v>
      </c>
      <c r="O226" s="19">
        <f t="shared" si="45"/>
        <v>-3.193591946566432E-4</v>
      </c>
      <c r="P226" s="19">
        <f t="shared" si="45"/>
        <v>0</v>
      </c>
      <c r="Q226" s="1">
        <v>224</v>
      </c>
      <c r="R226" s="82">
        <f>TSIR!$B$1080/100+TSIR!L1053/100</f>
        <v>3.9699999999999999E-2</v>
      </c>
      <c r="S226" s="82">
        <f>TSIR!$C$1080/100+TSIR!M1053/100</f>
        <v>3.7200000000000004E-2</v>
      </c>
      <c r="T226" s="82">
        <f>TSIR!$D$1080/100+TSIR!N1053/100</f>
        <v>3.7399999999999989E-2</v>
      </c>
      <c r="U226" s="82">
        <f>TSIR!$E$1080/100+TSIR!O1053/100</f>
        <v>3.7735000000000005E-2</v>
      </c>
      <c r="V226" s="82">
        <f>TSIR!$F$1080/100+TSIR!P1053/100</f>
        <v>3.8400000000000004E-2</v>
      </c>
      <c r="X226" s="84">
        <f t="shared" si="39"/>
        <v>96.181590843512552</v>
      </c>
      <c r="Y226" s="84">
        <f t="shared" si="40"/>
        <v>103.50507074840168</v>
      </c>
      <c r="Z226" s="84">
        <f t="shared" si="41"/>
        <v>91.783167825054605</v>
      </c>
      <c r="AA226" s="84">
        <f t="shared" si="42"/>
        <v>404238246.86464095</v>
      </c>
      <c r="AB226" s="1">
        <f t="shared" si="43"/>
        <v>1.3357579113690541E-3</v>
      </c>
      <c r="AC226" s="1">
        <v>2.4660987938697728E-3</v>
      </c>
    </row>
    <row r="227" spans="1:29" x14ac:dyDescent="0.2">
      <c r="A227" s="8">
        <v>44524</v>
      </c>
      <c r="B227" s="24">
        <v>0.24</v>
      </c>
      <c r="C227" s="24">
        <v>0.64</v>
      </c>
      <c r="D227" s="24">
        <v>0.97</v>
      </c>
      <c r="E227" s="24">
        <v>1.155430779582131</v>
      </c>
      <c r="F227" s="24">
        <v>1.34</v>
      </c>
      <c r="G227" s="83">
        <f t="shared" si="35"/>
        <v>99.760574620909821</v>
      </c>
      <c r="H227" s="84">
        <f t="shared" si="38"/>
        <v>111.92747007956847</v>
      </c>
      <c r="I227" s="84">
        <f t="shared" si="36"/>
        <v>103.25530314666784</v>
      </c>
      <c r="J227" s="84">
        <f t="shared" si="37"/>
        <v>444651156.70913827</v>
      </c>
      <c r="L227" s="19">
        <f t="shared" si="44"/>
        <v>0.03</v>
      </c>
      <c r="M227" s="19">
        <f t="shared" si="45"/>
        <v>4.0000000000000036E-2</v>
      </c>
      <c r="N227" s="19">
        <f t="shared" si="45"/>
        <v>2.0000000000000018E-2</v>
      </c>
      <c r="O227" s="19">
        <f t="shared" si="45"/>
        <v>1.5382706821404302E-2</v>
      </c>
      <c r="P227" s="19">
        <f t="shared" si="45"/>
        <v>1.0000000000000009E-2</v>
      </c>
      <c r="Q227" s="1">
        <v>225</v>
      </c>
      <c r="R227" s="82">
        <f>TSIR!$B$1080/100+TSIR!L1054/100</f>
        <v>3.9199999999999999E-2</v>
      </c>
      <c r="S227" s="82">
        <f>TSIR!$C$1080/100+TSIR!M1054/100</f>
        <v>3.6900000000000002E-2</v>
      </c>
      <c r="T227" s="82">
        <f>TSIR!$D$1080/100+TSIR!N1054/100</f>
        <v>3.6999999999999998E-2</v>
      </c>
      <c r="U227" s="82">
        <f>TSIR!$E$1080/100+TSIR!O1054/100</f>
        <v>3.7506000000000005E-2</v>
      </c>
      <c r="V227" s="82">
        <f>TSIR!$F$1080/100+TSIR!P1054/100</f>
        <v>3.8400000000000004E-2</v>
      </c>
      <c r="X227" s="84">
        <f t="shared" si="39"/>
        <v>96.22786759045421</v>
      </c>
      <c r="Y227" s="84">
        <f t="shared" si="40"/>
        <v>103.61894749372708</v>
      </c>
      <c r="Z227" s="84">
        <f t="shared" si="41"/>
        <v>91.788766173953505</v>
      </c>
      <c r="AA227" s="84">
        <f t="shared" si="42"/>
        <v>404182378.63613182</v>
      </c>
      <c r="AB227" s="1">
        <f t="shared" si="43"/>
        <v>1.1973671099759198E-3</v>
      </c>
      <c r="AC227" s="1">
        <v>2.5180204934686524E-3</v>
      </c>
    </row>
    <row r="228" spans="1:29" x14ac:dyDescent="0.2">
      <c r="A228" s="8">
        <v>44526</v>
      </c>
      <c r="B228" s="24">
        <v>0.2</v>
      </c>
      <c r="C228" s="24">
        <v>0.5</v>
      </c>
      <c r="D228" s="24">
        <v>0.81</v>
      </c>
      <c r="E228" s="24">
        <v>0.98508515912623695</v>
      </c>
      <c r="F228" s="24">
        <v>1.1599999999999999</v>
      </c>
      <c r="G228" s="83">
        <f t="shared" si="35"/>
        <v>99.800399201596804</v>
      </c>
      <c r="H228" s="84">
        <f t="shared" si="38"/>
        <v>112.42967546635838</v>
      </c>
      <c r="I228" s="84">
        <f t="shared" si="36"/>
        <v>104.13586122689604</v>
      </c>
      <c r="J228" s="84">
        <f t="shared" si="37"/>
        <v>447499730.11124015</v>
      </c>
      <c r="L228" s="19">
        <f t="shared" si="44"/>
        <v>-3.999999999999998E-2</v>
      </c>
      <c r="M228" s="19">
        <f t="shared" si="45"/>
        <v>-0.14000000000000001</v>
      </c>
      <c r="N228" s="19">
        <f t="shared" si="45"/>
        <v>-0.15999999999999992</v>
      </c>
      <c r="O228" s="19">
        <f t="shared" si="45"/>
        <v>-0.17034562045589408</v>
      </c>
      <c r="P228" s="19">
        <f t="shared" si="45"/>
        <v>-0.18000000000000016</v>
      </c>
      <c r="Q228" s="1">
        <v>226</v>
      </c>
      <c r="R228" s="82">
        <f>TSIR!$B$1080/100+TSIR!L1055/100</f>
        <v>3.9100000000000003E-2</v>
      </c>
      <c r="S228" s="82">
        <f>TSIR!$C$1080/100+TSIR!M1055/100</f>
        <v>3.7000000000000005E-2</v>
      </c>
      <c r="T228" s="82">
        <f>TSIR!$D$1080/100+TSIR!N1055/100</f>
        <v>3.7399999999999996E-2</v>
      </c>
      <c r="U228" s="82">
        <f>TSIR!$E$1080/100+TSIR!O1055/100</f>
        <v>3.7573000000000002E-2</v>
      </c>
      <c r="V228" s="82">
        <f>TSIR!$F$1080/100+TSIR!P1055/100</f>
        <v>3.8599999999999995E-2</v>
      </c>
      <c r="X228" s="84">
        <f t="shared" si="39"/>
        <v>96.237128284092009</v>
      </c>
      <c r="Y228" s="84">
        <f t="shared" si="40"/>
        <v>103.50964057011021</v>
      </c>
      <c r="Z228" s="84">
        <f t="shared" si="41"/>
        <v>91.704759840856326</v>
      </c>
      <c r="AA228" s="84">
        <f t="shared" si="42"/>
        <v>404028835.07644403</v>
      </c>
      <c r="AB228" s="1">
        <f t="shared" si="43"/>
        <v>8.1702542309969339E-4</v>
      </c>
      <c r="AC228" s="1">
        <v>2.5490721823678989E-3</v>
      </c>
    </row>
    <row r="229" spans="1:29" x14ac:dyDescent="0.2">
      <c r="A229" s="8">
        <v>44529</v>
      </c>
      <c r="B229" s="24">
        <v>0.21</v>
      </c>
      <c r="C229" s="24">
        <v>0.51</v>
      </c>
      <c r="D229" s="24">
        <v>0.83</v>
      </c>
      <c r="E229" s="24">
        <v>1.0051333846979462</v>
      </c>
      <c r="F229" s="24">
        <v>1.18</v>
      </c>
      <c r="G229" s="83">
        <f t="shared" si="35"/>
        <v>99.790440075840735</v>
      </c>
      <c r="H229" s="84">
        <f t="shared" si="38"/>
        <v>112.36721723001291</v>
      </c>
      <c r="I229" s="84">
        <f t="shared" si="36"/>
        <v>104.03745631252556</v>
      </c>
      <c r="J229" s="84">
        <f t="shared" si="37"/>
        <v>447179879.55676436</v>
      </c>
      <c r="L229" s="19">
        <f t="shared" si="44"/>
        <v>9.9999999999999811E-3</v>
      </c>
      <c r="M229" s="19">
        <f t="shared" si="45"/>
        <v>1.0000000000000009E-2</v>
      </c>
      <c r="N229" s="19">
        <f t="shared" si="45"/>
        <v>1.9999999999999907E-2</v>
      </c>
      <c r="O229" s="19">
        <f t="shared" si="45"/>
        <v>2.0048225571709266E-2</v>
      </c>
      <c r="P229" s="19">
        <f t="shared" si="45"/>
        <v>2.0000000000000018E-2</v>
      </c>
      <c r="Q229" s="1">
        <v>227</v>
      </c>
      <c r="R229" s="82">
        <f>TSIR!$B$1080/100+TSIR!L1056/100</f>
        <v>3.9300000000000002E-2</v>
      </c>
      <c r="S229" s="82">
        <f>TSIR!$C$1080/100+TSIR!M1056/100</f>
        <v>3.73E-2</v>
      </c>
      <c r="T229" s="82">
        <f>TSIR!$D$1080/100+TSIR!N1056/100</f>
        <v>3.7499999999999992E-2</v>
      </c>
      <c r="U229" s="82">
        <f>TSIR!$E$1080/100+TSIR!O1056/100</f>
        <v>3.7770000000000005E-2</v>
      </c>
      <c r="V229" s="82">
        <f>TSIR!$F$1080/100+TSIR!P1056/100</f>
        <v>3.8700000000000005E-2</v>
      </c>
      <c r="X229" s="84">
        <f t="shared" si="39"/>
        <v>96.218608678918514</v>
      </c>
      <c r="Y229" s="84">
        <f t="shared" si="40"/>
        <v>103.4788335100433</v>
      </c>
      <c r="Z229" s="84">
        <f t="shared" si="41"/>
        <v>91.660864539854515</v>
      </c>
      <c r="AA229" s="84">
        <f t="shared" si="42"/>
        <v>403862425.25219011</v>
      </c>
      <c r="AB229" s="1">
        <f t="shared" si="43"/>
        <v>4.0481280149441972E-4</v>
      </c>
      <c r="AC229" s="1">
        <v>2.6740852232461738E-3</v>
      </c>
    </row>
    <row r="230" spans="1:29" x14ac:dyDescent="0.2">
      <c r="A230" s="8">
        <v>44530</v>
      </c>
      <c r="B230" s="24">
        <v>0.24</v>
      </c>
      <c r="C230" s="24">
        <v>0.52</v>
      </c>
      <c r="D230" s="24">
        <v>0.81</v>
      </c>
      <c r="E230" s="24">
        <v>0.97518004254072821</v>
      </c>
      <c r="F230" s="24">
        <v>1.1399999999999999</v>
      </c>
      <c r="G230" s="83">
        <f t="shared" si="35"/>
        <v>99.760574620909821</v>
      </c>
      <c r="H230" s="84">
        <f t="shared" si="38"/>
        <v>112.42571452779791</v>
      </c>
      <c r="I230" s="84">
        <f t="shared" si="36"/>
        <v>104.23026836223697</v>
      </c>
      <c r="J230" s="84">
        <f t="shared" si="37"/>
        <v>447803650.89907068</v>
      </c>
      <c r="L230" s="19">
        <f t="shared" si="44"/>
        <v>0.03</v>
      </c>
      <c r="M230" s="19">
        <f t="shared" si="45"/>
        <v>1.0000000000000009E-2</v>
      </c>
      <c r="N230" s="19">
        <f t="shared" si="45"/>
        <v>-1.9999999999999907E-2</v>
      </c>
      <c r="O230" s="19">
        <f t="shared" si="45"/>
        <v>-2.995334215721801E-2</v>
      </c>
      <c r="P230" s="19">
        <f t="shared" si="45"/>
        <v>-4.0000000000000036E-2</v>
      </c>
      <c r="Q230" s="1">
        <v>228</v>
      </c>
      <c r="R230" s="82">
        <f>TSIR!$B$1080/100+TSIR!L1057/100</f>
        <v>4.0200000000000007E-2</v>
      </c>
      <c r="S230" s="82">
        <f>TSIR!$C$1080/100+TSIR!M1057/100</f>
        <v>3.8400000000000004E-2</v>
      </c>
      <c r="T230" s="82">
        <f>TSIR!$D$1080/100+TSIR!N1057/100</f>
        <v>3.8499999999999993E-2</v>
      </c>
      <c r="U230" s="82">
        <f>TSIR!$E$1080/100+TSIR!O1057/100</f>
        <v>3.8548000000000006E-2</v>
      </c>
      <c r="V230" s="82">
        <f>TSIR!$F$1080/100+TSIR!P1057/100</f>
        <v>3.9699999999999999E-2</v>
      </c>
      <c r="X230" s="84">
        <f t="shared" si="39"/>
        <v>96.135358584887527</v>
      </c>
      <c r="Y230" s="84">
        <f t="shared" si="40"/>
        <v>103.19348635714476</v>
      </c>
      <c r="Z230" s="84">
        <f t="shared" si="41"/>
        <v>91.240007559883225</v>
      </c>
      <c r="AA230" s="84">
        <f t="shared" si="42"/>
        <v>402440517.87359083</v>
      </c>
      <c r="AB230" s="1">
        <f t="shared" si="43"/>
        <v>-3.1173841050893486E-3</v>
      </c>
      <c r="AC230" s="1">
        <v>2.7318613486731133E-3</v>
      </c>
    </row>
    <row r="231" spans="1:29" x14ac:dyDescent="0.2">
      <c r="A231" s="8">
        <v>44531</v>
      </c>
      <c r="B231" s="24">
        <v>0.25</v>
      </c>
      <c r="C231" s="24">
        <v>0.56000000000000005</v>
      </c>
      <c r="D231" s="24">
        <v>0.85</v>
      </c>
      <c r="E231" s="24">
        <v>1.0001584597440778</v>
      </c>
      <c r="F231" s="24">
        <v>1.1499999999999999</v>
      </c>
      <c r="G231" s="83">
        <f t="shared" si="35"/>
        <v>99.750623441396513</v>
      </c>
      <c r="H231" s="84">
        <f t="shared" si="38"/>
        <v>112.29937887778017</v>
      </c>
      <c r="I231" s="84">
        <f t="shared" si="36"/>
        <v>104.17663805238571</v>
      </c>
      <c r="J231" s="84">
        <f t="shared" si="37"/>
        <v>447758730.77566564</v>
      </c>
      <c r="L231" s="19">
        <f t="shared" si="44"/>
        <v>1.0000000000000009E-2</v>
      </c>
      <c r="M231" s="19">
        <f t="shared" si="45"/>
        <v>4.0000000000000036E-2</v>
      </c>
      <c r="N231" s="19">
        <f t="shared" si="45"/>
        <v>3.9999999999999925E-2</v>
      </c>
      <c r="O231" s="19">
        <f t="shared" si="45"/>
        <v>2.497841720334959E-2</v>
      </c>
      <c r="P231" s="19">
        <f t="shared" si="45"/>
        <v>1.0000000000000009E-2</v>
      </c>
      <c r="Q231" s="1">
        <v>229</v>
      </c>
      <c r="R231" s="82">
        <f>TSIR!$B$1080/100+TSIR!L1058/100</f>
        <v>3.9299999999999995E-2</v>
      </c>
      <c r="S231" s="82">
        <f>TSIR!$C$1080/100+TSIR!M1058/100</f>
        <v>3.6600000000000001E-2</v>
      </c>
      <c r="T231" s="82">
        <f>TSIR!$D$1080/100+TSIR!N1058/100</f>
        <v>3.73E-2</v>
      </c>
      <c r="U231" s="82">
        <f>TSIR!$E$1080/100+TSIR!O1058/100</f>
        <v>3.7788000000000002E-2</v>
      </c>
      <c r="V231" s="82">
        <f>TSIR!$F$1080/100+TSIR!P1058/100</f>
        <v>3.8600000000000002E-2</v>
      </c>
      <c r="X231" s="84">
        <f t="shared" si="39"/>
        <v>96.218608678918514</v>
      </c>
      <c r="Y231" s="84">
        <f t="shared" si="40"/>
        <v>103.53950613395489</v>
      </c>
      <c r="Z231" s="84">
        <f t="shared" si="41"/>
        <v>91.704913611796343</v>
      </c>
      <c r="AA231" s="84">
        <f t="shared" si="42"/>
        <v>403947612.60409009</v>
      </c>
      <c r="AB231" s="1">
        <f t="shared" si="43"/>
        <v>6.1582980011056887E-4</v>
      </c>
      <c r="AC231" s="1">
        <v>2.7324427511152103E-3</v>
      </c>
    </row>
    <row r="232" spans="1:29" x14ac:dyDescent="0.2">
      <c r="A232" s="8">
        <v>44532</v>
      </c>
      <c r="B232" s="24">
        <v>0.27</v>
      </c>
      <c r="C232" s="24">
        <v>0.63</v>
      </c>
      <c r="D232" s="24">
        <v>0.9</v>
      </c>
      <c r="E232" s="24">
        <v>1.0552779740598646</v>
      </c>
      <c r="F232" s="24">
        <v>1.21</v>
      </c>
      <c r="G232" s="83">
        <f t="shared" si="35"/>
        <v>99.730727037000108</v>
      </c>
      <c r="H232" s="84">
        <f t="shared" si="38"/>
        <v>112.1394014949134</v>
      </c>
      <c r="I232" s="84">
        <f t="shared" si="36"/>
        <v>103.88119975449237</v>
      </c>
      <c r="J232" s="84">
        <f t="shared" si="37"/>
        <v>446777150.8495996</v>
      </c>
      <c r="L232" s="19">
        <f t="shared" si="44"/>
        <v>2.0000000000000018E-2</v>
      </c>
      <c r="M232" s="19">
        <f t="shared" si="45"/>
        <v>6.9999999999999951E-2</v>
      </c>
      <c r="N232" s="19">
        <f t="shared" si="45"/>
        <v>5.0000000000000044E-2</v>
      </c>
      <c r="O232" s="19">
        <f t="shared" si="45"/>
        <v>5.5119514315786766E-2</v>
      </c>
      <c r="P232" s="19">
        <f t="shared" si="45"/>
        <v>6.0000000000000053E-2</v>
      </c>
      <c r="Q232" s="1">
        <v>230</v>
      </c>
      <c r="R232" s="82">
        <f>TSIR!$B$1080/100+TSIR!L1059/100</f>
        <v>3.9599999999999996E-2</v>
      </c>
      <c r="S232" s="82">
        <f>TSIR!$C$1080/100+TSIR!M1059/100</f>
        <v>3.7600000000000001E-2</v>
      </c>
      <c r="T232" s="82">
        <f>TSIR!$D$1080/100+TSIR!N1059/100</f>
        <v>3.7899999999999989E-2</v>
      </c>
      <c r="U232" s="82">
        <f>TSIR!$E$1080/100+TSIR!O1059/100</f>
        <v>3.8040000000000004E-2</v>
      </c>
      <c r="V232" s="82">
        <f>TSIR!$F$1080/100+TSIR!P1059/100</f>
        <v>3.8899999999999997E-2</v>
      </c>
      <c r="X232" s="84">
        <f t="shared" si="39"/>
        <v>96.19084263178145</v>
      </c>
      <c r="Y232" s="84">
        <f t="shared" si="40"/>
        <v>103.36609509356552</v>
      </c>
      <c r="Z232" s="84">
        <f t="shared" si="41"/>
        <v>91.5741989740295</v>
      </c>
      <c r="AA232" s="84">
        <f t="shared" si="42"/>
        <v>403629338.51933259</v>
      </c>
      <c r="AB232" s="1">
        <f t="shared" si="43"/>
        <v>-1.725647280077014E-4</v>
      </c>
      <c r="AC232" s="1">
        <v>2.9762481076628122E-3</v>
      </c>
    </row>
    <row r="233" spans="1:29" x14ac:dyDescent="0.2">
      <c r="A233" s="8">
        <v>44533</v>
      </c>
      <c r="B233" s="24">
        <v>0.26</v>
      </c>
      <c r="C233" s="24">
        <v>0.6</v>
      </c>
      <c r="D233" s="24">
        <v>0.86</v>
      </c>
      <c r="E233" s="24">
        <v>0.99510557055563575</v>
      </c>
      <c r="F233" s="24">
        <v>1.1299999999999999</v>
      </c>
      <c r="G233" s="83">
        <f t="shared" si="35"/>
        <v>99.740674246957923</v>
      </c>
      <c r="H233" s="84">
        <f t="shared" si="38"/>
        <v>112.26450487854204</v>
      </c>
      <c r="I233" s="84">
        <f t="shared" si="36"/>
        <v>104.26996466491866</v>
      </c>
      <c r="J233" s="84">
        <f t="shared" si="37"/>
        <v>448164449.8357774</v>
      </c>
      <c r="L233" s="19">
        <f t="shared" si="44"/>
        <v>-1.0000000000000009E-2</v>
      </c>
      <c r="M233" s="19">
        <f t="shared" si="45"/>
        <v>-3.0000000000000027E-2</v>
      </c>
      <c r="N233" s="19">
        <f t="shared" si="45"/>
        <v>-4.0000000000000036E-2</v>
      </c>
      <c r="O233" s="19">
        <f t="shared" si="45"/>
        <v>-6.0172403504228811E-2</v>
      </c>
      <c r="P233" s="19">
        <f t="shared" si="45"/>
        <v>-8.0000000000000071E-2</v>
      </c>
      <c r="Q233" s="1">
        <v>231</v>
      </c>
      <c r="R233" s="82">
        <f>TSIR!$B$1080/100+TSIR!L1060/100</f>
        <v>3.95E-2</v>
      </c>
      <c r="S233" s="82">
        <f>TSIR!$C$1080/100+TSIR!M1060/100</f>
        <v>3.7300000000000007E-2</v>
      </c>
      <c r="T233" s="82">
        <f>TSIR!$D$1080/100+TSIR!N1060/100</f>
        <v>3.7499999999999999E-2</v>
      </c>
      <c r="U233" s="82">
        <f>TSIR!$E$1080/100+TSIR!O1060/100</f>
        <v>3.7971000000000005E-2</v>
      </c>
      <c r="V233" s="82">
        <f>TSIR!$F$1080/100+TSIR!P1060/100</f>
        <v>3.8899999999999997E-2</v>
      </c>
      <c r="X233" s="84">
        <f t="shared" si="39"/>
        <v>96.200096200096198</v>
      </c>
      <c r="Y233" s="84">
        <f t="shared" si="40"/>
        <v>103.47790788610219</v>
      </c>
      <c r="Z233" s="84">
        <f t="shared" si="41"/>
        <v>91.57798658550891</v>
      </c>
      <c r="AA233" s="84">
        <f t="shared" si="42"/>
        <v>403495276.91307479</v>
      </c>
      <c r="AB233" s="1">
        <f t="shared" si="43"/>
        <v>-5.0464780315006023E-4</v>
      </c>
      <c r="AC233" s="1">
        <v>2.9974445465419091E-3</v>
      </c>
    </row>
    <row r="234" spans="1:29" x14ac:dyDescent="0.2">
      <c r="A234" s="8">
        <v>44536</v>
      </c>
      <c r="B234" s="24">
        <v>0.28000000000000003</v>
      </c>
      <c r="C234" s="24">
        <v>0.65</v>
      </c>
      <c r="D234" s="24">
        <v>0.91</v>
      </c>
      <c r="E234" s="24">
        <v>1.060331494969704</v>
      </c>
      <c r="F234" s="24">
        <v>1.21</v>
      </c>
      <c r="G234" s="83">
        <f t="shared" si="35"/>
        <v>99.72078181092941</v>
      </c>
      <c r="H234" s="84">
        <f t="shared" si="38"/>
        <v>112.10655710738502</v>
      </c>
      <c r="I234" s="84">
        <f t="shared" si="36"/>
        <v>103.8792536914836</v>
      </c>
      <c r="J234" s="84">
        <f t="shared" si="37"/>
        <v>446798742.72671568</v>
      </c>
      <c r="L234" s="19">
        <f t="shared" si="44"/>
        <v>2.0000000000000018E-2</v>
      </c>
      <c r="M234" s="19">
        <f t="shared" si="45"/>
        <v>5.0000000000000044E-2</v>
      </c>
      <c r="N234" s="19">
        <f t="shared" si="45"/>
        <v>5.0000000000000044E-2</v>
      </c>
      <c r="O234" s="19">
        <f t="shared" si="45"/>
        <v>6.522592441406827E-2</v>
      </c>
      <c r="P234" s="19">
        <f t="shared" si="45"/>
        <v>8.0000000000000071E-2</v>
      </c>
      <c r="Q234" s="1">
        <v>232</v>
      </c>
      <c r="R234" s="82">
        <f>TSIR!$B$1080/100+TSIR!L1061/100</f>
        <v>3.8900000000000004E-2</v>
      </c>
      <c r="S234" s="82">
        <f>TSIR!$C$1080/100+TSIR!M1061/100</f>
        <v>3.6600000000000001E-2</v>
      </c>
      <c r="T234" s="82">
        <f>TSIR!$D$1080/100+TSIR!N1061/100</f>
        <v>3.6699999999999997E-2</v>
      </c>
      <c r="U234" s="82">
        <f>TSIR!$E$1080/100+TSIR!O1061/100</f>
        <v>3.7034000000000004E-2</v>
      </c>
      <c r="V234" s="82">
        <f>TSIR!$F$1080/100+TSIR!P1061/100</f>
        <v>3.7700000000000004E-2</v>
      </c>
      <c r="X234" s="84">
        <f t="shared" si="39"/>
        <v>96.255655019732416</v>
      </c>
      <c r="Y234" s="84">
        <f t="shared" si="40"/>
        <v>103.70479414057328</v>
      </c>
      <c r="Z234" s="84">
        <f t="shared" si="41"/>
        <v>92.080438416363677</v>
      </c>
      <c r="AA234" s="84">
        <f t="shared" si="42"/>
        <v>405275872.49405956</v>
      </c>
      <c r="AB234" s="1">
        <f t="shared" si="43"/>
        <v>3.9060531620558588E-3</v>
      </c>
      <c r="AC234" s="1">
        <v>3.0988930170665046E-3</v>
      </c>
    </row>
    <row r="235" spans="1:29" x14ac:dyDescent="0.2">
      <c r="A235" s="8">
        <v>44537</v>
      </c>
      <c r="B235" s="24">
        <v>0.31</v>
      </c>
      <c r="C235" s="24">
        <v>0.7</v>
      </c>
      <c r="D235" s="24">
        <v>0.99</v>
      </c>
      <c r="E235" s="24">
        <v>1.1251380946328426</v>
      </c>
      <c r="F235" s="24">
        <v>1.26</v>
      </c>
      <c r="G235" s="83">
        <f t="shared" si="35"/>
        <v>99.690958030106657</v>
      </c>
      <c r="H235" s="84">
        <f t="shared" si="38"/>
        <v>111.8575185095072</v>
      </c>
      <c r="I235" s="84">
        <f t="shared" si="36"/>
        <v>103.63026981243593</v>
      </c>
      <c r="J235" s="84">
        <f t="shared" si="37"/>
        <v>446116717.54569626</v>
      </c>
      <c r="L235" s="19">
        <f t="shared" si="44"/>
        <v>2.9999999999999971E-2</v>
      </c>
      <c r="M235" s="19">
        <f t="shared" si="45"/>
        <v>4.9999999999999933E-2</v>
      </c>
      <c r="N235" s="19">
        <f t="shared" si="45"/>
        <v>7.999999999999996E-2</v>
      </c>
      <c r="O235" s="19">
        <f t="shared" si="45"/>
        <v>6.480659966313862E-2</v>
      </c>
      <c r="P235" s="19">
        <f t="shared" si="45"/>
        <v>5.0000000000000044E-2</v>
      </c>
      <c r="Q235" s="1">
        <v>233</v>
      </c>
      <c r="R235" s="82">
        <f>TSIR!$B$1080/100+TSIR!L1062/100</f>
        <v>3.9400000000000004E-2</v>
      </c>
      <c r="S235" s="82">
        <f>TSIR!$C$1080/100+TSIR!M1062/100</f>
        <v>3.7400000000000003E-2</v>
      </c>
      <c r="T235" s="82">
        <f>TSIR!$D$1080/100+TSIR!N1062/100</f>
        <v>3.7399999999999996E-2</v>
      </c>
      <c r="U235" s="82">
        <f>TSIR!$E$1080/100+TSIR!O1062/100</f>
        <v>3.7470000000000003E-2</v>
      </c>
      <c r="V235" s="82">
        <f>TSIR!$F$1080/100+TSIR!P1062/100</f>
        <v>3.8600000000000002E-2</v>
      </c>
      <c r="X235" s="84">
        <f t="shared" si="39"/>
        <v>96.209351548970545</v>
      </c>
      <c r="Y235" s="84">
        <f t="shared" si="40"/>
        <v>103.50466687088147</v>
      </c>
      <c r="Z235" s="84">
        <f t="shared" si="41"/>
        <v>91.703455757363471</v>
      </c>
      <c r="AA235" s="84">
        <f t="shared" si="42"/>
        <v>403975525.82107282</v>
      </c>
      <c r="AB235" s="1">
        <f t="shared" si="43"/>
        <v>6.8497343631997957E-4</v>
      </c>
      <c r="AC235" s="1">
        <v>3.2235648333486088E-3</v>
      </c>
    </row>
    <row r="236" spans="1:29" x14ac:dyDescent="0.2">
      <c r="A236" s="8">
        <v>44538</v>
      </c>
      <c r="B236" s="24">
        <v>0.28999999999999998</v>
      </c>
      <c r="C236" s="24">
        <v>0.68</v>
      </c>
      <c r="D236" s="24">
        <v>0.99</v>
      </c>
      <c r="E236" s="24">
        <v>1.1301980066639936</v>
      </c>
      <c r="F236" s="24">
        <v>1.27</v>
      </c>
      <c r="G236" s="83">
        <f t="shared" si="35"/>
        <v>99.710838568152369</v>
      </c>
      <c r="H236" s="84">
        <f t="shared" si="38"/>
        <v>111.8604717012653</v>
      </c>
      <c r="I236" s="84">
        <f t="shared" si="36"/>
        <v>103.58377350349282</v>
      </c>
      <c r="J236" s="84">
        <f t="shared" si="37"/>
        <v>445966063.59837806</v>
      </c>
      <c r="L236" s="19">
        <f t="shared" si="44"/>
        <v>-2.0000000000000018E-2</v>
      </c>
      <c r="M236" s="19">
        <f t="shared" si="45"/>
        <v>-1.9999999999999907E-2</v>
      </c>
      <c r="N236" s="19">
        <f t="shared" si="45"/>
        <v>0</v>
      </c>
      <c r="O236" s="19">
        <f t="shared" si="45"/>
        <v>5.0599120311509704E-3</v>
      </c>
      <c r="P236" s="19">
        <f t="shared" si="45"/>
        <v>1.0000000000000009E-2</v>
      </c>
      <c r="Q236" s="1">
        <v>234</v>
      </c>
      <c r="R236" s="82">
        <f>TSIR!$B$1080/100+TSIR!L1063/100</f>
        <v>3.9299999999999995E-2</v>
      </c>
      <c r="S236" s="82">
        <f>TSIR!$C$1080/100+TSIR!M1063/100</f>
        <v>3.7200000000000004E-2</v>
      </c>
      <c r="T236" s="82">
        <f>TSIR!$D$1080/100+TSIR!N1063/100</f>
        <v>3.7199999999999997E-2</v>
      </c>
      <c r="U236" s="82">
        <f>TSIR!$E$1080/100+TSIR!O1063/100</f>
        <v>3.7407000000000003E-2</v>
      </c>
      <c r="V236" s="82">
        <f>TSIR!$F$1080/100+TSIR!P1063/100</f>
        <v>3.8300000000000001E-2</v>
      </c>
      <c r="X236" s="84">
        <f t="shared" si="39"/>
        <v>96.218608678918514</v>
      </c>
      <c r="Y236" s="84">
        <f t="shared" si="40"/>
        <v>103.56133719370594</v>
      </c>
      <c r="Z236" s="84">
        <f t="shared" si="41"/>
        <v>91.827818632626048</v>
      </c>
      <c r="AA236" s="84">
        <f t="shared" si="42"/>
        <v>404406486.09778225</v>
      </c>
      <c r="AB236" s="1">
        <f t="shared" si="43"/>
        <v>1.7525021490423002E-3</v>
      </c>
      <c r="AC236" s="1">
        <v>3.2839340707816814E-3</v>
      </c>
    </row>
    <row r="237" spans="1:29" x14ac:dyDescent="0.2">
      <c r="A237" s="8">
        <v>44539</v>
      </c>
      <c r="B237" s="24">
        <v>0.28000000000000003</v>
      </c>
      <c r="C237" s="24">
        <v>0.7</v>
      </c>
      <c r="D237" s="24">
        <v>0.99</v>
      </c>
      <c r="E237" s="24">
        <v>1.1253970118179253</v>
      </c>
      <c r="F237" s="24">
        <v>1.26</v>
      </c>
      <c r="G237" s="83">
        <f t="shared" si="35"/>
        <v>99.72078181092941</v>
      </c>
      <c r="H237" s="84">
        <f t="shared" si="38"/>
        <v>111.85900969854833</v>
      </c>
      <c r="I237" s="84">
        <f t="shared" si="36"/>
        <v>103.63084670175043</v>
      </c>
      <c r="J237" s="84">
        <f t="shared" si="37"/>
        <v>446176435.88103801</v>
      </c>
      <c r="L237" s="19">
        <f t="shared" si="44"/>
        <v>-9.9999999999999534E-3</v>
      </c>
      <c r="M237" s="19">
        <f t="shared" si="45"/>
        <v>1.9999999999999907E-2</v>
      </c>
      <c r="N237" s="19">
        <f t="shared" si="45"/>
        <v>0</v>
      </c>
      <c r="O237" s="19">
        <f t="shared" si="45"/>
        <v>-4.8009948460683294E-3</v>
      </c>
      <c r="P237" s="19">
        <f t="shared" si="45"/>
        <v>-1.0000000000000009E-2</v>
      </c>
      <c r="Q237" s="1">
        <v>235</v>
      </c>
      <c r="R237" s="82">
        <f>TSIR!$B$1080/100+TSIR!L1064/100</f>
        <v>3.9800000000000002E-2</v>
      </c>
      <c r="S237" s="82">
        <f>TSIR!$C$1080/100+TSIR!M1064/100</f>
        <v>3.78E-2</v>
      </c>
      <c r="T237" s="82">
        <f>TSIR!$D$1080/100+TSIR!N1064/100</f>
        <v>3.7999999999999992E-2</v>
      </c>
      <c r="U237" s="82">
        <f>TSIR!$E$1080/100+TSIR!O1064/100</f>
        <v>3.8088000000000004E-2</v>
      </c>
      <c r="V237" s="82">
        <f>TSIR!$F$1080/100+TSIR!P1064/100</f>
        <v>3.9199999999999999E-2</v>
      </c>
      <c r="X237" s="84">
        <f t="shared" si="39"/>
        <v>96.172340834775909</v>
      </c>
      <c r="Y237" s="84">
        <f t="shared" si="40"/>
        <v>103.33624047595164</v>
      </c>
      <c r="Z237" s="84">
        <f t="shared" si="41"/>
        <v>91.450694492458084</v>
      </c>
      <c r="AA237" s="84">
        <f t="shared" si="42"/>
        <v>403143098.92545676</v>
      </c>
      <c r="AB237" s="1">
        <f t="shared" si="43"/>
        <v>-1.3770254539201621E-3</v>
      </c>
      <c r="AC237" s="1">
        <v>3.5338365758829432E-3</v>
      </c>
    </row>
    <row r="238" spans="1:29" x14ac:dyDescent="0.2">
      <c r="A238" s="8">
        <v>44540</v>
      </c>
      <c r="B238" s="24">
        <v>0.27</v>
      </c>
      <c r="C238" s="24">
        <v>0.67</v>
      </c>
      <c r="D238" s="24">
        <v>0.98</v>
      </c>
      <c r="E238" s="24">
        <v>1.1151857339451421</v>
      </c>
      <c r="F238" s="24">
        <v>1.25</v>
      </c>
      <c r="G238" s="83">
        <f t="shared" si="35"/>
        <v>99.730727037000108</v>
      </c>
      <c r="H238" s="84">
        <f t="shared" si="38"/>
        <v>111.89273501552184</v>
      </c>
      <c r="I238" s="84">
        <f t="shared" si="36"/>
        <v>103.68089374974727</v>
      </c>
      <c r="J238" s="84">
        <f t="shared" si="37"/>
        <v>446345926.54970658</v>
      </c>
      <c r="L238" s="19">
        <f t="shared" si="44"/>
        <v>-1.0000000000000009E-2</v>
      </c>
      <c r="M238" s="19">
        <f t="shared" si="45"/>
        <v>-2.9999999999999916E-2</v>
      </c>
      <c r="N238" s="19">
        <f t="shared" si="45"/>
        <v>-1.0000000000000009E-2</v>
      </c>
      <c r="O238" s="19">
        <f t="shared" si="45"/>
        <v>-1.0211277872783198E-2</v>
      </c>
      <c r="P238" s="19">
        <f t="shared" si="45"/>
        <v>-1.0000000000000009E-2</v>
      </c>
      <c r="Q238" s="1">
        <v>236</v>
      </c>
      <c r="R238" s="82">
        <f>TSIR!$B$1080/100+TSIR!L1065/100</f>
        <v>3.8300000000000001E-2</v>
      </c>
      <c r="S238" s="82">
        <f>TSIR!$C$1080/100+TSIR!M1065/100</f>
        <v>3.5400000000000001E-2</v>
      </c>
      <c r="T238" s="82">
        <f>TSIR!$D$1080/100+TSIR!N1065/100</f>
        <v>3.5499999999999997E-2</v>
      </c>
      <c r="U238" s="82">
        <f>TSIR!$E$1080/100+TSIR!O1065/100</f>
        <v>3.6460000000000006E-2</v>
      </c>
      <c r="V238" s="82">
        <f>TSIR!$F$1080/100+TSIR!P1065/100</f>
        <v>3.6799999999999999E-2</v>
      </c>
      <c r="X238" s="84">
        <f t="shared" si="39"/>
        <v>96.311278050659737</v>
      </c>
      <c r="Y238" s="84">
        <f t="shared" si="40"/>
        <v>104.04637617228538</v>
      </c>
      <c r="Z238" s="84">
        <f t="shared" si="41"/>
        <v>92.464513076652977</v>
      </c>
      <c r="AA238" s="84">
        <f t="shared" si="42"/>
        <v>406411044.14950329</v>
      </c>
      <c r="AB238" s="1">
        <f t="shared" si="43"/>
        <v>6.7179789973266331E-3</v>
      </c>
      <c r="AC238" s="1">
        <v>3.6053484610839037E-3</v>
      </c>
    </row>
    <row r="239" spans="1:29" x14ac:dyDescent="0.2">
      <c r="A239" s="8">
        <v>44543</v>
      </c>
      <c r="B239" s="24">
        <v>0.27</v>
      </c>
      <c r="C239" s="24">
        <v>0.66</v>
      </c>
      <c r="D239" s="24">
        <v>0.95</v>
      </c>
      <c r="E239" s="24">
        <v>1.0800222807404687</v>
      </c>
      <c r="F239" s="24">
        <v>1.21</v>
      </c>
      <c r="G239" s="83">
        <f t="shared" si="35"/>
        <v>99.730727037000108</v>
      </c>
      <c r="H239" s="84">
        <f t="shared" si="38"/>
        <v>111.98465396523383</v>
      </c>
      <c r="I239" s="84">
        <f t="shared" si="36"/>
        <v>103.87525398362438</v>
      </c>
      <c r="J239" s="84">
        <f t="shared" si="37"/>
        <v>446985489.06064695</v>
      </c>
      <c r="L239" s="19">
        <f t="shared" si="44"/>
        <v>0</v>
      </c>
      <c r="M239" s="19">
        <f t="shared" si="45"/>
        <v>-1.0000000000000009E-2</v>
      </c>
      <c r="N239" s="19">
        <f t="shared" si="45"/>
        <v>-3.0000000000000027E-2</v>
      </c>
      <c r="O239" s="19">
        <f t="shared" si="45"/>
        <v>-3.5163453204673401E-2</v>
      </c>
      <c r="P239" s="19">
        <f t="shared" si="45"/>
        <v>-4.0000000000000036E-2</v>
      </c>
      <c r="Q239" s="1">
        <v>237</v>
      </c>
      <c r="R239" s="82">
        <f>TSIR!$B$1080/100+TSIR!L1066/100</f>
        <v>3.8899999999999997E-2</v>
      </c>
      <c r="S239" s="82">
        <f>TSIR!$C$1080/100+TSIR!M1066/100</f>
        <v>3.7100000000000008E-2</v>
      </c>
      <c r="T239" s="82">
        <f>TSIR!$D$1080/100+TSIR!N1066/100</f>
        <v>3.7399999999999996E-2</v>
      </c>
      <c r="U239" s="82">
        <f>TSIR!$E$1080/100+TSIR!O1066/100</f>
        <v>3.7238E-2</v>
      </c>
      <c r="V239" s="82">
        <f>TSIR!$F$1080/100+TSIR!P1066/100</f>
        <v>3.8500000000000006E-2</v>
      </c>
      <c r="X239" s="84">
        <f t="shared" si="39"/>
        <v>96.255655019732416</v>
      </c>
      <c r="Y239" s="84">
        <f t="shared" si="40"/>
        <v>103.50967030239161</v>
      </c>
      <c r="Z239" s="84">
        <f t="shared" si="41"/>
        <v>91.747647050350821</v>
      </c>
      <c r="AA239" s="84">
        <f t="shared" si="42"/>
        <v>404237392.78728068</v>
      </c>
      <c r="AB239" s="1">
        <f t="shared" si="43"/>
        <v>1.3336422822629601E-3</v>
      </c>
      <c r="AC239" s="1">
        <v>3.714474729011325E-3</v>
      </c>
    </row>
    <row r="240" spans="1:29" x14ac:dyDescent="0.2">
      <c r="A240" s="8">
        <v>44544</v>
      </c>
      <c r="B240" s="24">
        <v>0.26</v>
      </c>
      <c r="C240" s="24">
        <v>0.67</v>
      </c>
      <c r="D240" s="24">
        <v>0.98</v>
      </c>
      <c r="E240" s="24">
        <v>1.1051374154717148</v>
      </c>
      <c r="F240" s="24">
        <v>1.23</v>
      </c>
      <c r="G240" s="83">
        <f t="shared" si="35"/>
        <v>99.740674246957923</v>
      </c>
      <c r="H240" s="84">
        <f t="shared" si="38"/>
        <v>111.89323237601972</v>
      </c>
      <c r="I240" s="84">
        <f t="shared" si="36"/>
        <v>103.77658335307881</v>
      </c>
      <c r="J240" s="84">
        <f t="shared" si="37"/>
        <v>446747833.34220153</v>
      </c>
      <c r="L240" s="19">
        <f t="shared" si="44"/>
        <v>-1.0000000000000009E-2</v>
      </c>
      <c r="M240" s="19">
        <f t="shared" si="45"/>
        <v>1.0000000000000009E-2</v>
      </c>
      <c r="N240" s="19">
        <f t="shared" si="45"/>
        <v>3.0000000000000027E-2</v>
      </c>
      <c r="O240" s="19">
        <f t="shared" si="45"/>
        <v>2.5115134731246158E-2</v>
      </c>
      <c r="P240" s="19">
        <f t="shared" si="45"/>
        <v>2.0000000000000018E-2</v>
      </c>
      <c r="Q240" s="1">
        <v>238</v>
      </c>
      <c r="R240" s="82">
        <f>TSIR!$B$1080/100+TSIR!L1067/100</f>
        <v>3.95E-2</v>
      </c>
      <c r="S240" s="82">
        <f>TSIR!$C$1080/100+TSIR!M1067/100</f>
        <v>3.7900000000000003E-2</v>
      </c>
      <c r="T240" s="82">
        <f>TSIR!$D$1080/100+TSIR!N1067/100</f>
        <v>3.8199999999999998E-2</v>
      </c>
      <c r="U240" s="82">
        <f>TSIR!$E$1080/100+TSIR!O1067/100</f>
        <v>3.8466E-2</v>
      </c>
      <c r="V240" s="82">
        <f>TSIR!$F$1080/100+TSIR!P1067/100</f>
        <v>3.9799999999999995E-2</v>
      </c>
      <c r="X240" s="84">
        <f t="shared" si="39"/>
        <v>96.200096200096198</v>
      </c>
      <c r="Y240" s="84">
        <f t="shared" si="40"/>
        <v>103.28248570308045</v>
      </c>
      <c r="Z240" s="84">
        <f t="shared" si="41"/>
        <v>91.204817125285388</v>
      </c>
      <c r="AA240" s="84">
        <f t="shared" si="42"/>
        <v>402295732.3467133</v>
      </c>
      <c r="AB240" s="1">
        <f t="shared" si="43"/>
        <v>-3.4760313296283147E-3</v>
      </c>
      <c r="AC240" s="1">
        <v>3.7664107151874245E-3</v>
      </c>
    </row>
    <row r="241" spans="1:29" x14ac:dyDescent="0.2">
      <c r="A241" s="8">
        <v>44545</v>
      </c>
      <c r="B241" s="24">
        <v>0.28999999999999998</v>
      </c>
      <c r="C241" s="24">
        <v>0.69</v>
      </c>
      <c r="D241" s="24">
        <v>1</v>
      </c>
      <c r="E241" s="24">
        <v>1.1301262794042441</v>
      </c>
      <c r="F241" s="24">
        <v>1.26</v>
      </c>
      <c r="G241" s="83">
        <f t="shared" si="35"/>
        <v>99.710838568152369</v>
      </c>
      <c r="H241" s="84">
        <f t="shared" si="38"/>
        <v>111.82921509683264</v>
      </c>
      <c r="I241" s="84">
        <f t="shared" si="36"/>
        <v>103.63010519841635</v>
      </c>
      <c r="J241" s="84">
        <f t="shared" si="37"/>
        <v>446198275.2847212</v>
      </c>
      <c r="L241" s="19">
        <f t="shared" si="44"/>
        <v>2.9999999999999971E-2</v>
      </c>
      <c r="M241" s="19">
        <f t="shared" si="45"/>
        <v>1.9999999999999907E-2</v>
      </c>
      <c r="N241" s="19">
        <f t="shared" si="45"/>
        <v>2.0000000000000018E-2</v>
      </c>
      <c r="O241" s="19">
        <f t="shared" si="45"/>
        <v>2.4988863932529304E-2</v>
      </c>
      <c r="P241" s="19">
        <f t="shared" si="45"/>
        <v>3.0000000000000027E-2</v>
      </c>
      <c r="Q241" s="1">
        <v>239</v>
      </c>
      <c r="R241" s="82">
        <f>TSIR!$B$1080/100+TSIR!L1068/100</f>
        <v>3.9200000000000006E-2</v>
      </c>
      <c r="S241" s="82">
        <f>TSIR!$C$1080/100+TSIR!M1068/100</f>
        <v>3.7200000000000004E-2</v>
      </c>
      <c r="T241" s="82">
        <f>TSIR!$D$1080/100+TSIR!N1068/100</f>
        <v>3.7499999999999992E-2</v>
      </c>
      <c r="U241" s="82">
        <f>TSIR!$E$1080/100+TSIR!O1068/100</f>
        <v>3.8396000000000007E-2</v>
      </c>
      <c r="V241" s="82">
        <f>TSIR!$F$1080/100+TSIR!P1068/100</f>
        <v>3.9400000000000004E-2</v>
      </c>
      <c r="X241" s="84">
        <f t="shared" si="39"/>
        <v>96.22786759045421</v>
      </c>
      <c r="Y241" s="84">
        <f t="shared" si="40"/>
        <v>103.48019254157747</v>
      </c>
      <c r="Z241" s="84">
        <f t="shared" si="41"/>
        <v>91.373559968799242</v>
      </c>
      <c r="AA241" s="84">
        <f t="shared" si="42"/>
        <v>402729686.24373925</v>
      </c>
      <c r="AB241" s="1">
        <f t="shared" si="43"/>
        <v>-2.4010871407807708E-3</v>
      </c>
      <c r="AC241" s="1">
        <v>3.8067535056159445E-3</v>
      </c>
    </row>
    <row r="242" spans="1:29" x14ac:dyDescent="0.2">
      <c r="A242" s="8">
        <v>44546</v>
      </c>
      <c r="B242" s="24">
        <v>0.26</v>
      </c>
      <c r="C242" s="24">
        <v>0.64</v>
      </c>
      <c r="D242" s="24">
        <v>0.92</v>
      </c>
      <c r="E242" s="24">
        <v>1.0550335985355186</v>
      </c>
      <c r="F242" s="24">
        <v>1.19</v>
      </c>
      <c r="G242" s="83">
        <f t="shared" si="35"/>
        <v>99.740674246957923</v>
      </c>
      <c r="H242" s="84">
        <f t="shared" si="38"/>
        <v>112.07815962831465</v>
      </c>
      <c r="I242" s="84">
        <f t="shared" si="36"/>
        <v>103.97482232185607</v>
      </c>
      <c r="J242" s="84">
        <f t="shared" si="37"/>
        <v>447263398.33886814</v>
      </c>
      <c r="L242" s="19">
        <f t="shared" si="44"/>
        <v>-2.9999999999999971E-2</v>
      </c>
      <c r="M242" s="19">
        <f t="shared" si="45"/>
        <v>-4.9999999999999933E-2</v>
      </c>
      <c r="N242" s="19">
        <f t="shared" si="45"/>
        <v>-7.999999999999996E-2</v>
      </c>
      <c r="O242" s="19">
        <f t="shared" si="45"/>
        <v>-7.5092680868725559E-2</v>
      </c>
      <c r="P242" s="19">
        <f t="shared" si="45"/>
        <v>-7.0000000000000062E-2</v>
      </c>
      <c r="Q242" s="1">
        <v>240</v>
      </c>
      <c r="R242" s="82">
        <f>TSIR!$B$1080/100+TSIR!L1069/100</f>
        <v>4.1500000000000002E-2</v>
      </c>
      <c r="S242" s="82">
        <f>TSIR!$C$1080/100+TSIR!M1069/100</f>
        <v>3.9400000000000004E-2</v>
      </c>
      <c r="T242" s="82">
        <f>TSIR!$D$1080/100+TSIR!N1069/100</f>
        <v>3.9599999999999996E-2</v>
      </c>
      <c r="U242" s="82">
        <f>TSIR!$E$1080/100+TSIR!O1069/100</f>
        <v>3.9313000000000001E-2</v>
      </c>
      <c r="V242" s="82">
        <f>TSIR!$F$1080/100+TSIR!P1069/100</f>
        <v>4.0599999999999997E-2</v>
      </c>
      <c r="X242" s="84">
        <f t="shared" si="39"/>
        <v>96.015362457993277</v>
      </c>
      <c r="Y242" s="84">
        <f t="shared" si="40"/>
        <v>102.88129367754432</v>
      </c>
      <c r="Z242" s="84">
        <f t="shared" si="41"/>
        <v>90.860880748663334</v>
      </c>
      <c r="AA242" s="84">
        <f t="shared" si="42"/>
        <v>401152307.39432347</v>
      </c>
      <c r="AB242" s="1">
        <f t="shared" si="43"/>
        <v>-6.3084013495275813E-3</v>
      </c>
      <c r="AC242" s="1">
        <v>3.8096378218891889E-3</v>
      </c>
    </row>
    <row r="243" spans="1:29" x14ac:dyDescent="0.2">
      <c r="A243" s="8">
        <v>44547</v>
      </c>
      <c r="B243" s="24">
        <v>0.27</v>
      </c>
      <c r="C243" s="24">
        <v>0.66</v>
      </c>
      <c r="D243" s="24">
        <v>0.93</v>
      </c>
      <c r="E243" s="24">
        <v>1.0553049536196584</v>
      </c>
      <c r="F243" s="24">
        <v>1.18</v>
      </c>
      <c r="G243" s="83">
        <f t="shared" si="35"/>
        <v>99.730727037000108</v>
      </c>
      <c r="H243" s="84">
        <f t="shared" si="38"/>
        <v>112.04533980444354</v>
      </c>
      <c r="I243" s="84">
        <f t="shared" si="36"/>
        <v>104.02075953917702</v>
      </c>
      <c r="J243" s="84">
        <f t="shared" si="37"/>
        <v>447476482.52404296</v>
      </c>
      <c r="L243" s="19">
        <f t="shared" si="44"/>
        <v>1.0000000000000009E-2</v>
      </c>
      <c r="M243" s="19">
        <f t="shared" si="45"/>
        <v>2.0000000000000018E-2</v>
      </c>
      <c r="N243" s="19">
        <f t="shared" si="45"/>
        <v>1.0000000000000009E-2</v>
      </c>
      <c r="O243" s="19">
        <f t="shared" si="45"/>
        <v>2.7135508413977938E-4</v>
      </c>
      <c r="P243" s="19">
        <f t="shared" si="45"/>
        <v>-1.0000000000000009E-2</v>
      </c>
      <c r="Q243" s="1">
        <v>241</v>
      </c>
      <c r="R243" s="82">
        <f>TSIR!$B$1080/100+TSIR!L1070/100</f>
        <v>3.8899999999999997E-2</v>
      </c>
      <c r="S243" s="82">
        <f>TSIR!$C$1080/100+TSIR!M1070/100</f>
        <v>3.6699999999999997E-2</v>
      </c>
      <c r="T243" s="82">
        <f>TSIR!$D$1080/100+TSIR!N1070/100</f>
        <v>3.6999999999999991E-2</v>
      </c>
      <c r="U243" s="82">
        <f>TSIR!$E$1080/100+TSIR!O1070/100</f>
        <v>3.7995000000000001E-2</v>
      </c>
      <c r="V243" s="82">
        <f>TSIR!$F$1080/100+TSIR!P1070/100</f>
        <v>3.8600000000000002E-2</v>
      </c>
      <c r="X243" s="84">
        <f t="shared" si="39"/>
        <v>96.255655019732416</v>
      </c>
      <c r="Y243" s="84">
        <f t="shared" si="40"/>
        <v>103.62213137170093</v>
      </c>
      <c r="Z243" s="84">
        <f t="shared" si="41"/>
        <v>91.705476117991182</v>
      </c>
      <c r="AA243" s="84">
        <f t="shared" si="42"/>
        <v>403900017.45387816</v>
      </c>
      <c r="AB243" s="1">
        <f t="shared" si="43"/>
        <v>4.9793218359352718E-4</v>
      </c>
      <c r="AC243" s="1">
        <v>3.8544018490594932E-3</v>
      </c>
    </row>
    <row r="244" spans="1:29" x14ac:dyDescent="0.2">
      <c r="A244" s="8">
        <v>44550</v>
      </c>
      <c r="B244" s="24">
        <v>0.27</v>
      </c>
      <c r="C244" s="24">
        <v>0.65</v>
      </c>
      <c r="D244" s="24">
        <v>0.91</v>
      </c>
      <c r="E244" s="24">
        <v>1.040382114374083</v>
      </c>
      <c r="F244" s="24">
        <v>1.17</v>
      </c>
      <c r="G244" s="83">
        <f t="shared" si="35"/>
        <v>99.730727037000108</v>
      </c>
      <c r="H244" s="84">
        <f t="shared" si="38"/>
        <v>112.10705436868855</v>
      </c>
      <c r="I244" s="84">
        <f t="shared" si="36"/>
        <v>104.07098966975121</v>
      </c>
      <c r="J244" s="84">
        <f t="shared" si="37"/>
        <v>447584831.19997227</v>
      </c>
      <c r="L244" s="19">
        <f t="shared" si="44"/>
        <v>0</v>
      </c>
      <c r="M244" s="19">
        <f t="shared" si="45"/>
        <v>-1.0000000000000009E-2</v>
      </c>
      <c r="N244" s="19">
        <f t="shared" si="45"/>
        <v>-2.0000000000000018E-2</v>
      </c>
      <c r="O244" s="19">
        <f t="shared" si="45"/>
        <v>-1.4922839245575359E-2</v>
      </c>
      <c r="P244" s="19">
        <f t="shared" si="45"/>
        <v>-1.0000000000000009E-2</v>
      </c>
      <c r="Q244" s="1">
        <v>242</v>
      </c>
      <c r="R244" s="82">
        <f>TSIR!$B$1080/100+TSIR!L1071/100</f>
        <v>4.02E-2</v>
      </c>
      <c r="S244" s="82">
        <f>TSIR!$C$1080/100+TSIR!M1071/100</f>
        <v>3.8600000000000002E-2</v>
      </c>
      <c r="T244" s="82">
        <f>TSIR!$D$1080/100+TSIR!N1071/100</f>
        <v>3.889999999999999E-2</v>
      </c>
      <c r="U244" s="82">
        <f>TSIR!$E$1080/100+TSIR!O1071/100</f>
        <v>3.8726000000000003E-2</v>
      </c>
      <c r="V244" s="82">
        <f>TSIR!$F$1080/100+TSIR!P1071/100</f>
        <v>3.9900000000000005E-2</v>
      </c>
      <c r="X244" s="84">
        <f t="shared" si="39"/>
        <v>96.135358584887527</v>
      </c>
      <c r="Y244" s="84">
        <f t="shared" si="40"/>
        <v>103.08345509371148</v>
      </c>
      <c r="Z244" s="84">
        <f t="shared" si="41"/>
        <v>91.155348168917598</v>
      </c>
      <c r="AA244" s="84">
        <f t="shared" si="42"/>
        <v>402266927.20487821</v>
      </c>
      <c r="AB244" s="1">
        <f t="shared" si="43"/>
        <v>-3.5473843467040246E-3</v>
      </c>
      <c r="AC244" s="1">
        <v>3.9060531620558588E-3</v>
      </c>
    </row>
    <row r="245" spans="1:29" x14ac:dyDescent="0.2">
      <c r="A245" s="8">
        <v>44551</v>
      </c>
      <c r="B245" s="24">
        <v>0.28999999999999998</v>
      </c>
      <c r="C245" s="24">
        <v>0.7</v>
      </c>
      <c r="D245" s="24">
        <v>0.96</v>
      </c>
      <c r="E245" s="24">
        <v>1.1001740118136443</v>
      </c>
      <c r="F245" s="24">
        <v>1.24</v>
      </c>
      <c r="G245" s="83">
        <f t="shared" si="35"/>
        <v>99.710838568152369</v>
      </c>
      <c r="H245" s="84">
        <f t="shared" si="38"/>
        <v>111.94941515482437</v>
      </c>
      <c r="I245" s="84">
        <f t="shared" si="36"/>
        <v>103.72896238096735</v>
      </c>
      <c r="J245" s="84">
        <f t="shared" si="37"/>
        <v>446413403.92793763</v>
      </c>
      <c r="L245" s="19">
        <f t="shared" si="44"/>
        <v>1.9999999999999962E-2</v>
      </c>
      <c r="M245" s="19">
        <f t="shared" si="45"/>
        <v>4.9999999999999933E-2</v>
      </c>
      <c r="N245" s="19">
        <f t="shared" si="45"/>
        <v>4.9999999999999933E-2</v>
      </c>
      <c r="O245" s="19">
        <f t="shared" si="45"/>
        <v>5.9791897439561259E-2</v>
      </c>
      <c r="P245" s="19">
        <f t="shared" si="45"/>
        <v>7.0000000000000062E-2</v>
      </c>
      <c r="Q245" s="1">
        <v>243</v>
      </c>
      <c r="R245" s="82">
        <f>TSIR!$B$1080/100+TSIR!L1072/100</f>
        <v>3.9E-2</v>
      </c>
      <c r="S245" s="82">
        <f>TSIR!$C$1080/100+TSIR!M1072/100</f>
        <v>3.6200000000000003E-2</v>
      </c>
      <c r="T245" s="82">
        <f>TSIR!$D$1080/100+TSIR!N1072/100</f>
        <v>3.6499999999999998E-2</v>
      </c>
      <c r="U245" s="82">
        <f>TSIR!$E$1080/100+TSIR!O1072/100</f>
        <v>3.7065000000000001E-2</v>
      </c>
      <c r="V245" s="82">
        <f>TSIR!$F$1080/100+TSIR!P1072/100</f>
        <v>3.7499999999999992E-2</v>
      </c>
      <c r="X245" s="84">
        <f t="shared" si="39"/>
        <v>96.2463907603465</v>
      </c>
      <c r="Y245" s="84">
        <f t="shared" si="40"/>
        <v>103.7624867844072</v>
      </c>
      <c r="Z245" s="84">
        <f t="shared" si="41"/>
        <v>92.164260259623745</v>
      </c>
      <c r="AA245" s="84">
        <f t="shared" si="42"/>
        <v>405506092.38257718</v>
      </c>
      <c r="AB245" s="1">
        <f t="shared" si="43"/>
        <v>4.4763292513251953E-3</v>
      </c>
      <c r="AC245" s="1">
        <v>3.912934359214618E-3</v>
      </c>
    </row>
    <row r="246" spans="1:29" x14ac:dyDescent="0.2">
      <c r="A246" s="8">
        <v>44552</v>
      </c>
      <c r="B246" s="24">
        <v>0.28000000000000003</v>
      </c>
      <c r="C246" s="24">
        <v>0.68</v>
      </c>
      <c r="D246" s="24">
        <v>0.96</v>
      </c>
      <c r="E246" s="24">
        <v>1.0951702199472231</v>
      </c>
      <c r="F246" s="24">
        <v>1.23</v>
      </c>
      <c r="G246" s="83">
        <f t="shared" si="35"/>
        <v>99.72078181092941</v>
      </c>
      <c r="H246" s="84">
        <f t="shared" si="38"/>
        <v>111.95187148181904</v>
      </c>
      <c r="I246" s="84">
        <f t="shared" si="36"/>
        <v>103.77770296894418</v>
      </c>
      <c r="J246" s="84">
        <f t="shared" si="37"/>
        <v>446624568.27490699</v>
      </c>
      <c r="L246" s="19">
        <f t="shared" si="44"/>
        <v>-9.9999999999999534E-3</v>
      </c>
      <c r="M246" s="19">
        <f t="shared" si="45"/>
        <v>-1.9999999999999907E-2</v>
      </c>
      <c r="N246" s="19">
        <f t="shared" si="45"/>
        <v>0</v>
      </c>
      <c r="O246" s="19">
        <f t="shared" si="45"/>
        <v>-5.0037918664211922E-3</v>
      </c>
      <c r="P246" s="19">
        <f t="shared" si="45"/>
        <v>-1.0000000000000009E-2</v>
      </c>
      <c r="Q246" s="1">
        <v>244</v>
      </c>
      <c r="R246" s="82">
        <f>TSIR!$B$1080/100+TSIR!L1073/100</f>
        <v>3.95E-2</v>
      </c>
      <c r="S246" s="82">
        <f>TSIR!$C$1080/100+TSIR!M1073/100</f>
        <v>3.7400000000000003E-2</v>
      </c>
      <c r="T246" s="82">
        <f>TSIR!$D$1080/100+TSIR!N1073/100</f>
        <v>3.7399999999999996E-2</v>
      </c>
      <c r="U246" s="82">
        <f>TSIR!$E$1080/100+TSIR!O1073/100</f>
        <v>3.7491000000000003E-2</v>
      </c>
      <c r="V246" s="82">
        <f>TSIR!$F$1080/100+TSIR!P1073/100</f>
        <v>3.8400000000000004E-2</v>
      </c>
      <c r="X246" s="84">
        <f t="shared" si="39"/>
        <v>96.200096200096198</v>
      </c>
      <c r="Y246" s="84">
        <f t="shared" si="40"/>
        <v>103.50420410343774</v>
      </c>
      <c r="Z246" s="84">
        <f t="shared" si="41"/>
        <v>91.784444108405665</v>
      </c>
      <c r="AA246" s="84">
        <f t="shared" si="42"/>
        <v>404281662.67865849</v>
      </c>
      <c r="AB246" s="1">
        <f t="shared" si="43"/>
        <v>1.4433029231827035E-3</v>
      </c>
      <c r="AC246" s="1">
        <v>4.4763292513251953E-3</v>
      </c>
    </row>
    <row r="247" spans="1:29" x14ac:dyDescent="0.2">
      <c r="A247" s="8">
        <v>44553</v>
      </c>
      <c r="B247" s="24">
        <v>0.31</v>
      </c>
      <c r="C247" s="24">
        <v>0.71</v>
      </c>
      <c r="D247" s="24">
        <v>0.97</v>
      </c>
      <c r="E247" s="24">
        <v>1.1102110743055122</v>
      </c>
      <c r="F247" s="24">
        <v>1.25</v>
      </c>
      <c r="G247" s="83">
        <f t="shared" si="35"/>
        <v>99.690958030106657</v>
      </c>
      <c r="H247" s="84">
        <f t="shared" si="38"/>
        <v>111.91712910605737</v>
      </c>
      <c r="I247" s="84">
        <f t="shared" si="36"/>
        <v>103.67948474898854</v>
      </c>
      <c r="J247" s="84">
        <f t="shared" si="37"/>
        <v>446224161.39708143</v>
      </c>
      <c r="L247" s="19">
        <f t="shared" si="44"/>
        <v>2.9999999999999971E-2</v>
      </c>
      <c r="M247" s="19">
        <f t="shared" si="45"/>
        <v>2.9999999999999916E-2</v>
      </c>
      <c r="N247" s="19">
        <f t="shared" si="45"/>
        <v>1.0000000000000009E-2</v>
      </c>
      <c r="O247" s="19">
        <f t="shared" si="45"/>
        <v>1.5040854358289169E-2</v>
      </c>
      <c r="P247" s="19">
        <f t="shared" si="45"/>
        <v>2.0000000000000018E-2</v>
      </c>
      <c r="Q247" s="1">
        <v>245</v>
      </c>
      <c r="R247" s="82">
        <f>TSIR!$B$1080/100+TSIR!L1074/100</f>
        <v>3.9199999999999999E-2</v>
      </c>
      <c r="S247" s="82">
        <f>TSIR!$C$1080/100+TSIR!M1074/100</f>
        <v>3.6700000000000003E-2</v>
      </c>
      <c r="T247" s="82">
        <f>TSIR!$D$1080/100+TSIR!N1074/100</f>
        <v>3.6799999999999992E-2</v>
      </c>
      <c r="U247" s="82">
        <f>TSIR!$E$1080/100+TSIR!O1074/100</f>
        <v>3.7185000000000003E-2</v>
      </c>
      <c r="V247" s="82">
        <f>TSIR!$F$1080/100+TSIR!P1074/100</f>
        <v>3.8100000000000002E-2</v>
      </c>
      <c r="X247" s="84">
        <f t="shared" si="39"/>
        <v>96.22786759045421</v>
      </c>
      <c r="Y247" s="84">
        <f t="shared" si="40"/>
        <v>103.67524156889289</v>
      </c>
      <c r="Z247" s="84">
        <f t="shared" si="41"/>
        <v>91.914806087537855</v>
      </c>
      <c r="AA247" s="84">
        <f t="shared" si="42"/>
        <v>404602097.17772049</v>
      </c>
      <c r="AB247" s="1">
        <f t="shared" si="43"/>
        <v>2.2370489985921393E-3</v>
      </c>
      <c r="AC247" s="1">
        <v>4.4842926044915757E-3</v>
      </c>
    </row>
    <row r="248" spans="1:29" x14ac:dyDescent="0.2">
      <c r="A248" s="8">
        <v>44557</v>
      </c>
      <c r="B248" s="24">
        <v>0.33</v>
      </c>
      <c r="C248" s="24">
        <v>0.76</v>
      </c>
      <c r="D248" s="24">
        <v>0.98</v>
      </c>
      <c r="E248" s="24">
        <v>1.1202318129798301</v>
      </c>
      <c r="F248" s="24">
        <v>1.26</v>
      </c>
      <c r="G248" s="83">
        <f t="shared" si="35"/>
        <v>99.6710854181202</v>
      </c>
      <c r="H248" s="84">
        <f t="shared" si="38"/>
        <v>111.8809432529934</v>
      </c>
      <c r="I248" s="84">
        <f t="shared" si="36"/>
        <v>103.62847228527039</v>
      </c>
      <c r="J248" s="84">
        <f t="shared" si="37"/>
        <v>446034645.09783185</v>
      </c>
      <c r="L248" s="19">
        <f t="shared" si="44"/>
        <v>2.0000000000000018E-2</v>
      </c>
      <c r="M248" s="19">
        <f t="shared" si="45"/>
        <v>5.0000000000000044E-2</v>
      </c>
      <c r="N248" s="19">
        <f t="shared" si="45"/>
        <v>1.0000000000000009E-2</v>
      </c>
      <c r="O248" s="19">
        <f t="shared" si="45"/>
        <v>1.0020738674317853E-2</v>
      </c>
      <c r="P248" s="19">
        <f t="shared" si="45"/>
        <v>1.0000000000000009E-2</v>
      </c>
      <c r="Q248" s="1">
        <v>246</v>
      </c>
      <c r="R248" s="82">
        <f>TSIR!$B$1080/100+TSIR!L1075/100</f>
        <v>3.9800000000000002E-2</v>
      </c>
      <c r="S248" s="82">
        <f>TSIR!$C$1080/100+TSIR!M1075/100</f>
        <v>3.78E-2</v>
      </c>
      <c r="T248" s="82">
        <f>TSIR!$D$1080/100+TSIR!N1075/100</f>
        <v>3.8099999999999995E-2</v>
      </c>
      <c r="U248" s="82">
        <f>TSIR!$E$1080/100+TSIR!O1075/100</f>
        <v>3.8082999999999999E-2</v>
      </c>
      <c r="V248" s="82">
        <f>TSIR!$F$1080/100+TSIR!P1075/100</f>
        <v>3.9199999999999999E-2</v>
      </c>
      <c r="X248" s="84">
        <f t="shared" si="39"/>
        <v>96.172340834775909</v>
      </c>
      <c r="Y248" s="84">
        <f t="shared" si="40"/>
        <v>103.30911124604388</v>
      </c>
      <c r="Z248" s="84">
        <f t="shared" si="41"/>
        <v>91.450210926595844</v>
      </c>
      <c r="AA248" s="84">
        <f t="shared" si="42"/>
        <v>403181858.50686932</v>
      </c>
      <c r="AB248" s="1">
        <f t="shared" si="43"/>
        <v>-1.2810143636012815E-3</v>
      </c>
      <c r="AC248" s="1">
        <v>4.4878270632093412E-3</v>
      </c>
    </row>
    <row r="249" spans="1:29" x14ac:dyDescent="0.2">
      <c r="A249" s="8">
        <v>44558</v>
      </c>
      <c r="B249" s="24">
        <v>0.39</v>
      </c>
      <c r="C249" s="24">
        <v>0.74</v>
      </c>
      <c r="D249" s="24">
        <v>0.99</v>
      </c>
      <c r="E249" s="24">
        <v>1.1302293896627693</v>
      </c>
      <c r="F249" s="24">
        <v>1.27</v>
      </c>
      <c r="G249" s="83">
        <f t="shared" si="35"/>
        <v>99.61151509114454</v>
      </c>
      <c r="H249" s="84">
        <f t="shared" si="38"/>
        <v>111.84963153286066</v>
      </c>
      <c r="I249" s="84">
        <f t="shared" si="36"/>
        <v>103.57943506268252</v>
      </c>
      <c r="J249" s="84">
        <f t="shared" si="37"/>
        <v>445766323.13372821</v>
      </c>
      <c r="L249" s="19">
        <f t="shared" si="44"/>
        <v>0.06</v>
      </c>
      <c r="M249" s="19">
        <f t="shared" si="45"/>
        <v>-2.0000000000000018E-2</v>
      </c>
      <c r="N249" s="19">
        <f t="shared" si="45"/>
        <v>1.0000000000000009E-2</v>
      </c>
      <c r="O249" s="19">
        <f t="shared" si="45"/>
        <v>9.9975766829392132E-3</v>
      </c>
      <c r="P249" s="19">
        <f t="shared" si="45"/>
        <v>1.0000000000000009E-2</v>
      </c>
      <c r="Q249" s="1">
        <v>247</v>
      </c>
      <c r="R249" s="82">
        <f>TSIR!$B$1080/100+TSIR!L1076/100</f>
        <v>3.9100000000000003E-2</v>
      </c>
      <c r="S249" s="82">
        <f>TSIR!$C$1080/100+TSIR!M1076/100</f>
        <v>3.6799999999999999E-2</v>
      </c>
      <c r="T249" s="82">
        <f>TSIR!$D$1080/100+TSIR!N1076/100</f>
        <v>3.7099999999999994E-2</v>
      </c>
      <c r="U249" s="82">
        <f>TSIR!$E$1080/100+TSIR!O1076/100</f>
        <v>3.7938000000000006E-2</v>
      </c>
      <c r="V249" s="82">
        <f>TSIR!$F$1080/100+TSIR!P1076/100</f>
        <v>3.9E-2</v>
      </c>
      <c r="X249" s="84">
        <f t="shared" si="39"/>
        <v>96.237128284092009</v>
      </c>
      <c r="Y249" s="84">
        <f t="shared" si="40"/>
        <v>103.59307363048775</v>
      </c>
      <c r="Z249" s="84">
        <f t="shared" si="41"/>
        <v>91.54226147717911</v>
      </c>
      <c r="AA249" s="84">
        <f t="shared" si="42"/>
        <v>403253692.03116882</v>
      </c>
      <c r="AB249" s="1">
        <f t="shared" si="43"/>
        <v>-1.1030760387253267E-3</v>
      </c>
      <c r="AC249" s="1">
        <v>4.7085097289452501E-3</v>
      </c>
    </row>
    <row r="250" spans="1:29" x14ac:dyDescent="0.2">
      <c r="A250" s="8">
        <v>44559</v>
      </c>
      <c r="B250" s="24">
        <v>0.38</v>
      </c>
      <c r="C250" s="24">
        <v>0.75</v>
      </c>
      <c r="D250" s="24">
        <v>0.99</v>
      </c>
      <c r="E250" s="24">
        <v>1.1404325113599241</v>
      </c>
      <c r="F250" s="24">
        <v>1.29</v>
      </c>
      <c r="G250" s="83">
        <f t="shared" si="35"/>
        <v>99.621438533572416</v>
      </c>
      <c r="H250" s="84">
        <f t="shared" si="38"/>
        <v>111.84914972605142</v>
      </c>
      <c r="I250" s="84">
        <f t="shared" si="36"/>
        <v>103.48396517941916</v>
      </c>
      <c r="J250" s="84">
        <f t="shared" si="37"/>
        <v>445405013.19574434</v>
      </c>
      <c r="L250" s="19">
        <f t="shared" si="44"/>
        <v>-1.0000000000000009E-2</v>
      </c>
      <c r="M250" s="19">
        <f t="shared" si="45"/>
        <v>1.0000000000000009E-2</v>
      </c>
      <c r="N250" s="19">
        <f t="shared" si="45"/>
        <v>0</v>
      </c>
      <c r="O250" s="19">
        <f t="shared" si="45"/>
        <v>1.020312169715476E-2</v>
      </c>
      <c r="P250" s="19">
        <f t="shared" si="45"/>
        <v>2.0000000000000018E-2</v>
      </c>
      <c r="Q250" s="1">
        <v>248</v>
      </c>
      <c r="R250" s="82">
        <f>TSIR!$B$1080/100+TSIR!L1077/100</f>
        <v>3.9799999999999995E-2</v>
      </c>
      <c r="S250" s="82">
        <f>TSIR!$C$1080/100+TSIR!M1077/100</f>
        <v>3.7499999999999999E-2</v>
      </c>
      <c r="T250" s="82">
        <f>TSIR!$D$1080/100+TSIR!N1077/100</f>
        <v>3.8099999999999995E-2</v>
      </c>
      <c r="U250" s="82">
        <f>TSIR!$E$1080/100+TSIR!O1077/100</f>
        <v>3.8013999999999999E-2</v>
      </c>
      <c r="V250" s="82">
        <f>TSIR!$F$1080/100+TSIR!P1077/100</f>
        <v>3.8899999999999997E-2</v>
      </c>
      <c r="X250" s="84">
        <f t="shared" si="39"/>
        <v>96.172340834775909</v>
      </c>
      <c r="Y250" s="84">
        <f t="shared" si="40"/>
        <v>103.31179639635317</v>
      </c>
      <c r="Z250" s="84">
        <f t="shared" si="41"/>
        <v>91.573325959774223</v>
      </c>
      <c r="AA250" s="84">
        <f t="shared" si="42"/>
        <v>403670290.91411901</v>
      </c>
      <c r="AB250" s="1">
        <f t="shared" si="43"/>
        <v>-7.1121834887609851E-5</v>
      </c>
      <c r="AC250" s="1">
        <v>6.7179789973266331E-3</v>
      </c>
    </row>
    <row r="251" spans="1:29" x14ac:dyDescent="0.2">
      <c r="A251" s="8">
        <v>44560</v>
      </c>
      <c r="B251" s="24">
        <v>0.38</v>
      </c>
      <c r="C251" s="24">
        <v>0.73</v>
      </c>
      <c r="D251" s="24">
        <v>0.98</v>
      </c>
      <c r="E251" s="24">
        <v>1.1251701431230552</v>
      </c>
      <c r="F251" s="24">
        <v>1.27</v>
      </c>
      <c r="G251" s="83">
        <f t="shared" si="35"/>
        <v>99.621438533572416</v>
      </c>
      <c r="H251" s="84">
        <f t="shared" si="38"/>
        <v>111.88139484567348</v>
      </c>
      <c r="I251" s="84">
        <f t="shared" si="36"/>
        <v>103.58098444116123</v>
      </c>
      <c r="J251" s="84">
        <f t="shared" si="37"/>
        <v>445744722.56327951</v>
      </c>
      <c r="L251" s="19">
        <f t="shared" si="44"/>
        <v>0</v>
      </c>
      <c r="M251" s="19">
        <f t="shared" si="45"/>
        <v>-2.0000000000000018E-2</v>
      </c>
      <c r="N251" s="19">
        <f t="shared" si="45"/>
        <v>-1.0000000000000009E-2</v>
      </c>
      <c r="O251" s="19">
        <f t="shared" si="45"/>
        <v>-1.5262368236868884E-2</v>
      </c>
      <c r="P251" s="19">
        <f t="shared" si="45"/>
        <v>-2.0000000000000018E-2</v>
      </c>
      <c r="Q251" s="1">
        <v>249</v>
      </c>
      <c r="R251" s="82">
        <f>TSIR!$B$1080/100+TSIR!L1078/100</f>
        <v>3.9799999999999995E-2</v>
      </c>
      <c r="S251" s="82">
        <f>TSIR!$C$1080/100+TSIR!M1078/100</f>
        <v>3.7900000000000003E-2</v>
      </c>
      <c r="T251" s="82">
        <f>TSIR!$D$1080/100+TSIR!N1078/100</f>
        <v>3.8099999999999995E-2</v>
      </c>
      <c r="U251" s="82">
        <f>TSIR!$E$1080/100+TSIR!O1078/100</f>
        <v>3.8109000000000004E-2</v>
      </c>
      <c r="V251" s="82">
        <f>TSIR!$F$1080/100+TSIR!P1078/100</f>
        <v>3.9E-2</v>
      </c>
      <c r="X251" s="84">
        <f t="shared" si="39"/>
        <v>96.172340834775909</v>
      </c>
      <c r="Y251" s="84">
        <f t="shared" si="40"/>
        <v>103.3082167133191</v>
      </c>
      <c r="Z251" s="84">
        <f t="shared" si="41"/>
        <v>91.530712499389182</v>
      </c>
      <c r="AA251" s="84">
        <f t="shared" si="42"/>
        <v>403505206.59712994</v>
      </c>
      <c r="AB251" s="1">
        <f t="shared" si="43"/>
        <v>-4.8005105163952594E-4</v>
      </c>
      <c r="AC251" s="1">
        <v>7.8965687784518651E-3</v>
      </c>
    </row>
    <row r="252" spans="1:29" x14ac:dyDescent="0.2">
      <c r="A252" s="8">
        <v>44561</v>
      </c>
      <c r="B252" s="24">
        <v>0.39</v>
      </c>
      <c r="C252" s="24">
        <v>0.73</v>
      </c>
      <c r="D252" s="24">
        <v>0.97</v>
      </c>
      <c r="E252" s="24">
        <v>1.1151673118268217</v>
      </c>
      <c r="F252" s="24">
        <v>1.26</v>
      </c>
      <c r="G252" s="83">
        <f t="shared" si="35"/>
        <v>99.61151509114454</v>
      </c>
      <c r="H252" s="84">
        <f t="shared" si="38"/>
        <v>111.91119954437582</v>
      </c>
      <c r="I252" s="84">
        <f t="shared" si="36"/>
        <v>103.62941487052309</v>
      </c>
      <c r="J252" s="84">
        <f t="shared" si="37"/>
        <v>445873890.34781778</v>
      </c>
      <c r="L252" s="19">
        <f t="shared" si="44"/>
        <v>1.0000000000000009E-2</v>
      </c>
      <c r="M252" s="19">
        <f t="shared" si="45"/>
        <v>0</v>
      </c>
      <c r="N252" s="19">
        <f t="shared" si="45"/>
        <v>-1.0000000000000009E-2</v>
      </c>
      <c r="O252" s="19">
        <f t="shared" si="45"/>
        <v>-1.0002831296233472E-2</v>
      </c>
      <c r="P252" s="19">
        <f t="shared" si="45"/>
        <v>-1.0000000000000009E-2</v>
      </c>
      <c r="Q252" s="1">
        <v>250</v>
      </c>
      <c r="R252" s="82">
        <f>TSIR!$B$1080/100+TSIR!L1079/100</f>
        <v>3.9100000000000003E-2</v>
      </c>
      <c r="S252" s="82">
        <f>TSIR!$C$1080/100+TSIR!M1079/100</f>
        <v>3.7000000000000005E-2</v>
      </c>
      <c r="T252" s="82">
        <f>TSIR!$D$1080/100+TSIR!N1079/100</f>
        <v>3.6899999999999988E-2</v>
      </c>
      <c r="U252" s="82">
        <f>TSIR!$E$1080/100+TSIR!O1079/100</f>
        <v>3.7303000000000003E-2</v>
      </c>
      <c r="V252" s="82">
        <f>TSIR!$F$1080/100+TSIR!P1079/100</f>
        <v>3.7900000000000003E-2</v>
      </c>
      <c r="X252" s="84">
        <f t="shared" si="39"/>
        <v>96.237128284092009</v>
      </c>
      <c r="Y252" s="84">
        <f t="shared" si="40"/>
        <v>103.64575819280458</v>
      </c>
      <c r="Z252" s="84">
        <f t="shared" si="41"/>
        <v>91.994157866631568</v>
      </c>
      <c r="AA252" s="84">
        <f>X252*2000000+Y252*-1500000+Z252*4000000</f>
        <v>404982250.74550343</v>
      </c>
      <c r="AB252" s="1">
        <f>(AA252-J$1080)/J$1080</f>
        <v>3.1787247649777577E-3</v>
      </c>
    </row>
    <row r="253" spans="1:29" x14ac:dyDescent="0.2">
      <c r="A253" s="8">
        <v>44564</v>
      </c>
      <c r="B253" s="24">
        <v>0.4</v>
      </c>
      <c r="C253" s="24">
        <v>0.78</v>
      </c>
      <c r="D253" s="24">
        <v>1.04</v>
      </c>
      <c r="E253" s="24">
        <v>1.2050616127407647</v>
      </c>
      <c r="F253" s="24">
        <v>1.37</v>
      </c>
      <c r="G253" s="83">
        <f t="shared" si="35"/>
        <v>99.601593625498012</v>
      </c>
      <c r="H253" s="84">
        <f t="shared" si="38"/>
        <v>111.6939607353855</v>
      </c>
      <c r="I253" s="84">
        <f t="shared" si="36"/>
        <v>103.09773121967247</v>
      </c>
      <c r="J253" s="84">
        <f t="shared" si="37"/>
        <v>444053171.02660763</v>
      </c>
      <c r="L253" s="19">
        <f t="shared" si="44"/>
        <v>1.0000000000000009E-2</v>
      </c>
      <c r="M253" s="19">
        <f t="shared" si="45"/>
        <v>5.0000000000000044E-2</v>
      </c>
      <c r="N253" s="19">
        <f t="shared" si="45"/>
        <v>7.0000000000000062E-2</v>
      </c>
      <c r="O253" s="19">
        <f t="shared" si="45"/>
        <v>8.9894300913943015E-2</v>
      </c>
      <c r="P253" s="19">
        <f t="shared" si="45"/>
        <v>0.1100000000000001</v>
      </c>
      <c r="R253" s="19"/>
      <c r="S253" s="19"/>
      <c r="T253" s="19"/>
      <c r="U253" s="19"/>
      <c r="V253" s="19"/>
    </row>
    <row r="254" spans="1:29" x14ac:dyDescent="0.2">
      <c r="A254" s="8">
        <v>44565</v>
      </c>
      <c r="B254" s="24">
        <v>0.38</v>
      </c>
      <c r="C254" s="24">
        <v>0.77</v>
      </c>
      <c r="D254" s="24">
        <v>1.02</v>
      </c>
      <c r="E254" s="24">
        <v>1.195019394688573</v>
      </c>
      <c r="F254" s="24">
        <v>1.37</v>
      </c>
      <c r="G254" s="83">
        <f t="shared" si="35"/>
        <v>99.621438533572416</v>
      </c>
      <c r="H254" s="84">
        <f t="shared" si="38"/>
        <v>111.75639997282116</v>
      </c>
      <c r="I254" s="84">
        <f t="shared" si="36"/>
        <v>103.10042762864323</v>
      </c>
      <c r="J254" s="84">
        <f t="shared" si="37"/>
        <v>444009987.622486</v>
      </c>
      <c r="L254" s="19">
        <f t="shared" si="44"/>
        <v>-2.0000000000000018E-2</v>
      </c>
      <c r="M254" s="19">
        <f t="shared" si="45"/>
        <v>-1.0000000000000009E-2</v>
      </c>
      <c r="N254" s="19">
        <f t="shared" si="45"/>
        <v>-2.0000000000000018E-2</v>
      </c>
      <c r="O254" s="19">
        <f t="shared" si="45"/>
        <v>-1.0042218052191743E-2</v>
      </c>
      <c r="P254" s="19">
        <f t="shared" si="45"/>
        <v>0</v>
      </c>
      <c r="R254" s="19"/>
      <c r="S254" s="19"/>
      <c r="T254" s="19"/>
      <c r="U254" s="19"/>
      <c r="V254" s="19"/>
    </row>
    <row r="255" spans="1:29" x14ac:dyDescent="0.2">
      <c r="A255" s="8">
        <v>44566</v>
      </c>
      <c r="B255" s="24">
        <v>0.41</v>
      </c>
      <c r="C255" s="24">
        <v>0.83</v>
      </c>
      <c r="D255" s="24">
        <v>1.1000000000000001</v>
      </c>
      <c r="E255" s="24">
        <v>1.2650391817506521</v>
      </c>
      <c r="F255" s="24">
        <v>1.43</v>
      </c>
      <c r="G255" s="83">
        <f t="shared" si="35"/>
        <v>99.591674136042229</v>
      </c>
      <c r="H255" s="84">
        <f t="shared" si="38"/>
        <v>111.50746089813083</v>
      </c>
      <c r="I255" s="84">
        <f t="shared" si="36"/>
        <v>102.80610774231013</v>
      </c>
      <c r="J255" s="84">
        <f t="shared" si="37"/>
        <v>443146587.89412874</v>
      </c>
      <c r="L255" s="19">
        <f t="shared" si="44"/>
        <v>2.9999999999999971E-2</v>
      </c>
      <c r="M255" s="19">
        <f t="shared" si="45"/>
        <v>5.9999999999999942E-2</v>
      </c>
      <c r="N255" s="19">
        <f t="shared" si="45"/>
        <v>8.0000000000000071E-2</v>
      </c>
      <c r="O255" s="19">
        <f t="shared" si="45"/>
        <v>7.001978706207912E-2</v>
      </c>
      <c r="P255" s="19">
        <f t="shared" si="45"/>
        <v>5.9999999999999831E-2</v>
      </c>
      <c r="R255" s="19"/>
      <c r="S255" s="19"/>
      <c r="T255" s="19"/>
      <c r="U255" s="19"/>
      <c r="V255" s="19"/>
    </row>
    <row r="256" spans="1:29" x14ac:dyDescent="0.2">
      <c r="A256" s="8">
        <v>44567</v>
      </c>
      <c r="B256" s="24">
        <v>0.45</v>
      </c>
      <c r="C256" s="24">
        <v>0.88</v>
      </c>
      <c r="D256" s="24">
        <v>1.1499999999999999</v>
      </c>
      <c r="E256" s="24">
        <v>1.3104957176612326</v>
      </c>
      <c r="F256" s="24">
        <v>1.47</v>
      </c>
      <c r="G256" s="83">
        <f t="shared" si="35"/>
        <v>99.552015928322547</v>
      </c>
      <c r="H256" s="84">
        <f t="shared" si="38"/>
        <v>111.34999660662828</v>
      </c>
      <c r="I256" s="84">
        <f t="shared" si="36"/>
        <v>102.60996610589406</v>
      </c>
      <c r="J256" s="84">
        <f t="shared" si="37"/>
        <v>442518901.37027895</v>
      </c>
      <c r="L256" s="19">
        <f t="shared" si="44"/>
        <v>4.0000000000000036E-2</v>
      </c>
      <c r="M256" s="19">
        <f t="shared" si="45"/>
        <v>5.0000000000000044E-2</v>
      </c>
      <c r="N256" s="19">
        <f t="shared" si="45"/>
        <v>4.9999999999999822E-2</v>
      </c>
      <c r="O256" s="19">
        <f t="shared" si="45"/>
        <v>4.545653591058052E-2</v>
      </c>
      <c r="P256" s="19">
        <f t="shared" si="45"/>
        <v>4.0000000000000036E-2</v>
      </c>
      <c r="R256" s="19"/>
      <c r="S256" s="19"/>
      <c r="T256" s="19"/>
      <c r="U256" s="19"/>
      <c r="V256" s="19"/>
    </row>
    <row r="257" spans="1:22" x14ac:dyDescent="0.2">
      <c r="A257" s="8">
        <v>44568</v>
      </c>
      <c r="B257" s="24">
        <v>0.43</v>
      </c>
      <c r="C257" s="24">
        <v>0.87</v>
      </c>
      <c r="D257" s="24">
        <v>1.17</v>
      </c>
      <c r="E257" s="24">
        <v>1.3350260715780433</v>
      </c>
      <c r="F257" s="24">
        <v>1.5</v>
      </c>
      <c r="G257" s="83">
        <f t="shared" si="35"/>
        <v>99.571841083341639</v>
      </c>
      <c r="H257" s="84">
        <f t="shared" si="38"/>
        <v>111.29180241991978</v>
      </c>
      <c r="I257" s="84">
        <f t="shared" si="36"/>
        <v>102.46771964669969</v>
      </c>
      <c r="J257" s="84">
        <f t="shared" si="37"/>
        <v>442076857.12360239</v>
      </c>
      <c r="L257" s="19">
        <f t="shared" si="44"/>
        <v>-2.0000000000000018E-2</v>
      </c>
      <c r="M257" s="19">
        <f t="shared" si="45"/>
        <v>-1.0000000000000009E-2</v>
      </c>
      <c r="N257" s="19">
        <f t="shared" si="45"/>
        <v>2.0000000000000018E-2</v>
      </c>
      <c r="O257" s="19">
        <f t="shared" si="45"/>
        <v>2.4530353916810688E-2</v>
      </c>
      <c r="P257" s="19">
        <f t="shared" si="45"/>
        <v>3.0000000000000027E-2</v>
      </c>
      <c r="R257" s="19"/>
      <c r="S257" s="19"/>
      <c r="T257" s="19"/>
      <c r="U257" s="19"/>
      <c r="V257" s="19"/>
    </row>
    <row r="258" spans="1:22" x14ac:dyDescent="0.2">
      <c r="A258" s="8">
        <v>44571</v>
      </c>
      <c r="B258" s="24">
        <v>0.46</v>
      </c>
      <c r="C258" s="24">
        <v>0.92</v>
      </c>
      <c r="D258" s="24">
        <v>1.21</v>
      </c>
      <c r="E258" s="24">
        <v>1.3702670827800838</v>
      </c>
      <c r="F258" s="24">
        <v>1.53</v>
      </c>
      <c r="G258" s="83">
        <f t="shared" ref="G258:G321" si="46">100/((1+B258/100)^1)</f>
        <v>99.542106310969544</v>
      </c>
      <c r="H258" s="84">
        <f t="shared" si="38"/>
        <v>111.1652708785696</v>
      </c>
      <c r="I258" s="84">
        <f t="shared" ref="I258:I321" si="47">SUM(2/(1+B258/100)^1, 2/(1+C258/100)^2, 2/(1+D258/100)^3, 2/(1+E258/100)^4, 102/(1+F258/100)^5)</f>
        <v>102.32045154818482</v>
      </c>
      <c r="J258" s="84">
        <f t="shared" ref="J258:J321" si="48">G258*2000000+H258*-1500000+I258*4000000</f>
        <v>441618112.49682403</v>
      </c>
      <c r="L258" s="19">
        <f t="shared" si="44"/>
        <v>3.0000000000000027E-2</v>
      </c>
      <c r="M258" s="19">
        <f t="shared" si="45"/>
        <v>5.0000000000000044E-2</v>
      </c>
      <c r="N258" s="19">
        <f t="shared" si="45"/>
        <v>4.0000000000000036E-2</v>
      </c>
      <c r="O258" s="19">
        <f t="shared" si="45"/>
        <v>3.5241011202040484E-2</v>
      </c>
      <c r="P258" s="19">
        <f t="shared" si="45"/>
        <v>3.0000000000000027E-2</v>
      </c>
      <c r="R258" s="19"/>
      <c r="S258" s="19"/>
      <c r="T258" s="19"/>
      <c r="U258" s="19"/>
      <c r="V258" s="19"/>
    </row>
    <row r="259" spans="1:22" x14ac:dyDescent="0.2">
      <c r="A259" s="8">
        <v>44572</v>
      </c>
      <c r="B259" s="24">
        <v>0.46</v>
      </c>
      <c r="C259" s="24">
        <v>0.9</v>
      </c>
      <c r="D259" s="24">
        <v>1.22</v>
      </c>
      <c r="E259" s="24">
        <v>1.3652537169354129</v>
      </c>
      <c r="F259" s="24">
        <v>1.51</v>
      </c>
      <c r="G259" s="83">
        <f t="shared" si="46"/>
        <v>99.542106310969544</v>
      </c>
      <c r="H259" s="84">
        <f t="shared" ref="H259:H322" si="49">SUM(5/(1+B259/100)^1, 5/(1+C259/100)^2, 105/(1+D259/100)^3)</f>
        <v>111.13720276253689</v>
      </c>
      <c r="I259" s="84">
        <f t="shared" si="47"/>
        <v>102.41420622681849</v>
      </c>
      <c r="J259" s="84">
        <f t="shared" si="48"/>
        <v>442035233.38540769</v>
      </c>
      <c r="L259" s="19">
        <f t="shared" si="44"/>
        <v>0</v>
      </c>
      <c r="M259" s="19">
        <f t="shared" si="45"/>
        <v>-2.0000000000000018E-2</v>
      </c>
      <c r="N259" s="19">
        <f t="shared" si="45"/>
        <v>1.0000000000000009E-2</v>
      </c>
      <c r="O259" s="19">
        <f t="shared" si="45"/>
        <v>-5.0133658446709362E-3</v>
      </c>
      <c r="P259" s="19">
        <f t="shared" si="45"/>
        <v>-2.0000000000000018E-2</v>
      </c>
      <c r="R259" s="19"/>
      <c r="S259" s="19"/>
      <c r="T259" s="19"/>
      <c r="U259" s="19"/>
      <c r="V259" s="19"/>
    </row>
    <row r="260" spans="1:22" x14ac:dyDescent="0.2">
      <c r="A260" s="8">
        <v>44573</v>
      </c>
      <c r="B260" s="24">
        <v>0.48</v>
      </c>
      <c r="C260" s="24">
        <v>0.92</v>
      </c>
      <c r="D260" s="24">
        <v>1.21</v>
      </c>
      <c r="E260" s="24">
        <v>1.3552797364460363</v>
      </c>
      <c r="F260" s="24">
        <v>1.5</v>
      </c>
      <c r="G260" s="83">
        <f t="shared" si="46"/>
        <v>99.522292993630586</v>
      </c>
      <c r="H260" s="84">
        <f t="shared" si="49"/>
        <v>111.16428021270265</v>
      </c>
      <c r="I260" s="84">
        <f t="shared" si="47"/>
        <v>102.46097677839995</v>
      </c>
      <c r="J260" s="84">
        <f t="shared" si="48"/>
        <v>442142072.78180707</v>
      </c>
      <c r="L260" s="19">
        <f t="shared" si="44"/>
        <v>1.9999999999999962E-2</v>
      </c>
      <c r="M260" s="19">
        <f t="shared" si="45"/>
        <v>2.0000000000000018E-2</v>
      </c>
      <c r="N260" s="19">
        <f t="shared" si="45"/>
        <v>-1.0000000000000009E-2</v>
      </c>
      <c r="O260" s="19">
        <f t="shared" si="45"/>
        <v>-9.9739804893765882E-3</v>
      </c>
      <c r="P260" s="19">
        <f t="shared" ref="P260:P323" si="50">F260-F259</f>
        <v>-1.0000000000000009E-2</v>
      </c>
      <c r="R260" s="19"/>
      <c r="S260" s="19"/>
      <c r="T260" s="19"/>
      <c r="U260" s="19"/>
      <c r="V260" s="19"/>
    </row>
    <row r="261" spans="1:22" x14ac:dyDescent="0.2">
      <c r="A261" s="8">
        <v>44574</v>
      </c>
      <c r="B261" s="24">
        <v>0.47</v>
      </c>
      <c r="C261" s="24">
        <v>0.91</v>
      </c>
      <c r="D261" s="24">
        <v>1.18</v>
      </c>
      <c r="E261" s="24">
        <v>1.3252018610264735</v>
      </c>
      <c r="F261" s="24">
        <v>1.47</v>
      </c>
      <c r="G261" s="83">
        <f t="shared" si="46"/>
        <v>99.532198666268542</v>
      </c>
      <c r="H261" s="84">
        <f t="shared" si="49"/>
        <v>111.25586323699555</v>
      </c>
      <c r="I261" s="84">
        <f t="shared" si="47"/>
        <v>102.60558096235246</v>
      </c>
      <c r="J261" s="84">
        <f t="shared" si="48"/>
        <v>442602926.32645363</v>
      </c>
      <c r="L261" s="19">
        <f t="shared" ref="L261:L324" si="51">B261-B260</f>
        <v>-1.0000000000000009E-2</v>
      </c>
      <c r="M261" s="19">
        <f t="shared" ref="M261:P324" si="52">C261-C260</f>
        <v>-1.0000000000000009E-2</v>
      </c>
      <c r="N261" s="19">
        <f t="shared" si="52"/>
        <v>-3.0000000000000027E-2</v>
      </c>
      <c r="O261" s="19">
        <f t="shared" si="52"/>
        <v>-3.007787541956275E-2</v>
      </c>
      <c r="P261" s="19">
        <f t="shared" si="50"/>
        <v>-3.0000000000000027E-2</v>
      </c>
      <c r="R261" s="19"/>
      <c r="S261" s="19"/>
      <c r="T261" s="19"/>
      <c r="U261" s="19"/>
      <c r="V261" s="19"/>
    </row>
    <row r="262" spans="1:22" x14ac:dyDescent="0.2">
      <c r="A262" s="8">
        <v>44575</v>
      </c>
      <c r="B262" s="24">
        <v>0.51</v>
      </c>
      <c r="C262" s="24">
        <v>0.99</v>
      </c>
      <c r="D262" s="24">
        <v>1.26</v>
      </c>
      <c r="E262" s="24">
        <v>1.4050158281021976</v>
      </c>
      <c r="F262" s="24">
        <v>1.55</v>
      </c>
      <c r="G262" s="83">
        <f t="shared" si="46"/>
        <v>99.492587802208732</v>
      </c>
      <c r="H262" s="84">
        <f t="shared" si="49"/>
        <v>111.00603778543436</v>
      </c>
      <c r="I262" s="84">
        <f t="shared" si="47"/>
        <v>102.21822577992818</v>
      </c>
      <c r="J262" s="84">
        <f t="shared" si="48"/>
        <v>441349022.04597867</v>
      </c>
      <c r="L262" s="19">
        <f t="shared" si="51"/>
        <v>4.0000000000000036E-2</v>
      </c>
      <c r="M262" s="19">
        <f t="shared" si="52"/>
        <v>7.999999999999996E-2</v>
      </c>
      <c r="N262" s="19">
        <f t="shared" si="52"/>
        <v>8.0000000000000071E-2</v>
      </c>
      <c r="O262" s="19">
        <f t="shared" si="52"/>
        <v>7.9813967075724079E-2</v>
      </c>
      <c r="P262" s="19">
        <f t="shared" si="50"/>
        <v>8.0000000000000071E-2</v>
      </c>
      <c r="R262" s="19"/>
      <c r="S262" s="19"/>
      <c r="T262" s="19"/>
      <c r="U262" s="19"/>
      <c r="V262" s="19"/>
    </row>
    <row r="263" spans="1:22" x14ac:dyDescent="0.2">
      <c r="A263" s="8">
        <v>44579</v>
      </c>
      <c r="B263" s="24">
        <v>0.57999999999999996</v>
      </c>
      <c r="C263" s="24">
        <v>1.06</v>
      </c>
      <c r="D263" s="24">
        <v>1.35</v>
      </c>
      <c r="E263" s="24">
        <v>1.5003375604733762</v>
      </c>
      <c r="F263" s="24">
        <v>1.65</v>
      </c>
      <c r="G263" s="83">
        <f t="shared" si="46"/>
        <v>99.42334460131238</v>
      </c>
      <c r="H263" s="84">
        <f t="shared" si="49"/>
        <v>110.72661457013663</v>
      </c>
      <c r="I263" s="84">
        <f t="shared" si="47"/>
        <v>101.73823334681994</v>
      </c>
      <c r="J263" s="84">
        <f t="shared" si="48"/>
        <v>439709700.73469961</v>
      </c>
      <c r="L263" s="19">
        <f t="shared" si="51"/>
        <v>6.9999999999999951E-2</v>
      </c>
      <c r="M263" s="19">
        <f t="shared" si="52"/>
        <v>7.0000000000000062E-2</v>
      </c>
      <c r="N263" s="19">
        <f t="shared" si="52"/>
        <v>9.000000000000008E-2</v>
      </c>
      <c r="O263" s="19">
        <f t="shared" si="52"/>
        <v>9.532173237117858E-2</v>
      </c>
      <c r="P263" s="19">
        <f t="shared" si="50"/>
        <v>9.9999999999999867E-2</v>
      </c>
      <c r="R263" s="19"/>
      <c r="S263" s="19"/>
      <c r="T263" s="19"/>
      <c r="U263" s="19"/>
      <c r="V263" s="19"/>
    </row>
    <row r="264" spans="1:22" x14ac:dyDescent="0.2">
      <c r="A264" s="8">
        <v>44580</v>
      </c>
      <c r="B264" s="24">
        <v>0.56999999999999995</v>
      </c>
      <c r="C264" s="24">
        <v>1.04</v>
      </c>
      <c r="D264" s="24">
        <v>1.33</v>
      </c>
      <c r="E264" s="24">
        <v>1.4753018874425623</v>
      </c>
      <c r="F264" s="24">
        <v>1.62</v>
      </c>
      <c r="G264" s="83">
        <f t="shared" si="46"/>
        <v>99.433230585661718</v>
      </c>
      <c r="H264" s="84">
        <f t="shared" si="49"/>
        <v>110.78878053224564</v>
      </c>
      <c r="I264" s="84">
        <f t="shared" si="47"/>
        <v>101.8810179646714</v>
      </c>
      <c r="J264" s="84">
        <f t="shared" si="48"/>
        <v>440207362.23164058</v>
      </c>
      <c r="L264" s="19">
        <f t="shared" si="51"/>
        <v>-1.0000000000000009E-2</v>
      </c>
      <c r="M264" s="19">
        <f t="shared" si="52"/>
        <v>-2.0000000000000018E-2</v>
      </c>
      <c r="N264" s="19">
        <f t="shared" si="52"/>
        <v>-2.0000000000000018E-2</v>
      </c>
      <c r="O264" s="19">
        <f t="shared" si="52"/>
        <v>-2.5035673030813888E-2</v>
      </c>
      <c r="P264" s="19">
        <f t="shared" si="50"/>
        <v>-2.9999999999999805E-2</v>
      </c>
      <c r="R264" s="19"/>
      <c r="S264" s="19"/>
      <c r="T264" s="19"/>
      <c r="U264" s="19"/>
      <c r="V264" s="19"/>
    </row>
    <row r="265" spans="1:22" x14ac:dyDescent="0.2">
      <c r="A265" s="8">
        <v>44581</v>
      </c>
      <c r="B265" s="24">
        <v>0.6</v>
      </c>
      <c r="C265" s="24">
        <v>1.08</v>
      </c>
      <c r="D265" s="24">
        <v>1.34</v>
      </c>
      <c r="E265" s="24">
        <v>1.4800032199142665</v>
      </c>
      <c r="F265" s="24">
        <v>1.62</v>
      </c>
      <c r="G265" s="83">
        <f t="shared" si="46"/>
        <v>99.40357852882704</v>
      </c>
      <c r="H265" s="84">
        <f t="shared" si="49"/>
        <v>110.75354990367933</v>
      </c>
      <c r="I265" s="84">
        <f t="shared" si="47"/>
        <v>101.87795623264844</v>
      </c>
      <c r="J265" s="84">
        <f t="shared" si="48"/>
        <v>440188657.13272887</v>
      </c>
      <c r="L265" s="19">
        <f t="shared" si="51"/>
        <v>3.0000000000000027E-2</v>
      </c>
      <c r="M265" s="19">
        <f t="shared" si="52"/>
        <v>4.0000000000000036E-2</v>
      </c>
      <c r="N265" s="19">
        <f t="shared" si="52"/>
        <v>1.0000000000000009E-2</v>
      </c>
      <c r="O265" s="19">
        <f t="shared" si="52"/>
        <v>4.7013324717042337E-3</v>
      </c>
      <c r="P265" s="19">
        <f t="shared" si="50"/>
        <v>0</v>
      </c>
      <c r="R265" s="19"/>
      <c r="S265" s="19"/>
      <c r="T265" s="19"/>
      <c r="U265" s="19"/>
      <c r="V265" s="19"/>
    </row>
    <row r="266" spans="1:22" x14ac:dyDescent="0.2">
      <c r="A266" s="8">
        <v>44582</v>
      </c>
      <c r="B266" s="24">
        <v>0.57999999999999996</v>
      </c>
      <c r="C266" s="24">
        <v>1.01</v>
      </c>
      <c r="D266" s="24">
        <v>1.28</v>
      </c>
      <c r="E266" s="24">
        <v>1.4103153311524153</v>
      </c>
      <c r="F266" s="24">
        <v>1.54</v>
      </c>
      <c r="G266" s="83">
        <f t="shared" si="46"/>
        <v>99.42334460131238</v>
      </c>
      <c r="H266" s="84">
        <f t="shared" si="49"/>
        <v>110.94073575515327</v>
      </c>
      <c r="I266" s="84">
        <f t="shared" si="47"/>
        <v>102.26104594945591</v>
      </c>
      <c r="J266" s="84">
        <f t="shared" si="48"/>
        <v>441479769.36771846</v>
      </c>
      <c r="L266" s="19">
        <f t="shared" si="51"/>
        <v>-2.0000000000000018E-2</v>
      </c>
      <c r="M266" s="19">
        <f t="shared" si="52"/>
        <v>-7.0000000000000062E-2</v>
      </c>
      <c r="N266" s="19">
        <f t="shared" si="52"/>
        <v>-6.0000000000000053E-2</v>
      </c>
      <c r="O266" s="19">
        <f t="shared" si="52"/>
        <v>-6.968788876185128E-2</v>
      </c>
      <c r="P266" s="19">
        <f t="shared" si="50"/>
        <v>-8.0000000000000071E-2</v>
      </c>
      <c r="R266" s="19"/>
      <c r="S266" s="19"/>
      <c r="T266" s="19"/>
      <c r="U266" s="19"/>
      <c r="V266" s="19"/>
    </row>
    <row r="267" spans="1:22" x14ac:dyDescent="0.2">
      <c r="A267" s="8">
        <v>44585</v>
      </c>
      <c r="B267" s="24">
        <v>0.57999999999999996</v>
      </c>
      <c r="C267" s="24">
        <v>0.99</v>
      </c>
      <c r="D267" s="24">
        <v>1.25</v>
      </c>
      <c r="E267" s="24">
        <v>1.3903862882948628</v>
      </c>
      <c r="F267" s="24">
        <v>1.53</v>
      </c>
      <c r="G267" s="83">
        <f t="shared" si="46"/>
        <v>99.42334460131238</v>
      </c>
      <c r="H267" s="84">
        <f t="shared" si="49"/>
        <v>111.03254272043783</v>
      </c>
      <c r="I267" s="84">
        <f t="shared" si="47"/>
        <v>102.31156665333174</v>
      </c>
      <c r="J267" s="84">
        <f t="shared" si="48"/>
        <v>441544141.735295</v>
      </c>
      <c r="L267" s="19">
        <f t="shared" si="51"/>
        <v>0</v>
      </c>
      <c r="M267" s="19">
        <f t="shared" si="52"/>
        <v>-2.0000000000000018E-2</v>
      </c>
      <c r="N267" s="19">
        <f t="shared" si="52"/>
        <v>-3.0000000000000027E-2</v>
      </c>
      <c r="O267" s="19">
        <f t="shared" si="52"/>
        <v>-1.9929042857552481E-2</v>
      </c>
      <c r="P267" s="19">
        <f t="shared" si="50"/>
        <v>-1.0000000000000009E-2</v>
      </c>
      <c r="R267" s="19"/>
      <c r="S267" s="19"/>
      <c r="T267" s="19"/>
      <c r="U267" s="19"/>
      <c r="V267" s="19"/>
    </row>
    <row r="268" spans="1:22" x14ac:dyDescent="0.2">
      <c r="A268" s="8">
        <v>44586</v>
      </c>
      <c r="B268" s="24">
        <v>0.65</v>
      </c>
      <c r="C268" s="24">
        <v>1.02</v>
      </c>
      <c r="D268" s="24">
        <v>1.28</v>
      </c>
      <c r="E268" s="24">
        <v>1.420379585402082</v>
      </c>
      <c r="F268" s="24">
        <v>1.56</v>
      </c>
      <c r="G268" s="83">
        <f t="shared" si="46"/>
        <v>99.354197714853456</v>
      </c>
      <c r="H268" s="84">
        <f t="shared" si="49"/>
        <v>110.93630825299037</v>
      </c>
      <c r="I268" s="84">
        <f t="shared" si="47"/>
        <v>102.16551637380597</v>
      </c>
      <c r="J268" s="84">
        <f t="shared" si="48"/>
        <v>440965998.5454452</v>
      </c>
      <c r="L268" s="19">
        <f t="shared" si="51"/>
        <v>7.0000000000000062E-2</v>
      </c>
      <c r="M268" s="19">
        <f t="shared" si="52"/>
        <v>3.0000000000000027E-2</v>
      </c>
      <c r="N268" s="19">
        <f t="shared" si="52"/>
        <v>3.0000000000000027E-2</v>
      </c>
      <c r="O268" s="19">
        <f t="shared" si="52"/>
        <v>2.9993297107219208E-2</v>
      </c>
      <c r="P268" s="19">
        <f t="shared" si="50"/>
        <v>3.0000000000000027E-2</v>
      </c>
      <c r="R268" s="19"/>
      <c r="S268" s="19"/>
      <c r="T268" s="19"/>
      <c r="U268" s="19"/>
      <c r="V268" s="19"/>
    </row>
    <row r="269" spans="1:22" x14ac:dyDescent="0.2">
      <c r="A269" s="8">
        <v>44587</v>
      </c>
      <c r="B269" s="24">
        <v>0.7</v>
      </c>
      <c r="C269" s="24">
        <v>1.1299999999999999</v>
      </c>
      <c r="D269" s="24">
        <v>1.39</v>
      </c>
      <c r="E269" s="24">
        <v>1.525454617267695</v>
      </c>
      <c r="F269" s="24">
        <v>1.66</v>
      </c>
      <c r="G269" s="83">
        <f t="shared" si="46"/>
        <v>99.304865938430993</v>
      </c>
      <c r="H269" s="84">
        <f t="shared" si="49"/>
        <v>110.59459026279194</v>
      </c>
      <c r="I269" s="84">
        <f t="shared" si="47"/>
        <v>101.68280031086336</v>
      </c>
      <c r="J269" s="84">
        <f t="shared" si="48"/>
        <v>439449047.72612751</v>
      </c>
      <c r="L269" s="19">
        <f t="shared" si="51"/>
        <v>4.9999999999999933E-2</v>
      </c>
      <c r="M269" s="19">
        <f t="shared" si="52"/>
        <v>0.10999999999999988</v>
      </c>
      <c r="N269" s="19">
        <f t="shared" si="52"/>
        <v>0.10999999999999988</v>
      </c>
      <c r="O269" s="19">
        <f t="shared" si="52"/>
        <v>0.10507503186561307</v>
      </c>
      <c r="P269" s="19">
        <f t="shared" si="50"/>
        <v>9.9999999999999867E-2</v>
      </c>
      <c r="R269" s="19"/>
      <c r="S269" s="19"/>
      <c r="T269" s="19"/>
      <c r="U269" s="19"/>
      <c r="V269" s="19"/>
    </row>
    <row r="270" spans="1:22" x14ac:dyDescent="0.2">
      <c r="A270" s="8">
        <v>44588</v>
      </c>
      <c r="B270" s="24">
        <v>0.75</v>
      </c>
      <c r="C270" s="24">
        <v>1.18</v>
      </c>
      <c r="D270" s="24">
        <v>1.43</v>
      </c>
      <c r="E270" s="24">
        <v>1.5451201703535231</v>
      </c>
      <c r="F270" s="24">
        <v>1.66</v>
      </c>
      <c r="G270" s="83">
        <f t="shared" si="46"/>
        <v>99.25558312655086</v>
      </c>
      <c r="H270" s="84">
        <f t="shared" si="49"/>
        <v>110.46815822287364</v>
      </c>
      <c r="I270" s="84">
        <f t="shared" si="47"/>
        <v>101.6761552590655</v>
      </c>
      <c r="J270" s="84">
        <f t="shared" si="48"/>
        <v>439513549.95505321</v>
      </c>
      <c r="L270" s="19">
        <f t="shared" si="51"/>
        <v>5.0000000000000044E-2</v>
      </c>
      <c r="M270" s="19">
        <f t="shared" si="52"/>
        <v>5.0000000000000044E-2</v>
      </c>
      <c r="N270" s="19">
        <f t="shared" si="52"/>
        <v>4.0000000000000036E-2</v>
      </c>
      <c r="O270" s="19">
        <f t="shared" si="52"/>
        <v>1.9665553085828069E-2</v>
      </c>
      <c r="P270" s="19">
        <f t="shared" si="50"/>
        <v>0</v>
      </c>
      <c r="R270" s="19"/>
      <c r="S270" s="19"/>
      <c r="T270" s="19"/>
      <c r="U270" s="19"/>
      <c r="V270" s="19"/>
    </row>
    <row r="271" spans="1:22" x14ac:dyDescent="0.2">
      <c r="A271" s="8">
        <v>44589</v>
      </c>
      <c r="B271" s="24">
        <v>0.75</v>
      </c>
      <c r="C271" s="24">
        <v>1.1499999999999999</v>
      </c>
      <c r="D271" s="24">
        <v>1.38</v>
      </c>
      <c r="E271" s="24">
        <v>1.4953988523229929</v>
      </c>
      <c r="F271" s="24">
        <v>1.61</v>
      </c>
      <c r="G271" s="83">
        <f t="shared" si="46"/>
        <v>99.25558312655086</v>
      </c>
      <c r="H271" s="84">
        <f t="shared" si="49"/>
        <v>110.62000668204104</v>
      </c>
      <c r="I271" s="84">
        <f t="shared" si="47"/>
        <v>101.91519602160292</v>
      </c>
      <c r="J271" s="84">
        <f t="shared" si="48"/>
        <v>440241940.31645191</v>
      </c>
      <c r="L271" s="19">
        <f t="shared" si="51"/>
        <v>0</v>
      </c>
      <c r="M271" s="19">
        <f t="shared" si="52"/>
        <v>-3.0000000000000027E-2</v>
      </c>
      <c r="N271" s="19">
        <f t="shared" si="52"/>
        <v>-5.0000000000000044E-2</v>
      </c>
      <c r="O271" s="19">
        <f t="shared" si="52"/>
        <v>-4.9721318030530259E-2</v>
      </c>
      <c r="P271" s="19">
        <f t="shared" si="50"/>
        <v>-4.9999999999999822E-2</v>
      </c>
      <c r="R271" s="19"/>
      <c r="S271" s="19"/>
      <c r="T271" s="19"/>
      <c r="U271" s="19"/>
      <c r="V271" s="19"/>
    </row>
    <row r="272" spans="1:22" x14ac:dyDescent="0.2">
      <c r="A272" s="8">
        <v>44592</v>
      </c>
      <c r="B272" s="24">
        <v>0.78</v>
      </c>
      <c r="C272" s="24">
        <v>1.18</v>
      </c>
      <c r="D272" s="24">
        <v>1.39</v>
      </c>
      <c r="E272" s="24">
        <v>1.5050842733670273</v>
      </c>
      <c r="F272" s="24">
        <v>1.62</v>
      </c>
      <c r="G272" s="83">
        <f t="shared" si="46"/>
        <v>99.226036912085732</v>
      </c>
      <c r="H272" s="84">
        <f t="shared" si="49"/>
        <v>110.58581813453603</v>
      </c>
      <c r="I272" s="84">
        <f t="shared" si="47"/>
        <v>101.86583312523865</v>
      </c>
      <c r="J272" s="84">
        <f t="shared" si="48"/>
        <v>440036679.12332201</v>
      </c>
      <c r="L272" s="19">
        <f t="shared" si="51"/>
        <v>3.0000000000000027E-2</v>
      </c>
      <c r="M272" s="19">
        <f t="shared" si="52"/>
        <v>3.0000000000000027E-2</v>
      </c>
      <c r="N272" s="19">
        <f t="shared" si="52"/>
        <v>1.0000000000000009E-2</v>
      </c>
      <c r="O272" s="19">
        <f t="shared" si="52"/>
        <v>9.6854210440344701E-3</v>
      </c>
      <c r="P272" s="19">
        <f t="shared" si="50"/>
        <v>1.0000000000000009E-2</v>
      </c>
      <c r="R272" s="19"/>
      <c r="S272" s="19"/>
      <c r="T272" s="19"/>
      <c r="U272" s="19"/>
      <c r="V272" s="19"/>
    </row>
    <row r="273" spans="1:22" x14ac:dyDescent="0.2">
      <c r="A273" s="8">
        <v>44593</v>
      </c>
      <c r="B273" s="24">
        <v>0.78</v>
      </c>
      <c r="C273" s="24">
        <v>1.18</v>
      </c>
      <c r="D273" s="24">
        <v>1.39</v>
      </c>
      <c r="E273" s="24">
        <v>1.5103366482472489</v>
      </c>
      <c r="F273" s="24">
        <v>1.63</v>
      </c>
      <c r="G273" s="83">
        <f t="shared" si="46"/>
        <v>99.226036912085732</v>
      </c>
      <c r="H273" s="84">
        <f t="shared" si="49"/>
        <v>110.58581813453603</v>
      </c>
      <c r="I273" s="84">
        <f t="shared" si="47"/>
        <v>101.81914473713623</v>
      </c>
      <c r="J273" s="84">
        <f t="shared" si="48"/>
        <v>439849925.57091236</v>
      </c>
      <c r="L273" s="19">
        <f t="shared" si="51"/>
        <v>0</v>
      </c>
      <c r="M273" s="19">
        <f t="shared" si="52"/>
        <v>0</v>
      </c>
      <c r="N273" s="19">
        <f t="shared" si="52"/>
        <v>0</v>
      </c>
      <c r="O273" s="19">
        <f t="shared" si="52"/>
        <v>5.2523748802215664E-3</v>
      </c>
      <c r="P273" s="19">
        <f t="shared" si="50"/>
        <v>9.9999999999997868E-3</v>
      </c>
      <c r="R273" s="19"/>
      <c r="S273" s="19"/>
      <c r="T273" s="19"/>
      <c r="U273" s="19"/>
      <c r="V273" s="19"/>
    </row>
    <row r="274" spans="1:22" x14ac:dyDescent="0.2">
      <c r="A274" s="8">
        <v>44594</v>
      </c>
      <c r="B274" s="24">
        <v>0.76</v>
      </c>
      <c r="C274" s="24">
        <v>1.1599999999999999</v>
      </c>
      <c r="D274" s="24">
        <v>1.38</v>
      </c>
      <c r="E274" s="24">
        <v>1.490169011317735</v>
      </c>
      <c r="F274" s="24">
        <v>1.6</v>
      </c>
      <c r="G274" s="83">
        <f t="shared" si="46"/>
        <v>99.245732433505353</v>
      </c>
      <c r="H274" s="84">
        <f t="shared" si="49"/>
        <v>110.61854801211435</v>
      </c>
      <c r="I274" s="84">
        <f t="shared" si="47"/>
        <v>101.9613542620321</v>
      </c>
      <c r="J274" s="84">
        <f t="shared" si="48"/>
        <v>440409059.89696765</v>
      </c>
      <c r="L274" s="19">
        <f t="shared" si="51"/>
        <v>-2.0000000000000018E-2</v>
      </c>
      <c r="M274" s="19">
        <f t="shared" si="52"/>
        <v>-2.0000000000000018E-2</v>
      </c>
      <c r="N274" s="19">
        <f t="shared" si="52"/>
        <v>-1.0000000000000009E-2</v>
      </c>
      <c r="O274" s="19">
        <f t="shared" si="52"/>
        <v>-2.0167636929513844E-2</v>
      </c>
      <c r="P274" s="19">
        <f t="shared" si="50"/>
        <v>-2.9999999999999805E-2</v>
      </c>
      <c r="R274" s="19"/>
      <c r="S274" s="19"/>
      <c r="T274" s="19"/>
      <c r="U274" s="19"/>
      <c r="V274" s="19"/>
    </row>
    <row r="275" spans="1:22" x14ac:dyDescent="0.2">
      <c r="A275" s="8">
        <v>44595</v>
      </c>
      <c r="B275" s="24">
        <v>0.78</v>
      </c>
      <c r="C275" s="24">
        <v>1.19</v>
      </c>
      <c r="D275" s="24">
        <v>1.42</v>
      </c>
      <c r="E275" s="24">
        <v>1.5402855969891847</v>
      </c>
      <c r="F275" s="24">
        <v>1.66</v>
      </c>
      <c r="G275" s="83">
        <f t="shared" si="46"/>
        <v>99.226036912085732</v>
      </c>
      <c r="H275" s="84">
        <f t="shared" si="49"/>
        <v>110.49548232234093</v>
      </c>
      <c r="I275" s="84">
        <f t="shared" si="47"/>
        <v>101.67610347393754</v>
      </c>
      <c r="J275" s="84">
        <f t="shared" si="48"/>
        <v>439413264.23641026</v>
      </c>
      <c r="L275" s="19">
        <f t="shared" si="51"/>
        <v>2.0000000000000018E-2</v>
      </c>
      <c r="M275" s="19">
        <f t="shared" si="52"/>
        <v>3.0000000000000027E-2</v>
      </c>
      <c r="N275" s="19">
        <f t="shared" si="52"/>
        <v>4.0000000000000036E-2</v>
      </c>
      <c r="O275" s="19">
        <f t="shared" si="52"/>
        <v>5.0116585671449609E-2</v>
      </c>
      <c r="P275" s="19">
        <f t="shared" si="50"/>
        <v>5.9999999999999831E-2</v>
      </c>
      <c r="R275" s="19"/>
      <c r="S275" s="19"/>
      <c r="T275" s="19"/>
      <c r="U275" s="19"/>
      <c r="V275" s="19"/>
    </row>
    <row r="276" spans="1:22" x14ac:dyDescent="0.2">
      <c r="A276" s="8">
        <v>44596</v>
      </c>
      <c r="B276" s="24">
        <v>0.89</v>
      </c>
      <c r="C276" s="24">
        <v>1.31</v>
      </c>
      <c r="D276" s="24">
        <v>1.55</v>
      </c>
      <c r="E276" s="24">
        <v>1.6654809034614073</v>
      </c>
      <c r="F276" s="24">
        <v>1.78</v>
      </c>
      <c r="G276" s="83">
        <f t="shared" si="46"/>
        <v>99.117851124987624</v>
      </c>
      <c r="H276" s="84">
        <f t="shared" si="49"/>
        <v>110.09245887687325</v>
      </c>
      <c r="I276" s="84">
        <f t="shared" si="47"/>
        <v>101.10023459188658</v>
      </c>
      <c r="J276" s="84">
        <f t="shared" si="48"/>
        <v>437497952.30221164</v>
      </c>
      <c r="L276" s="19">
        <f t="shared" si="51"/>
        <v>0.10999999999999999</v>
      </c>
      <c r="M276" s="19">
        <f t="shared" si="52"/>
        <v>0.12000000000000011</v>
      </c>
      <c r="N276" s="19">
        <f t="shared" si="52"/>
        <v>0.13000000000000012</v>
      </c>
      <c r="O276" s="19">
        <f t="shared" si="52"/>
        <v>0.12519530647222266</v>
      </c>
      <c r="P276" s="19">
        <f t="shared" si="50"/>
        <v>0.12000000000000011</v>
      </c>
      <c r="R276" s="19"/>
      <c r="S276" s="19"/>
      <c r="T276" s="19"/>
      <c r="U276" s="19"/>
      <c r="V276" s="19"/>
    </row>
    <row r="277" spans="1:22" x14ac:dyDescent="0.2">
      <c r="A277" s="8">
        <v>44599</v>
      </c>
      <c r="B277" s="24">
        <v>0.88</v>
      </c>
      <c r="C277" s="24">
        <v>1.3</v>
      </c>
      <c r="D277" s="24">
        <v>1.54</v>
      </c>
      <c r="E277" s="24">
        <v>1.6502343195974896</v>
      </c>
      <c r="F277" s="24">
        <v>1.76</v>
      </c>
      <c r="G277" s="83">
        <f t="shared" si="46"/>
        <v>99.127676447264079</v>
      </c>
      <c r="H277" s="84">
        <f t="shared" si="49"/>
        <v>110.12353822242721</v>
      </c>
      <c r="I277" s="84">
        <f t="shared" si="47"/>
        <v>101.19431182510299</v>
      </c>
      <c r="J277" s="84">
        <f t="shared" si="48"/>
        <v>437847292.86129928</v>
      </c>
      <c r="L277" s="19">
        <f t="shared" si="51"/>
        <v>-1.0000000000000009E-2</v>
      </c>
      <c r="M277" s="19">
        <f t="shared" si="52"/>
        <v>-1.0000000000000009E-2</v>
      </c>
      <c r="N277" s="19">
        <f t="shared" si="52"/>
        <v>-1.0000000000000009E-2</v>
      </c>
      <c r="O277" s="19">
        <f t="shared" si="52"/>
        <v>-1.5246583863917751E-2</v>
      </c>
      <c r="P277" s="19">
        <f t="shared" si="50"/>
        <v>-2.0000000000000018E-2</v>
      </c>
      <c r="R277" s="19"/>
      <c r="S277" s="19"/>
      <c r="T277" s="19"/>
      <c r="U277" s="19"/>
      <c r="V277" s="19"/>
    </row>
    <row r="278" spans="1:22" x14ac:dyDescent="0.2">
      <c r="A278" s="8">
        <v>44600</v>
      </c>
      <c r="B278" s="24">
        <v>0.91</v>
      </c>
      <c r="C278" s="24">
        <v>1.35</v>
      </c>
      <c r="D278" s="24">
        <v>1.59</v>
      </c>
      <c r="E278" s="24">
        <v>1.7003046238631738</v>
      </c>
      <c r="F278" s="24">
        <v>1.81</v>
      </c>
      <c r="G278" s="83">
        <f t="shared" si="46"/>
        <v>99.098206322465558</v>
      </c>
      <c r="H278" s="84">
        <f t="shared" si="49"/>
        <v>109.96924378141534</v>
      </c>
      <c r="I278" s="84">
        <f t="shared" si="47"/>
        <v>100.95597645807825</v>
      </c>
      <c r="J278" s="84">
        <f t="shared" si="48"/>
        <v>437066452.80512106</v>
      </c>
      <c r="L278" s="19">
        <f t="shared" si="51"/>
        <v>3.0000000000000027E-2</v>
      </c>
      <c r="M278" s="19">
        <f t="shared" si="52"/>
        <v>5.0000000000000044E-2</v>
      </c>
      <c r="N278" s="19">
        <f t="shared" si="52"/>
        <v>5.0000000000000044E-2</v>
      </c>
      <c r="O278" s="19">
        <f t="shared" si="52"/>
        <v>5.0070304265684262E-2</v>
      </c>
      <c r="P278" s="19">
        <f t="shared" si="50"/>
        <v>5.0000000000000044E-2</v>
      </c>
      <c r="R278" s="19"/>
      <c r="S278" s="19"/>
      <c r="T278" s="19"/>
      <c r="U278" s="19"/>
      <c r="V278" s="19"/>
    </row>
    <row r="279" spans="1:22" x14ac:dyDescent="0.2">
      <c r="A279" s="8">
        <v>44601</v>
      </c>
      <c r="B279" s="24">
        <v>0.91</v>
      </c>
      <c r="C279" s="24">
        <v>1.36</v>
      </c>
      <c r="D279" s="24">
        <v>1.61</v>
      </c>
      <c r="E279" s="24">
        <v>1.7150852180526124</v>
      </c>
      <c r="F279" s="24">
        <v>1.82</v>
      </c>
      <c r="G279" s="83">
        <f t="shared" si="46"/>
        <v>99.098206322465558</v>
      </c>
      <c r="H279" s="84">
        <f t="shared" si="49"/>
        <v>109.90915909233408</v>
      </c>
      <c r="I279" s="84">
        <f t="shared" si="47"/>
        <v>100.90759714399773</v>
      </c>
      <c r="J279" s="84">
        <f t="shared" si="48"/>
        <v>436963062.58242095</v>
      </c>
      <c r="L279" s="19">
        <f t="shared" si="51"/>
        <v>0</v>
      </c>
      <c r="M279" s="19">
        <f t="shared" si="52"/>
        <v>1.0000000000000009E-2</v>
      </c>
      <c r="N279" s="19">
        <f t="shared" si="52"/>
        <v>2.0000000000000018E-2</v>
      </c>
      <c r="O279" s="19">
        <f t="shared" si="52"/>
        <v>1.4780594189438556E-2</v>
      </c>
      <c r="P279" s="19">
        <f t="shared" si="50"/>
        <v>1.0000000000000009E-2</v>
      </c>
      <c r="R279" s="19"/>
      <c r="S279" s="19"/>
      <c r="T279" s="19"/>
      <c r="U279" s="19"/>
      <c r="V279" s="19"/>
    </row>
    <row r="280" spans="1:22" x14ac:dyDescent="0.2">
      <c r="A280" s="8">
        <v>44602</v>
      </c>
      <c r="B280" s="24">
        <v>1.1399999999999999</v>
      </c>
      <c r="C280" s="24">
        <v>1.61</v>
      </c>
      <c r="D280" s="24">
        <v>1.82</v>
      </c>
      <c r="E280" s="24">
        <v>1.8903398542253693</v>
      </c>
      <c r="F280" s="24">
        <v>1.96</v>
      </c>
      <c r="G280" s="83">
        <f t="shared" si="46"/>
        <v>98.872849515523029</v>
      </c>
      <c r="H280" s="84">
        <f t="shared" si="49"/>
        <v>109.25596852178415</v>
      </c>
      <c r="I280" s="84">
        <f t="shared" si="47"/>
        <v>100.23079717468357</v>
      </c>
      <c r="J280" s="84">
        <f t="shared" si="48"/>
        <v>434784934.9471041</v>
      </c>
      <c r="L280" s="19">
        <f t="shared" si="51"/>
        <v>0.22999999999999987</v>
      </c>
      <c r="M280" s="19">
        <f t="shared" si="52"/>
        <v>0.25</v>
      </c>
      <c r="N280" s="19">
        <f t="shared" si="52"/>
        <v>0.20999999999999996</v>
      </c>
      <c r="O280" s="19">
        <f t="shared" si="52"/>
        <v>0.17525463617275694</v>
      </c>
      <c r="P280" s="19">
        <f t="shared" si="50"/>
        <v>0.1399999999999999</v>
      </c>
      <c r="R280" s="19"/>
      <c r="S280" s="19"/>
      <c r="T280" s="19"/>
      <c r="U280" s="19"/>
      <c r="V280" s="19"/>
    </row>
    <row r="281" spans="1:22" x14ac:dyDescent="0.2">
      <c r="A281" s="8">
        <v>44603</v>
      </c>
      <c r="B281" s="24">
        <v>1.07</v>
      </c>
      <c r="C281" s="24">
        <v>1.5</v>
      </c>
      <c r="D281" s="24">
        <v>1.71</v>
      </c>
      <c r="E281" s="24">
        <v>1.7750699410242248</v>
      </c>
      <c r="F281" s="24">
        <v>1.84</v>
      </c>
      <c r="G281" s="83">
        <f t="shared" si="46"/>
        <v>98.941327792618978</v>
      </c>
      <c r="H281" s="84">
        <f t="shared" si="49"/>
        <v>109.59297472746711</v>
      </c>
      <c r="I281" s="84">
        <f t="shared" si="47"/>
        <v>100.79759024207543</v>
      </c>
      <c r="J281" s="84">
        <f t="shared" si="48"/>
        <v>436683554.46233904</v>
      </c>
      <c r="L281" s="19">
        <f t="shared" si="51"/>
        <v>-6.999999999999984E-2</v>
      </c>
      <c r="M281" s="19">
        <f t="shared" si="52"/>
        <v>-0.1100000000000001</v>
      </c>
      <c r="N281" s="19">
        <f t="shared" si="52"/>
        <v>-0.1100000000000001</v>
      </c>
      <c r="O281" s="19">
        <f t="shared" si="52"/>
        <v>-0.11526991320114455</v>
      </c>
      <c r="P281" s="19">
        <f t="shared" si="50"/>
        <v>-0.11999999999999988</v>
      </c>
      <c r="R281" s="19"/>
      <c r="S281" s="19"/>
      <c r="T281" s="19"/>
      <c r="U281" s="19"/>
      <c r="V281" s="19"/>
    </row>
    <row r="282" spans="1:22" x14ac:dyDescent="0.2">
      <c r="A282" s="8">
        <v>44606</v>
      </c>
      <c r="B282" s="24">
        <v>1.1299999999999999</v>
      </c>
      <c r="C282" s="24">
        <v>1.58</v>
      </c>
      <c r="D282" s="24">
        <v>1.8</v>
      </c>
      <c r="E282" s="24">
        <v>1.8503150234546253</v>
      </c>
      <c r="F282" s="24">
        <v>1.9</v>
      </c>
      <c r="G282" s="83">
        <f t="shared" si="46"/>
        <v>98.882626322555112</v>
      </c>
      <c r="H282" s="84">
        <f t="shared" si="49"/>
        <v>109.31795622732136</v>
      </c>
      <c r="I282" s="84">
        <f t="shared" si="47"/>
        <v>100.50901357671127</v>
      </c>
      <c r="J282" s="84">
        <f t="shared" si="48"/>
        <v>435824372.61097324</v>
      </c>
      <c r="L282" s="19">
        <f t="shared" si="51"/>
        <v>5.9999999999999831E-2</v>
      </c>
      <c r="M282" s="19">
        <f t="shared" si="52"/>
        <v>8.0000000000000071E-2</v>
      </c>
      <c r="N282" s="19">
        <f t="shared" si="52"/>
        <v>9.000000000000008E-2</v>
      </c>
      <c r="O282" s="19">
        <f t="shared" si="52"/>
        <v>7.5245082430400512E-2</v>
      </c>
      <c r="P282" s="19">
        <f t="shared" si="50"/>
        <v>5.9999999999999831E-2</v>
      </c>
      <c r="R282" s="19"/>
      <c r="S282" s="19"/>
      <c r="T282" s="19"/>
      <c r="U282" s="19"/>
      <c r="V282" s="19"/>
    </row>
    <row r="283" spans="1:22" x14ac:dyDescent="0.2">
      <c r="A283" s="8">
        <v>44607</v>
      </c>
      <c r="B283" s="24">
        <v>1.1100000000000001</v>
      </c>
      <c r="C283" s="24">
        <v>1.58</v>
      </c>
      <c r="D283" s="24">
        <v>1.8</v>
      </c>
      <c r="E283" s="24">
        <v>1.8704708784831074</v>
      </c>
      <c r="F283" s="24">
        <v>1.94</v>
      </c>
      <c r="G283" s="83">
        <f t="shared" si="46"/>
        <v>98.902185738304809</v>
      </c>
      <c r="H283" s="84">
        <f t="shared" si="49"/>
        <v>109.31893419810885</v>
      </c>
      <c r="I283" s="84">
        <f t="shared" si="47"/>
        <v>100.32593325830344</v>
      </c>
      <c r="J283" s="84">
        <f t="shared" si="48"/>
        <v>435129703.21266007</v>
      </c>
      <c r="L283" s="19">
        <f t="shared" si="51"/>
        <v>-1.9999999999999796E-2</v>
      </c>
      <c r="M283" s="19">
        <f t="shared" si="52"/>
        <v>0</v>
      </c>
      <c r="N283" s="19">
        <f t="shared" si="52"/>
        <v>0</v>
      </c>
      <c r="O283" s="19">
        <f t="shared" si="52"/>
        <v>2.0155855028482161E-2</v>
      </c>
      <c r="P283" s="19">
        <f t="shared" si="50"/>
        <v>4.0000000000000036E-2</v>
      </c>
      <c r="R283" s="19"/>
      <c r="S283" s="19"/>
      <c r="T283" s="19"/>
      <c r="U283" s="19"/>
      <c r="V283" s="19"/>
    </row>
    <row r="284" spans="1:22" x14ac:dyDescent="0.2">
      <c r="A284" s="8">
        <v>44608</v>
      </c>
      <c r="B284" s="24">
        <v>1.0900000000000001</v>
      </c>
      <c r="C284" s="24">
        <v>1.52</v>
      </c>
      <c r="D284" s="24">
        <v>1.75</v>
      </c>
      <c r="E284" s="24">
        <v>1.8253471887596262</v>
      </c>
      <c r="F284" s="24">
        <v>1.9</v>
      </c>
      <c r="G284" s="83">
        <f t="shared" si="46"/>
        <v>98.921752893461274</v>
      </c>
      <c r="H284" s="84">
        <f t="shared" si="49"/>
        <v>109.47243865660732</v>
      </c>
      <c r="I284" s="84">
        <f t="shared" si="47"/>
        <v>100.51670758938562</v>
      </c>
      <c r="J284" s="84">
        <f t="shared" si="48"/>
        <v>435701678.159554</v>
      </c>
      <c r="L284" s="19">
        <f t="shared" si="51"/>
        <v>-2.0000000000000018E-2</v>
      </c>
      <c r="M284" s="19">
        <f t="shared" si="52"/>
        <v>-6.0000000000000053E-2</v>
      </c>
      <c r="N284" s="19">
        <f t="shared" si="52"/>
        <v>-5.0000000000000044E-2</v>
      </c>
      <c r="O284" s="19">
        <f t="shared" si="52"/>
        <v>-4.5123689723481242E-2</v>
      </c>
      <c r="P284" s="19">
        <f t="shared" si="50"/>
        <v>-4.0000000000000036E-2</v>
      </c>
      <c r="R284" s="19"/>
      <c r="S284" s="19"/>
      <c r="T284" s="19"/>
      <c r="U284" s="19"/>
      <c r="V284" s="19"/>
    </row>
    <row r="285" spans="1:22" x14ac:dyDescent="0.2">
      <c r="A285" s="8">
        <v>44609</v>
      </c>
      <c r="B285" s="24">
        <v>1.05</v>
      </c>
      <c r="C285" s="24">
        <v>1.49</v>
      </c>
      <c r="D285" s="24">
        <v>1.7</v>
      </c>
      <c r="E285" s="24">
        <v>1.7751196951522843</v>
      </c>
      <c r="F285" s="24">
        <v>1.85</v>
      </c>
      <c r="G285" s="83">
        <f t="shared" si="46"/>
        <v>98.960910440376054</v>
      </c>
      <c r="H285" s="84">
        <f t="shared" si="49"/>
        <v>109.62435055783045</v>
      </c>
      <c r="I285" s="84">
        <f t="shared" si="47"/>
        <v>100.75321994673644</v>
      </c>
      <c r="J285" s="84">
        <f t="shared" si="48"/>
        <v>436498174.83095217</v>
      </c>
      <c r="L285" s="19">
        <f t="shared" si="51"/>
        <v>-4.0000000000000036E-2</v>
      </c>
      <c r="M285" s="19">
        <f t="shared" si="52"/>
        <v>-3.0000000000000027E-2</v>
      </c>
      <c r="N285" s="19">
        <f t="shared" si="52"/>
        <v>-5.0000000000000044E-2</v>
      </c>
      <c r="O285" s="19">
        <f t="shared" si="52"/>
        <v>-5.0227493607341911E-2</v>
      </c>
      <c r="P285" s="19">
        <f t="shared" si="50"/>
        <v>-4.9999999999999822E-2</v>
      </c>
      <c r="R285" s="19"/>
      <c r="S285" s="19"/>
      <c r="T285" s="19"/>
      <c r="U285" s="19"/>
      <c r="V285" s="19"/>
    </row>
    <row r="286" spans="1:22" x14ac:dyDescent="0.2">
      <c r="A286" s="8">
        <v>44610</v>
      </c>
      <c r="B286" s="24">
        <v>1.03</v>
      </c>
      <c r="C286" s="24">
        <v>1.47</v>
      </c>
      <c r="D286" s="24">
        <v>1.68</v>
      </c>
      <c r="E286" s="24">
        <v>1.7501545066800301</v>
      </c>
      <c r="F286" s="24">
        <v>1.82</v>
      </c>
      <c r="G286" s="83">
        <f t="shared" si="46"/>
        <v>98.980500841334262</v>
      </c>
      <c r="H286" s="84">
        <f t="shared" si="49"/>
        <v>109.68615907251494</v>
      </c>
      <c r="I286" s="84">
        <f t="shared" si="47"/>
        <v>100.89451536849749</v>
      </c>
      <c r="J286" s="84">
        <f t="shared" si="48"/>
        <v>437009824.54788613</v>
      </c>
      <c r="L286" s="19">
        <f t="shared" si="51"/>
        <v>-2.0000000000000018E-2</v>
      </c>
      <c r="M286" s="19">
        <f t="shared" si="52"/>
        <v>-2.0000000000000018E-2</v>
      </c>
      <c r="N286" s="19">
        <f t="shared" si="52"/>
        <v>-2.0000000000000018E-2</v>
      </c>
      <c r="O286" s="19">
        <f t="shared" si="52"/>
        <v>-2.4965188472254152E-2</v>
      </c>
      <c r="P286" s="19">
        <f t="shared" si="50"/>
        <v>-3.0000000000000027E-2</v>
      </c>
      <c r="R286" s="19"/>
      <c r="S286" s="19"/>
      <c r="T286" s="19"/>
      <c r="U286" s="19"/>
      <c r="V286" s="19"/>
    </row>
    <row r="287" spans="1:22" x14ac:dyDescent="0.2">
      <c r="A287" s="8">
        <v>44614</v>
      </c>
      <c r="B287" s="24">
        <v>1.17</v>
      </c>
      <c r="C287" s="24">
        <v>1.56</v>
      </c>
      <c r="D287" s="24">
        <v>1.74</v>
      </c>
      <c r="E287" s="24">
        <v>1.7954157480983592</v>
      </c>
      <c r="F287" s="24">
        <v>1.85</v>
      </c>
      <c r="G287" s="83">
        <f t="shared" si="46"/>
        <v>98.843530690916282</v>
      </c>
      <c r="H287" s="84">
        <f t="shared" si="49"/>
        <v>109.49410076755113</v>
      </c>
      <c r="I287" s="84">
        <f t="shared" si="47"/>
        <v>100.74446869873361</v>
      </c>
      <c r="J287" s="84">
        <f t="shared" si="48"/>
        <v>436423785.02544034</v>
      </c>
      <c r="L287" s="19">
        <f t="shared" si="51"/>
        <v>0.1399999999999999</v>
      </c>
      <c r="M287" s="19">
        <f t="shared" si="52"/>
        <v>9.000000000000008E-2</v>
      </c>
      <c r="N287" s="19">
        <f t="shared" si="52"/>
        <v>6.0000000000000053E-2</v>
      </c>
      <c r="O287" s="19">
        <f t="shared" si="52"/>
        <v>4.5261241418329101E-2</v>
      </c>
      <c r="P287" s="19">
        <f t="shared" si="50"/>
        <v>3.0000000000000027E-2</v>
      </c>
      <c r="R287" s="19"/>
      <c r="S287" s="19"/>
      <c r="T287" s="19"/>
      <c r="U287" s="19"/>
      <c r="V287" s="19"/>
    </row>
    <row r="288" spans="1:22" x14ac:dyDescent="0.2">
      <c r="A288" s="8">
        <v>44615</v>
      </c>
      <c r="B288" s="24">
        <v>1.1599999999999999</v>
      </c>
      <c r="C288" s="24">
        <v>1.58</v>
      </c>
      <c r="D288" s="24">
        <v>1.78</v>
      </c>
      <c r="E288" s="24">
        <v>1.8351171672009585</v>
      </c>
      <c r="F288" s="24">
        <v>1.89</v>
      </c>
      <c r="G288" s="83">
        <f t="shared" si="46"/>
        <v>98.853301700276788</v>
      </c>
      <c r="H288" s="84">
        <f t="shared" si="49"/>
        <v>109.37517404992566</v>
      </c>
      <c r="I288" s="84">
        <f t="shared" si="47"/>
        <v>100.55622188169592</v>
      </c>
      <c r="J288" s="84">
        <f t="shared" si="48"/>
        <v>435868729.85244882</v>
      </c>
      <c r="L288" s="19">
        <f t="shared" si="51"/>
        <v>-1.0000000000000009E-2</v>
      </c>
      <c r="M288" s="19">
        <f t="shared" si="52"/>
        <v>2.0000000000000018E-2</v>
      </c>
      <c r="N288" s="19">
        <f t="shared" si="52"/>
        <v>4.0000000000000036E-2</v>
      </c>
      <c r="O288" s="19">
        <f t="shared" si="52"/>
        <v>3.9701419102599278E-2</v>
      </c>
      <c r="P288" s="19">
        <f t="shared" si="50"/>
        <v>3.9999999999999813E-2</v>
      </c>
      <c r="R288" s="19"/>
      <c r="S288" s="19"/>
      <c r="T288" s="19"/>
      <c r="U288" s="19"/>
      <c r="V288" s="19"/>
    </row>
    <row r="289" spans="1:22" x14ac:dyDescent="0.2">
      <c r="A289" s="8">
        <v>44616</v>
      </c>
      <c r="B289" s="24">
        <v>1.08</v>
      </c>
      <c r="C289" s="24">
        <v>1.54</v>
      </c>
      <c r="D289" s="24">
        <v>1.73</v>
      </c>
      <c r="E289" s="24">
        <v>1.785235041166219</v>
      </c>
      <c r="F289" s="24">
        <v>1.84</v>
      </c>
      <c r="G289" s="83">
        <f t="shared" si="46"/>
        <v>98.931539374752674</v>
      </c>
      <c r="H289" s="84">
        <f t="shared" si="49"/>
        <v>109.52981654119476</v>
      </c>
      <c r="I289" s="84">
        <f t="shared" si="47"/>
        <v>100.79399986218027</v>
      </c>
      <c r="J289" s="84">
        <f t="shared" si="48"/>
        <v>436744353.38643432</v>
      </c>
      <c r="L289" s="19">
        <f t="shared" si="51"/>
        <v>-7.9999999999999849E-2</v>
      </c>
      <c r="M289" s="19">
        <f t="shared" si="52"/>
        <v>-4.0000000000000036E-2</v>
      </c>
      <c r="N289" s="19">
        <f t="shared" si="52"/>
        <v>-5.0000000000000044E-2</v>
      </c>
      <c r="O289" s="19">
        <f t="shared" si="52"/>
        <v>-4.9882126034739516E-2</v>
      </c>
      <c r="P289" s="19">
        <f t="shared" si="50"/>
        <v>-4.9999999999999822E-2</v>
      </c>
      <c r="R289" s="19"/>
      <c r="S289" s="19"/>
      <c r="T289" s="19"/>
      <c r="U289" s="19"/>
      <c r="V289" s="19"/>
    </row>
    <row r="290" spans="1:22" x14ac:dyDescent="0.2">
      <c r="A290" s="8">
        <v>44617</v>
      </c>
      <c r="B290" s="24">
        <v>1.1299999999999999</v>
      </c>
      <c r="C290" s="24">
        <v>1.55</v>
      </c>
      <c r="D290" s="24">
        <v>1.76</v>
      </c>
      <c r="E290" s="24">
        <v>1.8101501224221308</v>
      </c>
      <c r="F290" s="24">
        <v>1.86</v>
      </c>
      <c r="G290" s="83">
        <f t="shared" si="46"/>
        <v>98.882626322555112</v>
      </c>
      <c r="H290" s="84">
        <f t="shared" si="49"/>
        <v>109.43823392546821</v>
      </c>
      <c r="I290" s="84">
        <f t="shared" si="47"/>
        <v>100.69776021713318</v>
      </c>
      <c r="J290" s="84">
        <f t="shared" si="48"/>
        <v>436398942.6254406</v>
      </c>
      <c r="L290" s="19">
        <f t="shared" si="51"/>
        <v>4.9999999999999822E-2</v>
      </c>
      <c r="M290" s="19">
        <f t="shared" si="52"/>
        <v>1.0000000000000009E-2</v>
      </c>
      <c r="N290" s="19">
        <f t="shared" si="52"/>
        <v>3.0000000000000027E-2</v>
      </c>
      <c r="O290" s="19">
        <f t="shared" si="52"/>
        <v>2.4915081255911797E-2</v>
      </c>
      <c r="P290" s="19">
        <f t="shared" si="50"/>
        <v>2.0000000000000018E-2</v>
      </c>
      <c r="R290" s="19"/>
      <c r="S290" s="19"/>
      <c r="T290" s="19"/>
      <c r="U290" s="19"/>
      <c r="V290" s="19"/>
    </row>
    <row r="291" spans="1:22" x14ac:dyDescent="0.2">
      <c r="A291" s="8">
        <v>44620</v>
      </c>
      <c r="B291" s="24">
        <v>1.01</v>
      </c>
      <c r="C291" s="24">
        <v>1.44</v>
      </c>
      <c r="D291" s="24">
        <v>1.62</v>
      </c>
      <c r="E291" s="24">
        <v>1.6651730620587211</v>
      </c>
      <c r="F291" s="24">
        <v>1.71</v>
      </c>
      <c r="G291" s="83">
        <f t="shared" si="46"/>
        <v>99.000099000098999</v>
      </c>
      <c r="H291" s="84">
        <f t="shared" si="49"/>
        <v>109.86703585212989</v>
      </c>
      <c r="I291" s="84">
        <f t="shared" si="47"/>
        <v>101.41077002949714</v>
      </c>
      <c r="J291" s="84">
        <f t="shared" si="48"/>
        <v>438842724.33999175</v>
      </c>
      <c r="L291" s="19">
        <f t="shared" si="51"/>
        <v>-0.11999999999999988</v>
      </c>
      <c r="M291" s="19">
        <f t="shared" si="52"/>
        <v>-0.1100000000000001</v>
      </c>
      <c r="N291" s="19">
        <f t="shared" si="52"/>
        <v>-0.1399999999999999</v>
      </c>
      <c r="O291" s="19">
        <f t="shared" si="52"/>
        <v>-0.14497706036340974</v>
      </c>
      <c r="P291" s="19">
        <f t="shared" si="50"/>
        <v>-0.15000000000000013</v>
      </c>
      <c r="R291" s="19"/>
      <c r="S291" s="19"/>
      <c r="T291" s="19"/>
      <c r="U291" s="19"/>
      <c r="V291" s="19"/>
    </row>
    <row r="292" spans="1:22" x14ac:dyDescent="0.2">
      <c r="A292" s="8">
        <v>44621</v>
      </c>
      <c r="B292" s="24">
        <v>0.91</v>
      </c>
      <c r="C292" s="24">
        <v>1.31</v>
      </c>
      <c r="D292" s="24">
        <v>1.47</v>
      </c>
      <c r="E292" s="24">
        <v>1.5150452950105056</v>
      </c>
      <c r="F292" s="24">
        <v>1.56</v>
      </c>
      <c r="G292" s="83">
        <f t="shared" si="46"/>
        <v>99.098206322465558</v>
      </c>
      <c r="H292" s="84">
        <f t="shared" si="49"/>
        <v>110.32881364002246</v>
      </c>
      <c r="I292" s="84">
        <f t="shared" si="47"/>
        <v>102.13135749451939</v>
      </c>
      <c r="J292" s="84">
        <f t="shared" si="48"/>
        <v>441228622.16297501</v>
      </c>
      <c r="L292" s="19">
        <f t="shared" si="51"/>
        <v>-9.9999999999999978E-2</v>
      </c>
      <c r="M292" s="19">
        <f t="shared" si="52"/>
        <v>-0.12999999999999989</v>
      </c>
      <c r="N292" s="19">
        <f t="shared" si="52"/>
        <v>-0.15000000000000013</v>
      </c>
      <c r="O292" s="19">
        <f t="shared" si="52"/>
        <v>-0.15012776704821551</v>
      </c>
      <c r="P292" s="19">
        <f t="shared" si="50"/>
        <v>-0.14999999999999991</v>
      </c>
      <c r="R292" s="19"/>
      <c r="S292" s="19"/>
      <c r="T292" s="19"/>
      <c r="U292" s="19"/>
      <c r="V292" s="19"/>
    </row>
    <row r="293" spans="1:22" x14ac:dyDescent="0.2">
      <c r="A293" s="8">
        <v>44622</v>
      </c>
      <c r="B293" s="24">
        <v>1.06</v>
      </c>
      <c r="C293" s="24">
        <v>1.5</v>
      </c>
      <c r="D293" s="24">
        <v>1.67</v>
      </c>
      <c r="E293" s="24">
        <v>1.705137049995803</v>
      </c>
      <c r="F293" s="24">
        <v>1.74</v>
      </c>
      <c r="G293" s="83">
        <f t="shared" si="46"/>
        <v>98.951118147635071</v>
      </c>
      <c r="H293" s="84">
        <f t="shared" si="49"/>
        <v>109.71129471570281</v>
      </c>
      <c r="I293" s="84">
        <f t="shared" si="47"/>
        <v>101.26366365776039</v>
      </c>
      <c r="J293" s="84">
        <f t="shared" si="48"/>
        <v>438389948.85275751</v>
      </c>
      <c r="L293" s="19">
        <f t="shared" si="51"/>
        <v>0.15000000000000002</v>
      </c>
      <c r="M293" s="19">
        <f t="shared" si="52"/>
        <v>0.18999999999999995</v>
      </c>
      <c r="N293" s="19">
        <f t="shared" si="52"/>
        <v>0.19999999999999996</v>
      </c>
      <c r="O293" s="19">
        <f t="shared" si="52"/>
        <v>0.1900917549852974</v>
      </c>
      <c r="P293" s="19">
        <f t="shared" si="50"/>
        <v>0.17999999999999994</v>
      </c>
      <c r="R293" s="19"/>
      <c r="S293" s="19"/>
      <c r="T293" s="19"/>
      <c r="U293" s="19"/>
      <c r="V293" s="19"/>
    </row>
    <row r="294" spans="1:22" x14ac:dyDescent="0.2">
      <c r="A294" s="8">
        <v>44623</v>
      </c>
      <c r="B294" s="24">
        <v>1.08</v>
      </c>
      <c r="C294" s="24">
        <v>1.53</v>
      </c>
      <c r="D294" s="24">
        <v>1.69</v>
      </c>
      <c r="E294" s="24">
        <v>1.7153279975673394</v>
      </c>
      <c r="F294" s="24">
        <v>1.74</v>
      </c>
      <c r="G294" s="83">
        <f t="shared" si="46"/>
        <v>98.931539374752674</v>
      </c>
      <c r="H294" s="84">
        <f t="shared" si="49"/>
        <v>109.64850968783745</v>
      </c>
      <c r="I294" s="84">
        <f t="shared" si="47"/>
        <v>101.26025337496591</v>
      </c>
      <c r="J294" s="84">
        <f t="shared" si="48"/>
        <v>438431327.7176128</v>
      </c>
      <c r="L294" s="19">
        <f t="shared" si="51"/>
        <v>2.0000000000000018E-2</v>
      </c>
      <c r="M294" s="19">
        <f t="shared" si="52"/>
        <v>3.0000000000000027E-2</v>
      </c>
      <c r="N294" s="19">
        <f t="shared" si="52"/>
        <v>2.0000000000000018E-2</v>
      </c>
      <c r="O294" s="19">
        <f t="shared" si="52"/>
        <v>1.0190947571536491E-2</v>
      </c>
      <c r="P294" s="19">
        <f t="shared" si="50"/>
        <v>0</v>
      </c>
      <c r="R294" s="19"/>
      <c r="S294" s="19"/>
      <c r="T294" s="19"/>
      <c r="U294" s="19"/>
      <c r="V294" s="19"/>
    </row>
    <row r="295" spans="1:22" x14ac:dyDescent="0.2">
      <c r="A295" s="8">
        <v>44624</v>
      </c>
      <c r="B295" s="24">
        <v>1.05</v>
      </c>
      <c r="C295" s="24">
        <v>1.5</v>
      </c>
      <c r="D295" s="24">
        <v>1.62</v>
      </c>
      <c r="E295" s="24">
        <v>1.6352718262967776</v>
      </c>
      <c r="F295" s="24">
        <v>1.65</v>
      </c>
      <c r="G295" s="83">
        <f t="shared" si="46"/>
        <v>98.960910440376054</v>
      </c>
      <c r="H295" s="84">
        <f t="shared" si="49"/>
        <v>109.8593334303734</v>
      </c>
      <c r="I295" s="84">
        <f t="shared" si="47"/>
        <v>101.68678395390974</v>
      </c>
      <c r="J295" s="84">
        <f t="shared" si="48"/>
        <v>439879956.55083096</v>
      </c>
      <c r="L295" s="19">
        <f t="shared" si="51"/>
        <v>-3.0000000000000027E-2</v>
      </c>
      <c r="M295" s="19">
        <f t="shared" si="52"/>
        <v>-3.0000000000000027E-2</v>
      </c>
      <c r="N295" s="19">
        <f t="shared" si="52"/>
        <v>-6.999999999999984E-2</v>
      </c>
      <c r="O295" s="19">
        <f t="shared" si="52"/>
        <v>-8.005617127056186E-2</v>
      </c>
      <c r="P295" s="19">
        <f t="shared" si="50"/>
        <v>-9.000000000000008E-2</v>
      </c>
      <c r="R295" s="19"/>
      <c r="S295" s="19"/>
      <c r="T295" s="19"/>
      <c r="U295" s="19"/>
      <c r="V295" s="19"/>
    </row>
    <row r="296" spans="1:22" x14ac:dyDescent="0.2">
      <c r="A296" s="8">
        <v>44627</v>
      </c>
      <c r="B296" s="24">
        <v>1.07</v>
      </c>
      <c r="C296" s="24">
        <v>1.55</v>
      </c>
      <c r="D296" s="24">
        <v>1.68</v>
      </c>
      <c r="E296" s="24">
        <v>1.6954785890022757</v>
      </c>
      <c r="F296" s="24">
        <v>1.71</v>
      </c>
      <c r="G296" s="83">
        <f t="shared" si="46"/>
        <v>98.941327792618978</v>
      </c>
      <c r="H296" s="84">
        <f t="shared" si="49"/>
        <v>109.67655214255073</v>
      </c>
      <c r="I296" s="84">
        <f t="shared" si="47"/>
        <v>101.39978367014724</v>
      </c>
      <c r="J296" s="84">
        <f t="shared" si="48"/>
        <v>438966962.05200082</v>
      </c>
      <c r="L296" s="19">
        <f t="shared" si="51"/>
        <v>2.0000000000000018E-2</v>
      </c>
      <c r="M296" s="19">
        <f t="shared" si="52"/>
        <v>5.0000000000000044E-2</v>
      </c>
      <c r="N296" s="19">
        <f t="shared" si="52"/>
        <v>5.9999999999999831E-2</v>
      </c>
      <c r="O296" s="19">
        <f t="shared" si="52"/>
        <v>6.0206762705498074E-2</v>
      </c>
      <c r="P296" s="19">
        <f t="shared" si="50"/>
        <v>6.0000000000000053E-2</v>
      </c>
      <c r="R296" s="19"/>
      <c r="S296" s="19"/>
      <c r="T296" s="19"/>
      <c r="U296" s="19"/>
      <c r="V296" s="19"/>
    </row>
    <row r="297" spans="1:22" x14ac:dyDescent="0.2">
      <c r="A297" s="8">
        <v>44628</v>
      </c>
      <c r="B297" s="24">
        <v>1.1200000000000001</v>
      </c>
      <c r="C297" s="24">
        <v>1.63</v>
      </c>
      <c r="D297" s="24">
        <v>1.78</v>
      </c>
      <c r="E297" s="24">
        <v>1.7903959529516118</v>
      </c>
      <c r="F297" s="24">
        <v>1.8</v>
      </c>
      <c r="G297" s="83">
        <f t="shared" si="46"/>
        <v>98.892405063291136</v>
      </c>
      <c r="H297" s="84">
        <f t="shared" si="49"/>
        <v>109.37236244128277</v>
      </c>
      <c r="I297" s="84">
        <f t="shared" si="47"/>
        <v>100.96968300867606</v>
      </c>
      <c r="J297" s="84">
        <f t="shared" si="48"/>
        <v>437604998.49936235</v>
      </c>
      <c r="L297" s="19">
        <f t="shared" si="51"/>
        <v>5.0000000000000044E-2</v>
      </c>
      <c r="M297" s="19">
        <f t="shared" si="52"/>
        <v>7.9999999999999849E-2</v>
      </c>
      <c r="N297" s="19">
        <f t="shared" si="52"/>
        <v>0.10000000000000009</v>
      </c>
      <c r="O297" s="19">
        <f t="shared" si="52"/>
        <v>9.4917363949336142E-2</v>
      </c>
      <c r="P297" s="19">
        <f t="shared" si="50"/>
        <v>9.000000000000008E-2</v>
      </c>
      <c r="R297" s="19"/>
      <c r="S297" s="19"/>
      <c r="T297" s="19"/>
      <c r="U297" s="19"/>
      <c r="V297" s="19"/>
    </row>
    <row r="298" spans="1:22" x14ac:dyDescent="0.2">
      <c r="A298" s="8">
        <v>44629</v>
      </c>
      <c r="B298" s="24">
        <v>1.1499999999999999</v>
      </c>
      <c r="C298" s="24">
        <v>1.68</v>
      </c>
      <c r="D298" s="24">
        <v>1.83</v>
      </c>
      <c r="E298" s="24">
        <v>1.8500298448890318</v>
      </c>
      <c r="F298" s="24">
        <v>1.87</v>
      </c>
      <c r="G298" s="83">
        <f t="shared" si="46"/>
        <v>98.863074641621353</v>
      </c>
      <c r="H298" s="84">
        <f t="shared" si="49"/>
        <v>109.21951246092476</v>
      </c>
      <c r="I298" s="84">
        <f t="shared" si="47"/>
        <v>100.6399400388724</v>
      </c>
      <c r="J298" s="84">
        <f t="shared" si="48"/>
        <v>436456640.74734509</v>
      </c>
      <c r="L298" s="19">
        <f t="shared" si="51"/>
        <v>2.9999999999999805E-2</v>
      </c>
      <c r="M298" s="19">
        <f t="shared" si="52"/>
        <v>5.0000000000000044E-2</v>
      </c>
      <c r="N298" s="19">
        <f t="shared" si="52"/>
        <v>5.0000000000000044E-2</v>
      </c>
      <c r="O298" s="19">
        <f t="shared" si="52"/>
        <v>5.9633891937419969E-2</v>
      </c>
      <c r="P298" s="19">
        <f t="shared" si="50"/>
        <v>7.0000000000000062E-2</v>
      </c>
      <c r="R298" s="19"/>
      <c r="S298" s="19"/>
      <c r="T298" s="19"/>
      <c r="U298" s="19"/>
      <c r="V298" s="19"/>
    </row>
    <row r="299" spans="1:22" x14ac:dyDescent="0.2">
      <c r="A299" s="8">
        <v>44630</v>
      </c>
      <c r="B299" s="24">
        <v>1.19</v>
      </c>
      <c r="C299" s="24">
        <v>1.72</v>
      </c>
      <c r="D299" s="24">
        <v>1.88</v>
      </c>
      <c r="E299" s="24">
        <v>1.9001825537382937</v>
      </c>
      <c r="F299" s="24">
        <v>1.92</v>
      </c>
      <c r="G299" s="83">
        <f t="shared" si="46"/>
        <v>98.823994465856302</v>
      </c>
      <c r="H299" s="84">
        <f t="shared" si="49"/>
        <v>109.06741968954475</v>
      </c>
      <c r="I299" s="84">
        <f t="shared" si="47"/>
        <v>100.4033572590797</v>
      </c>
      <c r="J299" s="84">
        <f t="shared" si="48"/>
        <v>435660288.43371427</v>
      </c>
      <c r="L299" s="19">
        <f t="shared" si="51"/>
        <v>4.0000000000000036E-2</v>
      </c>
      <c r="M299" s="19">
        <f t="shared" si="52"/>
        <v>4.0000000000000036E-2</v>
      </c>
      <c r="N299" s="19">
        <f t="shared" si="52"/>
        <v>4.9999999999999822E-2</v>
      </c>
      <c r="O299" s="19">
        <f t="shared" si="52"/>
        <v>5.0152708849261929E-2</v>
      </c>
      <c r="P299" s="19">
        <f t="shared" si="50"/>
        <v>4.9999999999999822E-2</v>
      </c>
      <c r="R299" s="19"/>
      <c r="S299" s="19"/>
      <c r="T299" s="19"/>
      <c r="U299" s="19"/>
      <c r="V299" s="19"/>
    </row>
    <row r="300" spans="1:22" x14ac:dyDescent="0.2">
      <c r="A300" s="8">
        <v>44631</v>
      </c>
      <c r="B300" s="24">
        <v>1.22</v>
      </c>
      <c r="C300" s="24">
        <v>1.75</v>
      </c>
      <c r="D300" s="24">
        <v>1.91</v>
      </c>
      <c r="E300" s="24">
        <v>1.93520293623504</v>
      </c>
      <c r="F300" s="24">
        <v>1.96</v>
      </c>
      <c r="G300" s="83">
        <f t="shared" si="46"/>
        <v>98.794704603833239</v>
      </c>
      <c r="H300" s="84">
        <f t="shared" si="49"/>
        <v>108.97544226991344</v>
      </c>
      <c r="I300" s="84">
        <f t="shared" si="47"/>
        <v>100.21562737351469</v>
      </c>
      <c r="J300" s="84">
        <f t="shared" si="48"/>
        <v>434988755.29685509</v>
      </c>
      <c r="L300" s="19">
        <f t="shared" si="51"/>
        <v>3.0000000000000027E-2</v>
      </c>
      <c r="M300" s="19">
        <f t="shared" si="52"/>
        <v>3.0000000000000027E-2</v>
      </c>
      <c r="N300" s="19">
        <f t="shared" si="52"/>
        <v>3.0000000000000027E-2</v>
      </c>
      <c r="O300" s="19">
        <f t="shared" si="52"/>
        <v>3.5020382496746327E-2</v>
      </c>
      <c r="P300" s="19">
        <f t="shared" si="50"/>
        <v>4.0000000000000036E-2</v>
      </c>
      <c r="R300" s="19"/>
      <c r="S300" s="19"/>
      <c r="T300" s="19"/>
      <c r="U300" s="19"/>
      <c r="V300" s="19"/>
    </row>
    <row r="301" spans="1:22" x14ac:dyDescent="0.2">
      <c r="A301" s="8">
        <v>44634</v>
      </c>
      <c r="B301" s="24">
        <v>1.28</v>
      </c>
      <c r="C301" s="24">
        <v>1.87</v>
      </c>
      <c r="D301" s="24">
        <v>2.04</v>
      </c>
      <c r="E301" s="24">
        <v>2.0702651975702477</v>
      </c>
      <c r="F301" s="24">
        <v>2.1</v>
      </c>
      <c r="G301" s="83">
        <f t="shared" si="46"/>
        <v>98.736176935229082</v>
      </c>
      <c r="H301" s="84">
        <f t="shared" si="49"/>
        <v>108.58245824443273</v>
      </c>
      <c r="I301" s="84">
        <f t="shared" si="47"/>
        <v>99.560014152633684</v>
      </c>
      <c r="J301" s="84">
        <f t="shared" si="48"/>
        <v>432838723.11434376</v>
      </c>
      <c r="L301" s="19">
        <f t="shared" si="51"/>
        <v>6.0000000000000053E-2</v>
      </c>
      <c r="M301" s="19">
        <f t="shared" si="52"/>
        <v>0.12000000000000011</v>
      </c>
      <c r="N301" s="19">
        <f t="shared" si="52"/>
        <v>0.13000000000000012</v>
      </c>
      <c r="O301" s="19">
        <f t="shared" si="52"/>
        <v>0.13506226133520771</v>
      </c>
      <c r="P301" s="19">
        <f t="shared" si="50"/>
        <v>0.14000000000000012</v>
      </c>
      <c r="R301" s="19"/>
      <c r="S301" s="19"/>
      <c r="T301" s="19"/>
      <c r="U301" s="19"/>
      <c r="V301" s="19"/>
    </row>
    <row r="302" spans="1:22" x14ac:dyDescent="0.2">
      <c r="A302" s="8">
        <v>44635</v>
      </c>
      <c r="B302" s="24">
        <v>1.28</v>
      </c>
      <c r="C302" s="24">
        <v>1.85</v>
      </c>
      <c r="D302" s="24">
        <v>2.04</v>
      </c>
      <c r="E302" s="24">
        <v>2.0701646725431906</v>
      </c>
      <c r="F302" s="24">
        <v>2.1</v>
      </c>
      <c r="G302" s="83">
        <f t="shared" si="46"/>
        <v>98.736176935229082</v>
      </c>
      <c r="H302" s="84">
        <f t="shared" si="49"/>
        <v>108.58435067079149</v>
      </c>
      <c r="I302" s="84">
        <f t="shared" si="47"/>
        <v>99.56077838204753</v>
      </c>
      <c r="J302" s="84">
        <f t="shared" si="48"/>
        <v>432838941.39246106</v>
      </c>
      <c r="L302" s="19">
        <f t="shared" si="51"/>
        <v>0</v>
      </c>
      <c r="M302" s="19">
        <f t="shared" si="52"/>
        <v>-2.0000000000000018E-2</v>
      </c>
      <c r="N302" s="19">
        <f t="shared" si="52"/>
        <v>0</v>
      </c>
      <c r="O302" s="19">
        <f t="shared" si="52"/>
        <v>-1.0052502705715227E-4</v>
      </c>
      <c r="P302" s="19">
        <f t="shared" si="50"/>
        <v>0</v>
      </c>
      <c r="R302" s="19"/>
      <c r="S302" s="19"/>
      <c r="T302" s="19"/>
      <c r="U302" s="19"/>
      <c r="V302" s="19"/>
    </row>
    <row r="303" spans="1:22" x14ac:dyDescent="0.2">
      <c r="A303" s="8">
        <v>44636</v>
      </c>
      <c r="B303" s="24">
        <v>1.35</v>
      </c>
      <c r="C303" s="24">
        <v>1.95</v>
      </c>
      <c r="D303" s="24">
        <v>2.14</v>
      </c>
      <c r="E303" s="24">
        <v>2.1602641418125335</v>
      </c>
      <c r="F303" s="24">
        <v>2.1800000000000002</v>
      </c>
      <c r="G303" s="83">
        <f t="shared" si="46"/>
        <v>98.667982239763191</v>
      </c>
      <c r="H303" s="84">
        <f t="shared" si="49"/>
        <v>108.2815032343369</v>
      </c>
      <c r="I303" s="84">
        <f t="shared" si="47"/>
        <v>99.184295397454093</v>
      </c>
      <c r="J303" s="84">
        <f t="shared" si="48"/>
        <v>431650891.21783745</v>
      </c>
      <c r="L303" s="19">
        <f t="shared" si="51"/>
        <v>7.0000000000000062E-2</v>
      </c>
      <c r="M303" s="19">
        <f t="shared" si="52"/>
        <v>9.9999999999999867E-2</v>
      </c>
      <c r="N303" s="19">
        <f t="shared" si="52"/>
        <v>0.10000000000000009</v>
      </c>
      <c r="O303" s="19">
        <f t="shared" si="52"/>
        <v>9.0099469269342869E-2</v>
      </c>
      <c r="P303" s="19">
        <f t="shared" si="50"/>
        <v>8.0000000000000071E-2</v>
      </c>
      <c r="R303" s="19"/>
      <c r="S303" s="19"/>
      <c r="T303" s="19"/>
      <c r="U303" s="19"/>
      <c r="V303" s="19"/>
    </row>
    <row r="304" spans="1:22" x14ac:dyDescent="0.2">
      <c r="A304" s="8">
        <v>44637</v>
      </c>
      <c r="B304" s="24">
        <v>1.3</v>
      </c>
      <c r="C304" s="24">
        <v>1.94</v>
      </c>
      <c r="D304" s="24">
        <v>2.14</v>
      </c>
      <c r="E304" s="24">
        <v>2.1553111487090866</v>
      </c>
      <c r="F304" s="24">
        <v>2.17</v>
      </c>
      <c r="G304" s="83">
        <f t="shared" si="46"/>
        <v>98.716683119447197</v>
      </c>
      <c r="H304" s="84">
        <f t="shared" si="49"/>
        <v>108.28488212665052</v>
      </c>
      <c r="I304" s="84">
        <f t="shared" si="47"/>
        <v>99.230826220523241</v>
      </c>
      <c r="J304" s="84">
        <f t="shared" si="48"/>
        <v>431929347.93101156</v>
      </c>
      <c r="L304" s="19">
        <f t="shared" si="51"/>
        <v>-5.0000000000000044E-2</v>
      </c>
      <c r="M304" s="19">
        <f t="shared" si="52"/>
        <v>-1.0000000000000009E-2</v>
      </c>
      <c r="N304" s="19">
        <f t="shared" si="52"/>
        <v>0</v>
      </c>
      <c r="O304" s="19">
        <f t="shared" si="52"/>
        <v>-4.9529931034468788E-3</v>
      </c>
      <c r="P304" s="19">
        <f t="shared" si="50"/>
        <v>-1.0000000000000231E-2</v>
      </c>
      <c r="R304" s="19"/>
      <c r="S304" s="19"/>
      <c r="T304" s="19"/>
      <c r="U304" s="19"/>
      <c r="V304" s="19"/>
    </row>
    <row r="305" spans="1:22" x14ac:dyDescent="0.2">
      <c r="A305" s="8">
        <v>44638</v>
      </c>
      <c r="B305" s="24">
        <v>1.29</v>
      </c>
      <c r="C305" s="24">
        <v>1.97</v>
      </c>
      <c r="D305" s="24">
        <v>2.15</v>
      </c>
      <c r="E305" s="24">
        <v>2.1452418939261877</v>
      </c>
      <c r="F305" s="24">
        <v>2.14</v>
      </c>
      <c r="G305" s="83">
        <f t="shared" si="46"/>
        <v>98.726429065060728</v>
      </c>
      <c r="H305" s="84">
        <f t="shared" si="49"/>
        <v>108.25360247137077</v>
      </c>
      <c r="I305" s="84">
        <f t="shared" si="47"/>
        <v>99.36468942335604</v>
      </c>
      <c r="J305" s="84">
        <f t="shared" si="48"/>
        <v>432531212.11648947</v>
      </c>
      <c r="L305" s="19">
        <f t="shared" si="51"/>
        <v>-1.0000000000000009E-2</v>
      </c>
      <c r="M305" s="19">
        <f t="shared" si="52"/>
        <v>3.0000000000000027E-2</v>
      </c>
      <c r="N305" s="19">
        <f t="shared" si="52"/>
        <v>9.9999999999997868E-3</v>
      </c>
      <c r="O305" s="19">
        <f t="shared" si="52"/>
        <v>-1.0069254782898884E-2</v>
      </c>
      <c r="P305" s="19">
        <f t="shared" si="50"/>
        <v>-2.9999999999999805E-2</v>
      </c>
      <c r="R305" s="19"/>
      <c r="S305" s="19"/>
      <c r="T305" s="19"/>
      <c r="U305" s="19"/>
      <c r="V305" s="19"/>
    </row>
    <row r="306" spans="1:22" x14ac:dyDescent="0.2">
      <c r="A306" s="8">
        <v>44641</v>
      </c>
      <c r="B306" s="24">
        <v>1.4</v>
      </c>
      <c r="C306" s="24">
        <v>2.14</v>
      </c>
      <c r="D306" s="24">
        <v>2.34</v>
      </c>
      <c r="E306" s="24">
        <v>2.3350901395604984</v>
      </c>
      <c r="F306" s="24">
        <v>2.33</v>
      </c>
      <c r="G306" s="83">
        <f t="shared" si="46"/>
        <v>98.619329388560161</v>
      </c>
      <c r="H306" s="84">
        <f t="shared" si="49"/>
        <v>107.68461144338499</v>
      </c>
      <c r="I306" s="84">
        <f t="shared" si="47"/>
        <v>98.483472990035025</v>
      </c>
      <c r="J306" s="84">
        <f t="shared" si="48"/>
        <v>429645633.57218295</v>
      </c>
      <c r="L306" s="19">
        <f t="shared" si="51"/>
        <v>0.10999999999999988</v>
      </c>
      <c r="M306" s="19">
        <f t="shared" si="52"/>
        <v>0.17000000000000015</v>
      </c>
      <c r="N306" s="19">
        <f t="shared" si="52"/>
        <v>0.18999999999999995</v>
      </c>
      <c r="O306" s="19">
        <f t="shared" si="52"/>
        <v>0.18984824563431069</v>
      </c>
      <c r="P306" s="19">
        <f t="shared" si="50"/>
        <v>0.18999999999999995</v>
      </c>
      <c r="R306" s="19"/>
      <c r="S306" s="19"/>
      <c r="T306" s="19"/>
      <c r="U306" s="19"/>
      <c r="V306" s="19"/>
    </row>
    <row r="307" spans="1:22" x14ac:dyDescent="0.2">
      <c r="A307" s="8">
        <v>44642</v>
      </c>
      <c r="B307" s="24">
        <v>1.59</v>
      </c>
      <c r="C307" s="24">
        <v>2.1800000000000002</v>
      </c>
      <c r="D307" s="24">
        <v>2.38</v>
      </c>
      <c r="E307" s="24">
        <v>2.3852384417461874</v>
      </c>
      <c r="F307" s="24">
        <v>2.39</v>
      </c>
      <c r="G307" s="83">
        <f t="shared" si="46"/>
        <v>98.4348853233586</v>
      </c>
      <c r="H307" s="84">
        <f t="shared" si="49"/>
        <v>107.55686205403291</v>
      </c>
      <c r="I307" s="84">
        <f t="shared" si="47"/>
        <v>98.20649130892609</v>
      </c>
      <c r="J307" s="84">
        <f t="shared" si="48"/>
        <v>428360442.80137217</v>
      </c>
      <c r="L307" s="19">
        <f t="shared" si="51"/>
        <v>0.19000000000000017</v>
      </c>
      <c r="M307" s="19">
        <f t="shared" si="52"/>
        <v>4.0000000000000036E-2</v>
      </c>
      <c r="N307" s="19">
        <f t="shared" si="52"/>
        <v>4.0000000000000036E-2</v>
      </c>
      <c r="O307" s="19">
        <f t="shared" si="52"/>
        <v>5.0148302185688998E-2</v>
      </c>
      <c r="P307" s="19">
        <f t="shared" si="50"/>
        <v>6.0000000000000053E-2</v>
      </c>
      <c r="R307" s="19"/>
      <c r="S307" s="19"/>
      <c r="T307" s="19"/>
      <c r="U307" s="19"/>
      <c r="V307" s="19"/>
    </row>
    <row r="308" spans="1:22" x14ac:dyDescent="0.2">
      <c r="A308" s="8">
        <v>44643</v>
      </c>
      <c r="B308" s="24">
        <v>1.52</v>
      </c>
      <c r="C308" s="24">
        <v>2.13</v>
      </c>
      <c r="D308" s="24">
        <v>2.3199999999999998</v>
      </c>
      <c r="E308" s="24">
        <v>2.3300558630275421</v>
      </c>
      <c r="F308" s="24">
        <v>2.34</v>
      </c>
      <c r="G308" s="83">
        <f t="shared" si="46"/>
        <v>98.502758077226147</v>
      </c>
      <c r="H308" s="84">
        <f t="shared" si="49"/>
        <v>107.73717657930067</v>
      </c>
      <c r="I308" s="84">
        <f t="shared" si="47"/>
        <v>98.438565970850107</v>
      </c>
      <c r="J308" s="84">
        <f t="shared" si="48"/>
        <v>429154015.16890174</v>
      </c>
      <c r="L308" s="19">
        <f t="shared" si="51"/>
        <v>-7.0000000000000062E-2</v>
      </c>
      <c r="M308" s="19">
        <f t="shared" si="52"/>
        <v>-5.0000000000000266E-2</v>
      </c>
      <c r="N308" s="19">
        <f t="shared" si="52"/>
        <v>-6.0000000000000053E-2</v>
      </c>
      <c r="O308" s="19">
        <f t="shared" si="52"/>
        <v>-5.5182578718645292E-2</v>
      </c>
      <c r="P308" s="19">
        <f t="shared" si="50"/>
        <v>-5.0000000000000266E-2</v>
      </c>
      <c r="R308" s="19"/>
      <c r="S308" s="19"/>
      <c r="T308" s="19"/>
      <c r="U308" s="19"/>
      <c r="V308" s="19"/>
    </row>
    <row r="309" spans="1:22" x14ac:dyDescent="0.2">
      <c r="A309" s="8">
        <v>44644</v>
      </c>
      <c r="B309" s="24">
        <v>1.55</v>
      </c>
      <c r="C309" s="24">
        <v>2.13</v>
      </c>
      <c r="D309" s="24">
        <v>2.35</v>
      </c>
      <c r="E309" s="24">
        <v>2.3603835642739046</v>
      </c>
      <c r="F309" s="24">
        <v>2.37</v>
      </c>
      <c r="G309" s="83">
        <f t="shared" si="46"/>
        <v>98.473658296405702</v>
      </c>
      <c r="H309" s="84">
        <f t="shared" si="49"/>
        <v>107.64955576258836</v>
      </c>
      <c r="I309" s="84">
        <f t="shared" si="47"/>
        <v>98.30112522104389</v>
      </c>
      <c r="J309" s="84">
        <f t="shared" si="48"/>
        <v>428677483.83310437</v>
      </c>
      <c r="L309" s="19">
        <f t="shared" si="51"/>
        <v>3.0000000000000027E-2</v>
      </c>
      <c r="M309" s="19">
        <f t="shared" si="52"/>
        <v>0</v>
      </c>
      <c r="N309" s="19">
        <f t="shared" si="52"/>
        <v>3.0000000000000249E-2</v>
      </c>
      <c r="O309" s="19">
        <f t="shared" si="52"/>
        <v>3.0327701246362526E-2</v>
      </c>
      <c r="P309" s="19">
        <f t="shared" si="50"/>
        <v>3.0000000000000249E-2</v>
      </c>
      <c r="R309" s="19"/>
      <c r="S309" s="19"/>
      <c r="T309" s="19"/>
      <c r="U309" s="19"/>
      <c r="V309" s="19"/>
    </row>
    <row r="310" spans="1:22" x14ac:dyDescent="0.2">
      <c r="A310" s="8">
        <v>44645</v>
      </c>
      <c r="B310" s="24">
        <v>1.67</v>
      </c>
      <c r="C310" s="24">
        <v>2.2999999999999998</v>
      </c>
      <c r="D310" s="24">
        <v>2.5099999999999998</v>
      </c>
      <c r="E310" s="24">
        <v>2.5304566946034495</v>
      </c>
      <c r="F310" s="24">
        <v>2.5499999999999998</v>
      </c>
      <c r="G310" s="83">
        <f t="shared" si="46"/>
        <v>98.357430903904799</v>
      </c>
      <c r="H310" s="84">
        <f t="shared" si="49"/>
        <v>107.16997628181764</v>
      </c>
      <c r="I310" s="84">
        <f t="shared" si="47"/>
        <v>97.478205762162489</v>
      </c>
      <c r="J310" s="84">
        <f t="shared" si="48"/>
        <v>425872720.43373311</v>
      </c>
      <c r="L310" s="19">
        <f t="shared" si="51"/>
        <v>0.11999999999999988</v>
      </c>
      <c r="M310" s="19">
        <f t="shared" si="52"/>
        <v>0.16999999999999993</v>
      </c>
      <c r="N310" s="19">
        <f t="shared" si="52"/>
        <v>0.1599999999999997</v>
      </c>
      <c r="O310" s="19">
        <f t="shared" si="52"/>
        <v>0.17007313032954485</v>
      </c>
      <c r="P310" s="19">
        <f t="shared" si="50"/>
        <v>0.17999999999999972</v>
      </c>
      <c r="R310" s="19"/>
      <c r="S310" s="19"/>
      <c r="T310" s="19"/>
      <c r="U310" s="19"/>
      <c r="V310" s="19"/>
    </row>
    <row r="311" spans="1:22" x14ac:dyDescent="0.2">
      <c r="A311" s="8">
        <v>44648</v>
      </c>
      <c r="B311" s="24">
        <v>1.69</v>
      </c>
      <c r="C311" s="24">
        <v>2.35</v>
      </c>
      <c r="D311" s="24">
        <v>2.5499999999999998</v>
      </c>
      <c r="E311" s="24">
        <v>2.5454196155024507</v>
      </c>
      <c r="F311" s="24">
        <v>2.54</v>
      </c>
      <c r="G311" s="83">
        <f t="shared" si="46"/>
        <v>98.338086340839808</v>
      </c>
      <c r="H311" s="84">
        <f t="shared" si="49"/>
        <v>107.05032593874746</v>
      </c>
      <c r="I311" s="84">
        <f t="shared" si="47"/>
        <v>97.516585817522099</v>
      </c>
      <c r="J311" s="84">
        <f t="shared" si="48"/>
        <v>426167027.04364681</v>
      </c>
      <c r="L311" s="19">
        <f t="shared" si="51"/>
        <v>2.0000000000000018E-2</v>
      </c>
      <c r="M311" s="19">
        <f t="shared" si="52"/>
        <v>5.0000000000000266E-2</v>
      </c>
      <c r="N311" s="19">
        <f t="shared" si="52"/>
        <v>4.0000000000000036E-2</v>
      </c>
      <c r="O311" s="19">
        <f t="shared" si="52"/>
        <v>1.4962920899001197E-2</v>
      </c>
      <c r="P311" s="19">
        <f t="shared" si="50"/>
        <v>-9.9999999999997868E-3</v>
      </c>
      <c r="R311" s="19"/>
      <c r="S311" s="19"/>
      <c r="T311" s="19"/>
      <c r="U311" s="19"/>
      <c r="V311" s="19"/>
    </row>
    <row r="312" spans="1:22" x14ac:dyDescent="0.2">
      <c r="A312" s="8">
        <v>44649</v>
      </c>
      <c r="B312" s="24">
        <v>1.67</v>
      </c>
      <c r="C312" s="24">
        <v>2.35</v>
      </c>
      <c r="D312" s="24">
        <v>2.54</v>
      </c>
      <c r="E312" s="24">
        <v>2.5150064864781019</v>
      </c>
      <c r="F312" s="24">
        <v>2.4900000000000002</v>
      </c>
      <c r="G312" s="83">
        <f t="shared" si="46"/>
        <v>98.357430903904799</v>
      </c>
      <c r="H312" s="84">
        <f t="shared" si="49"/>
        <v>107.07978055285506</v>
      </c>
      <c r="I312" s="84">
        <f t="shared" si="47"/>
        <v>97.739355442045024</v>
      </c>
      <c r="J312" s="84">
        <f t="shared" si="48"/>
        <v>427052612.74670708</v>
      </c>
      <c r="L312" s="19">
        <f t="shared" si="51"/>
        <v>-2.0000000000000018E-2</v>
      </c>
      <c r="M312" s="19">
        <f t="shared" si="52"/>
        <v>0</v>
      </c>
      <c r="N312" s="19">
        <f t="shared" si="52"/>
        <v>-9.9999999999997868E-3</v>
      </c>
      <c r="O312" s="19">
        <f t="shared" si="52"/>
        <v>-3.0413129024348784E-2</v>
      </c>
      <c r="P312" s="19">
        <f t="shared" si="50"/>
        <v>-4.9999999999999822E-2</v>
      </c>
      <c r="R312" s="19"/>
      <c r="S312" s="19"/>
      <c r="T312" s="19"/>
      <c r="U312" s="19"/>
      <c r="V312" s="19"/>
    </row>
    <row r="313" spans="1:22" x14ac:dyDescent="0.2">
      <c r="A313" s="8">
        <v>44650</v>
      </c>
      <c r="B313" s="24">
        <v>1.64</v>
      </c>
      <c r="C313" s="24">
        <v>2.31</v>
      </c>
      <c r="D313" s="24">
        <v>2.4900000000000002</v>
      </c>
      <c r="E313" s="24">
        <v>2.4651055810624398</v>
      </c>
      <c r="F313" s="24">
        <v>2.44</v>
      </c>
      <c r="G313" s="83">
        <f t="shared" si="46"/>
        <v>98.386462022825668</v>
      </c>
      <c r="H313" s="84">
        <f t="shared" si="49"/>
        <v>107.22756881074096</v>
      </c>
      <c r="I313" s="84">
        <f t="shared" si="47"/>
        <v>97.968012455329628</v>
      </c>
      <c r="J313" s="84">
        <f t="shared" si="48"/>
        <v>427803620.6508584</v>
      </c>
      <c r="L313" s="19">
        <f t="shared" si="51"/>
        <v>-3.0000000000000027E-2</v>
      </c>
      <c r="M313" s="19">
        <f t="shared" si="52"/>
        <v>-4.0000000000000036E-2</v>
      </c>
      <c r="N313" s="19">
        <f t="shared" si="52"/>
        <v>-4.9999999999999822E-2</v>
      </c>
      <c r="O313" s="19">
        <f t="shared" si="52"/>
        <v>-4.9900905415662056E-2</v>
      </c>
      <c r="P313" s="19">
        <f t="shared" si="50"/>
        <v>-5.0000000000000266E-2</v>
      </c>
      <c r="R313" s="19"/>
      <c r="S313" s="19"/>
      <c r="T313" s="19"/>
      <c r="U313" s="19"/>
      <c r="V313" s="19"/>
    </row>
    <row r="314" spans="1:22" x14ac:dyDescent="0.2">
      <c r="A314" s="8">
        <v>44651</v>
      </c>
      <c r="B314" s="24">
        <v>1.63</v>
      </c>
      <c r="C314" s="24">
        <v>2.2799999999999998</v>
      </c>
      <c r="D314" s="24">
        <v>2.4500000000000002</v>
      </c>
      <c r="E314" s="24">
        <v>2.4353934556955101</v>
      </c>
      <c r="F314" s="24">
        <v>2.42</v>
      </c>
      <c r="G314" s="83">
        <f t="shared" si="46"/>
        <v>98.396142871199444</v>
      </c>
      <c r="H314" s="84">
        <f t="shared" si="49"/>
        <v>107.34513896575186</v>
      </c>
      <c r="I314" s="84">
        <f t="shared" si="47"/>
        <v>98.061925482201588</v>
      </c>
      <c r="J314" s="84">
        <f t="shared" si="48"/>
        <v>428022279.22257745</v>
      </c>
      <c r="L314" s="19">
        <f t="shared" si="51"/>
        <v>-1.0000000000000009E-2</v>
      </c>
      <c r="M314" s="19">
        <f t="shared" si="52"/>
        <v>-3.0000000000000249E-2</v>
      </c>
      <c r="N314" s="19">
        <f t="shared" si="52"/>
        <v>-4.0000000000000036E-2</v>
      </c>
      <c r="O314" s="19">
        <f t="shared" si="52"/>
        <v>-2.9712125366929687E-2</v>
      </c>
      <c r="P314" s="19">
        <f t="shared" si="50"/>
        <v>-2.0000000000000018E-2</v>
      </c>
      <c r="R314" s="19"/>
      <c r="S314" s="19"/>
      <c r="T314" s="19"/>
      <c r="U314" s="19"/>
      <c r="V314" s="19"/>
    </row>
    <row r="315" spans="1:22" x14ac:dyDescent="0.2">
      <c r="A315" s="8">
        <v>44652</v>
      </c>
      <c r="B315" s="24">
        <v>1.72</v>
      </c>
      <c r="C315" s="24">
        <v>2.44</v>
      </c>
      <c r="D315" s="24">
        <v>2.61</v>
      </c>
      <c r="E315" s="24">
        <v>2.5803957701917715</v>
      </c>
      <c r="F315" s="24">
        <v>2.5499999999999998</v>
      </c>
      <c r="G315" s="83">
        <f t="shared" si="46"/>
        <v>98.309083759339359</v>
      </c>
      <c r="H315" s="84">
        <f t="shared" si="49"/>
        <v>106.86980146845869</v>
      </c>
      <c r="I315" s="84">
        <f t="shared" si="47"/>
        <v>97.463074243492031</v>
      </c>
      <c r="J315" s="84">
        <f t="shared" si="48"/>
        <v>426165762.28995883</v>
      </c>
      <c r="L315" s="19">
        <f t="shared" si="51"/>
        <v>9.000000000000008E-2</v>
      </c>
      <c r="M315" s="19">
        <f t="shared" si="52"/>
        <v>0.16000000000000014</v>
      </c>
      <c r="N315" s="19">
        <f t="shared" si="52"/>
        <v>0.1599999999999997</v>
      </c>
      <c r="O315" s="19">
        <f t="shared" si="52"/>
        <v>0.14500231449626133</v>
      </c>
      <c r="P315" s="19">
        <f t="shared" si="50"/>
        <v>0.12999999999999989</v>
      </c>
      <c r="R315" s="19"/>
      <c r="S315" s="19"/>
      <c r="T315" s="19"/>
      <c r="U315" s="19"/>
      <c r="V315" s="19"/>
    </row>
    <row r="316" spans="1:22" x14ac:dyDescent="0.2">
      <c r="A316" s="8">
        <v>44655</v>
      </c>
      <c r="B316" s="24">
        <v>1.72</v>
      </c>
      <c r="C316" s="24">
        <v>2.4300000000000002</v>
      </c>
      <c r="D316" s="24">
        <v>2.61</v>
      </c>
      <c r="E316" s="24">
        <v>2.5851751635619773</v>
      </c>
      <c r="F316" s="24">
        <v>2.56</v>
      </c>
      <c r="G316" s="83">
        <f t="shared" si="46"/>
        <v>98.309083759339359</v>
      </c>
      <c r="H316" s="84">
        <f t="shared" si="49"/>
        <v>106.87073183672074</v>
      </c>
      <c r="I316" s="84">
        <f t="shared" si="47"/>
        <v>97.419273987752348</v>
      </c>
      <c r="J316" s="84">
        <f t="shared" si="48"/>
        <v>425989165.714607</v>
      </c>
      <c r="L316" s="19">
        <f t="shared" si="51"/>
        <v>0</v>
      </c>
      <c r="M316" s="19">
        <f t="shared" si="52"/>
        <v>-9.9999999999997868E-3</v>
      </c>
      <c r="N316" s="19">
        <f t="shared" si="52"/>
        <v>0</v>
      </c>
      <c r="O316" s="19">
        <f t="shared" si="52"/>
        <v>4.7793933702058311E-3</v>
      </c>
      <c r="P316" s="19">
        <f t="shared" si="50"/>
        <v>1.0000000000000231E-2</v>
      </c>
      <c r="R316" s="19"/>
      <c r="S316" s="19"/>
      <c r="T316" s="19"/>
      <c r="U316" s="19"/>
      <c r="V316" s="19"/>
    </row>
    <row r="317" spans="1:22" x14ac:dyDescent="0.2">
      <c r="A317" s="8">
        <v>44656</v>
      </c>
      <c r="B317" s="24">
        <v>1.77</v>
      </c>
      <c r="C317" s="24">
        <v>2.5099999999999998</v>
      </c>
      <c r="D317" s="24">
        <v>2.69</v>
      </c>
      <c r="E317" s="24">
        <v>2.6902706950680368</v>
      </c>
      <c r="F317" s="24">
        <v>2.69</v>
      </c>
      <c r="G317" s="83">
        <f t="shared" si="46"/>
        <v>98.260784121057284</v>
      </c>
      <c r="H317" s="84">
        <f t="shared" si="49"/>
        <v>106.6339133659517</v>
      </c>
      <c r="I317" s="84">
        <f t="shared" si="47"/>
        <v>96.836090223096932</v>
      </c>
      <c r="J317" s="84">
        <f t="shared" si="48"/>
        <v>423915059.08557475</v>
      </c>
      <c r="L317" s="19">
        <f t="shared" si="51"/>
        <v>5.0000000000000044E-2</v>
      </c>
      <c r="M317" s="19">
        <f t="shared" si="52"/>
        <v>7.9999999999999627E-2</v>
      </c>
      <c r="N317" s="19">
        <f t="shared" si="52"/>
        <v>8.0000000000000071E-2</v>
      </c>
      <c r="O317" s="19">
        <f t="shared" si="52"/>
        <v>0.10509553150605955</v>
      </c>
      <c r="P317" s="19">
        <f t="shared" si="50"/>
        <v>0.12999999999999989</v>
      </c>
      <c r="R317" s="19"/>
      <c r="S317" s="19"/>
      <c r="T317" s="19"/>
      <c r="U317" s="19"/>
      <c r="V317" s="19"/>
    </row>
    <row r="318" spans="1:22" x14ac:dyDescent="0.2">
      <c r="A318" s="8">
        <v>44657</v>
      </c>
      <c r="B318" s="24">
        <v>1.79</v>
      </c>
      <c r="C318" s="24">
        <v>2.5</v>
      </c>
      <c r="D318" s="24">
        <v>2.67</v>
      </c>
      <c r="E318" s="24">
        <v>2.6852063817558647</v>
      </c>
      <c r="F318" s="24">
        <v>2.7</v>
      </c>
      <c r="G318" s="83">
        <f t="shared" si="46"/>
        <v>98.241477551822371</v>
      </c>
      <c r="H318" s="84">
        <f t="shared" si="49"/>
        <v>106.69055223109277</v>
      </c>
      <c r="I318" s="84">
        <f t="shared" si="47"/>
        <v>96.794031359108942</v>
      </c>
      <c r="J318" s="84">
        <f t="shared" si="48"/>
        <v>423623252.19344133</v>
      </c>
      <c r="L318" s="19">
        <f t="shared" si="51"/>
        <v>2.0000000000000018E-2</v>
      </c>
      <c r="M318" s="19">
        <f t="shared" si="52"/>
        <v>-9.9999999999997868E-3</v>
      </c>
      <c r="N318" s="19">
        <f t="shared" si="52"/>
        <v>-2.0000000000000018E-2</v>
      </c>
      <c r="O318" s="19">
        <f t="shared" si="52"/>
        <v>-5.064313312172164E-3</v>
      </c>
      <c r="P318" s="19">
        <f t="shared" si="50"/>
        <v>1.0000000000000231E-2</v>
      </c>
      <c r="R318" s="19"/>
      <c r="S318" s="19"/>
      <c r="T318" s="19"/>
      <c r="U318" s="19"/>
      <c r="V318" s="19"/>
    </row>
    <row r="319" spans="1:22" x14ac:dyDescent="0.2">
      <c r="A319" s="8">
        <v>44658</v>
      </c>
      <c r="B319" s="24">
        <v>1.78</v>
      </c>
      <c r="C319" s="24">
        <v>2.4700000000000002</v>
      </c>
      <c r="D319" s="24">
        <v>2.66</v>
      </c>
      <c r="E319" s="24">
        <v>2.6802725980083189</v>
      </c>
      <c r="F319" s="24">
        <v>2.7</v>
      </c>
      <c r="G319" s="83">
        <f t="shared" si="46"/>
        <v>98.251129887993713</v>
      </c>
      <c r="H319" s="84">
        <f t="shared" si="49"/>
        <v>106.72217629899475</v>
      </c>
      <c r="I319" s="84">
        <f t="shared" si="47"/>
        <v>96.796225065359039</v>
      </c>
      <c r="J319" s="84">
        <f t="shared" si="48"/>
        <v>423603895.58893144</v>
      </c>
      <c r="L319" s="19">
        <f t="shared" si="51"/>
        <v>-1.0000000000000009E-2</v>
      </c>
      <c r="M319" s="19">
        <f t="shared" si="52"/>
        <v>-2.9999999999999805E-2</v>
      </c>
      <c r="N319" s="19">
        <f t="shared" si="52"/>
        <v>-9.9999999999997868E-3</v>
      </c>
      <c r="O319" s="19">
        <f t="shared" si="52"/>
        <v>-4.9337837475458279E-3</v>
      </c>
      <c r="P319" s="19">
        <f t="shared" si="50"/>
        <v>0</v>
      </c>
      <c r="R319" s="19"/>
      <c r="S319" s="19"/>
      <c r="T319" s="19"/>
      <c r="U319" s="19"/>
      <c r="V319" s="19"/>
    </row>
    <row r="320" spans="1:22" x14ac:dyDescent="0.2">
      <c r="A320" s="8">
        <v>44659</v>
      </c>
      <c r="B320" s="24">
        <v>1.81</v>
      </c>
      <c r="C320" s="24">
        <v>2.5299999999999998</v>
      </c>
      <c r="D320" s="24">
        <v>2.73</v>
      </c>
      <c r="E320" s="24">
        <v>2.7453689678497049</v>
      </c>
      <c r="F320" s="24">
        <v>2.76</v>
      </c>
      <c r="G320" s="83">
        <f t="shared" si="46"/>
        <v>98.222178567920636</v>
      </c>
      <c r="H320" s="84">
        <f t="shared" si="49"/>
        <v>106.51690788010205</v>
      </c>
      <c r="I320" s="84">
        <f t="shared" si="47"/>
        <v>96.524747617778004</v>
      </c>
      <c r="J320" s="84">
        <f t="shared" si="48"/>
        <v>422767985.78680021</v>
      </c>
      <c r="L320" s="19">
        <f t="shared" si="51"/>
        <v>3.0000000000000027E-2</v>
      </c>
      <c r="M320" s="19">
        <f t="shared" si="52"/>
        <v>5.9999999999999609E-2</v>
      </c>
      <c r="N320" s="19">
        <f t="shared" si="52"/>
        <v>6.999999999999984E-2</v>
      </c>
      <c r="O320" s="19">
        <f t="shared" si="52"/>
        <v>6.5096369841386004E-2</v>
      </c>
      <c r="P320" s="19">
        <f t="shared" si="50"/>
        <v>5.9999999999999609E-2</v>
      </c>
      <c r="R320" s="19"/>
      <c r="S320" s="19"/>
      <c r="T320" s="19"/>
      <c r="U320" s="19"/>
      <c r="V320" s="19"/>
    </row>
    <row r="321" spans="1:22" x14ac:dyDescent="0.2">
      <c r="A321" s="8">
        <v>44662</v>
      </c>
      <c r="B321" s="24">
        <v>1.85</v>
      </c>
      <c r="C321" s="24">
        <v>2.5</v>
      </c>
      <c r="D321" s="24">
        <v>2.73</v>
      </c>
      <c r="E321" s="24">
        <v>2.7603608305430907</v>
      </c>
      <c r="F321" s="24">
        <v>2.79</v>
      </c>
      <c r="G321" s="83">
        <f t="shared" si="46"/>
        <v>98.18360333824252</v>
      </c>
      <c r="H321" s="84">
        <f t="shared" si="49"/>
        <v>106.51776369429464</v>
      </c>
      <c r="I321" s="84">
        <f t="shared" si="47"/>
        <v>96.394215406321948</v>
      </c>
      <c r="J321" s="84">
        <f t="shared" si="48"/>
        <v>422167422.7603308</v>
      </c>
      <c r="L321" s="19">
        <f t="shared" si="51"/>
        <v>4.0000000000000036E-2</v>
      </c>
      <c r="M321" s="19">
        <f t="shared" si="52"/>
        <v>-2.9999999999999805E-2</v>
      </c>
      <c r="N321" s="19">
        <f t="shared" si="52"/>
        <v>0</v>
      </c>
      <c r="O321" s="19">
        <f t="shared" si="52"/>
        <v>1.4991862693385816E-2</v>
      </c>
      <c r="P321" s="19">
        <f t="shared" si="50"/>
        <v>3.0000000000000249E-2</v>
      </c>
      <c r="R321" s="19"/>
      <c r="S321" s="19"/>
      <c r="T321" s="19"/>
      <c r="U321" s="19"/>
      <c r="V321" s="19"/>
    </row>
    <row r="322" spans="1:22" x14ac:dyDescent="0.2">
      <c r="A322" s="8">
        <v>44663</v>
      </c>
      <c r="B322" s="24">
        <v>1.77</v>
      </c>
      <c r="C322" s="24">
        <v>2.39</v>
      </c>
      <c r="D322" s="24">
        <v>2.58</v>
      </c>
      <c r="E322" s="24">
        <v>2.6203165448326677</v>
      </c>
      <c r="F322" s="24">
        <v>2.66</v>
      </c>
      <c r="G322" s="83">
        <f t="shared" ref="G322:G385" si="53">100/((1+B322/100)^1)</f>
        <v>98.260784121057284</v>
      </c>
      <c r="H322" s="84">
        <f t="shared" si="49"/>
        <v>106.95733673820484</v>
      </c>
      <c r="I322" s="84">
        <f t="shared" ref="I322:I385" si="54">SUM(2/(1+B322/100)^1, 2/(1+C322/100)^2, 2/(1+D322/100)^3, 2/(1+E322/100)^4, 102/(1+F322/100)^5)</f>
        <v>96.981998946731395</v>
      </c>
      <c r="J322" s="84">
        <f t="shared" ref="J322:J385" si="55">G322*2000000+H322*-1500000+I322*4000000</f>
        <v>424013558.9217329</v>
      </c>
      <c r="L322" s="19">
        <f t="shared" si="51"/>
        <v>-8.0000000000000071E-2</v>
      </c>
      <c r="M322" s="19">
        <f t="shared" si="52"/>
        <v>-0.10999999999999988</v>
      </c>
      <c r="N322" s="19">
        <f t="shared" si="52"/>
        <v>-0.14999999999999991</v>
      </c>
      <c r="O322" s="19">
        <f t="shared" si="52"/>
        <v>-0.14004428571042293</v>
      </c>
      <c r="P322" s="19">
        <f t="shared" si="50"/>
        <v>-0.12999999999999989</v>
      </c>
      <c r="R322" s="19"/>
      <c r="S322" s="19"/>
      <c r="T322" s="19"/>
      <c r="U322" s="19"/>
      <c r="V322" s="19"/>
    </row>
    <row r="323" spans="1:22" x14ac:dyDescent="0.2">
      <c r="A323" s="8">
        <v>44664</v>
      </c>
      <c r="B323" s="24">
        <v>1.78</v>
      </c>
      <c r="C323" s="24">
        <v>2.37</v>
      </c>
      <c r="D323" s="24">
        <v>2.57</v>
      </c>
      <c r="E323" s="24">
        <v>2.6150729988339028</v>
      </c>
      <c r="F323" s="24">
        <v>2.66</v>
      </c>
      <c r="G323" s="83">
        <f t="shared" si="53"/>
        <v>98.251129887993713</v>
      </c>
      <c r="H323" s="84">
        <f t="shared" ref="H323:H386" si="56">SUM(5/(1+B323/100)^1, 5/(1+C323/100)^2, 105/(1+D323/100)^3)</f>
        <v>106.98717183742788</v>
      </c>
      <c r="I323" s="84">
        <f t="shared" si="54"/>
        <v>96.983461980370251</v>
      </c>
      <c r="J323" s="84">
        <f t="shared" si="55"/>
        <v>423955349.94132662</v>
      </c>
      <c r="L323" s="19">
        <f t="shared" si="51"/>
        <v>1.0000000000000009E-2</v>
      </c>
      <c r="M323" s="19">
        <f t="shared" si="52"/>
        <v>-2.0000000000000018E-2</v>
      </c>
      <c r="N323" s="19">
        <f t="shared" si="52"/>
        <v>-1.0000000000000231E-2</v>
      </c>
      <c r="O323" s="19">
        <f t="shared" si="52"/>
        <v>-5.2435459987649757E-3</v>
      </c>
      <c r="P323" s="19">
        <f t="shared" si="50"/>
        <v>0</v>
      </c>
      <c r="R323" s="19"/>
      <c r="S323" s="19"/>
      <c r="T323" s="19"/>
      <c r="U323" s="19"/>
      <c r="V323" s="19"/>
    </row>
    <row r="324" spans="1:22" x14ac:dyDescent="0.2">
      <c r="A324" s="8">
        <v>44665</v>
      </c>
      <c r="B324" s="24">
        <v>1.84</v>
      </c>
      <c r="C324" s="24">
        <v>2.4700000000000002</v>
      </c>
      <c r="D324" s="24">
        <v>2.67</v>
      </c>
      <c r="E324" s="24">
        <v>2.7302697574004089</v>
      </c>
      <c r="F324" s="24">
        <v>2.79</v>
      </c>
      <c r="G324" s="83">
        <f t="shared" si="53"/>
        <v>98.193244304791833</v>
      </c>
      <c r="H324" s="84">
        <f t="shared" si="56"/>
        <v>106.69092759048482</v>
      </c>
      <c r="I324" s="84">
        <f t="shared" si="54"/>
        <v>96.400861537004019</v>
      </c>
      <c r="J324" s="84">
        <f t="shared" si="55"/>
        <v>421953543.37187254</v>
      </c>
      <c r="L324" s="19">
        <f t="shared" si="51"/>
        <v>6.0000000000000053E-2</v>
      </c>
      <c r="M324" s="19">
        <f t="shared" si="52"/>
        <v>0.10000000000000009</v>
      </c>
      <c r="N324" s="19">
        <f t="shared" si="52"/>
        <v>0.10000000000000009</v>
      </c>
      <c r="O324" s="19">
        <f t="shared" si="52"/>
        <v>0.11519675856650613</v>
      </c>
      <c r="P324" s="19">
        <f t="shared" si="52"/>
        <v>0.12999999999999989</v>
      </c>
      <c r="R324" s="19"/>
      <c r="S324" s="19"/>
      <c r="T324" s="19"/>
      <c r="U324" s="19"/>
      <c r="V324" s="19"/>
    </row>
    <row r="325" spans="1:22" x14ac:dyDescent="0.2">
      <c r="A325" s="8">
        <v>44669</v>
      </c>
      <c r="B325" s="24">
        <v>1.84</v>
      </c>
      <c r="C325" s="24">
        <v>2.46</v>
      </c>
      <c r="D325" s="24">
        <v>2.68</v>
      </c>
      <c r="E325" s="24">
        <v>2.7351304319237162</v>
      </c>
      <c r="F325" s="24">
        <v>2.79</v>
      </c>
      <c r="G325" s="83">
        <f t="shared" si="53"/>
        <v>98.193244304791833</v>
      </c>
      <c r="H325" s="84">
        <f t="shared" si="56"/>
        <v>106.66351375711847</v>
      </c>
      <c r="I325" s="84">
        <f t="shared" si="54"/>
        <v>96.400353668167455</v>
      </c>
      <c r="J325" s="84">
        <f t="shared" si="55"/>
        <v>421992632.64657581</v>
      </c>
      <c r="L325" s="19">
        <f t="shared" ref="L325:L388" si="57">B325-B324</f>
        <v>0</v>
      </c>
      <c r="M325" s="19">
        <f t="shared" ref="M325:P388" si="58">C325-C324</f>
        <v>-1.0000000000000231E-2</v>
      </c>
      <c r="N325" s="19">
        <f t="shared" si="58"/>
        <v>1.0000000000000231E-2</v>
      </c>
      <c r="O325" s="19">
        <f t="shared" si="58"/>
        <v>4.8606745233072957E-3</v>
      </c>
      <c r="P325" s="19">
        <f t="shared" si="58"/>
        <v>0</v>
      </c>
      <c r="R325" s="19"/>
      <c r="S325" s="19"/>
      <c r="T325" s="19"/>
      <c r="U325" s="19"/>
      <c r="V325" s="19"/>
    </row>
    <row r="326" spans="1:22" x14ac:dyDescent="0.2">
      <c r="A326" s="8">
        <v>44670</v>
      </c>
      <c r="B326" s="24">
        <v>1.94</v>
      </c>
      <c r="C326" s="24">
        <v>2.61</v>
      </c>
      <c r="D326" s="24">
        <v>2.81</v>
      </c>
      <c r="E326" s="24">
        <v>2.8604128151907657</v>
      </c>
      <c r="F326" s="24">
        <v>2.91</v>
      </c>
      <c r="G326" s="83">
        <f t="shared" si="53"/>
        <v>98.096919756719629</v>
      </c>
      <c r="H326" s="84">
        <f t="shared" si="56"/>
        <v>106.27732140445681</v>
      </c>
      <c r="I326" s="84">
        <f t="shared" si="54"/>
        <v>95.860088026859827</v>
      </c>
      <c r="J326" s="84">
        <f t="shared" si="55"/>
        <v>420218209.51419342</v>
      </c>
      <c r="L326" s="19">
        <f t="shared" si="57"/>
        <v>9.9999999999999867E-2</v>
      </c>
      <c r="M326" s="19">
        <f t="shared" si="58"/>
        <v>0.14999999999999991</v>
      </c>
      <c r="N326" s="19">
        <f t="shared" si="58"/>
        <v>0.12999999999999989</v>
      </c>
      <c r="O326" s="19">
        <f t="shared" si="58"/>
        <v>0.12528238326704955</v>
      </c>
      <c r="P326" s="19">
        <f t="shared" si="58"/>
        <v>0.12000000000000011</v>
      </c>
      <c r="R326" s="19"/>
      <c r="S326" s="19"/>
      <c r="T326" s="19"/>
      <c r="U326" s="19"/>
      <c r="V326" s="19"/>
    </row>
    <row r="327" spans="1:22" x14ac:dyDescent="0.2">
      <c r="A327" s="8">
        <v>44671</v>
      </c>
      <c r="B327" s="24">
        <v>1.93</v>
      </c>
      <c r="C327" s="24">
        <v>2.6</v>
      </c>
      <c r="D327" s="24">
        <v>2.79</v>
      </c>
      <c r="E327" s="24">
        <v>2.8303483778524758</v>
      </c>
      <c r="F327" s="24">
        <v>2.87</v>
      </c>
      <c r="G327" s="83">
        <f t="shared" si="53"/>
        <v>98.106543706465217</v>
      </c>
      <c r="H327" s="84">
        <f t="shared" si="56"/>
        <v>106.33513991276121</v>
      </c>
      <c r="I327" s="84">
        <f t="shared" si="54"/>
        <v>96.03576134705007</v>
      </c>
      <c r="J327" s="84">
        <f t="shared" si="55"/>
        <v>420853422.93198889</v>
      </c>
      <c r="L327" s="19">
        <f t="shared" si="57"/>
        <v>-1.0000000000000009E-2</v>
      </c>
      <c r="M327" s="19">
        <f t="shared" si="58"/>
        <v>-9.9999999999997868E-3</v>
      </c>
      <c r="N327" s="19">
        <f t="shared" si="58"/>
        <v>-2.0000000000000018E-2</v>
      </c>
      <c r="O327" s="19">
        <f t="shared" si="58"/>
        <v>-3.0064437338289896E-2</v>
      </c>
      <c r="P327" s="19">
        <f t="shared" si="58"/>
        <v>-4.0000000000000036E-2</v>
      </c>
      <c r="R327" s="19"/>
      <c r="S327" s="19"/>
      <c r="T327" s="19"/>
      <c r="U327" s="19"/>
      <c r="V327" s="19"/>
    </row>
    <row r="328" spans="1:22" x14ac:dyDescent="0.2">
      <c r="A328" s="8">
        <v>44672</v>
      </c>
      <c r="B328" s="24">
        <v>2.0099999999999998</v>
      </c>
      <c r="C328" s="24">
        <v>2.68</v>
      </c>
      <c r="D328" s="24">
        <v>2.87</v>
      </c>
      <c r="E328" s="24">
        <v>2.9151891804932935</v>
      </c>
      <c r="F328" s="24">
        <v>2.96</v>
      </c>
      <c r="G328" s="83">
        <f t="shared" si="53"/>
        <v>98.029604940692082</v>
      </c>
      <c r="H328" s="84">
        <f t="shared" si="56"/>
        <v>106.09851139832675</v>
      </c>
      <c r="I328" s="84">
        <f t="shared" si="54"/>
        <v>95.634764463257298</v>
      </c>
      <c r="J328" s="84">
        <f t="shared" si="55"/>
        <v>419450500.63692319</v>
      </c>
      <c r="L328" s="19">
        <f t="shared" si="57"/>
        <v>7.9999999999999849E-2</v>
      </c>
      <c r="M328" s="19">
        <f t="shared" si="58"/>
        <v>8.0000000000000071E-2</v>
      </c>
      <c r="N328" s="19">
        <f t="shared" si="58"/>
        <v>8.0000000000000071E-2</v>
      </c>
      <c r="O328" s="19">
        <f t="shared" si="58"/>
        <v>8.4840802640817614E-2</v>
      </c>
      <c r="P328" s="19">
        <f t="shared" si="58"/>
        <v>8.9999999999999858E-2</v>
      </c>
      <c r="R328" s="19"/>
      <c r="S328" s="19"/>
      <c r="T328" s="19"/>
      <c r="U328" s="19"/>
      <c r="V328" s="19"/>
    </row>
    <row r="329" spans="1:22" x14ac:dyDescent="0.2">
      <c r="A329" s="8">
        <v>44673</v>
      </c>
      <c r="B329" s="24">
        <v>2.06</v>
      </c>
      <c r="C329" s="24">
        <v>2.72</v>
      </c>
      <c r="D329" s="24">
        <v>2.88</v>
      </c>
      <c r="E329" s="24">
        <v>2.9102558627031891</v>
      </c>
      <c r="F329" s="24">
        <v>2.94</v>
      </c>
      <c r="G329" s="83">
        <f t="shared" si="53"/>
        <v>97.981579463060953</v>
      </c>
      <c r="H329" s="84">
        <f t="shared" si="56"/>
        <v>106.06429376844579</v>
      </c>
      <c r="I329" s="84">
        <f t="shared" si="54"/>
        <v>95.717805686930475</v>
      </c>
      <c r="J329" s="84">
        <f t="shared" si="55"/>
        <v>419737941.02117515</v>
      </c>
      <c r="L329" s="19">
        <f t="shared" si="57"/>
        <v>5.0000000000000266E-2</v>
      </c>
      <c r="M329" s="19">
        <f t="shared" si="58"/>
        <v>4.0000000000000036E-2</v>
      </c>
      <c r="N329" s="19">
        <f t="shared" si="58"/>
        <v>9.9999999999997868E-3</v>
      </c>
      <c r="O329" s="19">
        <f t="shared" si="58"/>
        <v>-4.9333177901043079E-3</v>
      </c>
      <c r="P329" s="19">
        <f t="shared" si="58"/>
        <v>-2.0000000000000018E-2</v>
      </c>
      <c r="R329" s="19"/>
      <c r="S329" s="19"/>
      <c r="T329" s="19"/>
      <c r="U329" s="19"/>
      <c r="V329" s="19"/>
    </row>
    <row r="330" spans="1:22" x14ac:dyDescent="0.2">
      <c r="A330" s="8">
        <v>44676</v>
      </c>
      <c r="B330" s="24">
        <v>2.0299999999999998</v>
      </c>
      <c r="C330" s="24">
        <v>2.63</v>
      </c>
      <c r="D330" s="24">
        <v>2.79</v>
      </c>
      <c r="E330" s="24">
        <v>2.8153401283206168</v>
      </c>
      <c r="F330" s="24">
        <v>2.84</v>
      </c>
      <c r="G330" s="83">
        <f t="shared" si="53"/>
        <v>98.010389101244726</v>
      </c>
      <c r="H330" s="84">
        <f t="shared" si="56"/>
        <v>106.32755573973708</v>
      </c>
      <c r="I330" s="84">
        <f t="shared" si="54"/>
        <v>96.162995100073232</v>
      </c>
      <c r="J330" s="84">
        <f t="shared" si="55"/>
        <v>421181424.99317682</v>
      </c>
      <c r="L330" s="19">
        <f t="shared" si="57"/>
        <v>-3.0000000000000249E-2</v>
      </c>
      <c r="M330" s="19">
        <f t="shared" si="58"/>
        <v>-9.0000000000000302E-2</v>
      </c>
      <c r="N330" s="19">
        <f t="shared" si="58"/>
        <v>-8.9999999999999858E-2</v>
      </c>
      <c r="O330" s="19">
        <f t="shared" si="58"/>
        <v>-9.4915734382572392E-2</v>
      </c>
      <c r="P330" s="19">
        <f t="shared" si="58"/>
        <v>-0.10000000000000009</v>
      </c>
      <c r="R330" s="19"/>
      <c r="S330" s="19"/>
      <c r="T330" s="19"/>
      <c r="U330" s="19"/>
      <c r="V330" s="19"/>
    </row>
    <row r="331" spans="1:22" x14ac:dyDescent="0.2">
      <c r="A331" s="8">
        <v>44677</v>
      </c>
      <c r="B331" s="24">
        <v>1.99</v>
      </c>
      <c r="C331" s="24">
        <v>2.54</v>
      </c>
      <c r="D331" s="24">
        <v>2.72</v>
      </c>
      <c r="E331" s="24">
        <v>2.7554683979105383</v>
      </c>
      <c r="F331" s="24">
        <v>2.79</v>
      </c>
      <c r="G331" s="83">
        <f t="shared" si="53"/>
        <v>98.048828316501613</v>
      </c>
      <c r="H331" s="84">
        <f t="shared" si="56"/>
        <v>106.53560096063886</v>
      </c>
      <c r="I331" s="84">
        <f t="shared" si="54"/>
        <v>96.39091545592585</v>
      </c>
      <c r="J331" s="84">
        <f t="shared" si="55"/>
        <v>421857917.01574838</v>
      </c>
      <c r="L331" s="19">
        <f t="shared" si="57"/>
        <v>-3.9999999999999813E-2</v>
      </c>
      <c r="M331" s="19">
        <f t="shared" si="58"/>
        <v>-8.9999999999999858E-2</v>
      </c>
      <c r="N331" s="19">
        <f t="shared" si="58"/>
        <v>-6.999999999999984E-2</v>
      </c>
      <c r="O331" s="19">
        <f t="shared" si="58"/>
        <v>-5.9871730410078428E-2</v>
      </c>
      <c r="P331" s="19">
        <f t="shared" si="58"/>
        <v>-4.9999999999999822E-2</v>
      </c>
      <c r="R331" s="19"/>
      <c r="S331" s="19"/>
      <c r="T331" s="19"/>
      <c r="U331" s="19"/>
      <c r="V331" s="19"/>
    </row>
    <row r="332" spans="1:22" x14ac:dyDescent="0.2">
      <c r="A332" s="8">
        <v>44678</v>
      </c>
      <c r="B332" s="24">
        <v>1.97</v>
      </c>
      <c r="C332" s="24">
        <v>2.58</v>
      </c>
      <c r="D332" s="24">
        <v>2.75</v>
      </c>
      <c r="E332" s="24">
        <v>2.7804297855348072</v>
      </c>
      <c r="F332" s="24">
        <v>2.81</v>
      </c>
      <c r="G332" s="83">
        <f t="shared" si="53"/>
        <v>98.068059233107775</v>
      </c>
      <c r="H332" s="84">
        <f t="shared" si="56"/>
        <v>106.44802292999074</v>
      </c>
      <c r="I332" s="84">
        <f t="shared" si="54"/>
        <v>96.300033567808669</v>
      </c>
      <c r="J332" s="84">
        <f t="shared" si="55"/>
        <v>421664218.34246409</v>
      </c>
      <c r="L332" s="19">
        <f t="shared" si="57"/>
        <v>-2.0000000000000018E-2</v>
      </c>
      <c r="M332" s="19">
        <f t="shared" si="58"/>
        <v>4.0000000000000036E-2</v>
      </c>
      <c r="N332" s="19">
        <f t="shared" si="58"/>
        <v>2.9999999999999805E-2</v>
      </c>
      <c r="O332" s="19">
        <f t="shared" si="58"/>
        <v>2.4961387624268916E-2</v>
      </c>
      <c r="P332" s="19">
        <f t="shared" si="58"/>
        <v>2.0000000000000018E-2</v>
      </c>
      <c r="R332" s="19"/>
      <c r="S332" s="19"/>
      <c r="T332" s="19"/>
      <c r="U332" s="19"/>
      <c r="V332" s="19"/>
    </row>
    <row r="333" spans="1:22" x14ac:dyDescent="0.2">
      <c r="A333" s="8">
        <v>44679</v>
      </c>
      <c r="B333" s="24">
        <v>2.04</v>
      </c>
      <c r="C333" s="24">
        <v>2.63</v>
      </c>
      <c r="D333" s="24">
        <v>2.8</v>
      </c>
      <c r="E333" s="24">
        <v>2.8303853149158837</v>
      </c>
      <c r="F333" s="24">
        <v>2.86</v>
      </c>
      <c r="G333" s="83">
        <f t="shared" si="53"/>
        <v>98.000784006272056</v>
      </c>
      <c r="H333" s="84">
        <f t="shared" si="56"/>
        <v>106.29886421782793</v>
      </c>
      <c r="I333" s="84">
        <f t="shared" si="54"/>
        <v>96.075044780551906</v>
      </c>
      <c r="J333" s="84">
        <f t="shared" si="55"/>
        <v>420853450.80800986</v>
      </c>
      <c r="L333" s="19">
        <f t="shared" si="57"/>
        <v>7.0000000000000062E-2</v>
      </c>
      <c r="M333" s="19">
        <f t="shared" si="58"/>
        <v>4.9999999999999822E-2</v>
      </c>
      <c r="N333" s="19">
        <f t="shared" si="58"/>
        <v>4.9999999999999822E-2</v>
      </c>
      <c r="O333" s="19">
        <f t="shared" si="58"/>
        <v>4.9955529381076502E-2</v>
      </c>
      <c r="P333" s="19">
        <f t="shared" si="58"/>
        <v>4.9999999999999822E-2</v>
      </c>
      <c r="R333" s="19"/>
      <c r="S333" s="19"/>
      <c r="T333" s="19"/>
      <c r="U333" s="19"/>
      <c r="V333" s="19"/>
    </row>
    <row r="334" spans="1:22" x14ac:dyDescent="0.2">
      <c r="A334" s="8">
        <v>44680</v>
      </c>
      <c r="B334" s="24">
        <v>2.1</v>
      </c>
      <c r="C334" s="24">
        <v>2.7</v>
      </c>
      <c r="D334" s="24">
        <v>2.87</v>
      </c>
      <c r="E334" s="24">
        <v>2.8951789197334135</v>
      </c>
      <c r="F334" s="24">
        <v>2.92</v>
      </c>
      <c r="G334" s="83">
        <f t="shared" si="53"/>
        <v>97.943192948090115</v>
      </c>
      <c r="H334" s="84">
        <f t="shared" si="56"/>
        <v>106.09234388950652</v>
      </c>
      <c r="I334" s="84">
        <f t="shared" si="54"/>
        <v>95.805129902753421</v>
      </c>
      <c r="J334" s="84">
        <f t="shared" si="55"/>
        <v>419968389.67293417</v>
      </c>
      <c r="L334" s="19">
        <f t="shared" si="57"/>
        <v>6.0000000000000053E-2</v>
      </c>
      <c r="M334" s="19">
        <f t="shared" si="58"/>
        <v>7.0000000000000284E-2</v>
      </c>
      <c r="N334" s="19">
        <f t="shared" si="58"/>
        <v>7.0000000000000284E-2</v>
      </c>
      <c r="O334" s="19">
        <f t="shared" si="58"/>
        <v>6.4793604817529715E-2</v>
      </c>
      <c r="P334" s="19">
        <f t="shared" si="58"/>
        <v>6.0000000000000053E-2</v>
      </c>
      <c r="R334" s="19"/>
      <c r="S334" s="19"/>
      <c r="T334" s="19"/>
      <c r="U334" s="19"/>
      <c r="V334" s="19"/>
    </row>
    <row r="335" spans="1:22" x14ac:dyDescent="0.2">
      <c r="A335" s="8">
        <v>44683</v>
      </c>
      <c r="B335" s="24">
        <v>2.1</v>
      </c>
      <c r="C335" s="24">
        <v>2.73</v>
      </c>
      <c r="D335" s="24">
        <v>2.93</v>
      </c>
      <c r="E335" s="24">
        <v>2.9703478083607924</v>
      </c>
      <c r="F335" s="24">
        <v>3.01</v>
      </c>
      <c r="G335" s="83">
        <f t="shared" si="53"/>
        <v>97.943192948090115</v>
      </c>
      <c r="H335" s="84">
        <f t="shared" si="56"/>
        <v>105.92099773003187</v>
      </c>
      <c r="I335" s="84">
        <f t="shared" si="54"/>
        <v>95.410416824303354</v>
      </c>
      <c r="J335" s="84">
        <f t="shared" si="55"/>
        <v>418646556.59834588</v>
      </c>
      <c r="L335" s="19">
        <f t="shared" si="57"/>
        <v>0</v>
      </c>
      <c r="M335" s="19">
        <f t="shared" si="58"/>
        <v>2.9999999999999805E-2</v>
      </c>
      <c r="N335" s="19">
        <f t="shared" si="58"/>
        <v>6.0000000000000053E-2</v>
      </c>
      <c r="O335" s="19">
        <f t="shared" si="58"/>
        <v>7.5168888627378916E-2</v>
      </c>
      <c r="P335" s="19">
        <f t="shared" si="58"/>
        <v>8.9999999999999858E-2</v>
      </c>
      <c r="R335" s="19"/>
      <c r="S335" s="19"/>
      <c r="T335" s="19"/>
      <c r="U335" s="19"/>
      <c r="V335" s="19"/>
    </row>
    <row r="336" spans="1:22" x14ac:dyDescent="0.2">
      <c r="A336" s="8">
        <v>44684</v>
      </c>
      <c r="B336" s="24">
        <v>2.16</v>
      </c>
      <c r="C336" s="24">
        <v>2.78</v>
      </c>
      <c r="D336" s="24">
        <v>2.95</v>
      </c>
      <c r="E336" s="24">
        <v>2.9803915415675153</v>
      </c>
      <c r="F336" s="24">
        <v>3.01</v>
      </c>
      <c r="G336" s="83">
        <f t="shared" si="53"/>
        <v>97.885669537979638</v>
      </c>
      <c r="H336" s="84">
        <f t="shared" si="56"/>
        <v>105.85740774043799</v>
      </c>
      <c r="I336" s="84">
        <f t="shared" si="54"/>
        <v>95.405660342685849</v>
      </c>
      <c r="J336" s="84">
        <f t="shared" si="55"/>
        <v>418607868.83604568</v>
      </c>
      <c r="L336" s="19">
        <f t="shared" si="57"/>
        <v>6.0000000000000053E-2</v>
      </c>
      <c r="M336" s="19">
        <f t="shared" si="58"/>
        <v>4.9999999999999822E-2</v>
      </c>
      <c r="N336" s="19">
        <f t="shared" si="58"/>
        <v>2.0000000000000018E-2</v>
      </c>
      <c r="O336" s="19">
        <f t="shared" si="58"/>
        <v>1.0043733206722916E-2</v>
      </c>
      <c r="P336" s="19">
        <f t="shared" si="58"/>
        <v>0</v>
      </c>
      <c r="R336" s="19"/>
      <c r="S336" s="19"/>
      <c r="T336" s="19"/>
      <c r="U336" s="19"/>
      <c r="V336" s="19"/>
    </row>
    <row r="337" spans="1:22" x14ac:dyDescent="0.2">
      <c r="A337" s="8">
        <v>44685</v>
      </c>
      <c r="B337" s="24">
        <v>2.0699999999999998</v>
      </c>
      <c r="C337" s="24">
        <v>2.66</v>
      </c>
      <c r="D337" s="24">
        <v>2.85</v>
      </c>
      <c r="E337" s="24">
        <v>2.8901693424859412</v>
      </c>
      <c r="F337" s="24">
        <v>2.93</v>
      </c>
      <c r="G337" s="83">
        <f t="shared" si="53"/>
        <v>97.971980013716077</v>
      </c>
      <c r="H337" s="84">
        <f t="shared" si="56"/>
        <v>106.15375819182023</v>
      </c>
      <c r="I337" s="84">
        <f t="shared" si="54"/>
        <v>95.765704336600663</v>
      </c>
      <c r="J337" s="84">
        <f t="shared" si="55"/>
        <v>419776140.08610445</v>
      </c>
      <c r="L337" s="19">
        <f t="shared" si="57"/>
        <v>-9.0000000000000302E-2</v>
      </c>
      <c r="M337" s="19">
        <f t="shared" si="58"/>
        <v>-0.11999999999999966</v>
      </c>
      <c r="N337" s="19">
        <f t="shared" si="58"/>
        <v>-0.10000000000000009</v>
      </c>
      <c r="O337" s="19">
        <f t="shared" si="58"/>
        <v>-9.0222199081574139E-2</v>
      </c>
      <c r="P337" s="19">
        <f t="shared" si="58"/>
        <v>-7.9999999999999627E-2</v>
      </c>
      <c r="R337" s="19"/>
      <c r="S337" s="19"/>
      <c r="T337" s="19"/>
      <c r="U337" s="19"/>
      <c r="V337" s="19"/>
    </row>
    <row r="338" spans="1:22" x14ac:dyDescent="0.2">
      <c r="A338" s="8">
        <v>44686</v>
      </c>
      <c r="B338" s="24">
        <v>2.08</v>
      </c>
      <c r="C338" s="24">
        <v>2.71</v>
      </c>
      <c r="D338" s="24">
        <v>2.91</v>
      </c>
      <c r="E338" s="24">
        <v>2.9603619995699892</v>
      </c>
      <c r="F338" s="24">
        <v>3.01</v>
      </c>
      <c r="G338" s="83">
        <f t="shared" si="53"/>
        <v>97.962382445141074</v>
      </c>
      <c r="H338" s="84">
        <f t="shared" si="56"/>
        <v>105.97995142225946</v>
      </c>
      <c r="I338" s="84">
        <f t="shared" si="54"/>
        <v>95.413298502009908</v>
      </c>
      <c r="J338" s="84">
        <f t="shared" si="55"/>
        <v>418608031.76493263</v>
      </c>
      <c r="L338" s="19">
        <f t="shared" si="57"/>
        <v>1.0000000000000231E-2</v>
      </c>
      <c r="M338" s="19">
        <f t="shared" si="58"/>
        <v>4.9999999999999822E-2</v>
      </c>
      <c r="N338" s="19">
        <f t="shared" si="58"/>
        <v>6.0000000000000053E-2</v>
      </c>
      <c r="O338" s="19">
        <f t="shared" si="58"/>
        <v>7.0192657084048093E-2</v>
      </c>
      <c r="P338" s="19">
        <f t="shared" si="58"/>
        <v>7.9999999999999627E-2</v>
      </c>
      <c r="R338" s="19"/>
      <c r="S338" s="19"/>
      <c r="T338" s="19"/>
      <c r="U338" s="19"/>
      <c r="V338" s="19"/>
    </row>
    <row r="339" spans="1:22" x14ac:dyDescent="0.2">
      <c r="A339" s="8">
        <v>44687</v>
      </c>
      <c r="B339" s="24">
        <v>2.08</v>
      </c>
      <c r="C339" s="24">
        <v>2.72</v>
      </c>
      <c r="D339" s="24">
        <v>2.94</v>
      </c>
      <c r="E339" s="24">
        <v>3.0001191525182431</v>
      </c>
      <c r="F339" s="24">
        <v>3.06</v>
      </c>
      <c r="G339" s="83">
        <f t="shared" si="53"/>
        <v>97.962382445141074</v>
      </c>
      <c r="H339" s="84">
        <f t="shared" si="56"/>
        <v>105.89482161439307</v>
      </c>
      <c r="I339" s="84">
        <f t="shared" si="54"/>
        <v>95.195455543077657</v>
      </c>
      <c r="J339" s="84">
        <f t="shared" si="55"/>
        <v>417864354.64100319</v>
      </c>
      <c r="L339" s="19">
        <f t="shared" si="57"/>
        <v>0</v>
      </c>
      <c r="M339" s="19">
        <f t="shared" si="58"/>
        <v>1.0000000000000231E-2</v>
      </c>
      <c r="N339" s="19">
        <f t="shared" si="58"/>
        <v>2.9999999999999805E-2</v>
      </c>
      <c r="O339" s="19">
        <f t="shared" si="58"/>
        <v>3.9757152948253882E-2</v>
      </c>
      <c r="P339" s="19">
        <f t="shared" si="58"/>
        <v>5.0000000000000266E-2</v>
      </c>
      <c r="R339" s="19"/>
      <c r="S339" s="19"/>
      <c r="T339" s="19"/>
      <c r="U339" s="19"/>
      <c r="V339" s="19"/>
    </row>
    <row r="340" spans="1:22" x14ac:dyDescent="0.2">
      <c r="A340" s="8">
        <v>44690</v>
      </c>
      <c r="B340" s="24">
        <v>1.99</v>
      </c>
      <c r="C340" s="24">
        <v>2.61</v>
      </c>
      <c r="D340" s="24">
        <v>2.81</v>
      </c>
      <c r="E340" s="24">
        <v>2.8804128362399557</v>
      </c>
      <c r="F340" s="24">
        <v>2.95</v>
      </c>
      <c r="G340" s="83">
        <f t="shared" si="53"/>
        <v>98.048828316501613</v>
      </c>
      <c r="H340" s="84">
        <f t="shared" si="56"/>
        <v>106.27491683244591</v>
      </c>
      <c r="I340" s="84">
        <f t="shared" si="54"/>
        <v>95.686192156817867</v>
      </c>
      <c r="J340" s="84">
        <f t="shared" si="55"/>
        <v>419430050.01160586</v>
      </c>
      <c r="L340" s="19">
        <f t="shared" si="57"/>
        <v>-9.000000000000008E-2</v>
      </c>
      <c r="M340" s="19">
        <f t="shared" si="58"/>
        <v>-0.11000000000000032</v>
      </c>
      <c r="N340" s="19">
        <f t="shared" si="58"/>
        <v>-0.12999999999999989</v>
      </c>
      <c r="O340" s="19">
        <f t="shared" si="58"/>
        <v>-0.11970631627828743</v>
      </c>
      <c r="P340" s="19">
        <f t="shared" si="58"/>
        <v>-0.10999999999999988</v>
      </c>
      <c r="R340" s="19"/>
      <c r="S340" s="19"/>
      <c r="T340" s="19"/>
      <c r="U340" s="19"/>
      <c r="V340" s="19"/>
    </row>
    <row r="341" spans="1:22" x14ac:dyDescent="0.2">
      <c r="A341" s="8">
        <v>44691</v>
      </c>
      <c r="B341" s="24">
        <v>2.0099999999999998</v>
      </c>
      <c r="C341" s="24">
        <v>2.62</v>
      </c>
      <c r="D341" s="24">
        <v>2.81</v>
      </c>
      <c r="E341" s="24">
        <v>2.860489386326722</v>
      </c>
      <c r="F341" s="24">
        <v>2.91</v>
      </c>
      <c r="G341" s="83">
        <f t="shared" si="53"/>
        <v>98.029604940692082</v>
      </c>
      <c r="H341" s="84">
        <f t="shared" si="56"/>
        <v>106.27303018276956</v>
      </c>
      <c r="I341" s="84">
        <f t="shared" si="54"/>
        <v>95.858366218168726</v>
      </c>
      <c r="J341" s="84">
        <f t="shared" si="55"/>
        <v>420083129.47990471</v>
      </c>
      <c r="L341" s="19">
        <f t="shared" si="57"/>
        <v>1.9999999999999796E-2</v>
      </c>
      <c r="M341" s="19">
        <f t="shared" si="58"/>
        <v>1.0000000000000231E-2</v>
      </c>
      <c r="N341" s="19">
        <f t="shared" si="58"/>
        <v>0</v>
      </c>
      <c r="O341" s="19">
        <f t="shared" si="58"/>
        <v>-1.9923449913233693E-2</v>
      </c>
      <c r="P341" s="19">
        <f t="shared" si="58"/>
        <v>-4.0000000000000036E-2</v>
      </c>
      <c r="R341" s="19"/>
      <c r="S341" s="19"/>
      <c r="T341" s="19"/>
      <c r="U341" s="19"/>
      <c r="V341" s="19"/>
    </row>
    <row r="342" spans="1:22" x14ac:dyDescent="0.2">
      <c r="A342" s="8">
        <v>44692</v>
      </c>
      <c r="B342" s="24">
        <v>1.99</v>
      </c>
      <c r="C342" s="24">
        <v>2.66</v>
      </c>
      <c r="D342" s="24">
        <v>2.81</v>
      </c>
      <c r="E342" s="24">
        <v>2.8503879704199937</v>
      </c>
      <c r="F342" s="24">
        <v>2.89</v>
      </c>
      <c r="G342" s="83">
        <f t="shared" si="53"/>
        <v>98.048828316501613</v>
      </c>
      <c r="H342" s="84">
        <f t="shared" si="56"/>
        <v>106.27029213212423</v>
      </c>
      <c r="I342" s="84">
        <f t="shared" si="54"/>
        <v>95.943895703186541</v>
      </c>
      <c r="J342" s="84">
        <f t="shared" si="55"/>
        <v>420467801.24756306</v>
      </c>
      <c r="L342" s="19">
        <f t="shared" si="57"/>
        <v>-1.9999999999999796E-2</v>
      </c>
      <c r="M342" s="19">
        <f t="shared" si="58"/>
        <v>4.0000000000000036E-2</v>
      </c>
      <c r="N342" s="19">
        <f t="shared" si="58"/>
        <v>0</v>
      </c>
      <c r="O342" s="19">
        <f t="shared" si="58"/>
        <v>-1.0101415906728306E-2</v>
      </c>
      <c r="P342" s="19">
        <f t="shared" si="58"/>
        <v>-2.0000000000000018E-2</v>
      </c>
      <c r="R342" s="19"/>
      <c r="S342" s="19"/>
      <c r="T342" s="19"/>
      <c r="U342" s="19"/>
      <c r="V342" s="19"/>
    </row>
    <row r="343" spans="1:22" x14ac:dyDescent="0.2">
      <c r="A343" s="8">
        <v>44693</v>
      </c>
      <c r="B343" s="24">
        <v>1.96</v>
      </c>
      <c r="C343" s="24">
        <v>2.56</v>
      </c>
      <c r="D343" s="24">
        <v>2.73</v>
      </c>
      <c r="E343" s="24">
        <v>2.7703036839922417</v>
      </c>
      <c r="F343" s="24">
        <v>2.81</v>
      </c>
      <c r="G343" s="83">
        <f t="shared" si="53"/>
        <v>98.077677520596311</v>
      </c>
      <c r="H343" s="84">
        <f t="shared" si="56"/>
        <v>106.50690069526485</v>
      </c>
      <c r="I343" s="84">
        <f t="shared" si="54"/>
        <v>96.302750770526302</v>
      </c>
      <c r="J343" s="84">
        <f t="shared" si="55"/>
        <v>421606007.08040059</v>
      </c>
      <c r="L343" s="19">
        <f t="shared" si="57"/>
        <v>-3.0000000000000027E-2</v>
      </c>
      <c r="M343" s="19">
        <f t="shared" si="58"/>
        <v>-0.10000000000000009</v>
      </c>
      <c r="N343" s="19">
        <f t="shared" si="58"/>
        <v>-8.0000000000000071E-2</v>
      </c>
      <c r="O343" s="19">
        <f t="shared" si="58"/>
        <v>-8.0084286427752005E-2</v>
      </c>
      <c r="P343" s="19">
        <f t="shared" si="58"/>
        <v>-8.0000000000000071E-2</v>
      </c>
      <c r="R343" s="19"/>
      <c r="S343" s="19"/>
      <c r="T343" s="19"/>
      <c r="U343" s="19"/>
      <c r="V343" s="19"/>
    </row>
    <row r="344" spans="1:22" x14ac:dyDescent="0.2">
      <c r="A344" s="8">
        <v>44694</v>
      </c>
      <c r="B344" s="24">
        <v>2.04</v>
      </c>
      <c r="C344" s="24">
        <v>2.61</v>
      </c>
      <c r="D344" s="24">
        <v>2.79</v>
      </c>
      <c r="E344" s="24">
        <v>2.8404505113719707</v>
      </c>
      <c r="F344" s="24">
        <v>2.89</v>
      </c>
      <c r="G344" s="83">
        <f t="shared" si="53"/>
        <v>98.000784006272056</v>
      </c>
      <c r="H344" s="84">
        <f t="shared" si="56"/>
        <v>106.32892617624404</v>
      </c>
      <c r="I344" s="84">
        <f t="shared" si="54"/>
        <v>95.94655014339034</v>
      </c>
      <c r="J344" s="84">
        <f t="shared" si="55"/>
        <v>420294379.32173944</v>
      </c>
      <c r="L344" s="19">
        <f t="shared" si="57"/>
        <v>8.0000000000000071E-2</v>
      </c>
      <c r="M344" s="19">
        <f t="shared" si="58"/>
        <v>4.9999999999999822E-2</v>
      </c>
      <c r="N344" s="19">
        <f t="shared" si="58"/>
        <v>6.0000000000000053E-2</v>
      </c>
      <c r="O344" s="19">
        <f t="shared" si="58"/>
        <v>7.0146827379728993E-2</v>
      </c>
      <c r="P344" s="19">
        <f t="shared" si="58"/>
        <v>8.0000000000000071E-2</v>
      </c>
      <c r="R344" s="19"/>
      <c r="S344" s="19"/>
      <c r="T344" s="19"/>
      <c r="U344" s="19"/>
      <c r="V344" s="19"/>
    </row>
    <row r="345" spans="1:22" x14ac:dyDescent="0.2">
      <c r="A345" s="8">
        <v>44697</v>
      </c>
      <c r="B345" s="24">
        <v>2.0699999999999998</v>
      </c>
      <c r="C345" s="24">
        <v>2.58</v>
      </c>
      <c r="D345" s="24">
        <v>2.75</v>
      </c>
      <c r="E345" s="24">
        <v>2.7900695156299076</v>
      </c>
      <c r="F345" s="24">
        <v>2.83</v>
      </c>
      <c r="G345" s="83">
        <f t="shared" si="53"/>
        <v>97.971980013716077</v>
      </c>
      <c r="H345" s="84">
        <f t="shared" si="56"/>
        <v>106.44321896902116</v>
      </c>
      <c r="I345" s="84">
        <f t="shared" si="54"/>
        <v>96.211115174031576</v>
      </c>
      <c r="J345" s="84">
        <f t="shared" si="55"/>
        <v>421123592.27002668</v>
      </c>
      <c r="L345" s="19">
        <f t="shared" si="57"/>
        <v>2.9999999999999805E-2</v>
      </c>
      <c r="M345" s="19">
        <f t="shared" si="58"/>
        <v>-2.9999999999999805E-2</v>
      </c>
      <c r="N345" s="19">
        <f t="shared" si="58"/>
        <v>-4.0000000000000036E-2</v>
      </c>
      <c r="O345" s="19">
        <f t="shared" si="58"/>
        <v>-5.0380995742063117E-2</v>
      </c>
      <c r="P345" s="19">
        <f t="shared" si="58"/>
        <v>-6.0000000000000053E-2</v>
      </c>
      <c r="R345" s="19"/>
      <c r="S345" s="19"/>
      <c r="T345" s="19"/>
      <c r="U345" s="19"/>
      <c r="V345" s="19"/>
    </row>
    <row r="346" spans="1:22" x14ac:dyDescent="0.2">
      <c r="A346" s="8">
        <v>44698</v>
      </c>
      <c r="B346" s="24">
        <v>2.16</v>
      </c>
      <c r="C346" s="24">
        <v>2.71</v>
      </c>
      <c r="D346" s="24">
        <v>2.89</v>
      </c>
      <c r="E346" s="24">
        <v>2.9254678031412071</v>
      </c>
      <c r="F346" s="24">
        <v>2.96</v>
      </c>
      <c r="G346" s="83">
        <f t="shared" si="53"/>
        <v>97.885669537979638</v>
      </c>
      <c r="H346" s="84">
        <f t="shared" si="56"/>
        <v>106.03230836874405</v>
      </c>
      <c r="I346" s="84">
        <f t="shared" si="54"/>
        <v>95.628994539781672</v>
      </c>
      <c r="J346" s="84">
        <f t="shared" si="55"/>
        <v>419238854.68196988</v>
      </c>
      <c r="L346" s="19">
        <f t="shared" si="57"/>
        <v>9.0000000000000302E-2</v>
      </c>
      <c r="M346" s="19">
        <f t="shared" si="58"/>
        <v>0.12999999999999989</v>
      </c>
      <c r="N346" s="19">
        <f t="shared" si="58"/>
        <v>0.14000000000000012</v>
      </c>
      <c r="O346" s="19">
        <f t="shared" si="58"/>
        <v>0.13539828751129956</v>
      </c>
      <c r="P346" s="19">
        <f t="shared" si="58"/>
        <v>0.12999999999999989</v>
      </c>
      <c r="R346" s="19"/>
      <c r="S346" s="19"/>
      <c r="T346" s="19"/>
      <c r="U346" s="19"/>
      <c r="V346" s="19"/>
    </row>
    <row r="347" spans="1:22" x14ac:dyDescent="0.2">
      <c r="A347" s="8">
        <v>44699</v>
      </c>
      <c r="B347" s="24">
        <v>2.16</v>
      </c>
      <c r="C347" s="24">
        <v>2.68</v>
      </c>
      <c r="D347" s="24">
        <v>2.84</v>
      </c>
      <c r="E347" s="24">
        <v>2.8654435864648224</v>
      </c>
      <c r="F347" s="24">
        <v>2.89</v>
      </c>
      <c r="G347" s="83">
        <f t="shared" si="53"/>
        <v>97.885669537979638</v>
      </c>
      <c r="H347" s="84">
        <f t="shared" si="56"/>
        <v>106.1757511247425</v>
      </c>
      <c r="I347" s="84">
        <f t="shared" si="54"/>
        <v>95.937236975748476</v>
      </c>
      <c r="J347" s="84">
        <f t="shared" si="55"/>
        <v>420256660.29183942</v>
      </c>
      <c r="L347" s="19">
        <f t="shared" si="57"/>
        <v>0</v>
      </c>
      <c r="M347" s="19">
        <f t="shared" si="58"/>
        <v>-2.9999999999999805E-2</v>
      </c>
      <c r="N347" s="19">
        <f t="shared" si="58"/>
        <v>-5.0000000000000266E-2</v>
      </c>
      <c r="O347" s="19">
        <f t="shared" si="58"/>
        <v>-6.002421667638469E-2</v>
      </c>
      <c r="P347" s="19">
        <f t="shared" si="58"/>
        <v>-6.999999999999984E-2</v>
      </c>
      <c r="R347" s="19"/>
      <c r="S347" s="19"/>
      <c r="T347" s="19"/>
      <c r="U347" s="19"/>
      <c r="V347" s="19"/>
    </row>
    <row r="348" spans="1:22" x14ac:dyDescent="0.2">
      <c r="A348" s="8">
        <v>44700</v>
      </c>
      <c r="B348" s="24">
        <v>2.11</v>
      </c>
      <c r="C348" s="24">
        <v>2.63</v>
      </c>
      <c r="D348" s="24">
        <v>2.78</v>
      </c>
      <c r="E348" s="24">
        <v>2.8100955186148315</v>
      </c>
      <c r="F348" s="24">
        <v>2.84</v>
      </c>
      <c r="G348" s="83">
        <f t="shared" si="53"/>
        <v>97.933601018509464</v>
      </c>
      <c r="H348" s="84">
        <f t="shared" si="56"/>
        <v>106.35193858311187</v>
      </c>
      <c r="I348" s="84">
        <f t="shared" si="54"/>
        <v>96.162362137157658</v>
      </c>
      <c r="J348" s="84">
        <f t="shared" si="55"/>
        <v>420988742.71098173</v>
      </c>
      <c r="L348" s="19">
        <f t="shared" si="57"/>
        <v>-5.0000000000000266E-2</v>
      </c>
      <c r="M348" s="19">
        <f t="shared" si="58"/>
        <v>-5.0000000000000266E-2</v>
      </c>
      <c r="N348" s="19">
        <f t="shared" si="58"/>
        <v>-6.0000000000000053E-2</v>
      </c>
      <c r="O348" s="19">
        <f t="shared" si="58"/>
        <v>-5.5348067849990912E-2</v>
      </c>
      <c r="P348" s="19">
        <f t="shared" si="58"/>
        <v>-5.0000000000000266E-2</v>
      </c>
      <c r="R348" s="19"/>
      <c r="S348" s="19"/>
      <c r="T348" s="19"/>
      <c r="U348" s="19"/>
      <c r="V348" s="19"/>
    </row>
    <row r="349" spans="1:22" x14ac:dyDescent="0.2">
      <c r="A349" s="8">
        <v>44701</v>
      </c>
      <c r="B349" s="24">
        <v>2.0699999999999998</v>
      </c>
      <c r="C349" s="24">
        <v>2.6</v>
      </c>
      <c r="D349" s="24">
        <v>2.73</v>
      </c>
      <c r="E349" s="24">
        <v>2.7651733674706085</v>
      </c>
      <c r="F349" s="24">
        <v>2.8</v>
      </c>
      <c r="G349" s="83">
        <f t="shared" si="53"/>
        <v>97.971980013716077</v>
      </c>
      <c r="H349" s="84">
        <f t="shared" si="56"/>
        <v>106.49791010556325</v>
      </c>
      <c r="I349" s="84">
        <f t="shared" si="54"/>
        <v>96.34271269064368</v>
      </c>
      <c r="J349" s="84">
        <f t="shared" si="55"/>
        <v>421567945.63166201</v>
      </c>
      <c r="L349" s="19">
        <f t="shared" si="57"/>
        <v>-4.0000000000000036E-2</v>
      </c>
      <c r="M349" s="19">
        <f t="shared" si="58"/>
        <v>-2.9999999999999805E-2</v>
      </c>
      <c r="N349" s="19">
        <f t="shared" si="58"/>
        <v>-4.9999999999999822E-2</v>
      </c>
      <c r="O349" s="19">
        <f t="shared" si="58"/>
        <v>-4.4922151144223044E-2</v>
      </c>
      <c r="P349" s="19">
        <f t="shared" si="58"/>
        <v>-4.0000000000000036E-2</v>
      </c>
      <c r="R349" s="19"/>
      <c r="S349" s="19"/>
      <c r="T349" s="19"/>
      <c r="U349" s="19"/>
      <c r="V349" s="19"/>
    </row>
    <row r="350" spans="1:22" x14ac:dyDescent="0.2">
      <c r="A350" s="8">
        <v>44704</v>
      </c>
      <c r="B350" s="24">
        <v>2.09</v>
      </c>
      <c r="C350" s="24">
        <v>2.65</v>
      </c>
      <c r="D350" s="24">
        <v>2.8</v>
      </c>
      <c r="E350" s="24">
        <v>2.8403994243895418</v>
      </c>
      <c r="F350" s="24">
        <v>2.88</v>
      </c>
      <c r="G350" s="83">
        <f t="shared" si="53"/>
        <v>97.95278675678324</v>
      </c>
      <c r="H350" s="84">
        <f t="shared" si="56"/>
        <v>106.29461474574092</v>
      </c>
      <c r="I350" s="84">
        <f t="shared" si="54"/>
        <v>95.98657521962599</v>
      </c>
      <c r="J350" s="84">
        <f t="shared" si="55"/>
        <v>420409952.27345908</v>
      </c>
      <c r="L350" s="19">
        <f t="shared" si="57"/>
        <v>2.0000000000000018E-2</v>
      </c>
      <c r="M350" s="19">
        <f t="shared" si="58"/>
        <v>4.9999999999999822E-2</v>
      </c>
      <c r="N350" s="19">
        <f t="shared" si="58"/>
        <v>6.999999999999984E-2</v>
      </c>
      <c r="O350" s="19">
        <f t="shared" si="58"/>
        <v>7.5226056918933359E-2</v>
      </c>
      <c r="P350" s="19">
        <f t="shared" si="58"/>
        <v>8.0000000000000071E-2</v>
      </c>
      <c r="R350" s="19"/>
      <c r="S350" s="19"/>
      <c r="T350" s="19"/>
      <c r="U350" s="19"/>
      <c r="V350" s="19"/>
    </row>
    <row r="351" spans="1:22" x14ac:dyDescent="0.2">
      <c r="A351" s="8">
        <v>44705</v>
      </c>
      <c r="B351" s="24">
        <v>2.02</v>
      </c>
      <c r="C351" s="24">
        <v>2.5</v>
      </c>
      <c r="D351" s="24">
        <v>2.66</v>
      </c>
      <c r="E351" s="24">
        <v>2.7103105718463461</v>
      </c>
      <c r="F351" s="24">
        <v>2.76</v>
      </c>
      <c r="G351" s="83">
        <f t="shared" si="53"/>
        <v>98.019996079200155</v>
      </c>
      <c r="H351" s="84">
        <f t="shared" si="56"/>
        <v>106.70783258681149</v>
      </c>
      <c r="I351" s="84">
        <f t="shared" si="54"/>
        <v>96.528045527726832</v>
      </c>
      <c r="J351" s="84">
        <f t="shared" si="55"/>
        <v>422090425.38909042</v>
      </c>
      <c r="L351" s="19">
        <f t="shared" si="57"/>
        <v>-6.999999999999984E-2</v>
      </c>
      <c r="M351" s="19">
        <f t="shared" si="58"/>
        <v>-0.14999999999999991</v>
      </c>
      <c r="N351" s="19">
        <f t="shared" si="58"/>
        <v>-0.13999999999999968</v>
      </c>
      <c r="O351" s="19">
        <f t="shared" si="58"/>
        <v>-0.1300888525431958</v>
      </c>
      <c r="P351" s="19">
        <f t="shared" si="58"/>
        <v>-0.12000000000000011</v>
      </c>
      <c r="R351" s="19"/>
      <c r="S351" s="19"/>
      <c r="T351" s="19"/>
      <c r="U351" s="19"/>
      <c r="V351" s="19"/>
    </row>
    <row r="352" spans="1:22" x14ac:dyDescent="0.2">
      <c r="A352" s="8">
        <v>44706</v>
      </c>
      <c r="B352" s="24">
        <v>2.0099999999999998</v>
      </c>
      <c r="C352" s="24">
        <v>2.48</v>
      </c>
      <c r="D352" s="24">
        <v>2.63</v>
      </c>
      <c r="E352" s="24">
        <v>2.6704619076761698</v>
      </c>
      <c r="F352" s="24">
        <v>2.71</v>
      </c>
      <c r="G352" s="83">
        <f t="shared" si="53"/>
        <v>98.029604940692082</v>
      </c>
      <c r="H352" s="84">
        <f t="shared" si="56"/>
        <v>106.79530038230821</v>
      </c>
      <c r="I352" s="84">
        <f t="shared" si="54"/>
        <v>96.750279075204418</v>
      </c>
      <c r="J352" s="84">
        <f t="shared" si="55"/>
        <v>422867375.6087395</v>
      </c>
      <c r="L352" s="19">
        <f t="shared" si="57"/>
        <v>-1.0000000000000231E-2</v>
      </c>
      <c r="M352" s="19">
        <f t="shared" si="58"/>
        <v>-2.0000000000000018E-2</v>
      </c>
      <c r="N352" s="19">
        <f t="shared" si="58"/>
        <v>-3.0000000000000249E-2</v>
      </c>
      <c r="O352" s="19">
        <f t="shared" si="58"/>
        <v>-3.9848664170176296E-2</v>
      </c>
      <c r="P352" s="19">
        <f t="shared" si="58"/>
        <v>-4.9999999999999822E-2</v>
      </c>
      <c r="R352" s="19"/>
      <c r="S352" s="19"/>
      <c r="T352" s="19"/>
      <c r="U352" s="19"/>
      <c r="V352" s="19"/>
    </row>
    <row r="353" spans="1:22" x14ac:dyDescent="0.2">
      <c r="A353" s="8">
        <v>44707</v>
      </c>
      <c r="B353" s="24">
        <v>1.99</v>
      </c>
      <c r="C353" s="24">
        <v>2.46</v>
      </c>
      <c r="D353" s="24">
        <v>2.63</v>
      </c>
      <c r="E353" s="24">
        <v>2.6651618627889127</v>
      </c>
      <c r="F353" s="24">
        <v>2.7</v>
      </c>
      <c r="G353" s="83">
        <f t="shared" si="53"/>
        <v>98.048828316501613</v>
      </c>
      <c r="H353" s="84">
        <f t="shared" si="56"/>
        <v>106.79812038162213</v>
      </c>
      <c r="I353" s="84">
        <f t="shared" si="54"/>
        <v>96.795231869258728</v>
      </c>
      <c r="J353" s="84">
        <f t="shared" si="55"/>
        <v>423081403.53760493</v>
      </c>
      <c r="L353" s="19">
        <f t="shared" si="57"/>
        <v>-1.9999999999999796E-2</v>
      </c>
      <c r="M353" s="19">
        <f t="shared" si="58"/>
        <v>-2.0000000000000018E-2</v>
      </c>
      <c r="N353" s="19">
        <f t="shared" si="58"/>
        <v>0</v>
      </c>
      <c r="O353" s="19">
        <f t="shared" si="58"/>
        <v>-5.3000448872571049E-3</v>
      </c>
      <c r="P353" s="19">
        <f t="shared" si="58"/>
        <v>-9.9999999999997868E-3</v>
      </c>
      <c r="R353" s="19"/>
      <c r="S353" s="19"/>
      <c r="T353" s="19"/>
      <c r="U353" s="19"/>
      <c r="V353" s="19"/>
    </row>
    <row r="354" spans="1:22" x14ac:dyDescent="0.2">
      <c r="A354" s="8">
        <v>44708</v>
      </c>
      <c r="B354" s="24">
        <v>2.0099999999999998</v>
      </c>
      <c r="C354" s="24">
        <v>2.4700000000000002</v>
      </c>
      <c r="D354" s="24">
        <v>2.64</v>
      </c>
      <c r="E354" s="24">
        <v>2.6750488294518902</v>
      </c>
      <c r="F354" s="24">
        <v>2.71</v>
      </c>
      <c r="G354" s="83">
        <f t="shared" si="53"/>
        <v>98.029604940692082</v>
      </c>
      <c r="H354" s="84">
        <f t="shared" si="56"/>
        <v>106.76784206586382</v>
      </c>
      <c r="I354" s="84">
        <f t="shared" si="54"/>
        <v>96.749788456565199</v>
      </c>
      <c r="J354" s="84">
        <f t="shared" si="55"/>
        <v>422906600.60884929</v>
      </c>
      <c r="L354" s="19">
        <f t="shared" si="57"/>
        <v>1.9999999999999796E-2</v>
      </c>
      <c r="M354" s="19">
        <f t="shared" si="58"/>
        <v>1.0000000000000231E-2</v>
      </c>
      <c r="N354" s="19">
        <f t="shared" si="58"/>
        <v>1.0000000000000231E-2</v>
      </c>
      <c r="O354" s="19">
        <f t="shared" si="58"/>
        <v>9.8869666629775033E-3</v>
      </c>
      <c r="P354" s="19">
        <f t="shared" si="58"/>
        <v>9.9999999999997868E-3</v>
      </c>
      <c r="R354" s="19"/>
      <c r="S354" s="19"/>
      <c r="T354" s="19"/>
      <c r="U354" s="19"/>
      <c r="V354" s="19"/>
    </row>
    <row r="355" spans="1:22" x14ac:dyDescent="0.2">
      <c r="A355" s="8">
        <v>44712</v>
      </c>
      <c r="B355" s="24">
        <v>2.08</v>
      </c>
      <c r="C355" s="24">
        <v>2.5299999999999998</v>
      </c>
      <c r="D355" s="24">
        <v>2.71</v>
      </c>
      <c r="E355" s="24">
        <v>2.7604869176971172</v>
      </c>
      <c r="F355" s="24">
        <v>2.81</v>
      </c>
      <c r="G355" s="83">
        <f t="shared" si="53"/>
        <v>97.962382445141074</v>
      </c>
      <c r="H355" s="84">
        <f t="shared" si="56"/>
        <v>106.56050557562718</v>
      </c>
      <c r="I355" s="84">
        <f t="shared" si="54"/>
        <v>96.303320789599411</v>
      </c>
      <c r="J355" s="84">
        <f t="shared" si="55"/>
        <v>421297289.68523902</v>
      </c>
      <c r="L355" s="19">
        <f t="shared" si="57"/>
        <v>7.0000000000000284E-2</v>
      </c>
      <c r="M355" s="19">
        <f t="shared" si="58"/>
        <v>5.9999999999999609E-2</v>
      </c>
      <c r="N355" s="19">
        <f t="shared" si="58"/>
        <v>6.999999999999984E-2</v>
      </c>
      <c r="O355" s="19">
        <f t="shared" si="58"/>
        <v>8.5438088245227028E-2</v>
      </c>
      <c r="P355" s="19">
        <f t="shared" si="58"/>
        <v>0.10000000000000009</v>
      </c>
      <c r="R355" s="19"/>
      <c r="S355" s="19"/>
      <c r="T355" s="19"/>
      <c r="U355" s="19"/>
      <c r="V355" s="19"/>
    </row>
    <row r="356" spans="1:22" x14ac:dyDescent="0.2">
      <c r="A356" s="8">
        <v>44713</v>
      </c>
      <c r="B356" s="24">
        <v>2.16</v>
      </c>
      <c r="C356" s="24">
        <v>2.66</v>
      </c>
      <c r="D356" s="24">
        <v>2.84</v>
      </c>
      <c r="E356" s="24">
        <v>2.89042706968364</v>
      </c>
      <c r="F356" s="24">
        <v>2.94</v>
      </c>
      <c r="G356" s="83">
        <f t="shared" si="53"/>
        <v>97.885669537979638</v>
      </c>
      <c r="H356" s="84">
        <f t="shared" si="56"/>
        <v>106.17759911347036</v>
      </c>
      <c r="I356" s="84">
        <f t="shared" si="54"/>
        <v>95.721622780387889</v>
      </c>
      <c r="J356" s="84">
        <f t="shared" si="55"/>
        <v>419391431.52730531</v>
      </c>
      <c r="L356" s="19">
        <f t="shared" si="57"/>
        <v>8.0000000000000071E-2</v>
      </c>
      <c r="M356" s="19">
        <f t="shared" si="58"/>
        <v>0.13000000000000034</v>
      </c>
      <c r="N356" s="19">
        <f t="shared" si="58"/>
        <v>0.12999999999999989</v>
      </c>
      <c r="O356" s="19">
        <f t="shared" si="58"/>
        <v>0.12994015198652287</v>
      </c>
      <c r="P356" s="19">
        <f t="shared" si="58"/>
        <v>0.12999999999999989</v>
      </c>
      <c r="R356" s="19"/>
      <c r="S356" s="19"/>
      <c r="T356" s="19"/>
      <c r="U356" s="19"/>
      <c r="V356" s="19"/>
    </row>
    <row r="357" spans="1:22" x14ac:dyDescent="0.2">
      <c r="A357" s="8">
        <v>44714</v>
      </c>
      <c r="B357" s="24">
        <v>2.15</v>
      </c>
      <c r="C357" s="24">
        <v>2.65</v>
      </c>
      <c r="D357" s="24">
        <v>2.83</v>
      </c>
      <c r="E357" s="24">
        <v>2.8751183404613267</v>
      </c>
      <c r="F357" s="24">
        <v>2.92</v>
      </c>
      <c r="G357" s="83">
        <f t="shared" si="53"/>
        <v>97.895252080274105</v>
      </c>
      <c r="H357" s="84">
        <f t="shared" si="56"/>
        <v>106.20717003915979</v>
      </c>
      <c r="I357" s="84">
        <f t="shared" si="54"/>
        <v>95.809555739162761</v>
      </c>
      <c r="J357" s="84">
        <f t="shared" si="55"/>
        <v>419717972.05845952</v>
      </c>
      <c r="L357" s="19">
        <f t="shared" si="57"/>
        <v>-1.0000000000000231E-2</v>
      </c>
      <c r="M357" s="19">
        <f t="shared" si="58"/>
        <v>-1.0000000000000231E-2</v>
      </c>
      <c r="N357" s="19">
        <f t="shared" si="58"/>
        <v>-9.9999999999997868E-3</v>
      </c>
      <c r="O357" s="19">
        <f t="shared" si="58"/>
        <v>-1.53087292223133E-2</v>
      </c>
      <c r="P357" s="19">
        <f t="shared" si="58"/>
        <v>-2.0000000000000018E-2</v>
      </c>
      <c r="R357" s="19"/>
      <c r="S357" s="19"/>
      <c r="T357" s="19"/>
      <c r="U357" s="19"/>
      <c r="V357" s="19"/>
    </row>
    <row r="358" spans="1:22" x14ac:dyDescent="0.2">
      <c r="A358" s="8">
        <v>44715</v>
      </c>
      <c r="B358" s="24">
        <v>2.1800000000000002</v>
      </c>
      <c r="C358" s="24">
        <v>2.66</v>
      </c>
      <c r="D358" s="24">
        <v>2.87</v>
      </c>
      <c r="E358" s="24">
        <v>2.9104321851004666</v>
      </c>
      <c r="F358" s="24">
        <v>2.95</v>
      </c>
      <c r="G358" s="83">
        <f t="shared" si="53"/>
        <v>97.866510080250535</v>
      </c>
      <c r="H358" s="84">
        <f t="shared" si="56"/>
        <v>106.09220464403253</v>
      </c>
      <c r="I358" s="84">
        <f t="shared" si="54"/>
        <v>95.675395260477856</v>
      </c>
      <c r="J358" s="84">
        <f t="shared" si="55"/>
        <v>419296294.23636365</v>
      </c>
      <c r="L358" s="19">
        <f t="shared" si="57"/>
        <v>3.0000000000000249E-2</v>
      </c>
      <c r="M358" s="19">
        <f t="shared" si="58"/>
        <v>1.0000000000000231E-2</v>
      </c>
      <c r="N358" s="19">
        <f t="shared" si="58"/>
        <v>4.0000000000000036E-2</v>
      </c>
      <c r="O358" s="19">
        <f t="shared" si="58"/>
        <v>3.5313844639139891E-2</v>
      </c>
      <c r="P358" s="19">
        <f t="shared" si="58"/>
        <v>3.0000000000000249E-2</v>
      </c>
      <c r="R358" s="19"/>
      <c r="S358" s="19"/>
      <c r="T358" s="19"/>
      <c r="U358" s="19"/>
      <c r="V358" s="19"/>
    </row>
    <row r="359" spans="1:22" x14ac:dyDescent="0.2">
      <c r="A359" s="8">
        <v>44718</v>
      </c>
      <c r="B359" s="24">
        <v>2.23</v>
      </c>
      <c r="C359" s="24">
        <v>2.73</v>
      </c>
      <c r="D359" s="24">
        <v>2.94</v>
      </c>
      <c r="E359" s="24">
        <v>2.9850786492547114</v>
      </c>
      <c r="F359" s="24">
        <v>3.03</v>
      </c>
      <c r="G359" s="83">
        <f t="shared" si="53"/>
        <v>97.818644233590931</v>
      </c>
      <c r="H359" s="84">
        <f t="shared" si="56"/>
        <v>105.88671219281794</v>
      </c>
      <c r="I359" s="84">
        <f t="shared" si="54"/>
        <v>95.321049808220266</v>
      </c>
      <c r="J359" s="84">
        <f t="shared" si="55"/>
        <v>418091419.41083598</v>
      </c>
      <c r="L359" s="19">
        <f t="shared" si="57"/>
        <v>4.9999999999999822E-2</v>
      </c>
      <c r="M359" s="19">
        <f t="shared" si="58"/>
        <v>6.999999999999984E-2</v>
      </c>
      <c r="N359" s="19">
        <f t="shared" si="58"/>
        <v>6.999999999999984E-2</v>
      </c>
      <c r="O359" s="19">
        <f t="shared" si="58"/>
        <v>7.4646464154244807E-2</v>
      </c>
      <c r="P359" s="19">
        <f t="shared" si="58"/>
        <v>7.9999999999999627E-2</v>
      </c>
      <c r="R359" s="19"/>
      <c r="S359" s="19"/>
      <c r="T359" s="19"/>
      <c r="U359" s="19"/>
      <c r="V359" s="19"/>
    </row>
    <row r="360" spans="1:22" x14ac:dyDescent="0.2">
      <c r="A360" s="8">
        <v>44719</v>
      </c>
      <c r="B360" s="24">
        <v>2.2599999999999998</v>
      </c>
      <c r="C360" s="24">
        <v>2.75</v>
      </c>
      <c r="D360" s="24">
        <v>2.91</v>
      </c>
      <c r="E360" s="24">
        <v>2.9504497237264515</v>
      </c>
      <c r="F360" s="24">
        <v>2.99</v>
      </c>
      <c r="G360" s="83">
        <f t="shared" si="53"/>
        <v>97.789947193428517</v>
      </c>
      <c r="H360" s="84">
        <f t="shared" si="56"/>
        <v>105.96764015419238</v>
      </c>
      <c r="I360" s="84">
        <f t="shared" si="54"/>
        <v>95.494482910602301</v>
      </c>
      <c r="J360" s="84">
        <f t="shared" si="55"/>
        <v>418606365.79797769</v>
      </c>
      <c r="L360" s="19">
        <f t="shared" si="57"/>
        <v>2.9999999999999805E-2</v>
      </c>
      <c r="M360" s="19">
        <f t="shared" si="58"/>
        <v>2.0000000000000018E-2</v>
      </c>
      <c r="N360" s="19">
        <f t="shared" si="58"/>
        <v>-2.9999999999999805E-2</v>
      </c>
      <c r="O360" s="19">
        <f t="shared" si="58"/>
        <v>-3.4628925528259913E-2</v>
      </c>
      <c r="P360" s="19">
        <f t="shared" si="58"/>
        <v>-3.9999999999999591E-2</v>
      </c>
      <c r="R360" s="19"/>
      <c r="S360" s="19"/>
      <c r="T360" s="19"/>
      <c r="U360" s="19"/>
      <c r="V360" s="19"/>
    </row>
    <row r="361" spans="1:22" x14ac:dyDescent="0.2">
      <c r="A361" s="8">
        <v>44720</v>
      </c>
      <c r="B361" s="24">
        <v>2.29</v>
      </c>
      <c r="C361" s="24">
        <v>2.78</v>
      </c>
      <c r="D361" s="24">
        <v>2.94</v>
      </c>
      <c r="E361" s="24">
        <v>2.9853054785600537</v>
      </c>
      <c r="F361" s="24">
        <v>3.03</v>
      </c>
      <c r="G361" s="83">
        <f t="shared" si="53"/>
        <v>97.761266986020146</v>
      </c>
      <c r="H361" s="84">
        <f t="shared" si="56"/>
        <v>105.87923481374575</v>
      </c>
      <c r="I361" s="84">
        <f t="shared" si="54"/>
        <v>95.318043192138418</v>
      </c>
      <c r="J361" s="84">
        <f t="shared" si="55"/>
        <v>417975854.5199753</v>
      </c>
      <c r="L361" s="19">
        <f t="shared" si="57"/>
        <v>3.0000000000000249E-2</v>
      </c>
      <c r="M361" s="19">
        <f t="shared" si="58"/>
        <v>2.9999999999999805E-2</v>
      </c>
      <c r="N361" s="19">
        <f t="shared" si="58"/>
        <v>2.9999999999999805E-2</v>
      </c>
      <c r="O361" s="19">
        <f t="shared" si="58"/>
        <v>3.4855754833602148E-2</v>
      </c>
      <c r="P361" s="19">
        <f t="shared" si="58"/>
        <v>3.9999999999999591E-2</v>
      </c>
      <c r="R361" s="19"/>
      <c r="S361" s="19"/>
      <c r="T361" s="19"/>
      <c r="U361" s="19"/>
      <c r="V361" s="19"/>
    </row>
    <row r="362" spans="1:22" x14ac:dyDescent="0.2">
      <c r="A362" s="8">
        <v>44721</v>
      </c>
      <c r="B362" s="24">
        <v>2.35</v>
      </c>
      <c r="C362" s="24">
        <v>2.83</v>
      </c>
      <c r="D362" s="24">
        <v>2.99</v>
      </c>
      <c r="E362" s="24">
        <v>3.0302586236602584</v>
      </c>
      <c r="F362" s="24">
        <v>3.07</v>
      </c>
      <c r="G362" s="83">
        <f t="shared" si="53"/>
        <v>97.703957010258904</v>
      </c>
      <c r="H362" s="84">
        <f t="shared" si="56"/>
        <v>105.7316404146453</v>
      </c>
      <c r="I362" s="84">
        <f t="shared" si="54"/>
        <v>95.138936133628022</v>
      </c>
      <c r="J362" s="84">
        <f t="shared" si="55"/>
        <v>417366197.93306196</v>
      </c>
      <c r="L362" s="19">
        <f t="shared" si="57"/>
        <v>6.0000000000000053E-2</v>
      </c>
      <c r="M362" s="19">
        <f t="shared" si="58"/>
        <v>5.0000000000000266E-2</v>
      </c>
      <c r="N362" s="19">
        <f t="shared" si="58"/>
        <v>5.0000000000000266E-2</v>
      </c>
      <c r="O362" s="19">
        <f t="shared" si="58"/>
        <v>4.4953145100204761E-2</v>
      </c>
      <c r="P362" s="19">
        <f t="shared" si="58"/>
        <v>4.0000000000000036E-2</v>
      </c>
      <c r="R362" s="19"/>
      <c r="S362" s="19"/>
      <c r="T362" s="19"/>
      <c r="U362" s="19"/>
      <c r="V362" s="19"/>
    </row>
    <row r="363" spans="1:22" x14ac:dyDescent="0.2">
      <c r="A363" s="8">
        <v>44722</v>
      </c>
      <c r="B363" s="24">
        <v>2.58</v>
      </c>
      <c r="C363" s="24">
        <v>3.06</v>
      </c>
      <c r="D363" s="24">
        <v>3.21</v>
      </c>
      <c r="E363" s="24">
        <v>3.2301535440049109</v>
      </c>
      <c r="F363" s="24">
        <v>3.25</v>
      </c>
      <c r="G363" s="83">
        <f t="shared" si="53"/>
        <v>97.48488984207448</v>
      </c>
      <c r="H363" s="84">
        <f t="shared" si="56"/>
        <v>105.08626649888977</v>
      </c>
      <c r="I363" s="84">
        <f t="shared" si="54"/>
        <v>94.339043842907415</v>
      </c>
      <c r="J363" s="84">
        <f t="shared" si="55"/>
        <v>414696555.30744398</v>
      </c>
      <c r="L363" s="19">
        <f t="shared" si="57"/>
        <v>0.22999999999999998</v>
      </c>
      <c r="M363" s="19">
        <f t="shared" si="58"/>
        <v>0.22999999999999998</v>
      </c>
      <c r="N363" s="19">
        <f t="shared" si="58"/>
        <v>0.21999999999999975</v>
      </c>
      <c r="O363" s="19">
        <f t="shared" si="58"/>
        <v>0.1998949203446525</v>
      </c>
      <c r="P363" s="19">
        <f t="shared" si="58"/>
        <v>0.18000000000000016</v>
      </c>
      <c r="R363" s="19"/>
      <c r="S363" s="19"/>
      <c r="T363" s="19"/>
      <c r="U363" s="19"/>
      <c r="V363" s="19"/>
    </row>
    <row r="364" spans="1:22" x14ac:dyDescent="0.2">
      <c r="A364" s="8">
        <v>44725</v>
      </c>
      <c r="B364" s="24">
        <v>2.89</v>
      </c>
      <c r="C364" s="24">
        <v>3.4</v>
      </c>
      <c r="D364" s="24">
        <v>3.56</v>
      </c>
      <c r="E364" s="24">
        <v>3.5600448420451611</v>
      </c>
      <c r="F364" s="24">
        <v>3.56</v>
      </c>
      <c r="G364" s="83">
        <f t="shared" si="53"/>
        <v>97.191175041306252</v>
      </c>
      <c r="H364" s="84">
        <f t="shared" si="56"/>
        <v>104.07561705872713</v>
      </c>
      <c r="I364" s="84">
        <f t="shared" si="54"/>
        <v>92.986819745117131</v>
      </c>
      <c r="J364" s="84">
        <f t="shared" si="55"/>
        <v>410216203.47499037</v>
      </c>
      <c r="L364" s="19">
        <f t="shared" si="57"/>
        <v>0.31000000000000005</v>
      </c>
      <c r="M364" s="19">
        <f t="shared" si="58"/>
        <v>0.33999999999999986</v>
      </c>
      <c r="N364" s="19">
        <f t="shared" si="58"/>
        <v>0.35000000000000009</v>
      </c>
      <c r="O364" s="19">
        <f t="shared" si="58"/>
        <v>0.32989129804025019</v>
      </c>
      <c r="P364" s="19">
        <f t="shared" si="58"/>
        <v>0.31000000000000005</v>
      </c>
      <c r="R364" s="19"/>
      <c r="S364" s="19"/>
      <c r="T364" s="19"/>
      <c r="U364" s="19"/>
      <c r="V364" s="19"/>
    </row>
    <row r="365" spans="1:22" x14ac:dyDescent="0.2">
      <c r="A365" s="8">
        <v>44726</v>
      </c>
      <c r="B365" s="24">
        <v>3.15</v>
      </c>
      <c r="C365" s="24">
        <v>3.45</v>
      </c>
      <c r="D365" s="24">
        <v>3.6</v>
      </c>
      <c r="E365" s="24">
        <v>3.6054840628302123</v>
      </c>
      <c r="F365" s="24">
        <v>3.61</v>
      </c>
      <c r="G365" s="83">
        <f t="shared" si="53"/>
        <v>96.946194861851666</v>
      </c>
      <c r="H365" s="84">
        <f t="shared" si="56"/>
        <v>103.94938561204047</v>
      </c>
      <c r="I365" s="84">
        <f t="shared" si="54"/>
        <v>92.768555341136519</v>
      </c>
      <c r="J365" s="84">
        <f t="shared" si="55"/>
        <v>409042532.67018867</v>
      </c>
      <c r="L365" s="19">
        <f t="shared" si="57"/>
        <v>0.25999999999999979</v>
      </c>
      <c r="M365" s="19">
        <f t="shared" si="58"/>
        <v>5.0000000000000266E-2</v>
      </c>
      <c r="N365" s="19">
        <f t="shared" si="58"/>
        <v>4.0000000000000036E-2</v>
      </c>
      <c r="O365" s="19">
        <f t="shared" si="58"/>
        <v>4.5439220785051138E-2</v>
      </c>
      <c r="P365" s="19">
        <f t="shared" si="58"/>
        <v>4.9999999999999822E-2</v>
      </c>
      <c r="R365" s="19"/>
      <c r="S365" s="19"/>
      <c r="T365" s="19"/>
      <c r="U365" s="19"/>
      <c r="V365" s="19"/>
    </row>
    <row r="366" spans="1:22" x14ac:dyDescent="0.2">
      <c r="A366" s="8">
        <v>44727</v>
      </c>
      <c r="B366" s="24">
        <v>2.93</v>
      </c>
      <c r="C366" s="24">
        <v>3.2</v>
      </c>
      <c r="D366" s="24">
        <v>3.35</v>
      </c>
      <c r="E366" s="24">
        <v>3.3650660118474982</v>
      </c>
      <c r="F366" s="24">
        <v>3.38</v>
      </c>
      <c r="G366" s="83">
        <f t="shared" si="53"/>
        <v>97.153405226853195</v>
      </c>
      <c r="H366" s="84">
        <f t="shared" si="56"/>
        <v>104.66933707918064</v>
      </c>
      <c r="I366" s="84">
        <f t="shared" si="54"/>
        <v>93.765576062379722</v>
      </c>
      <c r="J366" s="84">
        <f t="shared" si="55"/>
        <v>412365109.0844543</v>
      </c>
      <c r="L366" s="19">
        <f t="shared" si="57"/>
        <v>-0.21999999999999975</v>
      </c>
      <c r="M366" s="19">
        <f t="shared" si="58"/>
        <v>-0.25</v>
      </c>
      <c r="N366" s="19">
        <f t="shared" si="58"/>
        <v>-0.25</v>
      </c>
      <c r="O366" s="19">
        <f t="shared" si="58"/>
        <v>-0.24041805098271407</v>
      </c>
      <c r="P366" s="19">
        <f t="shared" si="58"/>
        <v>-0.22999999999999998</v>
      </c>
      <c r="R366" s="19"/>
      <c r="S366" s="19"/>
      <c r="T366" s="19"/>
      <c r="U366" s="19"/>
      <c r="V366" s="19"/>
    </row>
    <row r="367" spans="1:22" x14ac:dyDescent="0.2">
      <c r="A367" s="8">
        <v>44728</v>
      </c>
      <c r="B367" s="24">
        <v>2.88</v>
      </c>
      <c r="C367" s="24">
        <v>3.14</v>
      </c>
      <c r="D367" s="24">
        <v>3.33</v>
      </c>
      <c r="E367" s="24">
        <v>3.3401279034250382</v>
      </c>
      <c r="F367" s="24">
        <v>3.35</v>
      </c>
      <c r="G367" s="83">
        <f t="shared" si="53"/>
        <v>97.200622083981344</v>
      </c>
      <c r="H367" s="84">
        <f t="shared" si="56"/>
        <v>104.73240333644451</v>
      </c>
      <c r="I367" s="84">
        <f t="shared" si="54"/>
        <v>93.896894071193472</v>
      </c>
      <c r="J367" s="84">
        <f t="shared" si="55"/>
        <v>412890215.44806981</v>
      </c>
      <c r="L367" s="19">
        <f t="shared" si="57"/>
        <v>-5.0000000000000266E-2</v>
      </c>
      <c r="M367" s="19">
        <f t="shared" si="58"/>
        <v>-6.0000000000000053E-2</v>
      </c>
      <c r="N367" s="19">
        <f t="shared" si="58"/>
        <v>-2.0000000000000018E-2</v>
      </c>
      <c r="O367" s="19">
        <f t="shared" si="58"/>
        <v>-2.4938108422460026E-2</v>
      </c>
      <c r="P367" s="19">
        <f t="shared" si="58"/>
        <v>-2.9999999999999805E-2</v>
      </c>
      <c r="R367" s="19"/>
      <c r="S367" s="19"/>
      <c r="T367" s="19"/>
      <c r="U367" s="19"/>
      <c r="V367" s="19"/>
    </row>
    <row r="368" spans="1:22" x14ac:dyDescent="0.2">
      <c r="A368" s="8">
        <v>44729</v>
      </c>
      <c r="B368" s="24">
        <v>2.86</v>
      </c>
      <c r="C368" s="24">
        <v>3.17</v>
      </c>
      <c r="D368" s="24">
        <v>3.35</v>
      </c>
      <c r="E368" s="24">
        <v>3.3453265223303252</v>
      </c>
      <c r="F368" s="24">
        <v>3.34</v>
      </c>
      <c r="G368" s="83">
        <f t="shared" si="53"/>
        <v>97.219521679953345</v>
      </c>
      <c r="H368" s="84">
        <f t="shared" si="56"/>
        <v>104.67537358660213</v>
      </c>
      <c r="I368" s="84">
        <f t="shared" si="54"/>
        <v>93.936637064275004</v>
      </c>
      <c r="J368" s="84">
        <f t="shared" si="55"/>
        <v>413172531.23710358</v>
      </c>
      <c r="L368" s="19">
        <f t="shared" si="57"/>
        <v>-2.0000000000000018E-2</v>
      </c>
      <c r="M368" s="19">
        <f t="shared" si="58"/>
        <v>2.9999999999999805E-2</v>
      </c>
      <c r="N368" s="19">
        <f t="shared" si="58"/>
        <v>2.0000000000000018E-2</v>
      </c>
      <c r="O368" s="19">
        <f t="shared" si="58"/>
        <v>5.1986189052870557E-3</v>
      </c>
      <c r="P368" s="19">
        <f t="shared" si="58"/>
        <v>-1.0000000000000231E-2</v>
      </c>
      <c r="R368" s="19"/>
      <c r="S368" s="19"/>
      <c r="T368" s="19"/>
      <c r="U368" s="19"/>
      <c r="V368" s="19"/>
    </row>
    <row r="369" spans="1:22" x14ac:dyDescent="0.2">
      <c r="A369" s="8">
        <v>44733</v>
      </c>
      <c r="B369" s="24">
        <v>2.92</v>
      </c>
      <c r="C369" s="24">
        <v>3.21</v>
      </c>
      <c r="D369" s="24">
        <v>3.35</v>
      </c>
      <c r="E369" s="24">
        <v>3.3652443855240479</v>
      </c>
      <c r="F369" s="24">
        <v>3.38</v>
      </c>
      <c r="G369" s="83">
        <f t="shared" si="53"/>
        <v>97.162844928099503</v>
      </c>
      <c r="H369" s="84">
        <f t="shared" si="56"/>
        <v>104.66889936509594</v>
      </c>
      <c r="I369" s="84">
        <f t="shared" si="54"/>
        <v>93.765388883303302</v>
      </c>
      <c r="J369" s="84">
        <f t="shared" si="55"/>
        <v>412383896.34176826</v>
      </c>
      <c r="L369" s="19">
        <f t="shared" si="57"/>
        <v>6.0000000000000053E-2</v>
      </c>
      <c r="M369" s="19">
        <f t="shared" si="58"/>
        <v>4.0000000000000036E-2</v>
      </c>
      <c r="N369" s="19">
        <f t="shared" si="58"/>
        <v>0</v>
      </c>
      <c r="O369" s="19">
        <f t="shared" si="58"/>
        <v>1.9917863193722685E-2</v>
      </c>
      <c r="P369" s="19">
        <f t="shared" si="58"/>
        <v>4.0000000000000036E-2</v>
      </c>
      <c r="R369" s="19"/>
      <c r="S369" s="19"/>
      <c r="T369" s="19"/>
      <c r="U369" s="19"/>
      <c r="V369" s="19"/>
    </row>
    <row r="370" spans="1:22" x14ac:dyDescent="0.2">
      <c r="A370" s="8">
        <v>44734</v>
      </c>
      <c r="B370" s="24">
        <v>2.79</v>
      </c>
      <c r="C370" s="24">
        <v>3.06</v>
      </c>
      <c r="D370" s="24">
        <v>3.2</v>
      </c>
      <c r="E370" s="24">
        <v>3.2104017559095372</v>
      </c>
      <c r="F370" s="24">
        <v>3.22</v>
      </c>
      <c r="G370" s="83">
        <f t="shared" si="53"/>
        <v>97.285728183675445</v>
      </c>
      <c r="H370" s="84">
        <f t="shared" si="56"/>
        <v>105.10407405060084</v>
      </c>
      <c r="I370" s="84">
        <f t="shared" si="54"/>
        <v>94.463332992149816</v>
      </c>
      <c r="J370" s="84">
        <f t="shared" si="55"/>
        <v>414768677.26004887</v>
      </c>
      <c r="L370" s="19">
        <f t="shared" si="57"/>
        <v>-0.12999999999999989</v>
      </c>
      <c r="M370" s="19">
        <f t="shared" si="58"/>
        <v>-0.14999999999999991</v>
      </c>
      <c r="N370" s="19">
        <f t="shared" si="58"/>
        <v>-0.14999999999999991</v>
      </c>
      <c r="O370" s="19">
        <f t="shared" si="58"/>
        <v>-0.15484262961451067</v>
      </c>
      <c r="P370" s="19">
        <f t="shared" si="58"/>
        <v>-0.1599999999999997</v>
      </c>
      <c r="R370" s="19"/>
      <c r="S370" s="19"/>
      <c r="T370" s="19"/>
      <c r="U370" s="19"/>
      <c r="V370" s="19"/>
    </row>
    <row r="371" spans="1:22" x14ac:dyDescent="0.2">
      <c r="A371" s="8">
        <v>44735</v>
      </c>
      <c r="B371" s="24">
        <v>2.78</v>
      </c>
      <c r="C371" s="24">
        <v>3.01</v>
      </c>
      <c r="D371" s="24">
        <v>3.12</v>
      </c>
      <c r="E371" s="24">
        <v>3.1302615331078907</v>
      </c>
      <c r="F371" s="24">
        <v>3.14</v>
      </c>
      <c r="G371" s="83">
        <f t="shared" si="53"/>
        <v>97.295193617435288</v>
      </c>
      <c r="H371" s="84">
        <f t="shared" si="56"/>
        <v>105.33163138791555</v>
      </c>
      <c r="I371" s="84">
        <f t="shared" si="54"/>
        <v>94.813206876457897</v>
      </c>
      <c r="J371" s="84">
        <f t="shared" si="55"/>
        <v>415845767.65882885</v>
      </c>
      <c r="L371" s="19">
        <f t="shared" si="57"/>
        <v>-1.0000000000000231E-2</v>
      </c>
      <c r="M371" s="19">
        <f t="shared" si="58"/>
        <v>-5.0000000000000266E-2</v>
      </c>
      <c r="N371" s="19">
        <f t="shared" si="58"/>
        <v>-8.0000000000000071E-2</v>
      </c>
      <c r="O371" s="19">
        <f t="shared" si="58"/>
        <v>-8.0140222801646566E-2</v>
      </c>
      <c r="P371" s="19">
        <f t="shared" si="58"/>
        <v>-8.0000000000000071E-2</v>
      </c>
      <c r="R371" s="19"/>
      <c r="S371" s="19"/>
      <c r="T371" s="19"/>
      <c r="U371" s="19"/>
      <c r="V371" s="19"/>
    </row>
    <row r="372" spans="1:22" x14ac:dyDescent="0.2">
      <c r="A372" s="8">
        <v>44736</v>
      </c>
      <c r="B372" s="24">
        <v>2.83</v>
      </c>
      <c r="C372" s="24">
        <v>3.04</v>
      </c>
      <c r="D372" s="24">
        <v>3.13</v>
      </c>
      <c r="E372" s="24">
        <v>3.1553357001751579</v>
      </c>
      <c r="F372" s="24">
        <v>3.18</v>
      </c>
      <c r="G372" s="83">
        <f t="shared" si="53"/>
        <v>97.247884858504335</v>
      </c>
      <c r="H372" s="84">
        <f t="shared" si="56"/>
        <v>105.29867063045543</v>
      </c>
      <c r="I372" s="84">
        <f t="shared" si="54"/>
        <v>94.639651331068364</v>
      </c>
      <c r="J372" s="84">
        <f t="shared" si="55"/>
        <v>415106369.095599</v>
      </c>
      <c r="L372" s="19">
        <f t="shared" si="57"/>
        <v>5.0000000000000266E-2</v>
      </c>
      <c r="M372" s="19">
        <f t="shared" si="58"/>
        <v>3.0000000000000249E-2</v>
      </c>
      <c r="N372" s="19">
        <f t="shared" si="58"/>
        <v>9.9999999999997868E-3</v>
      </c>
      <c r="O372" s="19">
        <f t="shared" si="58"/>
        <v>2.5074167067267172E-2</v>
      </c>
      <c r="P372" s="19">
        <f t="shared" si="58"/>
        <v>4.0000000000000036E-2</v>
      </c>
      <c r="R372" s="19"/>
      <c r="S372" s="19"/>
      <c r="T372" s="19"/>
      <c r="U372" s="19"/>
      <c r="V372" s="19"/>
    </row>
    <row r="373" spans="1:22" x14ac:dyDescent="0.2">
      <c r="A373" s="8">
        <v>44739</v>
      </c>
      <c r="B373" s="24">
        <v>2.89</v>
      </c>
      <c r="C373" s="24">
        <v>3.08</v>
      </c>
      <c r="D373" s="24">
        <v>3.21</v>
      </c>
      <c r="E373" s="24">
        <v>3.2253687245331362</v>
      </c>
      <c r="F373" s="24">
        <v>3.24</v>
      </c>
      <c r="G373" s="83">
        <f t="shared" si="53"/>
        <v>97.191175041306252</v>
      </c>
      <c r="H373" s="84">
        <f t="shared" si="56"/>
        <v>105.06975420207748</v>
      </c>
      <c r="I373" s="84">
        <f t="shared" si="54"/>
        <v>94.374872657629226</v>
      </c>
      <c r="J373" s="84">
        <f t="shared" si="55"/>
        <v>414277209.4100132</v>
      </c>
      <c r="L373" s="19">
        <f t="shared" si="57"/>
        <v>6.0000000000000053E-2</v>
      </c>
      <c r="M373" s="19">
        <f t="shared" si="58"/>
        <v>4.0000000000000036E-2</v>
      </c>
      <c r="N373" s="19">
        <f t="shared" si="58"/>
        <v>8.0000000000000071E-2</v>
      </c>
      <c r="O373" s="19">
        <f t="shared" si="58"/>
        <v>7.0033024357978313E-2</v>
      </c>
      <c r="P373" s="19">
        <f t="shared" si="58"/>
        <v>6.0000000000000053E-2</v>
      </c>
      <c r="R373" s="19"/>
      <c r="S373" s="19"/>
      <c r="T373" s="19"/>
      <c r="U373" s="19"/>
      <c r="V373" s="19"/>
    </row>
    <row r="374" spans="1:22" x14ac:dyDescent="0.2">
      <c r="A374" s="8">
        <v>44740</v>
      </c>
      <c r="B374" s="24">
        <v>2.88</v>
      </c>
      <c r="C374" s="24">
        <v>3.1</v>
      </c>
      <c r="D374" s="24">
        <v>3.21</v>
      </c>
      <c r="E374" s="24">
        <v>3.2300381984185798</v>
      </c>
      <c r="F374" s="24">
        <v>3.25</v>
      </c>
      <c r="G374" s="83">
        <f t="shared" si="53"/>
        <v>97.200622083981344</v>
      </c>
      <c r="H374" s="84">
        <f t="shared" si="56"/>
        <v>105.06840106031586</v>
      </c>
      <c r="I374" s="84">
        <f t="shared" si="54"/>
        <v>94.331905539010734</v>
      </c>
      <c r="J374" s="84">
        <f t="shared" si="55"/>
        <v>414126264.73353183</v>
      </c>
      <c r="L374" s="19">
        <f t="shared" si="57"/>
        <v>-1.0000000000000231E-2</v>
      </c>
      <c r="M374" s="19">
        <f t="shared" si="58"/>
        <v>2.0000000000000018E-2</v>
      </c>
      <c r="N374" s="19">
        <f t="shared" si="58"/>
        <v>0</v>
      </c>
      <c r="O374" s="19">
        <f t="shared" si="58"/>
        <v>4.6694738854435869E-3</v>
      </c>
      <c r="P374" s="19">
        <f t="shared" si="58"/>
        <v>9.9999999999997868E-3</v>
      </c>
      <c r="R374" s="19"/>
      <c r="S374" s="19"/>
      <c r="T374" s="19"/>
      <c r="U374" s="19"/>
      <c r="V374" s="19"/>
    </row>
    <row r="375" spans="1:22" x14ac:dyDescent="0.2">
      <c r="A375" s="8">
        <v>44741</v>
      </c>
      <c r="B375" s="24">
        <v>2.88</v>
      </c>
      <c r="C375" s="24">
        <v>3.06</v>
      </c>
      <c r="D375" s="24">
        <v>3.13</v>
      </c>
      <c r="E375" s="24">
        <v>3.1401190915868402</v>
      </c>
      <c r="F375" s="24">
        <v>3.15</v>
      </c>
      <c r="G375" s="83">
        <f t="shared" si="53"/>
        <v>97.200622083981344</v>
      </c>
      <c r="H375" s="84">
        <f t="shared" si="56"/>
        <v>105.29447987125157</v>
      </c>
      <c r="I375" s="84">
        <f t="shared" si="54"/>
        <v>94.765928003991618</v>
      </c>
      <c r="J375" s="84">
        <f t="shared" si="55"/>
        <v>415523236.37705183</v>
      </c>
      <c r="L375" s="19">
        <f t="shared" si="57"/>
        <v>0</v>
      </c>
      <c r="M375" s="19">
        <f t="shared" si="58"/>
        <v>-4.0000000000000036E-2</v>
      </c>
      <c r="N375" s="19">
        <f t="shared" si="58"/>
        <v>-8.0000000000000071E-2</v>
      </c>
      <c r="O375" s="19">
        <f t="shared" si="58"/>
        <v>-8.9919106831739537E-2</v>
      </c>
      <c r="P375" s="19">
        <f t="shared" si="58"/>
        <v>-0.10000000000000009</v>
      </c>
      <c r="R375" s="19"/>
      <c r="S375" s="19"/>
      <c r="T375" s="19"/>
      <c r="U375" s="19"/>
      <c r="V375" s="19"/>
    </row>
    <row r="376" spans="1:22" x14ac:dyDescent="0.2">
      <c r="A376" s="8">
        <v>44742</v>
      </c>
      <c r="B376" s="24">
        <v>2.8</v>
      </c>
      <c r="C376" s="24">
        <v>2.92</v>
      </c>
      <c r="D376" s="24">
        <v>2.99</v>
      </c>
      <c r="E376" s="24">
        <v>3.0000330373618773</v>
      </c>
      <c r="F376" s="24">
        <v>3.01</v>
      </c>
      <c r="G376" s="83">
        <f t="shared" si="53"/>
        <v>97.276264591439684</v>
      </c>
      <c r="H376" s="84">
        <f t="shared" si="56"/>
        <v>105.70198945623883</v>
      </c>
      <c r="I376" s="84">
        <f t="shared" si="54"/>
        <v>95.384834056742108</v>
      </c>
      <c r="J376" s="84">
        <f t="shared" si="55"/>
        <v>417538881.2254895</v>
      </c>
      <c r="L376" s="19">
        <f t="shared" si="57"/>
        <v>-8.0000000000000071E-2</v>
      </c>
      <c r="M376" s="19">
        <f t="shared" si="58"/>
        <v>-0.14000000000000012</v>
      </c>
      <c r="N376" s="19">
        <f t="shared" si="58"/>
        <v>-0.13999999999999968</v>
      </c>
      <c r="O376" s="19">
        <f t="shared" si="58"/>
        <v>-0.1400860542249629</v>
      </c>
      <c r="P376" s="19">
        <f t="shared" si="58"/>
        <v>-0.14000000000000012</v>
      </c>
      <c r="R376" s="19"/>
      <c r="S376" s="19"/>
      <c r="T376" s="19"/>
      <c r="U376" s="19"/>
      <c r="V376" s="19"/>
    </row>
    <row r="377" spans="1:22" x14ac:dyDescent="0.2">
      <c r="A377" s="8">
        <v>44743</v>
      </c>
      <c r="B377" s="24">
        <v>2.79</v>
      </c>
      <c r="C377" s="24">
        <v>2.84</v>
      </c>
      <c r="D377" s="24">
        <v>2.85</v>
      </c>
      <c r="E377" s="24">
        <v>2.8652073856125941</v>
      </c>
      <c r="F377" s="24">
        <v>2.88</v>
      </c>
      <c r="G377" s="83">
        <f t="shared" si="53"/>
        <v>97.285728183675445</v>
      </c>
      <c r="H377" s="84">
        <f t="shared" si="56"/>
        <v>106.10285249461222</v>
      </c>
      <c r="I377" s="84">
        <f t="shared" si="54"/>
        <v>95.961819141679953</v>
      </c>
      <c r="J377" s="84">
        <f t="shared" si="55"/>
        <v>419264454.19215238</v>
      </c>
      <c r="L377" s="19">
        <f t="shared" si="57"/>
        <v>-9.9999999999997868E-3</v>
      </c>
      <c r="M377" s="19">
        <f t="shared" si="58"/>
        <v>-8.0000000000000071E-2</v>
      </c>
      <c r="N377" s="19">
        <f t="shared" si="58"/>
        <v>-0.14000000000000012</v>
      </c>
      <c r="O377" s="19">
        <f t="shared" si="58"/>
        <v>-0.13482565174928318</v>
      </c>
      <c r="P377" s="19">
        <f t="shared" si="58"/>
        <v>-0.12999999999999989</v>
      </c>
      <c r="R377" s="19"/>
      <c r="S377" s="19"/>
      <c r="T377" s="19"/>
      <c r="U377" s="19"/>
      <c r="V377" s="19"/>
    </row>
    <row r="378" spans="1:22" x14ac:dyDescent="0.2">
      <c r="A378" s="8">
        <v>44747</v>
      </c>
      <c r="B378" s="24">
        <v>2.77</v>
      </c>
      <c r="C378" s="24">
        <v>2.82</v>
      </c>
      <c r="D378" s="24">
        <v>2.82</v>
      </c>
      <c r="E378" s="24">
        <v>2.820314081991651</v>
      </c>
      <c r="F378" s="24">
        <v>2.82</v>
      </c>
      <c r="G378" s="83">
        <f t="shared" si="53"/>
        <v>97.304660893256781</v>
      </c>
      <c r="H378" s="84">
        <f t="shared" si="56"/>
        <v>106.19014070870105</v>
      </c>
      <c r="I378" s="84">
        <f t="shared" si="54"/>
        <v>96.226185945930183</v>
      </c>
      <c r="J378" s="84">
        <f t="shared" si="55"/>
        <v>420228854.50718272</v>
      </c>
      <c r="L378" s="19">
        <f t="shared" si="57"/>
        <v>-2.0000000000000018E-2</v>
      </c>
      <c r="M378" s="19">
        <f t="shared" si="58"/>
        <v>-2.0000000000000018E-2</v>
      </c>
      <c r="N378" s="19">
        <f t="shared" si="58"/>
        <v>-3.0000000000000249E-2</v>
      </c>
      <c r="O378" s="19">
        <f t="shared" si="58"/>
        <v>-4.4893303620943126E-2</v>
      </c>
      <c r="P378" s="19">
        <f t="shared" si="58"/>
        <v>-6.0000000000000053E-2</v>
      </c>
      <c r="R378" s="19"/>
      <c r="S378" s="19"/>
      <c r="T378" s="19"/>
      <c r="U378" s="19"/>
      <c r="V378" s="19"/>
    </row>
    <row r="379" spans="1:22" x14ac:dyDescent="0.2">
      <c r="A379" s="8">
        <v>44748</v>
      </c>
      <c r="B379" s="24">
        <v>2.82</v>
      </c>
      <c r="C379" s="24">
        <v>2.97</v>
      </c>
      <c r="D379" s="24">
        <v>2.99</v>
      </c>
      <c r="E379" s="24">
        <v>2.9751143347498803</v>
      </c>
      <c r="F379" s="24">
        <v>2.96</v>
      </c>
      <c r="G379" s="83">
        <f t="shared" si="53"/>
        <v>97.257342929391172</v>
      </c>
      <c r="H379" s="84">
        <f t="shared" si="56"/>
        <v>105.69646032644579</v>
      </c>
      <c r="I379" s="84">
        <f t="shared" si="54"/>
        <v>95.59808832324606</v>
      </c>
      <c r="J379" s="84">
        <f t="shared" si="55"/>
        <v>418362348.66209793</v>
      </c>
      <c r="L379" s="19">
        <f t="shared" si="57"/>
        <v>4.9999999999999822E-2</v>
      </c>
      <c r="M379" s="19">
        <f t="shared" si="58"/>
        <v>0.15000000000000036</v>
      </c>
      <c r="N379" s="19">
        <f t="shared" si="58"/>
        <v>0.17000000000000037</v>
      </c>
      <c r="O379" s="19">
        <f t="shared" si="58"/>
        <v>0.15480025275822928</v>
      </c>
      <c r="P379" s="19">
        <f t="shared" si="58"/>
        <v>0.14000000000000012</v>
      </c>
      <c r="R379" s="19"/>
      <c r="S379" s="19"/>
      <c r="T379" s="19"/>
      <c r="U379" s="19"/>
      <c r="V379" s="19"/>
    </row>
    <row r="380" spans="1:22" x14ac:dyDescent="0.2">
      <c r="A380" s="8">
        <v>44749</v>
      </c>
      <c r="B380" s="24">
        <v>2.87</v>
      </c>
      <c r="C380" s="24">
        <v>3.03</v>
      </c>
      <c r="D380" s="24">
        <v>3.05</v>
      </c>
      <c r="E380" s="24">
        <v>3.050306911549419</v>
      </c>
      <c r="F380" s="24">
        <v>3.05</v>
      </c>
      <c r="G380" s="83">
        <f t="shared" si="53"/>
        <v>97.210070963351811</v>
      </c>
      <c r="H380" s="84">
        <f t="shared" si="56"/>
        <v>105.52081214092895</v>
      </c>
      <c r="I380" s="84">
        <f t="shared" si="54"/>
        <v>95.202270883712643</v>
      </c>
      <c r="J380" s="84">
        <f t="shared" si="55"/>
        <v>416948007.25016081</v>
      </c>
      <c r="L380" s="19">
        <f t="shared" si="57"/>
        <v>5.0000000000000266E-2</v>
      </c>
      <c r="M380" s="19">
        <f t="shared" si="58"/>
        <v>5.9999999999999609E-2</v>
      </c>
      <c r="N380" s="19">
        <f t="shared" si="58"/>
        <v>5.9999999999999609E-2</v>
      </c>
      <c r="O380" s="19">
        <f t="shared" si="58"/>
        <v>7.5192576799538724E-2</v>
      </c>
      <c r="P380" s="19">
        <f t="shared" si="58"/>
        <v>8.9999999999999858E-2</v>
      </c>
      <c r="R380" s="19"/>
      <c r="S380" s="19"/>
      <c r="T380" s="19"/>
      <c r="U380" s="19"/>
      <c r="V380" s="19"/>
    </row>
    <row r="381" spans="1:22" x14ac:dyDescent="0.2">
      <c r="A381" s="8">
        <v>44750</v>
      </c>
      <c r="B381" s="24">
        <v>2.96</v>
      </c>
      <c r="C381" s="24">
        <v>3.12</v>
      </c>
      <c r="D381" s="24">
        <v>3.14</v>
      </c>
      <c r="E381" s="24">
        <v>3.1354338473999093</v>
      </c>
      <c r="F381" s="24">
        <v>3.13</v>
      </c>
      <c r="G381" s="83">
        <f t="shared" si="53"/>
        <v>97.125097125097113</v>
      </c>
      <c r="H381" s="84">
        <f t="shared" si="56"/>
        <v>105.25738604879173</v>
      </c>
      <c r="I381" s="84">
        <f t="shared" si="54"/>
        <v>94.846747819297761</v>
      </c>
      <c r="J381" s="84">
        <f t="shared" si="55"/>
        <v>415751106.45419765</v>
      </c>
      <c r="L381" s="19">
        <f t="shared" si="57"/>
        <v>8.9999999999999858E-2</v>
      </c>
      <c r="M381" s="19">
        <f t="shared" si="58"/>
        <v>9.0000000000000302E-2</v>
      </c>
      <c r="N381" s="19">
        <f t="shared" si="58"/>
        <v>9.0000000000000302E-2</v>
      </c>
      <c r="O381" s="19">
        <f t="shared" si="58"/>
        <v>8.5126935850490248E-2</v>
      </c>
      <c r="P381" s="19">
        <f t="shared" si="58"/>
        <v>8.0000000000000071E-2</v>
      </c>
      <c r="R381" s="19"/>
      <c r="S381" s="19"/>
      <c r="T381" s="19"/>
      <c r="U381" s="19"/>
      <c r="V381" s="19"/>
    </row>
    <row r="382" spans="1:22" x14ac:dyDescent="0.2">
      <c r="A382" s="8">
        <v>44753</v>
      </c>
      <c r="B382" s="24">
        <v>2.97</v>
      </c>
      <c r="C382" s="24">
        <v>3.07</v>
      </c>
      <c r="D382" s="24">
        <v>3.09</v>
      </c>
      <c r="E382" s="24">
        <v>3.0700611662837125</v>
      </c>
      <c r="F382" s="24">
        <v>3.05</v>
      </c>
      <c r="G382" s="83">
        <f t="shared" si="53"/>
        <v>97.115664756725252</v>
      </c>
      <c r="H382" s="84">
        <f t="shared" si="56"/>
        <v>105.4007910194041</v>
      </c>
      <c r="I382" s="84">
        <f t="shared" si="54"/>
        <v>95.195434841011078</v>
      </c>
      <c r="J382" s="84">
        <f t="shared" si="55"/>
        <v>416911882.34838867</v>
      </c>
      <c r="L382" s="19">
        <f t="shared" si="57"/>
        <v>1.0000000000000231E-2</v>
      </c>
      <c r="M382" s="19">
        <f t="shared" si="58"/>
        <v>-5.0000000000000266E-2</v>
      </c>
      <c r="N382" s="19">
        <f t="shared" si="58"/>
        <v>-5.0000000000000266E-2</v>
      </c>
      <c r="O382" s="19">
        <f t="shared" si="58"/>
        <v>-6.5372681116196762E-2</v>
      </c>
      <c r="P382" s="19">
        <f t="shared" si="58"/>
        <v>-8.0000000000000071E-2</v>
      </c>
      <c r="R382" s="19"/>
      <c r="S382" s="19"/>
      <c r="T382" s="19"/>
      <c r="U382" s="19"/>
      <c r="V382" s="19"/>
    </row>
    <row r="383" spans="1:22" x14ac:dyDescent="0.2">
      <c r="A383" s="8">
        <v>44754</v>
      </c>
      <c r="B383" s="24">
        <v>3.07</v>
      </c>
      <c r="C383" s="24">
        <v>3.03</v>
      </c>
      <c r="D383" s="24">
        <v>3.07</v>
      </c>
      <c r="E383" s="24">
        <v>3.0400067808167406</v>
      </c>
      <c r="F383" s="24">
        <v>3.01</v>
      </c>
      <c r="G383" s="83">
        <f t="shared" si="53"/>
        <v>97.021441738624247</v>
      </c>
      <c r="H383" s="84">
        <f t="shared" si="56"/>
        <v>105.45553623064913</v>
      </c>
      <c r="I383" s="84">
        <f t="shared" si="54"/>
        <v>95.368692408290414</v>
      </c>
      <c r="J383" s="84">
        <f t="shared" si="55"/>
        <v>417334348.76443648</v>
      </c>
      <c r="L383" s="19">
        <f t="shared" si="57"/>
        <v>9.9999999999999645E-2</v>
      </c>
      <c r="M383" s="19">
        <f t="shared" si="58"/>
        <v>-4.0000000000000036E-2</v>
      </c>
      <c r="N383" s="19">
        <f t="shared" si="58"/>
        <v>-2.0000000000000018E-2</v>
      </c>
      <c r="O383" s="19">
        <f t="shared" si="58"/>
        <v>-3.0054385466971922E-2</v>
      </c>
      <c r="P383" s="19">
        <f t="shared" si="58"/>
        <v>-4.0000000000000036E-2</v>
      </c>
      <c r="R383" s="19"/>
      <c r="S383" s="19"/>
      <c r="T383" s="19"/>
      <c r="U383" s="19"/>
      <c r="V383" s="19"/>
    </row>
    <row r="384" spans="1:22" x14ac:dyDescent="0.2">
      <c r="A384" s="8">
        <v>44755</v>
      </c>
      <c r="B384" s="24">
        <v>3.21</v>
      </c>
      <c r="C384" s="24">
        <v>3.13</v>
      </c>
      <c r="D384" s="24">
        <v>3.14</v>
      </c>
      <c r="E384" s="24">
        <v>3.0803165745312424</v>
      </c>
      <c r="F384" s="24">
        <v>3.02</v>
      </c>
      <c r="G384" s="83">
        <f t="shared" si="53"/>
        <v>96.889836256176721</v>
      </c>
      <c r="H384" s="84">
        <f t="shared" si="56"/>
        <v>105.24471118743787</v>
      </c>
      <c r="I384" s="84">
        <f t="shared" si="54"/>
        <v>95.31324376393799</v>
      </c>
      <c r="J384" s="84">
        <f t="shared" si="55"/>
        <v>417165580.78694862</v>
      </c>
      <c r="L384" s="19">
        <f t="shared" si="57"/>
        <v>0.14000000000000012</v>
      </c>
      <c r="M384" s="19">
        <f t="shared" si="58"/>
        <v>0.10000000000000009</v>
      </c>
      <c r="N384" s="19">
        <f t="shared" si="58"/>
        <v>7.0000000000000284E-2</v>
      </c>
      <c r="O384" s="19">
        <f t="shared" si="58"/>
        <v>4.0309793714501829E-2</v>
      </c>
      <c r="P384" s="19">
        <f t="shared" si="58"/>
        <v>1.0000000000000231E-2</v>
      </c>
      <c r="R384" s="19"/>
      <c r="S384" s="19"/>
      <c r="T384" s="19"/>
      <c r="U384" s="19"/>
      <c r="V384" s="19"/>
    </row>
    <row r="385" spans="1:22" x14ac:dyDescent="0.2">
      <c r="A385" s="8">
        <v>44756</v>
      </c>
      <c r="B385" s="24">
        <v>3.16</v>
      </c>
      <c r="C385" s="24">
        <v>3.15</v>
      </c>
      <c r="D385" s="24">
        <v>3.16</v>
      </c>
      <c r="E385" s="24">
        <v>3.1103846039073888</v>
      </c>
      <c r="F385" s="24">
        <v>3.06</v>
      </c>
      <c r="G385" s="83">
        <f t="shared" si="53"/>
        <v>96.936797208220227</v>
      </c>
      <c r="H385" s="84">
        <f t="shared" si="56"/>
        <v>105.1895865914089</v>
      </c>
      <c r="I385" s="84">
        <f t="shared" si="54"/>
        <v>95.139879188106974</v>
      </c>
      <c r="J385" s="84">
        <f t="shared" si="55"/>
        <v>416648731.28175497</v>
      </c>
      <c r="L385" s="19">
        <f t="shared" si="57"/>
        <v>-4.9999999999999822E-2</v>
      </c>
      <c r="M385" s="19">
        <f t="shared" si="58"/>
        <v>2.0000000000000018E-2</v>
      </c>
      <c r="N385" s="19">
        <f t="shared" si="58"/>
        <v>2.0000000000000018E-2</v>
      </c>
      <c r="O385" s="19">
        <f t="shared" si="58"/>
        <v>3.0068029376146388E-2</v>
      </c>
      <c r="P385" s="19">
        <f t="shared" si="58"/>
        <v>4.0000000000000036E-2</v>
      </c>
      <c r="R385" s="19"/>
      <c r="S385" s="19"/>
      <c r="T385" s="19"/>
      <c r="U385" s="19"/>
      <c r="V385" s="19"/>
    </row>
    <row r="386" spans="1:22" x14ac:dyDescent="0.2">
      <c r="A386" s="8">
        <v>44757</v>
      </c>
      <c r="B386" s="24">
        <v>3.12</v>
      </c>
      <c r="C386" s="24">
        <v>3.13</v>
      </c>
      <c r="D386" s="24">
        <v>3.14</v>
      </c>
      <c r="E386" s="24">
        <v>3.0953831036024622</v>
      </c>
      <c r="F386" s="24">
        <v>3.05</v>
      </c>
      <c r="G386" s="83">
        <f t="shared" ref="G386:G449" si="59">100/((1+B386/100)^1)</f>
        <v>96.974398758727702</v>
      </c>
      <c r="H386" s="84">
        <f t="shared" si="56"/>
        <v>105.24893931256541</v>
      </c>
      <c r="I386" s="84">
        <f t="shared" ref="I386:I449" si="60">SUM(2/(1+B386/100)^1, 2/(1+C386/100)^2, 2/(1+D386/100)^3, 2/(1+E386/100)^4, 102/(1+F386/100)^5)</f>
        <v>95.186025540597441</v>
      </c>
      <c r="J386" s="84">
        <f t="shared" ref="J386:J449" si="61">G386*2000000+H386*-1500000+I386*4000000</f>
        <v>416819490.71099705</v>
      </c>
      <c r="L386" s="19">
        <f t="shared" si="57"/>
        <v>-4.0000000000000036E-2</v>
      </c>
      <c r="M386" s="19">
        <f t="shared" si="58"/>
        <v>-2.0000000000000018E-2</v>
      </c>
      <c r="N386" s="19">
        <f t="shared" si="58"/>
        <v>-2.0000000000000018E-2</v>
      </c>
      <c r="O386" s="19">
        <f t="shared" si="58"/>
        <v>-1.500150030492664E-2</v>
      </c>
      <c r="P386" s="19">
        <f t="shared" si="58"/>
        <v>-1.0000000000000231E-2</v>
      </c>
      <c r="R386" s="19"/>
      <c r="S386" s="19"/>
      <c r="T386" s="19"/>
      <c r="U386" s="19"/>
      <c r="V386" s="19"/>
    </row>
    <row r="387" spans="1:22" x14ac:dyDescent="0.2">
      <c r="A387" s="8">
        <v>44760</v>
      </c>
      <c r="B387" s="24">
        <v>3.13</v>
      </c>
      <c r="C387" s="24">
        <v>3.15</v>
      </c>
      <c r="D387" s="24">
        <v>3.15</v>
      </c>
      <c r="E387" s="24">
        <v>3.1051836961156116</v>
      </c>
      <c r="F387" s="24">
        <v>3.06</v>
      </c>
      <c r="G387" s="83">
        <f t="shared" si="59"/>
        <v>96.964995636575182</v>
      </c>
      <c r="H387" s="84">
        <f t="shared" ref="H387:H450" si="62">SUM(5/(1+B387/100)^1, 5/(1+C387/100)^2, 105/(1+D387/100)^3)</f>
        <v>105.21881601945337</v>
      </c>
      <c r="I387" s="84">
        <f t="shared" si="60"/>
        <v>95.141330087927983</v>
      </c>
      <c r="J387" s="84">
        <f t="shared" si="61"/>
        <v>416667087.59568226</v>
      </c>
      <c r="L387" s="19">
        <f t="shared" si="57"/>
        <v>9.9999999999997868E-3</v>
      </c>
      <c r="M387" s="19">
        <f t="shared" si="58"/>
        <v>2.0000000000000018E-2</v>
      </c>
      <c r="N387" s="19">
        <f t="shared" si="58"/>
        <v>9.9999999999997868E-3</v>
      </c>
      <c r="O387" s="19">
        <f t="shared" si="58"/>
        <v>9.8005925131494642E-3</v>
      </c>
      <c r="P387" s="19">
        <f t="shared" si="58"/>
        <v>1.0000000000000231E-2</v>
      </c>
      <c r="R387" s="19"/>
      <c r="S387" s="19"/>
      <c r="T387" s="19"/>
      <c r="U387" s="19"/>
      <c r="V387" s="19"/>
    </row>
    <row r="388" spans="1:22" x14ac:dyDescent="0.2">
      <c r="A388" s="8">
        <v>44761</v>
      </c>
      <c r="B388" s="24">
        <v>3.18</v>
      </c>
      <c r="C388" s="24">
        <v>3.23</v>
      </c>
      <c r="D388" s="24">
        <v>3.22</v>
      </c>
      <c r="E388" s="24">
        <v>3.1802442570413398</v>
      </c>
      <c r="F388" s="24">
        <v>3.14</v>
      </c>
      <c r="G388" s="83">
        <f t="shared" si="59"/>
        <v>96.91800736576856</v>
      </c>
      <c r="H388" s="84">
        <f t="shared" si="62"/>
        <v>105.01467558899881</v>
      </c>
      <c r="I388" s="84">
        <f t="shared" si="60"/>
        <v>94.788918725938274</v>
      </c>
      <c r="J388" s="84">
        <f t="shared" si="61"/>
        <v>415469676.25179201</v>
      </c>
      <c r="L388" s="19">
        <f t="shared" si="57"/>
        <v>5.0000000000000266E-2</v>
      </c>
      <c r="M388" s="19">
        <f t="shared" si="58"/>
        <v>8.0000000000000071E-2</v>
      </c>
      <c r="N388" s="19">
        <f t="shared" si="58"/>
        <v>7.0000000000000284E-2</v>
      </c>
      <c r="O388" s="19">
        <f t="shared" si="58"/>
        <v>7.5060560925728215E-2</v>
      </c>
      <c r="P388" s="19">
        <f t="shared" ref="P388:P451" si="63">F388-F387</f>
        <v>8.0000000000000071E-2</v>
      </c>
      <c r="R388" s="19"/>
      <c r="S388" s="19"/>
      <c r="T388" s="19"/>
      <c r="U388" s="19"/>
      <c r="V388" s="19"/>
    </row>
    <row r="389" spans="1:22" x14ac:dyDescent="0.2">
      <c r="A389" s="8">
        <v>44762</v>
      </c>
      <c r="B389" s="24">
        <v>3.18</v>
      </c>
      <c r="C389" s="24">
        <v>3.25</v>
      </c>
      <c r="D389" s="24">
        <v>3.25</v>
      </c>
      <c r="E389" s="24">
        <v>3.2150247863914525</v>
      </c>
      <c r="F389" s="24">
        <v>3.18</v>
      </c>
      <c r="G389" s="83">
        <f t="shared" si="59"/>
        <v>96.91800736576856</v>
      </c>
      <c r="H389" s="84">
        <f t="shared" si="62"/>
        <v>104.92965791319969</v>
      </c>
      <c r="I389" s="84">
        <f t="shared" si="60"/>
        <v>94.614966581369401</v>
      </c>
      <c r="J389" s="84">
        <f t="shared" si="61"/>
        <v>414901394.18721521</v>
      </c>
      <c r="L389" s="19">
        <f t="shared" ref="L389:L452" si="64">B389-B388</f>
        <v>0</v>
      </c>
      <c r="M389" s="19">
        <f t="shared" ref="M389:P452" si="65">C389-C388</f>
        <v>2.0000000000000018E-2</v>
      </c>
      <c r="N389" s="19">
        <f t="shared" si="65"/>
        <v>2.9999999999999805E-2</v>
      </c>
      <c r="O389" s="19">
        <f t="shared" si="65"/>
        <v>3.4780529350112666E-2</v>
      </c>
      <c r="P389" s="19">
        <f t="shared" si="63"/>
        <v>4.0000000000000036E-2</v>
      </c>
      <c r="R389" s="19"/>
      <c r="S389" s="19"/>
      <c r="T389" s="19"/>
      <c r="U389" s="19"/>
      <c r="V389" s="19"/>
    </row>
    <row r="390" spans="1:22" x14ac:dyDescent="0.2">
      <c r="A390" s="8">
        <v>44763</v>
      </c>
      <c r="B390" s="24">
        <v>3.11</v>
      </c>
      <c r="C390" s="24">
        <v>3.1</v>
      </c>
      <c r="D390" s="24">
        <v>3.07</v>
      </c>
      <c r="E390" s="24">
        <v>3.0353950529440308</v>
      </c>
      <c r="F390" s="24">
        <v>3</v>
      </c>
      <c r="G390" s="83">
        <f t="shared" si="59"/>
        <v>96.983803704781309</v>
      </c>
      <c r="H390" s="84">
        <f t="shared" si="62"/>
        <v>105.4472604484241</v>
      </c>
      <c r="I390" s="84">
        <f t="shared" si="60"/>
        <v>95.408399022565177</v>
      </c>
      <c r="J390" s="84">
        <f t="shared" si="61"/>
        <v>417430312.82718718</v>
      </c>
      <c r="L390" s="19">
        <f t="shared" si="64"/>
        <v>-7.0000000000000284E-2</v>
      </c>
      <c r="M390" s="19">
        <f t="shared" si="65"/>
        <v>-0.14999999999999991</v>
      </c>
      <c r="N390" s="19">
        <f t="shared" si="65"/>
        <v>-0.18000000000000016</v>
      </c>
      <c r="O390" s="19">
        <f t="shared" si="65"/>
        <v>-0.17962973344742172</v>
      </c>
      <c r="P390" s="19">
        <f t="shared" si="63"/>
        <v>-0.18000000000000016</v>
      </c>
      <c r="R390" s="19"/>
      <c r="S390" s="19"/>
      <c r="T390" s="19"/>
      <c r="U390" s="19"/>
      <c r="V390" s="19"/>
    </row>
    <row r="391" spans="1:22" x14ac:dyDescent="0.2">
      <c r="A391" s="8">
        <v>44764</v>
      </c>
      <c r="B391" s="24">
        <v>3.01</v>
      </c>
      <c r="C391" s="24">
        <v>2.98</v>
      </c>
      <c r="D391" s="24">
        <v>2.93</v>
      </c>
      <c r="E391" s="24">
        <v>2.9000116062077299</v>
      </c>
      <c r="F391" s="24">
        <v>2.87</v>
      </c>
      <c r="G391" s="83">
        <f t="shared" si="59"/>
        <v>97.077953596738183</v>
      </c>
      <c r="H391" s="84">
        <f t="shared" si="62"/>
        <v>105.85476025746127</v>
      </c>
      <c r="I391" s="84">
        <f t="shared" si="60"/>
        <v>95.988850889879444</v>
      </c>
      <c r="J391" s="84">
        <f t="shared" si="61"/>
        <v>419329170.36680228</v>
      </c>
      <c r="L391" s="19">
        <f t="shared" si="64"/>
        <v>-0.10000000000000009</v>
      </c>
      <c r="M391" s="19">
        <f t="shared" si="65"/>
        <v>-0.12000000000000011</v>
      </c>
      <c r="N391" s="19">
        <f t="shared" si="65"/>
        <v>-0.13999999999999968</v>
      </c>
      <c r="O391" s="19">
        <f t="shared" si="65"/>
        <v>-0.13538344673630087</v>
      </c>
      <c r="P391" s="19">
        <f t="shared" si="63"/>
        <v>-0.12999999999999989</v>
      </c>
      <c r="R391" s="19"/>
      <c r="S391" s="19"/>
      <c r="T391" s="19"/>
      <c r="U391" s="19"/>
      <c r="V391" s="19"/>
    </row>
    <row r="392" spans="1:22" x14ac:dyDescent="0.2">
      <c r="A392" s="8">
        <v>44767</v>
      </c>
      <c r="B392" s="24">
        <v>3.07</v>
      </c>
      <c r="C392" s="24">
        <v>3</v>
      </c>
      <c r="D392" s="24">
        <v>2.98</v>
      </c>
      <c r="E392" s="24">
        <v>2.9354982723616705</v>
      </c>
      <c r="F392" s="24">
        <v>2.89</v>
      </c>
      <c r="G392" s="83">
        <f t="shared" si="59"/>
        <v>97.021441738624247</v>
      </c>
      <c r="H392" s="84">
        <f t="shared" si="62"/>
        <v>105.70992229347871</v>
      </c>
      <c r="I392" s="84">
        <f t="shared" si="60"/>
        <v>95.895836534708252</v>
      </c>
      <c r="J392" s="84">
        <f t="shared" si="61"/>
        <v>419061346.17586339</v>
      </c>
      <c r="L392" s="19">
        <f t="shared" si="64"/>
        <v>6.0000000000000053E-2</v>
      </c>
      <c r="M392" s="19">
        <f t="shared" si="65"/>
        <v>2.0000000000000018E-2</v>
      </c>
      <c r="N392" s="19">
        <f t="shared" si="65"/>
        <v>4.9999999999999822E-2</v>
      </c>
      <c r="O392" s="19">
        <f t="shared" si="65"/>
        <v>3.5486666153940583E-2</v>
      </c>
      <c r="P392" s="19">
        <f t="shared" si="63"/>
        <v>2.0000000000000018E-2</v>
      </c>
      <c r="R392" s="19"/>
      <c r="S392" s="19"/>
      <c r="T392" s="19"/>
      <c r="U392" s="19"/>
      <c r="V392" s="19"/>
    </row>
    <row r="393" spans="1:22" x14ac:dyDescent="0.2">
      <c r="A393" s="8">
        <v>44768</v>
      </c>
      <c r="B393" s="24">
        <v>3.06</v>
      </c>
      <c r="C393" s="24">
        <v>3.02</v>
      </c>
      <c r="D393" s="24">
        <v>3.01</v>
      </c>
      <c r="E393" s="24">
        <v>2.9500023903005643</v>
      </c>
      <c r="F393" s="24">
        <v>2.89</v>
      </c>
      <c r="G393" s="83">
        <f t="shared" si="59"/>
        <v>97.03085581214826</v>
      </c>
      <c r="H393" s="84">
        <f t="shared" si="62"/>
        <v>105.62458490954023</v>
      </c>
      <c r="I393" s="84">
        <f t="shared" si="60"/>
        <v>95.892689631983899</v>
      </c>
      <c r="J393" s="84">
        <f t="shared" si="61"/>
        <v>419195592.78792179</v>
      </c>
      <c r="L393" s="19">
        <f t="shared" si="64"/>
        <v>-9.9999999999997868E-3</v>
      </c>
      <c r="M393" s="19">
        <f t="shared" si="65"/>
        <v>2.0000000000000018E-2</v>
      </c>
      <c r="N393" s="19">
        <f t="shared" si="65"/>
        <v>2.9999999999999805E-2</v>
      </c>
      <c r="O393" s="19">
        <f t="shared" si="65"/>
        <v>1.4504117938893835E-2</v>
      </c>
      <c r="P393" s="19">
        <f t="shared" si="63"/>
        <v>0</v>
      </c>
      <c r="R393" s="19"/>
      <c r="S393" s="19"/>
      <c r="T393" s="19"/>
      <c r="U393" s="19"/>
      <c r="V393" s="19"/>
    </row>
    <row r="394" spans="1:22" x14ac:dyDescent="0.2">
      <c r="A394" s="8">
        <v>44769</v>
      </c>
      <c r="B394" s="24">
        <v>3</v>
      </c>
      <c r="C394" s="24">
        <v>2.96</v>
      </c>
      <c r="D394" s="24">
        <v>2.93</v>
      </c>
      <c r="E394" s="24">
        <v>2.8750588202321543</v>
      </c>
      <c r="F394" s="24">
        <v>2.82</v>
      </c>
      <c r="G394" s="83">
        <f t="shared" si="59"/>
        <v>97.087378640776691</v>
      </c>
      <c r="H394" s="84">
        <f t="shared" si="62"/>
        <v>105.8570633932252</v>
      </c>
      <c r="I394" s="84">
        <f t="shared" si="60"/>
        <v>96.207000553595776</v>
      </c>
      <c r="J394" s="84">
        <f t="shared" si="61"/>
        <v>420217164.40609872</v>
      </c>
      <c r="L394" s="19">
        <f t="shared" si="64"/>
        <v>-6.0000000000000053E-2</v>
      </c>
      <c r="M394" s="19">
        <f t="shared" si="65"/>
        <v>-6.0000000000000053E-2</v>
      </c>
      <c r="N394" s="19">
        <f t="shared" si="65"/>
        <v>-7.9999999999999627E-2</v>
      </c>
      <c r="O394" s="19">
        <f t="shared" si="65"/>
        <v>-7.4943570068410015E-2</v>
      </c>
      <c r="P394" s="19">
        <f t="shared" si="63"/>
        <v>-7.0000000000000284E-2</v>
      </c>
      <c r="R394" s="19"/>
      <c r="S394" s="19"/>
      <c r="T394" s="19"/>
      <c r="U394" s="19"/>
      <c r="V394" s="19"/>
    </row>
    <row r="395" spans="1:22" x14ac:dyDescent="0.2">
      <c r="A395" s="8">
        <v>44770</v>
      </c>
      <c r="B395" s="24">
        <v>2.93</v>
      </c>
      <c r="C395" s="24">
        <v>2.85</v>
      </c>
      <c r="D395" s="24">
        <v>2.81</v>
      </c>
      <c r="E395" s="24">
        <v>2.750482025699815</v>
      </c>
      <c r="F395" s="24">
        <v>2.69</v>
      </c>
      <c r="G395" s="83">
        <f t="shared" si="59"/>
        <v>97.153405226853195</v>
      </c>
      <c r="H395" s="84">
        <f t="shared" si="62"/>
        <v>106.20800858634159</v>
      </c>
      <c r="I395" s="84">
        <f t="shared" si="60"/>
        <v>96.790708352590102</v>
      </c>
      <c r="J395" s="84">
        <f t="shared" si="61"/>
        <v>422157630.98455441</v>
      </c>
      <c r="L395" s="19">
        <f t="shared" si="64"/>
        <v>-6.999999999999984E-2</v>
      </c>
      <c r="M395" s="19">
        <f t="shared" si="65"/>
        <v>-0.10999999999999988</v>
      </c>
      <c r="N395" s="19">
        <f t="shared" si="65"/>
        <v>-0.12000000000000011</v>
      </c>
      <c r="O395" s="19">
        <f t="shared" si="65"/>
        <v>-0.12457679453233927</v>
      </c>
      <c r="P395" s="19">
        <f t="shared" si="63"/>
        <v>-0.12999999999999989</v>
      </c>
      <c r="R395" s="19"/>
      <c r="S395" s="19"/>
      <c r="T395" s="19"/>
      <c r="U395" s="19"/>
      <c r="V395" s="19"/>
    </row>
    <row r="396" spans="1:22" x14ac:dyDescent="0.2">
      <c r="A396" s="8">
        <v>44771</v>
      </c>
      <c r="B396" s="24">
        <v>2.98</v>
      </c>
      <c r="C396" s="24">
        <v>2.89</v>
      </c>
      <c r="D396" s="24">
        <v>2.83</v>
      </c>
      <c r="E396" s="24">
        <v>2.7651815811152773</v>
      </c>
      <c r="F396" s="24">
        <v>2.7</v>
      </c>
      <c r="G396" s="83">
        <f t="shared" si="59"/>
        <v>97.106234220236928</v>
      </c>
      <c r="H396" s="84">
        <f t="shared" si="62"/>
        <v>106.14560789302989</v>
      </c>
      <c r="I396" s="84">
        <f t="shared" si="60"/>
        <v>96.742716587053962</v>
      </c>
      <c r="J396" s="84">
        <f t="shared" si="61"/>
        <v>421964922.9491449</v>
      </c>
      <c r="L396" s="19">
        <f t="shared" si="64"/>
        <v>4.9999999999999822E-2</v>
      </c>
      <c r="M396" s="19">
        <f t="shared" si="65"/>
        <v>4.0000000000000036E-2</v>
      </c>
      <c r="N396" s="19">
        <f t="shared" si="65"/>
        <v>2.0000000000000018E-2</v>
      </c>
      <c r="O396" s="19">
        <f t="shared" si="65"/>
        <v>1.4699555415462306E-2</v>
      </c>
      <c r="P396" s="19">
        <f t="shared" si="63"/>
        <v>1.0000000000000231E-2</v>
      </c>
      <c r="R396" s="19"/>
      <c r="S396" s="19"/>
      <c r="T396" s="19"/>
      <c r="U396" s="19"/>
      <c r="V396" s="19"/>
    </row>
    <row r="397" spans="1:22" x14ac:dyDescent="0.2">
      <c r="A397" s="8">
        <v>44774</v>
      </c>
      <c r="B397" s="24">
        <v>2.98</v>
      </c>
      <c r="C397" s="24">
        <v>2.9</v>
      </c>
      <c r="D397" s="24">
        <v>2.82</v>
      </c>
      <c r="E397" s="24">
        <v>2.7401517962937643</v>
      </c>
      <c r="F397" s="24">
        <v>2.66</v>
      </c>
      <c r="G397" s="83">
        <f t="shared" si="59"/>
        <v>97.106234220236928</v>
      </c>
      <c r="H397" s="84">
        <f t="shared" si="62"/>
        <v>106.17286830504862</v>
      </c>
      <c r="I397" s="84">
        <f t="shared" si="60"/>
        <v>96.918700771315088</v>
      </c>
      <c r="J397" s="84">
        <f t="shared" si="61"/>
        <v>422627969.06816125</v>
      </c>
      <c r="L397" s="19">
        <f t="shared" si="64"/>
        <v>0</v>
      </c>
      <c r="M397" s="19">
        <f t="shared" si="65"/>
        <v>9.9999999999997868E-3</v>
      </c>
      <c r="N397" s="19">
        <f t="shared" si="65"/>
        <v>-1.0000000000000231E-2</v>
      </c>
      <c r="O397" s="19">
        <f t="shared" si="65"/>
        <v>-2.5029784821513079E-2</v>
      </c>
      <c r="P397" s="19">
        <f t="shared" si="63"/>
        <v>-4.0000000000000036E-2</v>
      </c>
      <c r="R397" s="19"/>
      <c r="S397" s="19"/>
      <c r="T397" s="19"/>
      <c r="U397" s="19"/>
      <c r="V397" s="19"/>
    </row>
    <row r="398" spans="1:22" x14ac:dyDescent="0.2">
      <c r="A398" s="8">
        <v>44775</v>
      </c>
      <c r="B398" s="24">
        <v>3.09</v>
      </c>
      <c r="C398" s="24">
        <v>3.06</v>
      </c>
      <c r="D398" s="24">
        <v>3.02</v>
      </c>
      <c r="E398" s="24">
        <v>2.9353004768845459</v>
      </c>
      <c r="F398" s="24">
        <v>2.85</v>
      </c>
      <c r="G398" s="83">
        <f t="shared" si="59"/>
        <v>97.002619070714914</v>
      </c>
      <c r="H398" s="84">
        <f t="shared" si="62"/>
        <v>105.59154572212631</v>
      </c>
      <c r="I398" s="84">
        <f t="shared" si="60"/>
        <v>96.063293342028842</v>
      </c>
      <c r="J398" s="84">
        <f t="shared" si="61"/>
        <v>419871092.92635572</v>
      </c>
      <c r="L398" s="19">
        <f t="shared" si="64"/>
        <v>0.10999999999999988</v>
      </c>
      <c r="M398" s="19">
        <f t="shared" si="65"/>
        <v>0.16000000000000014</v>
      </c>
      <c r="N398" s="19">
        <f t="shared" si="65"/>
        <v>0.20000000000000018</v>
      </c>
      <c r="O398" s="19">
        <f t="shared" si="65"/>
        <v>0.19514868059078161</v>
      </c>
      <c r="P398" s="19">
        <f t="shared" si="63"/>
        <v>0.18999999999999995</v>
      </c>
      <c r="R398" s="19"/>
      <c r="S398" s="19"/>
      <c r="T398" s="19"/>
      <c r="U398" s="19"/>
      <c r="V398" s="19"/>
    </row>
    <row r="399" spans="1:22" x14ac:dyDescent="0.2">
      <c r="A399" s="8">
        <v>44776</v>
      </c>
      <c r="B399" s="24">
        <v>3.14</v>
      </c>
      <c r="C399" s="24">
        <v>3.1</v>
      </c>
      <c r="D399" s="24">
        <v>3.04</v>
      </c>
      <c r="E399" s="24">
        <v>2.9501617477840361</v>
      </c>
      <c r="F399" s="24">
        <v>2.86</v>
      </c>
      <c r="G399" s="83">
        <f t="shared" si="59"/>
        <v>96.955594337793286</v>
      </c>
      <c r="H399" s="84">
        <f t="shared" si="62"/>
        <v>105.52963291480303</v>
      </c>
      <c r="I399" s="84">
        <f t="shared" si="60"/>
        <v>96.015724420181854</v>
      </c>
      <c r="J399" s="84">
        <f t="shared" si="61"/>
        <v>419679636.98410946</v>
      </c>
      <c r="L399" s="19">
        <f t="shared" si="64"/>
        <v>5.0000000000000266E-2</v>
      </c>
      <c r="M399" s="19">
        <f t="shared" si="65"/>
        <v>4.0000000000000036E-2</v>
      </c>
      <c r="N399" s="19">
        <f t="shared" si="65"/>
        <v>2.0000000000000018E-2</v>
      </c>
      <c r="O399" s="19">
        <f t="shared" si="65"/>
        <v>1.4861270899490187E-2</v>
      </c>
      <c r="P399" s="19">
        <f t="shared" si="63"/>
        <v>9.9999999999997868E-3</v>
      </c>
      <c r="R399" s="19"/>
      <c r="S399" s="19"/>
      <c r="T399" s="19"/>
      <c r="U399" s="19"/>
      <c r="V399" s="19"/>
    </row>
    <row r="400" spans="1:22" x14ac:dyDescent="0.2">
      <c r="A400" s="8">
        <v>44777</v>
      </c>
      <c r="B400" s="24">
        <v>3.11</v>
      </c>
      <c r="C400" s="24">
        <v>3.03</v>
      </c>
      <c r="D400" s="24">
        <v>2.95</v>
      </c>
      <c r="E400" s="24">
        <v>2.8553015859696647</v>
      </c>
      <c r="F400" s="24">
        <v>2.76</v>
      </c>
      <c r="G400" s="83">
        <f t="shared" si="59"/>
        <v>96.983803704781309</v>
      </c>
      <c r="H400" s="84">
        <f t="shared" si="62"/>
        <v>105.78937241793355</v>
      </c>
      <c r="I400" s="84">
        <f t="shared" si="60"/>
        <v>96.462097777292541</v>
      </c>
      <c r="J400" s="84">
        <f t="shared" si="61"/>
        <v>421131939.89183247</v>
      </c>
      <c r="L400" s="19">
        <f t="shared" si="64"/>
        <v>-3.0000000000000249E-2</v>
      </c>
      <c r="M400" s="19">
        <f t="shared" si="65"/>
        <v>-7.0000000000000284E-2</v>
      </c>
      <c r="N400" s="19">
        <f t="shared" si="65"/>
        <v>-8.9999999999999858E-2</v>
      </c>
      <c r="O400" s="19">
        <f t="shared" si="65"/>
        <v>-9.4860161814371402E-2</v>
      </c>
      <c r="P400" s="19">
        <f t="shared" si="63"/>
        <v>-0.10000000000000009</v>
      </c>
      <c r="R400" s="19"/>
      <c r="S400" s="19"/>
      <c r="T400" s="19"/>
      <c r="U400" s="19"/>
      <c r="V400" s="19"/>
    </row>
    <row r="401" spans="1:22" x14ac:dyDescent="0.2">
      <c r="A401" s="8">
        <v>44778</v>
      </c>
      <c r="B401" s="24">
        <v>3.29</v>
      </c>
      <c r="C401" s="24">
        <v>3.24</v>
      </c>
      <c r="D401" s="24">
        <v>3.18</v>
      </c>
      <c r="E401" s="24">
        <v>3.07532485693311</v>
      </c>
      <c r="F401" s="24">
        <v>2.97</v>
      </c>
      <c r="G401" s="83">
        <f t="shared" si="59"/>
        <v>96.814793300416312</v>
      </c>
      <c r="H401" s="84">
        <f t="shared" si="62"/>
        <v>105.11969005630093</v>
      </c>
      <c r="I401" s="84">
        <f t="shared" si="60"/>
        <v>95.519582686802167</v>
      </c>
      <c r="J401" s="84">
        <f t="shared" si="61"/>
        <v>418028382.26358986</v>
      </c>
      <c r="L401" s="19">
        <f t="shared" si="64"/>
        <v>0.18000000000000016</v>
      </c>
      <c r="M401" s="19">
        <f t="shared" si="65"/>
        <v>0.21000000000000041</v>
      </c>
      <c r="N401" s="19">
        <f t="shared" si="65"/>
        <v>0.22999999999999998</v>
      </c>
      <c r="O401" s="19">
        <f t="shared" si="65"/>
        <v>0.22002327096344532</v>
      </c>
      <c r="P401" s="19">
        <f t="shared" si="63"/>
        <v>0.21000000000000041</v>
      </c>
      <c r="R401" s="19"/>
      <c r="S401" s="19"/>
      <c r="T401" s="19"/>
      <c r="U401" s="19"/>
      <c r="V401" s="19"/>
    </row>
    <row r="402" spans="1:22" x14ac:dyDescent="0.2">
      <c r="A402" s="8">
        <v>44781</v>
      </c>
      <c r="B402" s="24">
        <v>3.3</v>
      </c>
      <c r="C402" s="24">
        <v>3.21</v>
      </c>
      <c r="D402" s="24">
        <v>3.14</v>
      </c>
      <c r="E402" s="24">
        <v>3.0254512877135338</v>
      </c>
      <c r="F402" s="24">
        <v>2.91</v>
      </c>
      <c r="G402" s="83">
        <f t="shared" si="59"/>
        <v>96.805421103581807</v>
      </c>
      <c r="H402" s="84">
        <f t="shared" si="62"/>
        <v>105.23320542528197</v>
      </c>
      <c r="I402" s="84">
        <f t="shared" si="60"/>
        <v>95.783206589523999</v>
      </c>
      <c r="J402" s="84">
        <f t="shared" si="61"/>
        <v>418893860.42733669</v>
      </c>
      <c r="L402" s="19">
        <f t="shared" si="64"/>
        <v>9.9999999999997868E-3</v>
      </c>
      <c r="M402" s="19">
        <f t="shared" si="65"/>
        <v>-3.0000000000000249E-2</v>
      </c>
      <c r="N402" s="19">
        <f t="shared" si="65"/>
        <v>-4.0000000000000036E-2</v>
      </c>
      <c r="O402" s="19">
        <f t="shared" si="65"/>
        <v>-4.9873569219576197E-2</v>
      </c>
      <c r="P402" s="19">
        <f t="shared" si="63"/>
        <v>-6.0000000000000053E-2</v>
      </c>
      <c r="R402" s="19"/>
      <c r="S402" s="19"/>
      <c r="T402" s="19"/>
      <c r="U402" s="19"/>
      <c r="V402" s="19"/>
    </row>
    <row r="403" spans="1:22" x14ac:dyDescent="0.2">
      <c r="A403" s="8">
        <v>44782</v>
      </c>
      <c r="B403" s="24">
        <v>3.33</v>
      </c>
      <c r="C403" s="24">
        <v>3.28</v>
      </c>
      <c r="D403" s="24">
        <v>3.2</v>
      </c>
      <c r="E403" s="24">
        <v>3.0851476074458306</v>
      </c>
      <c r="F403" s="24">
        <v>2.97</v>
      </c>
      <c r="G403" s="83">
        <f t="shared" si="59"/>
        <v>96.777315397270868</v>
      </c>
      <c r="H403" s="84">
        <f t="shared" si="62"/>
        <v>105.05861960930835</v>
      </c>
      <c r="I403" s="84">
        <f t="shared" si="60"/>
        <v>95.515646359687551</v>
      </c>
      <c r="J403" s="84">
        <f t="shared" si="61"/>
        <v>418029286.81932944</v>
      </c>
      <c r="L403" s="19">
        <f t="shared" si="64"/>
        <v>3.0000000000000249E-2</v>
      </c>
      <c r="M403" s="19">
        <f t="shared" si="65"/>
        <v>6.999999999999984E-2</v>
      </c>
      <c r="N403" s="19">
        <f t="shared" si="65"/>
        <v>6.0000000000000053E-2</v>
      </c>
      <c r="O403" s="19">
        <f t="shared" si="65"/>
        <v>5.9696319732296832E-2</v>
      </c>
      <c r="P403" s="19">
        <f t="shared" si="63"/>
        <v>6.0000000000000053E-2</v>
      </c>
      <c r="R403" s="19"/>
      <c r="S403" s="19"/>
      <c r="T403" s="19"/>
      <c r="U403" s="19"/>
      <c r="V403" s="19"/>
    </row>
    <row r="404" spans="1:22" x14ac:dyDescent="0.2">
      <c r="A404" s="8">
        <v>44783</v>
      </c>
      <c r="B404" s="24">
        <v>3.26</v>
      </c>
      <c r="C404" s="24">
        <v>3.23</v>
      </c>
      <c r="D404" s="24">
        <v>3.13</v>
      </c>
      <c r="E404" s="24">
        <v>3.0301005150774887</v>
      </c>
      <c r="F404" s="24">
        <v>2.93</v>
      </c>
      <c r="G404" s="83">
        <f t="shared" si="59"/>
        <v>96.842920782490808</v>
      </c>
      <c r="H404" s="84">
        <f t="shared" si="62"/>
        <v>105.2611028959861</v>
      </c>
      <c r="I404" s="84">
        <f t="shared" si="60"/>
        <v>95.697616468729393</v>
      </c>
      <c r="J404" s="84">
        <f t="shared" si="61"/>
        <v>418584653.09592003</v>
      </c>
      <c r="L404" s="19">
        <f t="shared" si="64"/>
        <v>-7.0000000000000284E-2</v>
      </c>
      <c r="M404" s="19">
        <f t="shared" si="65"/>
        <v>-4.9999999999999822E-2</v>
      </c>
      <c r="N404" s="19">
        <f t="shared" si="65"/>
        <v>-7.0000000000000284E-2</v>
      </c>
      <c r="O404" s="19">
        <f t="shared" si="65"/>
        <v>-5.5047092368341932E-2</v>
      </c>
      <c r="P404" s="19">
        <f t="shared" si="63"/>
        <v>-4.0000000000000036E-2</v>
      </c>
      <c r="R404" s="19"/>
      <c r="S404" s="19"/>
      <c r="T404" s="19"/>
      <c r="U404" s="19"/>
      <c r="V404" s="19"/>
    </row>
    <row r="405" spans="1:22" x14ac:dyDescent="0.2">
      <c r="A405" s="8">
        <v>44784</v>
      </c>
      <c r="B405" s="24">
        <v>3.25</v>
      </c>
      <c r="C405" s="24">
        <v>3.23</v>
      </c>
      <c r="D405" s="24">
        <v>3.16</v>
      </c>
      <c r="E405" s="24">
        <v>3.0701720083555419</v>
      </c>
      <c r="F405" s="24">
        <v>2.98</v>
      </c>
      <c r="G405" s="83">
        <f t="shared" si="59"/>
        <v>96.852300242130752</v>
      </c>
      <c r="H405" s="84">
        <f t="shared" si="62"/>
        <v>105.1780809736364</v>
      </c>
      <c r="I405" s="84">
        <f t="shared" si="60"/>
        <v>95.479335948827185</v>
      </c>
      <c r="J405" s="84">
        <f t="shared" si="61"/>
        <v>417854822.81911564</v>
      </c>
      <c r="L405" s="19">
        <f t="shared" si="64"/>
        <v>-9.9999999999997868E-3</v>
      </c>
      <c r="M405" s="19">
        <f t="shared" si="65"/>
        <v>0</v>
      </c>
      <c r="N405" s="19">
        <f t="shared" si="65"/>
        <v>3.0000000000000249E-2</v>
      </c>
      <c r="O405" s="19">
        <f t="shared" si="65"/>
        <v>4.0071493278053261E-2</v>
      </c>
      <c r="P405" s="19">
        <f t="shared" si="63"/>
        <v>4.9999999999999822E-2</v>
      </c>
      <c r="R405" s="19"/>
      <c r="S405" s="19"/>
      <c r="T405" s="19"/>
      <c r="U405" s="19"/>
      <c r="V405" s="19"/>
    </row>
    <row r="406" spans="1:22" x14ac:dyDescent="0.2">
      <c r="A406" s="8">
        <v>44785</v>
      </c>
      <c r="B406" s="24">
        <v>3.26</v>
      </c>
      <c r="C406" s="24">
        <v>3.25</v>
      </c>
      <c r="D406" s="24">
        <v>3.18</v>
      </c>
      <c r="E406" s="24">
        <v>3.0751684675743829</v>
      </c>
      <c r="F406" s="24">
        <v>2.97</v>
      </c>
      <c r="G406" s="83">
        <f t="shared" si="59"/>
        <v>96.842920782490808</v>
      </c>
      <c r="H406" s="84">
        <f t="shared" si="62"/>
        <v>105.12018778817671</v>
      </c>
      <c r="I406" s="84">
        <f t="shared" si="60"/>
        <v>95.519792532444185</v>
      </c>
      <c r="J406" s="84">
        <f t="shared" si="61"/>
        <v>418084730.01249325</v>
      </c>
      <c r="L406" s="19">
        <f t="shared" si="64"/>
        <v>9.9999999999997868E-3</v>
      </c>
      <c r="M406" s="19">
        <f t="shared" si="65"/>
        <v>2.0000000000000018E-2</v>
      </c>
      <c r="N406" s="19">
        <f t="shared" si="65"/>
        <v>2.0000000000000018E-2</v>
      </c>
      <c r="O406" s="19">
        <f t="shared" si="65"/>
        <v>4.996459218840954E-3</v>
      </c>
      <c r="P406" s="19">
        <f t="shared" si="63"/>
        <v>-9.9999999999997868E-3</v>
      </c>
      <c r="R406" s="19"/>
      <c r="S406" s="19"/>
      <c r="T406" s="19"/>
      <c r="U406" s="19"/>
      <c r="V406" s="19"/>
    </row>
    <row r="407" spans="1:22" x14ac:dyDescent="0.2">
      <c r="A407" s="8">
        <v>44788</v>
      </c>
      <c r="B407" s="24">
        <v>3.23</v>
      </c>
      <c r="C407" s="24">
        <v>3.2</v>
      </c>
      <c r="D407" s="24">
        <v>3.14</v>
      </c>
      <c r="E407" s="24">
        <v>3.0250885962859164</v>
      </c>
      <c r="F407" s="24">
        <v>2.91</v>
      </c>
      <c r="G407" s="83">
        <f t="shared" si="59"/>
        <v>96.871064613000101</v>
      </c>
      <c r="H407" s="84">
        <f t="shared" si="62"/>
        <v>105.23739729989991</v>
      </c>
      <c r="I407" s="84">
        <f t="shared" si="60"/>
        <v>95.784908337555862</v>
      </c>
      <c r="J407" s="84">
        <f t="shared" si="61"/>
        <v>419025666.62637377</v>
      </c>
      <c r="L407" s="19">
        <f t="shared" si="64"/>
        <v>-2.9999999999999805E-2</v>
      </c>
      <c r="M407" s="19">
        <f t="shared" si="65"/>
        <v>-4.9999999999999822E-2</v>
      </c>
      <c r="N407" s="19">
        <f t="shared" si="65"/>
        <v>-4.0000000000000036E-2</v>
      </c>
      <c r="O407" s="19">
        <f t="shared" si="65"/>
        <v>-5.0079871288466471E-2</v>
      </c>
      <c r="P407" s="19">
        <f t="shared" si="63"/>
        <v>-6.0000000000000053E-2</v>
      </c>
      <c r="R407" s="19"/>
      <c r="S407" s="19"/>
      <c r="T407" s="19"/>
      <c r="U407" s="19"/>
      <c r="V407" s="19"/>
    </row>
    <row r="408" spans="1:22" x14ac:dyDescent="0.2">
      <c r="A408" s="8">
        <v>44789</v>
      </c>
      <c r="B408" s="24">
        <v>3.26</v>
      </c>
      <c r="C408" s="24">
        <v>3.25</v>
      </c>
      <c r="D408" s="24">
        <v>3.19</v>
      </c>
      <c r="E408" s="24">
        <v>3.0700944574496907</v>
      </c>
      <c r="F408" s="24">
        <v>2.95</v>
      </c>
      <c r="G408" s="83">
        <f t="shared" si="59"/>
        <v>96.842920782490808</v>
      </c>
      <c r="H408" s="84">
        <f t="shared" si="62"/>
        <v>105.09240062040939</v>
      </c>
      <c r="I408" s="84">
        <f t="shared" si="60"/>
        <v>95.605234887425851</v>
      </c>
      <c r="J408" s="84">
        <f t="shared" si="61"/>
        <v>418468180.18407094</v>
      </c>
      <c r="L408" s="19">
        <f t="shared" si="64"/>
        <v>2.9999999999999805E-2</v>
      </c>
      <c r="M408" s="19">
        <f t="shared" si="65"/>
        <v>4.9999999999999822E-2</v>
      </c>
      <c r="N408" s="19">
        <f t="shared" si="65"/>
        <v>4.9999999999999822E-2</v>
      </c>
      <c r="O408" s="19">
        <f t="shared" si="65"/>
        <v>4.5005861163774252E-2</v>
      </c>
      <c r="P408" s="19">
        <f t="shared" si="63"/>
        <v>4.0000000000000036E-2</v>
      </c>
      <c r="R408" s="19"/>
      <c r="S408" s="19"/>
      <c r="T408" s="19"/>
      <c r="U408" s="19"/>
      <c r="V408" s="19"/>
    </row>
    <row r="409" spans="1:22" x14ac:dyDescent="0.2">
      <c r="A409" s="8">
        <v>44790</v>
      </c>
      <c r="B409" s="24">
        <v>3.27</v>
      </c>
      <c r="C409" s="24">
        <v>3.28</v>
      </c>
      <c r="D409" s="24">
        <v>3.27</v>
      </c>
      <c r="E409" s="24">
        <v>3.1554649465990137</v>
      </c>
      <c r="F409" s="24">
        <v>3.04</v>
      </c>
      <c r="G409" s="83">
        <f t="shared" si="59"/>
        <v>96.833543139343476</v>
      </c>
      <c r="H409" s="84">
        <f t="shared" si="62"/>
        <v>104.86729730540308</v>
      </c>
      <c r="I409" s="84">
        <f t="shared" si="60"/>
        <v>95.2093538050364</v>
      </c>
      <c r="J409" s="84">
        <f t="shared" si="61"/>
        <v>417203555.54072785</v>
      </c>
      <c r="L409" s="19">
        <f t="shared" si="64"/>
        <v>1.0000000000000231E-2</v>
      </c>
      <c r="M409" s="19">
        <f t="shared" si="65"/>
        <v>2.9999999999999805E-2</v>
      </c>
      <c r="N409" s="19">
        <f t="shared" si="65"/>
        <v>8.0000000000000071E-2</v>
      </c>
      <c r="O409" s="19">
        <f t="shared" si="65"/>
        <v>8.5370489149322992E-2</v>
      </c>
      <c r="P409" s="19">
        <f t="shared" si="63"/>
        <v>8.9999999999999858E-2</v>
      </c>
      <c r="R409" s="19"/>
      <c r="S409" s="19"/>
      <c r="T409" s="19"/>
      <c r="U409" s="19"/>
      <c r="V409" s="19"/>
    </row>
    <row r="410" spans="1:22" x14ac:dyDescent="0.2">
      <c r="A410" s="8">
        <v>44791</v>
      </c>
      <c r="B410" s="24">
        <v>3.24</v>
      </c>
      <c r="C410" s="24">
        <v>3.22</v>
      </c>
      <c r="D410" s="24">
        <v>3.23</v>
      </c>
      <c r="E410" s="24">
        <v>3.1252300554411079</v>
      </c>
      <c r="F410" s="24">
        <v>3.02</v>
      </c>
      <c r="G410" s="83">
        <f t="shared" si="59"/>
        <v>96.861681518791173</v>
      </c>
      <c r="H410" s="84">
        <f t="shared" si="62"/>
        <v>104.98502434478362</v>
      </c>
      <c r="I410" s="84">
        <f t="shared" si="60"/>
        <v>95.301555371051663</v>
      </c>
      <c r="J410" s="84">
        <f t="shared" si="61"/>
        <v>417452048.00461358</v>
      </c>
      <c r="L410" s="19">
        <f t="shared" si="64"/>
        <v>-2.9999999999999805E-2</v>
      </c>
      <c r="M410" s="19">
        <f t="shared" si="65"/>
        <v>-5.9999999999999609E-2</v>
      </c>
      <c r="N410" s="19">
        <f t="shared" si="65"/>
        <v>-4.0000000000000036E-2</v>
      </c>
      <c r="O410" s="19">
        <f t="shared" si="65"/>
        <v>-3.0234891157905786E-2</v>
      </c>
      <c r="P410" s="19">
        <f t="shared" si="63"/>
        <v>-2.0000000000000018E-2</v>
      </c>
      <c r="R410" s="19"/>
      <c r="S410" s="19"/>
      <c r="T410" s="19"/>
      <c r="U410" s="19"/>
      <c r="V410" s="19"/>
    </row>
    <row r="411" spans="1:22" x14ac:dyDescent="0.2">
      <c r="A411" s="8">
        <v>44792</v>
      </c>
      <c r="B411" s="24">
        <v>3.26</v>
      </c>
      <c r="C411" s="24">
        <v>3.25</v>
      </c>
      <c r="D411" s="24">
        <v>3.28</v>
      </c>
      <c r="E411" s="24">
        <v>3.195430881385017</v>
      </c>
      <c r="F411" s="24">
        <v>3.11</v>
      </c>
      <c r="G411" s="83">
        <f t="shared" si="59"/>
        <v>96.842920782490808</v>
      </c>
      <c r="H411" s="84">
        <f t="shared" si="62"/>
        <v>104.84280009808683</v>
      </c>
      <c r="I411" s="84">
        <f t="shared" si="60"/>
        <v>94.909689819641827</v>
      </c>
      <c r="J411" s="84">
        <f t="shared" si="61"/>
        <v>416060400.69641864</v>
      </c>
      <c r="L411" s="19">
        <f t="shared" si="64"/>
        <v>1.9999999999999574E-2</v>
      </c>
      <c r="M411" s="19">
        <f t="shared" si="65"/>
        <v>2.9999999999999805E-2</v>
      </c>
      <c r="N411" s="19">
        <f t="shared" si="65"/>
        <v>4.9999999999999822E-2</v>
      </c>
      <c r="O411" s="19">
        <f t="shared" si="65"/>
        <v>7.0200825943909084E-2</v>
      </c>
      <c r="P411" s="19">
        <f t="shared" si="63"/>
        <v>8.9999999999999858E-2</v>
      </c>
      <c r="R411" s="19"/>
      <c r="S411" s="19"/>
      <c r="T411" s="19"/>
      <c r="U411" s="19"/>
      <c r="V411" s="19"/>
    </row>
    <row r="412" spans="1:22" x14ac:dyDescent="0.2">
      <c r="A412" s="8">
        <v>44795</v>
      </c>
      <c r="B412" s="24">
        <v>3.32</v>
      </c>
      <c r="C412" s="24">
        <v>3.32</v>
      </c>
      <c r="D412" s="24">
        <v>3.36</v>
      </c>
      <c r="E412" s="24">
        <v>3.2650084853119838</v>
      </c>
      <c r="F412" s="24">
        <v>3.17</v>
      </c>
      <c r="G412" s="83">
        <f t="shared" si="59"/>
        <v>96.786682152535818</v>
      </c>
      <c r="H412" s="84">
        <f t="shared" si="62"/>
        <v>104.61249716332134</v>
      </c>
      <c r="I412" s="84">
        <f t="shared" si="60"/>
        <v>94.642873222277487</v>
      </c>
      <c r="J412" s="84">
        <f t="shared" si="61"/>
        <v>415226111.44919956</v>
      </c>
      <c r="L412" s="19">
        <f t="shared" si="64"/>
        <v>6.0000000000000053E-2</v>
      </c>
      <c r="M412" s="19">
        <f t="shared" si="65"/>
        <v>6.999999999999984E-2</v>
      </c>
      <c r="N412" s="19">
        <f t="shared" si="65"/>
        <v>8.0000000000000071E-2</v>
      </c>
      <c r="O412" s="19">
        <f t="shared" si="65"/>
        <v>6.957760392696688E-2</v>
      </c>
      <c r="P412" s="19">
        <f t="shared" si="63"/>
        <v>6.0000000000000053E-2</v>
      </c>
      <c r="R412" s="19"/>
      <c r="S412" s="19"/>
      <c r="T412" s="19"/>
      <c r="U412" s="19"/>
      <c r="V412" s="19"/>
    </row>
    <row r="413" spans="1:22" x14ac:dyDescent="0.2">
      <c r="A413" s="8">
        <v>44796</v>
      </c>
      <c r="B413" s="24">
        <v>3.29</v>
      </c>
      <c r="C413" s="24">
        <v>3.29</v>
      </c>
      <c r="D413" s="24">
        <v>3.35</v>
      </c>
      <c r="E413" s="24">
        <v>3.2651454863047888</v>
      </c>
      <c r="F413" s="24">
        <v>3.18</v>
      </c>
      <c r="G413" s="83">
        <f t="shared" si="59"/>
        <v>96.814793300416312</v>
      </c>
      <c r="H413" s="84">
        <f t="shared" si="62"/>
        <v>104.64422869973858</v>
      </c>
      <c r="I413" s="84">
        <f t="shared" si="60"/>
        <v>94.602761524527892</v>
      </c>
      <c r="J413" s="84">
        <f t="shared" si="61"/>
        <v>415074289.64933634</v>
      </c>
      <c r="L413" s="19">
        <f t="shared" si="64"/>
        <v>-2.9999999999999805E-2</v>
      </c>
      <c r="M413" s="19">
        <f t="shared" si="65"/>
        <v>-2.9999999999999805E-2</v>
      </c>
      <c r="N413" s="19">
        <f t="shared" si="65"/>
        <v>-9.9999999999997868E-3</v>
      </c>
      <c r="O413" s="19">
        <f t="shared" si="65"/>
        <v>1.3700099280500311E-4</v>
      </c>
      <c r="P413" s="19">
        <f t="shared" si="63"/>
        <v>1.0000000000000231E-2</v>
      </c>
      <c r="R413" s="19"/>
      <c r="S413" s="19"/>
      <c r="T413" s="19"/>
      <c r="U413" s="19"/>
      <c r="V413" s="19"/>
    </row>
    <row r="414" spans="1:22" x14ac:dyDescent="0.2">
      <c r="A414" s="8">
        <v>44797</v>
      </c>
      <c r="B414" s="24">
        <v>3.35</v>
      </c>
      <c r="C414" s="24">
        <v>3.36</v>
      </c>
      <c r="D414" s="24">
        <v>3.4</v>
      </c>
      <c r="E414" s="24">
        <v>3.3003539136014224</v>
      </c>
      <c r="F414" s="24">
        <v>3.2</v>
      </c>
      <c r="G414" s="83">
        <f t="shared" si="59"/>
        <v>96.758587324625054</v>
      </c>
      <c r="H414" s="84">
        <f t="shared" si="62"/>
        <v>104.49715542800764</v>
      </c>
      <c r="I414" s="84">
        <f t="shared" si="60"/>
        <v>94.509591493031294</v>
      </c>
      <c r="J414" s="84">
        <f t="shared" si="61"/>
        <v>414809807.4793638</v>
      </c>
      <c r="L414" s="19">
        <f t="shared" si="64"/>
        <v>6.0000000000000053E-2</v>
      </c>
      <c r="M414" s="19">
        <f t="shared" si="65"/>
        <v>6.999999999999984E-2</v>
      </c>
      <c r="N414" s="19">
        <f t="shared" si="65"/>
        <v>4.9999999999999822E-2</v>
      </c>
      <c r="O414" s="19">
        <f t="shared" si="65"/>
        <v>3.5208427296633538E-2</v>
      </c>
      <c r="P414" s="19">
        <f t="shared" si="63"/>
        <v>2.0000000000000018E-2</v>
      </c>
      <c r="R414" s="19"/>
      <c r="S414" s="19"/>
      <c r="T414" s="19"/>
      <c r="U414" s="19"/>
      <c r="V414" s="19"/>
    </row>
    <row r="415" spans="1:22" x14ac:dyDescent="0.2">
      <c r="A415" s="8">
        <v>44798</v>
      </c>
      <c r="B415" s="24">
        <v>3.33</v>
      </c>
      <c r="C415" s="24">
        <v>3.35</v>
      </c>
      <c r="D415" s="24">
        <v>3.37</v>
      </c>
      <c r="E415" s="24">
        <v>3.2603344659428433</v>
      </c>
      <c r="F415" s="24">
        <v>3.15</v>
      </c>
      <c r="G415" s="83">
        <f t="shared" si="59"/>
        <v>96.777315397270868</v>
      </c>
      <c r="H415" s="84">
        <f t="shared" si="62"/>
        <v>104.58171589677359</v>
      </c>
      <c r="I415" s="84">
        <f t="shared" si="60"/>
        <v>94.726022758594894</v>
      </c>
      <c r="J415" s="84">
        <f t="shared" si="61"/>
        <v>415586147.98376095</v>
      </c>
      <c r="L415" s="19">
        <f t="shared" si="64"/>
        <v>-2.0000000000000018E-2</v>
      </c>
      <c r="M415" s="19">
        <f t="shared" si="65"/>
        <v>-9.9999999999997868E-3</v>
      </c>
      <c r="N415" s="19">
        <f t="shared" si="65"/>
        <v>-2.9999999999999805E-2</v>
      </c>
      <c r="O415" s="19">
        <f t="shared" si="65"/>
        <v>-4.0019447658579121E-2</v>
      </c>
      <c r="P415" s="19">
        <f t="shared" si="63"/>
        <v>-5.0000000000000266E-2</v>
      </c>
      <c r="R415" s="19"/>
      <c r="S415" s="19"/>
      <c r="T415" s="19"/>
      <c r="U415" s="19"/>
      <c r="V415" s="19"/>
    </row>
    <row r="416" spans="1:22" x14ac:dyDescent="0.2">
      <c r="A416" s="8">
        <v>44799</v>
      </c>
      <c r="B416" s="24">
        <v>3.36</v>
      </c>
      <c r="C416" s="24">
        <v>3.37</v>
      </c>
      <c r="D416" s="24">
        <v>3.4</v>
      </c>
      <c r="E416" s="24">
        <v>3.3004885634378813</v>
      </c>
      <c r="F416" s="24">
        <v>3.2</v>
      </c>
      <c r="G416" s="83">
        <f t="shared" si="59"/>
        <v>96.749226006191947</v>
      </c>
      <c r="H416" s="84">
        <f t="shared" si="62"/>
        <v>104.49578188080802</v>
      </c>
      <c r="I416" s="84">
        <f t="shared" si="60"/>
        <v>94.509032916473757</v>
      </c>
      <c r="J416" s="84">
        <f t="shared" si="61"/>
        <v>414790910.85706693</v>
      </c>
      <c r="L416" s="19">
        <f t="shared" si="64"/>
        <v>2.9999999999999805E-2</v>
      </c>
      <c r="M416" s="19">
        <f t="shared" si="65"/>
        <v>2.0000000000000018E-2</v>
      </c>
      <c r="N416" s="19">
        <f t="shared" si="65"/>
        <v>2.9999999999999805E-2</v>
      </c>
      <c r="O416" s="19">
        <f t="shared" si="65"/>
        <v>4.0154097495038066E-2</v>
      </c>
      <c r="P416" s="19">
        <f t="shared" si="63"/>
        <v>5.0000000000000266E-2</v>
      </c>
      <c r="R416" s="19"/>
      <c r="S416" s="19"/>
      <c r="T416" s="19"/>
      <c r="U416" s="19"/>
      <c r="V416" s="19"/>
    </row>
    <row r="417" spans="1:22" x14ac:dyDescent="0.2">
      <c r="A417" s="8">
        <v>44802</v>
      </c>
      <c r="B417" s="24">
        <v>3.43</v>
      </c>
      <c r="C417" s="24">
        <v>3.42</v>
      </c>
      <c r="D417" s="24">
        <v>3.45</v>
      </c>
      <c r="E417" s="24">
        <v>3.36048177400213</v>
      </c>
      <c r="F417" s="24">
        <v>3.27</v>
      </c>
      <c r="G417" s="83">
        <f t="shared" si="59"/>
        <v>96.683747462051628</v>
      </c>
      <c r="H417" s="84">
        <f t="shared" si="62"/>
        <v>104.35033375468348</v>
      </c>
      <c r="I417" s="84">
        <f t="shared" si="60"/>
        <v>94.204296025228217</v>
      </c>
      <c r="J417" s="84">
        <f t="shared" si="61"/>
        <v>413659178.39299095</v>
      </c>
      <c r="L417" s="19">
        <f t="shared" si="64"/>
        <v>7.0000000000000284E-2</v>
      </c>
      <c r="M417" s="19">
        <f t="shared" si="65"/>
        <v>4.9999999999999822E-2</v>
      </c>
      <c r="N417" s="19">
        <f t="shared" si="65"/>
        <v>5.0000000000000266E-2</v>
      </c>
      <c r="O417" s="19">
        <f t="shared" si="65"/>
        <v>5.9993210564248667E-2</v>
      </c>
      <c r="P417" s="19">
        <f t="shared" si="63"/>
        <v>6.999999999999984E-2</v>
      </c>
      <c r="R417" s="19"/>
      <c r="S417" s="19"/>
      <c r="T417" s="19"/>
      <c r="U417" s="19"/>
      <c r="V417" s="19"/>
    </row>
    <row r="418" spans="1:22" x14ac:dyDescent="0.2">
      <c r="A418" s="8">
        <v>44803</v>
      </c>
      <c r="B418" s="24">
        <v>3.48</v>
      </c>
      <c r="C418" s="24">
        <v>3.46</v>
      </c>
      <c r="D418" s="24">
        <v>3.47</v>
      </c>
      <c r="E418" s="24">
        <v>3.3703954425531522</v>
      </c>
      <c r="F418" s="24">
        <v>3.27</v>
      </c>
      <c r="G418" s="83">
        <f t="shared" si="59"/>
        <v>96.637031310398143</v>
      </c>
      <c r="H418" s="84">
        <f t="shared" si="62"/>
        <v>104.28939807932537</v>
      </c>
      <c r="I418" s="84">
        <f t="shared" si="60"/>
        <v>94.200196610982147</v>
      </c>
      <c r="J418" s="84">
        <f t="shared" si="61"/>
        <v>413640751.94573689</v>
      </c>
      <c r="L418" s="19">
        <f t="shared" si="64"/>
        <v>4.9999999999999822E-2</v>
      </c>
      <c r="M418" s="19">
        <f t="shared" si="65"/>
        <v>4.0000000000000036E-2</v>
      </c>
      <c r="N418" s="19">
        <f t="shared" si="65"/>
        <v>2.0000000000000018E-2</v>
      </c>
      <c r="O418" s="19">
        <f t="shared" si="65"/>
        <v>9.9136685510221589E-3</v>
      </c>
      <c r="P418" s="19">
        <f t="shared" si="63"/>
        <v>0</v>
      </c>
      <c r="R418" s="19"/>
      <c r="S418" s="19"/>
      <c r="T418" s="19"/>
      <c r="U418" s="19"/>
      <c r="V418" s="19"/>
    </row>
    <row r="419" spans="1:22" x14ac:dyDescent="0.2">
      <c r="A419" s="8">
        <v>44804</v>
      </c>
      <c r="B419" s="24">
        <v>3.5</v>
      </c>
      <c r="C419" s="24">
        <v>3.45</v>
      </c>
      <c r="D419" s="24">
        <v>3.46</v>
      </c>
      <c r="E419" s="24">
        <v>3.3802317296187625</v>
      </c>
      <c r="F419" s="24">
        <v>3.3</v>
      </c>
      <c r="G419" s="83">
        <f t="shared" si="59"/>
        <v>96.618357487922708</v>
      </c>
      <c r="H419" s="84">
        <f t="shared" si="62"/>
        <v>104.31685510119758</v>
      </c>
      <c r="I419" s="84">
        <f t="shared" si="60"/>
        <v>94.074013130104561</v>
      </c>
      <c r="J419" s="84">
        <f t="shared" si="61"/>
        <v>413057484.84446728</v>
      </c>
      <c r="L419" s="19">
        <f t="shared" si="64"/>
        <v>2.0000000000000018E-2</v>
      </c>
      <c r="M419" s="19">
        <f t="shared" si="65"/>
        <v>-9.9999999999997868E-3</v>
      </c>
      <c r="N419" s="19">
        <f t="shared" si="65"/>
        <v>-1.0000000000000231E-2</v>
      </c>
      <c r="O419" s="19">
        <f t="shared" si="65"/>
        <v>9.8362870656103496E-3</v>
      </c>
      <c r="P419" s="19">
        <f t="shared" si="63"/>
        <v>2.9999999999999805E-2</v>
      </c>
      <c r="R419" s="19"/>
      <c r="S419" s="19"/>
      <c r="T419" s="19"/>
      <c r="U419" s="19"/>
      <c r="V419" s="19"/>
    </row>
    <row r="420" spans="1:22" x14ac:dyDescent="0.2">
      <c r="A420" s="8">
        <v>44805</v>
      </c>
      <c r="B420" s="24">
        <v>3.51</v>
      </c>
      <c r="C420" s="24">
        <v>3.51</v>
      </c>
      <c r="D420" s="24">
        <v>3.54</v>
      </c>
      <c r="E420" s="24">
        <v>3.4654275397618184</v>
      </c>
      <c r="F420" s="24">
        <v>3.39</v>
      </c>
      <c r="G420" s="83">
        <f t="shared" si="59"/>
        <v>96.609023282774615</v>
      </c>
      <c r="H420" s="84">
        <f t="shared" si="62"/>
        <v>104.09137004467651</v>
      </c>
      <c r="I420" s="84">
        <f t="shared" si="60"/>
        <v>93.684947437457936</v>
      </c>
      <c r="J420" s="84">
        <f t="shared" si="61"/>
        <v>411820781.24836624</v>
      </c>
      <c r="L420" s="19">
        <f t="shared" si="64"/>
        <v>9.9999999999997868E-3</v>
      </c>
      <c r="M420" s="19">
        <f t="shared" si="65"/>
        <v>5.9999999999999609E-2</v>
      </c>
      <c r="N420" s="19">
        <f t="shared" si="65"/>
        <v>8.0000000000000071E-2</v>
      </c>
      <c r="O420" s="19">
        <f t="shared" si="65"/>
        <v>8.5195810143055883E-2</v>
      </c>
      <c r="P420" s="19">
        <f t="shared" si="63"/>
        <v>9.0000000000000302E-2</v>
      </c>
      <c r="R420" s="19"/>
      <c r="S420" s="19"/>
      <c r="T420" s="19"/>
      <c r="U420" s="19"/>
      <c r="V420" s="19"/>
    </row>
    <row r="421" spans="1:22" x14ac:dyDescent="0.2">
      <c r="A421" s="8">
        <v>44806</v>
      </c>
      <c r="B421" s="24">
        <v>3.47</v>
      </c>
      <c r="C421" s="24">
        <v>3.4</v>
      </c>
      <c r="D421" s="24">
        <v>3.44</v>
      </c>
      <c r="E421" s="24">
        <v>3.3701062937744615</v>
      </c>
      <c r="F421" s="24">
        <v>3.3</v>
      </c>
      <c r="G421" s="83">
        <f t="shared" si="59"/>
        <v>96.646370928771631</v>
      </c>
      <c r="H421" s="84">
        <f t="shared" si="62"/>
        <v>104.37778238417464</v>
      </c>
      <c r="I421" s="84">
        <f t="shared" si="60"/>
        <v>94.078115121119112</v>
      </c>
      <c r="J421" s="84">
        <f t="shared" si="61"/>
        <v>413038528.76575774</v>
      </c>
      <c r="L421" s="19">
        <f t="shared" si="64"/>
        <v>-3.9999999999999591E-2</v>
      </c>
      <c r="M421" s="19">
        <f t="shared" si="65"/>
        <v>-0.10999999999999988</v>
      </c>
      <c r="N421" s="19">
        <f t="shared" si="65"/>
        <v>-0.10000000000000009</v>
      </c>
      <c r="O421" s="19">
        <f t="shared" si="65"/>
        <v>-9.5321245987356917E-2</v>
      </c>
      <c r="P421" s="19">
        <f t="shared" si="63"/>
        <v>-9.0000000000000302E-2</v>
      </c>
      <c r="R421" s="19"/>
      <c r="S421" s="19"/>
      <c r="T421" s="19"/>
      <c r="U421" s="19"/>
      <c r="V421" s="19"/>
    </row>
    <row r="422" spans="1:22" x14ac:dyDescent="0.2">
      <c r="A422" s="8">
        <v>44810</v>
      </c>
      <c r="B422" s="24">
        <v>3.61</v>
      </c>
      <c r="C422" s="24">
        <v>3.5</v>
      </c>
      <c r="D422" s="24">
        <v>3.55</v>
      </c>
      <c r="E422" s="24">
        <v>3.4900129807251488</v>
      </c>
      <c r="F422" s="24">
        <v>3.43</v>
      </c>
      <c r="G422" s="83">
        <f t="shared" si="59"/>
        <v>96.51578033008397</v>
      </c>
      <c r="H422" s="84">
        <f t="shared" si="62"/>
        <v>104.06020696669512</v>
      </c>
      <c r="I422" s="84">
        <f t="shared" si="60"/>
        <v>93.514440875937765</v>
      </c>
      <c r="J422" s="84">
        <f t="shared" si="61"/>
        <v>410999013.71387631</v>
      </c>
      <c r="L422" s="19">
        <f t="shared" si="64"/>
        <v>0.13999999999999968</v>
      </c>
      <c r="M422" s="19">
        <f t="shared" si="65"/>
        <v>0.10000000000000009</v>
      </c>
      <c r="N422" s="19">
        <f t="shared" si="65"/>
        <v>0.10999999999999988</v>
      </c>
      <c r="O422" s="19">
        <f t="shared" si="65"/>
        <v>0.11990668695068729</v>
      </c>
      <c r="P422" s="19">
        <f t="shared" si="63"/>
        <v>0.13000000000000034</v>
      </c>
      <c r="R422" s="19"/>
      <c r="S422" s="19"/>
      <c r="T422" s="19"/>
      <c r="U422" s="19"/>
      <c r="V422" s="19"/>
    </row>
    <row r="423" spans="1:22" x14ac:dyDescent="0.2">
      <c r="A423" s="8">
        <v>44811</v>
      </c>
      <c r="B423" s="24">
        <v>3.6</v>
      </c>
      <c r="C423" s="24">
        <v>3.45</v>
      </c>
      <c r="D423" s="24">
        <v>3.5</v>
      </c>
      <c r="E423" s="24">
        <v>3.4353997346775706</v>
      </c>
      <c r="F423" s="24">
        <v>3.37</v>
      </c>
      <c r="G423" s="83">
        <f t="shared" si="59"/>
        <v>96.525096525096515</v>
      </c>
      <c r="H423" s="84">
        <f t="shared" si="62"/>
        <v>104.20230540677208</v>
      </c>
      <c r="I423" s="84">
        <f t="shared" si="60"/>
        <v>93.773108779714605</v>
      </c>
      <c r="J423" s="84">
        <f t="shared" si="61"/>
        <v>411839170.05889332</v>
      </c>
      <c r="L423" s="19">
        <f t="shared" si="64"/>
        <v>-9.9999999999997868E-3</v>
      </c>
      <c r="M423" s="19">
        <f t="shared" si="65"/>
        <v>-4.9999999999999822E-2</v>
      </c>
      <c r="N423" s="19">
        <f t="shared" si="65"/>
        <v>-4.9999999999999822E-2</v>
      </c>
      <c r="O423" s="19">
        <f t="shared" si="65"/>
        <v>-5.4613246047578112E-2</v>
      </c>
      <c r="P423" s="19">
        <f t="shared" si="63"/>
        <v>-6.0000000000000053E-2</v>
      </c>
      <c r="R423" s="19"/>
      <c r="S423" s="19"/>
      <c r="T423" s="19"/>
      <c r="U423" s="19"/>
      <c r="V423" s="19"/>
    </row>
    <row r="424" spans="1:22" x14ac:dyDescent="0.2">
      <c r="A424" s="8">
        <v>44812</v>
      </c>
      <c r="B424" s="24">
        <v>3.6</v>
      </c>
      <c r="C424" s="24">
        <v>3.48</v>
      </c>
      <c r="D424" s="24">
        <v>3.54</v>
      </c>
      <c r="E424" s="24">
        <v>3.4652896111556362</v>
      </c>
      <c r="F424" s="24">
        <v>3.39</v>
      </c>
      <c r="G424" s="83">
        <f t="shared" si="59"/>
        <v>96.525096525096515</v>
      </c>
      <c r="H424" s="84">
        <f t="shared" si="62"/>
        <v>104.08987992721019</v>
      </c>
      <c r="I424" s="84">
        <f t="shared" si="60"/>
        <v>93.684360696609616</v>
      </c>
      <c r="J424" s="84">
        <f t="shared" si="61"/>
        <v>411652815.94581622</v>
      </c>
      <c r="L424" s="19">
        <f t="shared" si="64"/>
        <v>0</v>
      </c>
      <c r="M424" s="19">
        <f t="shared" si="65"/>
        <v>2.9999999999999805E-2</v>
      </c>
      <c r="N424" s="19">
        <f t="shared" si="65"/>
        <v>4.0000000000000036E-2</v>
      </c>
      <c r="O424" s="19">
        <f t="shared" si="65"/>
        <v>2.9889876478065514E-2</v>
      </c>
      <c r="P424" s="19">
        <f t="shared" si="63"/>
        <v>2.0000000000000018E-2</v>
      </c>
      <c r="R424" s="19"/>
      <c r="S424" s="19"/>
      <c r="T424" s="19"/>
      <c r="U424" s="19"/>
      <c r="V424" s="19"/>
    </row>
    <row r="425" spans="1:22" x14ac:dyDescent="0.2">
      <c r="A425" s="8">
        <v>44813</v>
      </c>
      <c r="B425" s="24">
        <v>3.67</v>
      </c>
      <c r="C425" s="24">
        <v>3.56</v>
      </c>
      <c r="D425" s="24">
        <v>3.61</v>
      </c>
      <c r="E425" s="24">
        <v>3.53009440301066</v>
      </c>
      <c r="F425" s="24">
        <v>3.45</v>
      </c>
      <c r="G425" s="83">
        <f t="shared" si="59"/>
        <v>96.459920902864866</v>
      </c>
      <c r="H425" s="84">
        <f t="shared" si="62"/>
        <v>103.88781265718639</v>
      </c>
      <c r="I425" s="84">
        <f t="shared" si="60"/>
        <v>93.422068631933371</v>
      </c>
      <c r="J425" s="84">
        <f t="shared" si="61"/>
        <v>410776397.34768367</v>
      </c>
      <c r="L425" s="19">
        <f t="shared" si="64"/>
        <v>6.999999999999984E-2</v>
      </c>
      <c r="M425" s="19">
        <f t="shared" si="65"/>
        <v>8.0000000000000071E-2</v>
      </c>
      <c r="N425" s="19">
        <f t="shared" si="65"/>
        <v>6.999999999999984E-2</v>
      </c>
      <c r="O425" s="19">
        <f t="shared" si="65"/>
        <v>6.4804791855023858E-2</v>
      </c>
      <c r="P425" s="19">
        <f t="shared" si="63"/>
        <v>6.0000000000000053E-2</v>
      </c>
      <c r="R425" s="19"/>
      <c r="S425" s="19"/>
      <c r="T425" s="19"/>
      <c r="U425" s="19"/>
      <c r="V425" s="19"/>
    </row>
    <row r="426" spans="1:22" x14ac:dyDescent="0.2">
      <c r="A426" s="8">
        <v>44816</v>
      </c>
      <c r="B426" s="24">
        <v>3.7</v>
      </c>
      <c r="C426" s="24">
        <v>3.58</v>
      </c>
      <c r="D426" s="24">
        <v>3.6</v>
      </c>
      <c r="E426" s="24">
        <v>3.5352814330985374</v>
      </c>
      <c r="F426" s="24">
        <v>3.47</v>
      </c>
      <c r="G426" s="83">
        <f t="shared" si="59"/>
        <v>96.432015429122472</v>
      </c>
      <c r="H426" s="84">
        <f t="shared" si="62"/>
        <v>103.91195647244768</v>
      </c>
      <c r="I426" s="84">
        <f t="shared" si="60"/>
        <v>93.337792600975718</v>
      </c>
      <c r="J426" s="84">
        <f t="shared" si="61"/>
        <v>410347266.55347633</v>
      </c>
      <c r="L426" s="19">
        <f t="shared" si="64"/>
        <v>3.0000000000000249E-2</v>
      </c>
      <c r="M426" s="19">
        <f t="shared" si="65"/>
        <v>2.0000000000000018E-2</v>
      </c>
      <c r="N426" s="19">
        <f t="shared" si="65"/>
        <v>-9.9999999999997868E-3</v>
      </c>
      <c r="O426" s="19">
        <f t="shared" si="65"/>
        <v>5.1870300878773534E-3</v>
      </c>
      <c r="P426" s="19">
        <f t="shared" si="63"/>
        <v>2.0000000000000018E-2</v>
      </c>
      <c r="R426" s="19"/>
      <c r="S426" s="19"/>
      <c r="T426" s="19"/>
      <c r="U426" s="19"/>
      <c r="V426" s="19"/>
    </row>
    <row r="427" spans="1:22" x14ac:dyDescent="0.2">
      <c r="A427" s="8">
        <v>44817</v>
      </c>
      <c r="B427" s="24">
        <v>3.92</v>
      </c>
      <c r="C427" s="24">
        <v>3.75</v>
      </c>
      <c r="D427" s="24">
        <v>3.75</v>
      </c>
      <c r="E427" s="24">
        <v>3.6651891512981876</v>
      </c>
      <c r="F427" s="24">
        <v>3.58</v>
      </c>
      <c r="G427" s="83">
        <f t="shared" si="59"/>
        <v>96.22786759045421</v>
      </c>
      <c r="H427" s="84">
        <f t="shared" si="62"/>
        <v>103.4775050609705</v>
      </c>
      <c r="I427" s="84">
        <f t="shared" si="60"/>
        <v>92.855393509519217</v>
      </c>
      <c r="J427" s="84">
        <f t="shared" si="61"/>
        <v>408661051.6275295</v>
      </c>
      <c r="L427" s="19">
        <f t="shared" si="64"/>
        <v>0.21999999999999975</v>
      </c>
      <c r="M427" s="19">
        <f t="shared" si="65"/>
        <v>0.16999999999999993</v>
      </c>
      <c r="N427" s="19">
        <f t="shared" si="65"/>
        <v>0.14999999999999991</v>
      </c>
      <c r="O427" s="19">
        <f t="shared" si="65"/>
        <v>0.12990771819965019</v>
      </c>
      <c r="P427" s="19">
        <f t="shared" si="63"/>
        <v>0.10999999999999988</v>
      </c>
      <c r="R427" s="19"/>
      <c r="S427" s="19"/>
      <c r="T427" s="19"/>
      <c r="U427" s="19"/>
      <c r="V427" s="19"/>
    </row>
    <row r="428" spans="1:22" x14ac:dyDescent="0.2">
      <c r="A428" s="8">
        <v>44818</v>
      </c>
      <c r="B428" s="24">
        <v>3.95</v>
      </c>
      <c r="C428" s="24">
        <v>3.78</v>
      </c>
      <c r="D428" s="24">
        <v>3.79</v>
      </c>
      <c r="E428" s="24">
        <v>3.695088671198957</v>
      </c>
      <c r="F428" s="24">
        <v>3.6</v>
      </c>
      <c r="G428" s="83">
        <f t="shared" si="59"/>
        <v>96.200096200096198</v>
      </c>
      <c r="H428" s="84">
        <f t="shared" si="62"/>
        <v>103.36476793056394</v>
      </c>
      <c r="I428" s="84">
        <f t="shared" si="60"/>
        <v>92.76715224796132</v>
      </c>
      <c r="J428" s="84">
        <f t="shared" si="61"/>
        <v>408421649.4961918</v>
      </c>
      <c r="L428" s="19">
        <f t="shared" si="64"/>
        <v>3.0000000000000249E-2</v>
      </c>
      <c r="M428" s="19">
        <f t="shared" si="65"/>
        <v>2.9999999999999805E-2</v>
      </c>
      <c r="N428" s="19">
        <f t="shared" si="65"/>
        <v>4.0000000000000036E-2</v>
      </c>
      <c r="O428" s="19">
        <f t="shared" si="65"/>
        <v>2.9899519900769445E-2</v>
      </c>
      <c r="P428" s="19">
        <f t="shared" si="63"/>
        <v>2.0000000000000018E-2</v>
      </c>
      <c r="R428" s="19"/>
      <c r="S428" s="19"/>
      <c r="T428" s="19"/>
      <c r="U428" s="19"/>
      <c r="V428" s="19"/>
    </row>
    <row r="429" spans="1:22" x14ac:dyDescent="0.2">
      <c r="A429" s="8">
        <v>44819</v>
      </c>
      <c r="B429" s="24">
        <v>4</v>
      </c>
      <c r="C429" s="24">
        <v>3.87</v>
      </c>
      <c r="D429" s="24">
        <v>3.85</v>
      </c>
      <c r="E429" s="24">
        <v>3.7552989814219813</v>
      </c>
      <c r="F429" s="24">
        <v>3.66</v>
      </c>
      <c r="G429" s="83">
        <f t="shared" si="59"/>
        <v>96.153846153846146</v>
      </c>
      <c r="H429" s="84">
        <f t="shared" si="62"/>
        <v>103.19173256003198</v>
      </c>
      <c r="I429" s="84">
        <f t="shared" si="60"/>
        <v>92.508836592838023</v>
      </c>
      <c r="J429" s="84">
        <f t="shared" si="61"/>
        <v>407555439.83899641</v>
      </c>
      <c r="L429" s="19">
        <f t="shared" si="64"/>
        <v>4.9999999999999822E-2</v>
      </c>
      <c r="M429" s="19">
        <f t="shared" si="65"/>
        <v>9.0000000000000302E-2</v>
      </c>
      <c r="N429" s="19">
        <f t="shared" si="65"/>
        <v>6.0000000000000053E-2</v>
      </c>
      <c r="O429" s="19">
        <f t="shared" si="65"/>
        <v>6.0210310223024255E-2</v>
      </c>
      <c r="P429" s="19">
        <f t="shared" si="63"/>
        <v>6.0000000000000053E-2</v>
      </c>
      <c r="R429" s="19"/>
      <c r="S429" s="19"/>
      <c r="T429" s="19"/>
      <c r="U429" s="19"/>
      <c r="V429" s="19"/>
    </row>
    <row r="430" spans="1:22" x14ac:dyDescent="0.2">
      <c r="A430" s="8">
        <v>44820</v>
      </c>
      <c r="B430" s="24">
        <v>3.96</v>
      </c>
      <c r="C430" s="24">
        <v>3.85</v>
      </c>
      <c r="D430" s="24">
        <v>3.81</v>
      </c>
      <c r="E430" s="24">
        <v>3.7154492542538278</v>
      </c>
      <c r="F430" s="24">
        <v>3.62</v>
      </c>
      <c r="G430" s="83">
        <f t="shared" si="59"/>
        <v>96.19084263178145</v>
      </c>
      <c r="H430" s="84">
        <f t="shared" si="62"/>
        <v>103.30378003231931</v>
      </c>
      <c r="I430" s="84">
        <f t="shared" si="60"/>
        <v>92.679623130836546</v>
      </c>
      <c r="J430" s="84">
        <f t="shared" si="61"/>
        <v>408144507.73843014</v>
      </c>
      <c r="L430" s="19">
        <f t="shared" si="64"/>
        <v>-4.0000000000000036E-2</v>
      </c>
      <c r="M430" s="19">
        <f t="shared" si="65"/>
        <v>-2.0000000000000018E-2</v>
      </c>
      <c r="N430" s="19">
        <f t="shared" si="65"/>
        <v>-4.0000000000000036E-2</v>
      </c>
      <c r="O430" s="19">
        <f t="shared" si="65"/>
        <v>-3.9849727168153493E-2</v>
      </c>
      <c r="P430" s="19">
        <f t="shared" si="63"/>
        <v>-4.0000000000000036E-2</v>
      </c>
      <c r="R430" s="19"/>
      <c r="S430" s="19"/>
      <c r="T430" s="19"/>
      <c r="U430" s="19"/>
      <c r="V430" s="19"/>
    </row>
    <row r="431" spans="1:22" x14ac:dyDescent="0.2">
      <c r="A431" s="8">
        <v>44823</v>
      </c>
      <c r="B431" s="24">
        <v>4.05</v>
      </c>
      <c r="C431" s="24">
        <v>3.95</v>
      </c>
      <c r="D431" s="24">
        <v>3.9</v>
      </c>
      <c r="E431" s="24">
        <v>3.7953412744350445</v>
      </c>
      <c r="F431" s="24">
        <v>3.69</v>
      </c>
      <c r="G431" s="83">
        <f t="shared" si="59"/>
        <v>96.107640557424318</v>
      </c>
      <c r="H431" s="84">
        <f t="shared" si="62"/>
        <v>103.04701090805155</v>
      </c>
      <c r="I431" s="84">
        <f t="shared" si="60"/>
        <v>92.376611578913142</v>
      </c>
      <c r="J431" s="84">
        <f t="shared" si="61"/>
        <v>407151211.06842387</v>
      </c>
      <c r="L431" s="19">
        <f t="shared" si="64"/>
        <v>8.9999999999999858E-2</v>
      </c>
      <c r="M431" s="19">
        <f t="shared" si="65"/>
        <v>0.10000000000000009</v>
      </c>
      <c r="N431" s="19">
        <f t="shared" si="65"/>
        <v>8.9999999999999858E-2</v>
      </c>
      <c r="O431" s="19">
        <f t="shared" si="65"/>
        <v>7.9892020181216772E-2</v>
      </c>
      <c r="P431" s="19">
        <f t="shared" si="63"/>
        <v>6.999999999999984E-2</v>
      </c>
      <c r="R431" s="19"/>
      <c r="S431" s="19"/>
      <c r="T431" s="19"/>
      <c r="U431" s="19"/>
      <c r="V431" s="19"/>
    </row>
    <row r="432" spans="1:22" x14ac:dyDescent="0.2">
      <c r="A432" s="8">
        <v>44824</v>
      </c>
      <c r="B432" s="24">
        <v>4.03</v>
      </c>
      <c r="C432" s="24">
        <v>3.96</v>
      </c>
      <c r="D432" s="24">
        <v>3.94</v>
      </c>
      <c r="E432" s="24">
        <v>3.8451358968456764</v>
      </c>
      <c r="F432" s="24">
        <v>3.75</v>
      </c>
      <c r="G432" s="83">
        <f t="shared" si="59"/>
        <v>96.126117466115545</v>
      </c>
      <c r="H432" s="84">
        <f t="shared" si="62"/>
        <v>102.93900722142889</v>
      </c>
      <c r="I432" s="84">
        <f t="shared" si="60"/>
        <v>92.12548450024866</v>
      </c>
      <c r="J432" s="84">
        <f t="shared" si="61"/>
        <v>406345662.10108238</v>
      </c>
      <c r="L432" s="19">
        <f t="shared" si="64"/>
        <v>-1.9999999999999574E-2</v>
      </c>
      <c r="M432" s="19">
        <f t="shared" si="65"/>
        <v>9.9999999999997868E-3</v>
      </c>
      <c r="N432" s="19">
        <f t="shared" si="65"/>
        <v>4.0000000000000036E-2</v>
      </c>
      <c r="O432" s="19">
        <f t="shared" si="65"/>
        <v>4.9794622410631817E-2</v>
      </c>
      <c r="P432" s="19">
        <f t="shared" si="63"/>
        <v>6.0000000000000053E-2</v>
      </c>
      <c r="R432" s="19"/>
      <c r="S432" s="19"/>
      <c r="T432" s="19"/>
      <c r="U432" s="19"/>
      <c r="V432" s="19"/>
    </row>
    <row r="433" spans="1:22" x14ac:dyDescent="0.2">
      <c r="A433" s="8">
        <v>44825</v>
      </c>
      <c r="B433" s="24">
        <v>4.08</v>
      </c>
      <c r="C433" s="24">
        <v>4.0199999999999996</v>
      </c>
      <c r="D433" s="24">
        <v>3.98</v>
      </c>
      <c r="E433" s="24">
        <v>3.8604723081744576</v>
      </c>
      <c r="F433" s="24">
        <v>3.74</v>
      </c>
      <c r="G433" s="83">
        <f t="shared" si="59"/>
        <v>96.079938508839362</v>
      </c>
      <c r="H433" s="84">
        <f t="shared" si="62"/>
        <v>102.82349155424897</v>
      </c>
      <c r="I433" s="84">
        <f t="shared" si="60"/>
        <v>92.160260552011707</v>
      </c>
      <c r="J433" s="84">
        <f t="shared" si="61"/>
        <v>406565681.89435214</v>
      </c>
      <c r="L433" s="19">
        <f t="shared" si="64"/>
        <v>4.9999999999999822E-2</v>
      </c>
      <c r="M433" s="19">
        <f t="shared" si="65"/>
        <v>5.9999999999999609E-2</v>
      </c>
      <c r="N433" s="19">
        <f t="shared" si="65"/>
        <v>4.0000000000000036E-2</v>
      </c>
      <c r="O433" s="19">
        <f t="shared" si="65"/>
        <v>1.5336411328781274E-2</v>
      </c>
      <c r="P433" s="19">
        <f t="shared" si="63"/>
        <v>-9.9999999999997868E-3</v>
      </c>
      <c r="R433" s="19"/>
      <c r="S433" s="19"/>
      <c r="T433" s="19"/>
      <c r="U433" s="19"/>
      <c r="V433" s="19"/>
    </row>
    <row r="434" spans="1:22" x14ac:dyDescent="0.2">
      <c r="A434" s="8">
        <v>44826</v>
      </c>
      <c r="B434" s="24">
        <v>4.08</v>
      </c>
      <c r="C434" s="24">
        <v>4.1100000000000003</v>
      </c>
      <c r="D434" s="24">
        <v>4.12</v>
      </c>
      <c r="E434" s="24">
        <v>4.0151405034460144</v>
      </c>
      <c r="F434" s="24">
        <v>3.91</v>
      </c>
      <c r="G434" s="83">
        <f t="shared" si="59"/>
        <v>96.079938508839362</v>
      </c>
      <c r="H434" s="84">
        <f t="shared" si="62"/>
        <v>102.43926042046985</v>
      </c>
      <c r="I434" s="84">
        <f t="shared" si="60"/>
        <v>91.44753423309642</v>
      </c>
      <c r="J434" s="84">
        <f t="shared" si="61"/>
        <v>404291123.31935966</v>
      </c>
      <c r="L434" s="19">
        <f t="shared" si="64"/>
        <v>0</v>
      </c>
      <c r="M434" s="19">
        <f t="shared" si="65"/>
        <v>9.0000000000000746E-2</v>
      </c>
      <c r="N434" s="19">
        <f t="shared" si="65"/>
        <v>0.14000000000000012</v>
      </c>
      <c r="O434" s="19">
        <f t="shared" si="65"/>
        <v>0.15466819527155673</v>
      </c>
      <c r="P434" s="19">
        <f t="shared" si="63"/>
        <v>0.16999999999999993</v>
      </c>
      <c r="R434" s="19"/>
      <c r="S434" s="19"/>
      <c r="T434" s="19"/>
      <c r="U434" s="19"/>
      <c r="V434" s="19"/>
    </row>
    <row r="435" spans="1:22" x14ac:dyDescent="0.2">
      <c r="A435" s="8">
        <v>44827</v>
      </c>
      <c r="B435" s="24">
        <v>4.1500000000000004</v>
      </c>
      <c r="C435" s="24">
        <v>4.2</v>
      </c>
      <c r="D435" s="24">
        <v>4.21</v>
      </c>
      <c r="E435" s="24">
        <v>4.0854169569907333</v>
      </c>
      <c r="F435" s="24">
        <v>3.96</v>
      </c>
      <c r="G435" s="83">
        <f t="shared" si="59"/>
        <v>96.015362457993277</v>
      </c>
      <c r="H435" s="84">
        <f t="shared" si="62"/>
        <v>102.18726100418739</v>
      </c>
      <c r="I435" s="84">
        <f t="shared" si="60"/>
        <v>91.231572324302817</v>
      </c>
      <c r="J435" s="84">
        <f t="shared" si="61"/>
        <v>403676122.70691681</v>
      </c>
      <c r="L435" s="19">
        <f t="shared" si="64"/>
        <v>7.0000000000000284E-2</v>
      </c>
      <c r="M435" s="19">
        <f t="shared" si="65"/>
        <v>8.9999999999999858E-2</v>
      </c>
      <c r="N435" s="19">
        <f t="shared" si="65"/>
        <v>8.9999999999999858E-2</v>
      </c>
      <c r="O435" s="19">
        <f t="shared" si="65"/>
        <v>7.0276453544718898E-2</v>
      </c>
      <c r="P435" s="19">
        <f t="shared" si="63"/>
        <v>4.9999999999999822E-2</v>
      </c>
      <c r="R435" s="19"/>
      <c r="S435" s="19"/>
      <c r="T435" s="19"/>
      <c r="U435" s="19"/>
      <c r="V435" s="19"/>
    </row>
    <row r="436" spans="1:22" x14ac:dyDescent="0.2">
      <c r="A436" s="8">
        <v>44830</v>
      </c>
      <c r="B436" s="24">
        <v>4.17</v>
      </c>
      <c r="C436" s="24">
        <v>4.2699999999999996</v>
      </c>
      <c r="D436" s="24">
        <v>4.37</v>
      </c>
      <c r="E436" s="24">
        <v>4.2600079269669155</v>
      </c>
      <c r="F436" s="24">
        <v>4.1500000000000004</v>
      </c>
      <c r="G436" s="83">
        <f t="shared" si="59"/>
        <v>95.996928098300842</v>
      </c>
      <c r="H436" s="84">
        <f t="shared" si="62"/>
        <v>101.75410815897256</v>
      </c>
      <c r="I436" s="84">
        <f t="shared" si="60"/>
        <v>90.445836999402118</v>
      </c>
      <c r="J436" s="84">
        <f t="shared" si="61"/>
        <v>401146041.9557513</v>
      </c>
      <c r="L436" s="19">
        <f t="shared" si="64"/>
        <v>1.9999999999999574E-2</v>
      </c>
      <c r="M436" s="19">
        <f t="shared" si="65"/>
        <v>6.9999999999999396E-2</v>
      </c>
      <c r="N436" s="19">
        <f t="shared" si="65"/>
        <v>0.16000000000000014</v>
      </c>
      <c r="O436" s="19">
        <f t="shared" si="65"/>
        <v>0.17459096997618229</v>
      </c>
      <c r="P436" s="19">
        <f t="shared" si="63"/>
        <v>0.19000000000000039</v>
      </c>
      <c r="R436" s="19"/>
      <c r="S436" s="19"/>
      <c r="T436" s="19"/>
      <c r="U436" s="19"/>
      <c r="V436" s="19"/>
    </row>
    <row r="437" spans="1:22" x14ac:dyDescent="0.2">
      <c r="A437" s="8">
        <v>44831</v>
      </c>
      <c r="B437" s="24">
        <v>4.16</v>
      </c>
      <c r="C437" s="24">
        <v>4.3</v>
      </c>
      <c r="D437" s="24">
        <v>4.3899999999999997</v>
      </c>
      <c r="E437" s="24">
        <v>4.30007557179482</v>
      </c>
      <c r="F437" s="24">
        <v>4.21</v>
      </c>
      <c r="G437" s="83">
        <f t="shared" si="59"/>
        <v>96.006144393241158</v>
      </c>
      <c r="H437" s="84">
        <f t="shared" si="62"/>
        <v>101.69885106493362</v>
      </c>
      <c r="I437" s="84">
        <f t="shared" si="60"/>
        <v>90.202012763745955</v>
      </c>
      <c r="J437" s="84">
        <f t="shared" si="61"/>
        <v>400272063.24406564</v>
      </c>
      <c r="L437" s="19">
        <f t="shared" si="64"/>
        <v>-9.9999999999997868E-3</v>
      </c>
      <c r="M437" s="19">
        <f t="shared" si="65"/>
        <v>3.0000000000000249E-2</v>
      </c>
      <c r="N437" s="19">
        <f t="shared" si="65"/>
        <v>1.9999999999999574E-2</v>
      </c>
      <c r="O437" s="19">
        <f t="shared" si="65"/>
        <v>4.0067644827904481E-2</v>
      </c>
      <c r="P437" s="19">
        <f t="shared" si="63"/>
        <v>5.9999999999999609E-2</v>
      </c>
      <c r="R437" s="19"/>
      <c r="S437" s="19"/>
      <c r="T437" s="19"/>
      <c r="U437" s="19"/>
      <c r="V437" s="19"/>
    </row>
    <row r="438" spans="1:22" x14ac:dyDescent="0.2">
      <c r="A438" s="8">
        <v>44832</v>
      </c>
      <c r="B438" s="24">
        <v>3.99</v>
      </c>
      <c r="C438" s="24">
        <v>4.07</v>
      </c>
      <c r="D438" s="24">
        <v>4.12</v>
      </c>
      <c r="E438" s="24">
        <v>4.0200351381341379</v>
      </c>
      <c r="F438" s="24">
        <v>3.92</v>
      </c>
      <c r="G438" s="83">
        <f t="shared" si="59"/>
        <v>96.163092605058168</v>
      </c>
      <c r="H438" s="84">
        <f t="shared" si="62"/>
        <v>102.44696489504733</v>
      </c>
      <c r="I438" s="84">
        <f t="shared" si="60"/>
        <v>91.409790189561505</v>
      </c>
      <c r="J438" s="84">
        <f t="shared" si="61"/>
        <v>404294898.62579131</v>
      </c>
      <c r="L438" s="19">
        <f t="shared" si="64"/>
        <v>-0.16999999999999993</v>
      </c>
      <c r="M438" s="19">
        <f t="shared" si="65"/>
        <v>-0.22999999999999954</v>
      </c>
      <c r="N438" s="19">
        <f t="shared" si="65"/>
        <v>-0.26999999999999957</v>
      </c>
      <c r="O438" s="19">
        <f t="shared" si="65"/>
        <v>-0.2800404336606821</v>
      </c>
      <c r="P438" s="19">
        <f t="shared" si="63"/>
        <v>-0.29000000000000004</v>
      </c>
      <c r="R438" s="19"/>
      <c r="S438" s="19"/>
      <c r="T438" s="19"/>
      <c r="U438" s="19"/>
      <c r="V438" s="19"/>
    </row>
    <row r="439" spans="1:22" x14ac:dyDescent="0.2">
      <c r="A439" s="8">
        <v>44833</v>
      </c>
      <c r="B439" s="24">
        <v>3.98</v>
      </c>
      <c r="C439" s="24">
        <v>4.16</v>
      </c>
      <c r="D439" s="24">
        <v>4.1900000000000004</v>
      </c>
      <c r="E439" s="24">
        <v>4.0854486740988412</v>
      </c>
      <c r="F439" s="24">
        <v>3.98</v>
      </c>
      <c r="G439" s="83">
        <f t="shared" si="59"/>
        <v>96.172340834775909</v>
      </c>
      <c r="H439" s="84">
        <f t="shared" si="62"/>
        <v>102.25208790705263</v>
      </c>
      <c r="I439" s="84">
        <f t="shared" si="60"/>
        <v>91.156391012727866</v>
      </c>
      <c r="J439" s="84">
        <f t="shared" si="61"/>
        <v>403592113.85988438</v>
      </c>
      <c r="L439" s="19">
        <f t="shared" si="64"/>
        <v>-1.0000000000000231E-2</v>
      </c>
      <c r="M439" s="19">
        <f t="shared" si="65"/>
        <v>8.9999999999999858E-2</v>
      </c>
      <c r="N439" s="19">
        <f t="shared" si="65"/>
        <v>7.0000000000000284E-2</v>
      </c>
      <c r="O439" s="19">
        <f t="shared" si="65"/>
        <v>6.5413535964703229E-2</v>
      </c>
      <c r="P439" s="19">
        <f t="shared" si="63"/>
        <v>6.0000000000000053E-2</v>
      </c>
      <c r="R439" s="19"/>
      <c r="S439" s="19"/>
      <c r="T439" s="19"/>
      <c r="U439" s="19"/>
      <c r="V439" s="19"/>
    </row>
    <row r="440" spans="1:22" x14ac:dyDescent="0.2">
      <c r="A440" s="8">
        <v>44834</v>
      </c>
      <c r="B440" s="24">
        <v>4.05</v>
      </c>
      <c r="C440" s="24">
        <v>4.22</v>
      </c>
      <c r="D440" s="24">
        <v>4.25</v>
      </c>
      <c r="E440" s="24">
        <v>4.155028306943727</v>
      </c>
      <c r="F440" s="24">
        <v>4.0599999999999996</v>
      </c>
      <c r="G440" s="83">
        <f t="shared" si="59"/>
        <v>96.107640557424318</v>
      </c>
      <c r="H440" s="84">
        <f t="shared" si="62"/>
        <v>102.0833498357688</v>
      </c>
      <c r="I440" s="84">
        <f t="shared" si="60"/>
        <v>90.823298020506016</v>
      </c>
      <c r="J440" s="84">
        <f t="shared" si="61"/>
        <v>402383448.44321948</v>
      </c>
      <c r="L440" s="19">
        <f t="shared" si="64"/>
        <v>6.999999999999984E-2</v>
      </c>
      <c r="M440" s="19">
        <f t="shared" si="65"/>
        <v>5.9999999999999609E-2</v>
      </c>
      <c r="N440" s="19">
        <f t="shared" si="65"/>
        <v>5.9999999999999609E-2</v>
      </c>
      <c r="O440" s="19">
        <f t="shared" si="65"/>
        <v>6.9579632844885886E-2</v>
      </c>
      <c r="P440" s="19">
        <f t="shared" si="63"/>
        <v>7.9999999999999627E-2</v>
      </c>
      <c r="R440" s="19"/>
      <c r="S440" s="19"/>
      <c r="T440" s="19"/>
      <c r="U440" s="19"/>
      <c r="V440" s="19"/>
    </row>
    <row r="441" spans="1:22" x14ac:dyDescent="0.2">
      <c r="A441" s="8">
        <v>44837</v>
      </c>
      <c r="B441" s="24">
        <v>4.01</v>
      </c>
      <c r="C441" s="24">
        <v>4.12</v>
      </c>
      <c r="D441" s="24">
        <v>4.12</v>
      </c>
      <c r="E441" s="24">
        <v>4.0103346552108752</v>
      </c>
      <c r="F441" s="24">
        <v>3.9</v>
      </c>
      <c r="G441" s="83">
        <f t="shared" si="59"/>
        <v>96.144601480626861</v>
      </c>
      <c r="H441" s="84">
        <f t="shared" si="62"/>
        <v>102.44160751526093</v>
      </c>
      <c r="I441" s="84">
        <f t="shared" si="60"/>
        <v>91.489316539693732</v>
      </c>
      <c r="J441" s="84">
        <f t="shared" si="61"/>
        <v>404584057.84713721</v>
      </c>
      <c r="L441" s="19">
        <f t="shared" si="64"/>
        <v>-4.0000000000000036E-2</v>
      </c>
      <c r="M441" s="19">
        <f t="shared" si="65"/>
        <v>-9.9999999999999645E-2</v>
      </c>
      <c r="N441" s="19">
        <f t="shared" si="65"/>
        <v>-0.12999999999999989</v>
      </c>
      <c r="O441" s="19">
        <f t="shared" si="65"/>
        <v>-0.14469365173285187</v>
      </c>
      <c r="P441" s="19">
        <f t="shared" si="63"/>
        <v>-0.1599999999999997</v>
      </c>
      <c r="R441" s="19"/>
      <c r="S441" s="19"/>
      <c r="T441" s="19"/>
      <c r="U441" s="19"/>
      <c r="V441" s="19"/>
    </row>
    <row r="442" spans="1:22" x14ac:dyDescent="0.2">
      <c r="A442" s="8">
        <v>44838</v>
      </c>
      <c r="B442" s="24">
        <v>4.1500000000000004</v>
      </c>
      <c r="C442" s="24">
        <v>4.0999999999999996</v>
      </c>
      <c r="D442" s="24">
        <v>4.08</v>
      </c>
      <c r="E442" s="24">
        <v>3.9603644665490916</v>
      </c>
      <c r="F442" s="24">
        <v>3.84</v>
      </c>
      <c r="G442" s="83">
        <f t="shared" si="59"/>
        <v>96.015362457993277</v>
      </c>
      <c r="H442" s="84">
        <f t="shared" si="62"/>
        <v>102.54421001097842</v>
      </c>
      <c r="I442" s="84">
        <f t="shared" si="60"/>
        <v>91.736430548375509</v>
      </c>
      <c r="J442" s="84">
        <f t="shared" si="61"/>
        <v>405160132.09302092</v>
      </c>
      <c r="L442" s="19">
        <f t="shared" si="64"/>
        <v>0.14000000000000057</v>
      </c>
      <c r="M442" s="19">
        <f t="shared" si="65"/>
        <v>-2.0000000000000462E-2</v>
      </c>
      <c r="N442" s="19">
        <f t="shared" si="65"/>
        <v>-4.0000000000000036E-2</v>
      </c>
      <c r="O442" s="19">
        <f t="shared" si="65"/>
        <v>-4.9970188661783599E-2</v>
      </c>
      <c r="P442" s="19">
        <f t="shared" si="63"/>
        <v>-6.0000000000000053E-2</v>
      </c>
      <c r="R442" s="19"/>
      <c r="S442" s="19"/>
      <c r="T442" s="19"/>
      <c r="U442" s="19"/>
      <c r="V442" s="19"/>
    </row>
    <row r="443" spans="1:22" x14ac:dyDescent="0.2">
      <c r="A443" s="8">
        <v>44839</v>
      </c>
      <c r="B443" s="24">
        <v>4.1399999999999997</v>
      </c>
      <c r="C443" s="24">
        <v>4.1500000000000004</v>
      </c>
      <c r="D443" s="24">
        <v>4.17</v>
      </c>
      <c r="E443" s="24">
        <v>4.0653425979429239</v>
      </c>
      <c r="F443" s="24">
        <v>3.96</v>
      </c>
      <c r="G443" s="83">
        <f t="shared" si="59"/>
        <v>96.024582293067013</v>
      </c>
      <c r="H443" s="84">
        <f t="shared" si="62"/>
        <v>102.2990664604737</v>
      </c>
      <c r="I443" s="84">
        <f t="shared" si="60"/>
        <v>91.236877574799692</v>
      </c>
      <c r="J443" s="84">
        <f t="shared" si="61"/>
        <v>403548075.19462222</v>
      </c>
      <c r="L443" s="19">
        <f t="shared" si="64"/>
        <v>-1.0000000000000675E-2</v>
      </c>
      <c r="M443" s="19">
        <f t="shared" si="65"/>
        <v>5.0000000000000711E-2</v>
      </c>
      <c r="N443" s="19">
        <f t="shared" si="65"/>
        <v>8.9999999999999858E-2</v>
      </c>
      <c r="O443" s="19">
        <f t="shared" si="65"/>
        <v>0.10497813139383227</v>
      </c>
      <c r="P443" s="19">
        <f t="shared" si="63"/>
        <v>0.12000000000000011</v>
      </c>
      <c r="R443" s="19"/>
      <c r="S443" s="19"/>
      <c r="T443" s="19"/>
      <c r="U443" s="19"/>
      <c r="V443" s="19"/>
    </row>
    <row r="444" spans="1:22" x14ac:dyDescent="0.2">
      <c r="A444" s="8">
        <v>44840</v>
      </c>
      <c r="B444" s="24">
        <v>4.1900000000000004</v>
      </c>
      <c r="C444" s="24">
        <v>4.2300000000000004</v>
      </c>
      <c r="D444" s="24">
        <v>4.24</v>
      </c>
      <c r="E444" s="24">
        <v>4.1454541244683583</v>
      </c>
      <c r="F444" s="24">
        <v>4.05</v>
      </c>
      <c r="G444" s="83">
        <f t="shared" si="59"/>
        <v>95.978500815817256</v>
      </c>
      <c r="H444" s="84">
        <f t="shared" si="62"/>
        <v>102.10268368800703</v>
      </c>
      <c r="I444" s="84">
        <f t="shared" si="60"/>
        <v>90.861673401539505</v>
      </c>
      <c r="J444" s="84">
        <f t="shared" si="61"/>
        <v>402249669.70578194</v>
      </c>
      <c r="L444" s="19">
        <f t="shared" si="64"/>
        <v>5.0000000000000711E-2</v>
      </c>
      <c r="M444" s="19">
        <f t="shared" si="65"/>
        <v>8.0000000000000071E-2</v>
      </c>
      <c r="N444" s="19">
        <f t="shared" si="65"/>
        <v>7.0000000000000284E-2</v>
      </c>
      <c r="O444" s="19">
        <f t="shared" si="65"/>
        <v>8.0111526525434407E-2</v>
      </c>
      <c r="P444" s="19">
        <f t="shared" si="63"/>
        <v>8.9999999999999858E-2</v>
      </c>
      <c r="R444" s="19"/>
      <c r="S444" s="19"/>
      <c r="T444" s="19"/>
      <c r="U444" s="19"/>
      <c r="V444" s="19"/>
    </row>
    <row r="445" spans="1:22" x14ac:dyDescent="0.2">
      <c r="A445" s="8">
        <v>44841</v>
      </c>
      <c r="B445" s="24">
        <v>4.24</v>
      </c>
      <c r="C445" s="24">
        <v>4.3</v>
      </c>
      <c r="D445" s="24">
        <v>4.33</v>
      </c>
      <c r="E445" s="24">
        <v>4.2352404440697713</v>
      </c>
      <c r="F445" s="24">
        <v>4.1399999999999997</v>
      </c>
      <c r="G445" s="83">
        <f t="shared" si="59"/>
        <v>95.93246354566385</v>
      </c>
      <c r="H445" s="84">
        <f t="shared" si="62"/>
        <v>101.85450732680562</v>
      </c>
      <c r="I445" s="84">
        <f t="shared" si="60"/>
        <v>90.487093599645107</v>
      </c>
      <c r="J445" s="84">
        <f t="shared" si="61"/>
        <v>401031540.49969971</v>
      </c>
      <c r="L445" s="19">
        <f t="shared" si="64"/>
        <v>4.9999999999999822E-2</v>
      </c>
      <c r="M445" s="19">
        <f t="shared" si="65"/>
        <v>6.9999999999999396E-2</v>
      </c>
      <c r="N445" s="19">
        <f t="shared" si="65"/>
        <v>8.9999999999999858E-2</v>
      </c>
      <c r="O445" s="19">
        <f t="shared" si="65"/>
        <v>8.9786319601413034E-2</v>
      </c>
      <c r="P445" s="19">
        <f t="shared" si="63"/>
        <v>8.9999999999999858E-2</v>
      </c>
      <c r="R445" s="19"/>
      <c r="S445" s="19"/>
      <c r="T445" s="19"/>
      <c r="U445" s="19"/>
      <c r="V445" s="19"/>
    </row>
    <row r="446" spans="1:22" x14ac:dyDescent="0.2">
      <c r="A446" s="8">
        <v>44845</v>
      </c>
      <c r="B446" s="24">
        <v>4.28</v>
      </c>
      <c r="C446" s="24">
        <v>4.3</v>
      </c>
      <c r="D446" s="24">
        <v>4.3099999999999996</v>
      </c>
      <c r="E446" s="24">
        <v>4.22520602387723</v>
      </c>
      <c r="F446" s="24">
        <v>4.1399999999999997</v>
      </c>
      <c r="G446" s="83">
        <f t="shared" si="59"/>
        <v>95.895665515918679</v>
      </c>
      <c r="H446" s="84">
        <f t="shared" si="62"/>
        <v>101.90586235623363</v>
      </c>
      <c r="I446" s="84">
        <f t="shared" si="60"/>
        <v>90.488023426042389</v>
      </c>
      <c r="J446" s="84">
        <f t="shared" si="61"/>
        <v>400884631.20165646</v>
      </c>
      <c r="L446" s="19">
        <f t="shared" si="64"/>
        <v>4.0000000000000036E-2</v>
      </c>
      <c r="M446" s="19">
        <f t="shared" si="65"/>
        <v>0</v>
      </c>
      <c r="N446" s="19">
        <f t="shared" si="65"/>
        <v>-2.0000000000000462E-2</v>
      </c>
      <c r="O446" s="19">
        <f t="shared" si="65"/>
        <v>-1.0034420192541305E-2</v>
      </c>
      <c r="P446" s="19">
        <f t="shared" si="63"/>
        <v>0</v>
      </c>
      <c r="R446" s="19"/>
      <c r="S446" s="19"/>
      <c r="T446" s="19"/>
      <c r="U446" s="19"/>
      <c r="V446" s="19"/>
    </row>
    <row r="447" spans="1:22" x14ac:dyDescent="0.2">
      <c r="A447" s="8">
        <v>44846</v>
      </c>
      <c r="B447" s="24">
        <v>4.28</v>
      </c>
      <c r="C447" s="24">
        <v>4.28</v>
      </c>
      <c r="D447" s="24">
        <v>4.29</v>
      </c>
      <c r="E447" s="24">
        <v>4.2050668736627941</v>
      </c>
      <c r="F447" s="24">
        <v>4.12</v>
      </c>
      <c r="G447" s="83">
        <f t="shared" si="59"/>
        <v>95.895665515918679</v>
      </c>
      <c r="H447" s="84">
        <f t="shared" si="62"/>
        <v>101.9608613020897</v>
      </c>
      <c r="I447" s="84">
        <f t="shared" si="60"/>
        <v>90.571063474430971</v>
      </c>
      <c r="J447" s="84">
        <f t="shared" si="61"/>
        <v>401134292.97642672</v>
      </c>
      <c r="L447" s="19">
        <f t="shared" si="64"/>
        <v>0</v>
      </c>
      <c r="M447" s="19">
        <f t="shared" si="65"/>
        <v>-1.9999999999999574E-2</v>
      </c>
      <c r="N447" s="19">
        <f t="shared" si="65"/>
        <v>-1.9999999999999574E-2</v>
      </c>
      <c r="O447" s="19">
        <f t="shared" si="65"/>
        <v>-2.0139150214435908E-2</v>
      </c>
      <c r="P447" s="19">
        <f t="shared" si="63"/>
        <v>-1.9999999999999574E-2</v>
      </c>
      <c r="R447" s="19"/>
      <c r="S447" s="19"/>
      <c r="T447" s="19"/>
      <c r="U447" s="19"/>
      <c r="V447" s="19"/>
    </row>
    <row r="448" spans="1:22" x14ac:dyDescent="0.2">
      <c r="A448" s="8">
        <v>44847</v>
      </c>
      <c r="B448" s="24">
        <v>4.46</v>
      </c>
      <c r="C448" s="24">
        <v>4.47</v>
      </c>
      <c r="D448" s="24">
        <v>4.4400000000000004</v>
      </c>
      <c r="E448" s="24">
        <v>4.3252613313557138</v>
      </c>
      <c r="F448" s="24">
        <v>4.21</v>
      </c>
      <c r="G448" s="83">
        <f t="shared" si="59"/>
        <v>95.730423128470235</v>
      </c>
      <c r="H448" s="84">
        <f t="shared" si="62"/>
        <v>101.53761462482467</v>
      </c>
      <c r="I448" s="84">
        <f t="shared" si="60"/>
        <v>90.186364513893139</v>
      </c>
      <c r="J448" s="84">
        <f t="shared" si="61"/>
        <v>399899882.37527609</v>
      </c>
      <c r="L448" s="19">
        <f t="shared" si="64"/>
        <v>0.17999999999999972</v>
      </c>
      <c r="M448" s="19">
        <f t="shared" si="65"/>
        <v>0.1899999999999995</v>
      </c>
      <c r="N448" s="19">
        <f t="shared" si="65"/>
        <v>0.15000000000000036</v>
      </c>
      <c r="O448" s="19">
        <f t="shared" si="65"/>
        <v>0.1201944576929197</v>
      </c>
      <c r="P448" s="19">
        <f t="shared" si="63"/>
        <v>8.9999999999999858E-2</v>
      </c>
      <c r="R448" s="19"/>
      <c r="S448" s="19"/>
      <c r="T448" s="19"/>
      <c r="U448" s="19"/>
      <c r="V448" s="19"/>
    </row>
    <row r="449" spans="1:22" x14ac:dyDescent="0.2">
      <c r="A449" s="8">
        <v>44848</v>
      </c>
      <c r="B449" s="24">
        <v>4.5</v>
      </c>
      <c r="C449" s="24">
        <v>4.4800000000000004</v>
      </c>
      <c r="D449" s="24">
        <v>4.47</v>
      </c>
      <c r="E449" s="24">
        <v>4.3603801027170492</v>
      </c>
      <c r="F449" s="24">
        <v>4.25</v>
      </c>
      <c r="G449" s="83">
        <f t="shared" si="59"/>
        <v>95.693779904306226</v>
      </c>
      <c r="H449" s="84">
        <f t="shared" si="62"/>
        <v>101.45552484136414</v>
      </c>
      <c r="I449" s="84">
        <f t="shared" si="60"/>
        <v>90.022396000546422</v>
      </c>
      <c r="J449" s="84">
        <f t="shared" si="61"/>
        <v>399293856.54875195</v>
      </c>
      <c r="L449" s="19">
        <f t="shared" si="64"/>
        <v>4.0000000000000036E-2</v>
      </c>
      <c r="M449" s="19">
        <f t="shared" si="65"/>
        <v>1.0000000000000675E-2</v>
      </c>
      <c r="N449" s="19">
        <f t="shared" si="65"/>
        <v>2.9999999999999361E-2</v>
      </c>
      <c r="O449" s="19">
        <f t="shared" si="65"/>
        <v>3.5118771361335455E-2</v>
      </c>
      <c r="P449" s="19">
        <f t="shared" si="63"/>
        <v>4.0000000000000036E-2</v>
      </c>
      <c r="R449" s="19"/>
      <c r="S449" s="19"/>
      <c r="T449" s="19"/>
      <c r="U449" s="19"/>
      <c r="V449" s="19"/>
    </row>
    <row r="450" spans="1:22" x14ac:dyDescent="0.2">
      <c r="A450" s="8">
        <v>44851</v>
      </c>
      <c r="B450" s="24">
        <v>4.5</v>
      </c>
      <c r="C450" s="24">
        <v>4.45</v>
      </c>
      <c r="D450" s="24">
        <v>4.45</v>
      </c>
      <c r="E450" s="24">
        <v>4.3453708570785921</v>
      </c>
      <c r="F450" s="24">
        <v>4.24</v>
      </c>
      <c r="G450" s="83">
        <f t="shared" ref="G450:G513" si="66">100/((1+B450/100)^1)</f>
        <v>95.693779904306226</v>
      </c>
      <c r="H450" s="84">
        <f t="shared" si="62"/>
        <v>101.51106670531479</v>
      </c>
      <c r="I450" s="84">
        <f t="shared" ref="I450:I513" si="67">SUM(2/(1+B450/100)^1, 2/(1+C450/100)^2, 2/(1+D450/100)^3, 2/(1+E450/100)^4, 102/(1+F450/100)^5)</f>
        <v>90.065167775033444</v>
      </c>
      <c r="J450" s="84">
        <f t="shared" ref="J450:J513" si="68">G450*2000000+H450*-1500000+I450*4000000</f>
        <v>399381630.85077405</v>
      </c>
      <c r="L450" s="19">
        <f t="shared" si="64"/>
        <v>0</v>
      </c>
      <c r="M450" s="19">
        <f t="shared" si="65"/>
        <v>-3.0000000000000249E-2</v>
      </c>
      <c r="N450" s="19">
        <f t="shared" si="65"/>
        <v>-1.9999999999999574E-2</v>
      </c>
      <c r="O450" s="19">
        <f t="shared" si="65"/>
        <v>-1.500924563845718E-2</v>
      </c>
      <c r="P450" s="19">
        <f t="shared" si="63"/>
        <v>-9.9999999999997868E-3</v>
      </c>
      <c r="R450" s="19"/>
      <c r="S450" s="19"/>
      <c r="T450" s="19"/>
      <c r="U450" s="19"/>
      <c r="V450" s="19"/>
    </row>
    <row r="451" spans="1:22" x14ac:dyDescent="0.2">
      <c r="A451" s="8">
        <v>44852</v>
      </c>
      <c r="B451" s="24">
        <v>4.5</v>
      </c>
      <c r="C451" s="24">
        <v>4.43</v>
      </c>
      <c r="D451" s="24">
        <v>4.43</v>
      </c>
      <c r="E451" s="24">
        <v>4.3200251491090107</v>
      </c>
      <c r="F451" s="24">
        <v>4.21</v>
      </c>
      <c r="G451" s="83">
        <f t="shared" si="66"/>
        <v>95.693779904306226</v>
      </c>
      <c r="H451" s="84">
        <f t="shared" ref="H451:H514" si="69">SUM(5/(1+B451/100)^1, 5/(1+C451/100)^2, 105/(1+D451/100)^3)</f>
        <v>101.56577319206752</v>
      </c>
      <c r="I451" s="84">
        <f t="shared" si="67"/>
        <v>90.187879138607059</v>
      </c>
      <c r="J451" s="84">
        <f t="shared" si="68"/>
        <v>399790416.57493937</v>
      </c>
      <c r="L451" s="19">
        <f t="shared" si="64"/>
        <v>0</v>
      </c>
      <c r="M451" s="19">
        <f t="shared" si="65"/>
        <v>-2.0000000000000462E-2</v>
      </c>
      <c r="N451" s="19">
        <f t="shared" si="65"/>
        <v>-2.0000000000000462E-2</v>
      </c>
      <c r="O451" s="19">
        <f t="shared" si="65"/>
        <v>-2.5345707969581355E-2</v>
      </c>
      <c r="P451" s="19">
        <f t="shared" si="63"/>
        <v>-3.0000000000000249E-2</v>
      </c>
      <c r="R451" s="19"/>
      <c r="S451" s="19"/>
      <c r="T451" s="19"/>
      <c r="U451" s="19"/>
      <c r="V451" s="19"/>
    </row>
    <row r="452" spans="1:22" x14ac:dyDescent="0.2">
      <c r="A452" s="8">
        <v>44853</v>
      </c>
      <c r="B452" s="24">
        <v>4.5999999999999996</v>
      </c>
      <c r="C452" s="24">
        <v>4.55</v>
      </c>
      <c r="D452" s="24">
        <v>4.5599999999999996</v>
      </c>
      <c r="E452" s="24">
        <v>4.455483957929224</v>
      </c>
      <c r="F452" s="24">
        <v>4.3499999999999996</v>
      </c>
      <c r="G452" s="83">
        <f t="shared" si="66"/>
        <v>95.602294455066911</v>
      </c>
      <c r="H452" s="84">
        <f t="shared" si="69"/>
        <v>101.20722329223487</v>
      </c>
      <c r="I452" s="84">
        <f t="shared" si="67"/>
        <v>89.611300921449981</v>
      </c>
      <c r="J452" s="84">
        <f t="shared" si="68"/>
        <v>397838957.65758139</v>
      </c>
      <c r="L452" s="19">
        <f t="shared" si="64"/>
        <v>9.9999999999999645E-2</v>
      </c>
      <c r="M452" s="19">
        <f t="shared" si="65"/>
        <v>0.12000000000000011</v>
      </c>
      <c r="N452" s="19">
        <f t="shared" si="65"/>
        <v>0.12999999999999989</v>
      </c>
      <c r="O452" s="19">
        <f t="shared" si="65"/>
        <v>0.13545880882021333</v>
      </c>
      <c r="P452" s="19">
        <f t="shared" si="65"/>
        <v>0.13999999999999968</v>
      </c>
      <c r="R452" s="19"/>
      <c r="S452" s="19"/>
      <c r="T452" s="19"/>
      <c r="U452" s="19"/>
      <c r="V452" s="19"/>
    </row>
    <row r="453" spans="1:22" x14ac:dyDescent="0.2">
      <c r="A453" s="8">
        <v>44854</v>
      </c>
      <c r="B453" s="24">
        <v>4.66</v>
      </c>
      <c r="C453" s="24">
        <v>4.62</v>
      </c>
      <c r="D453" s="24">
        <v>4.66</v>
      </c>
      <c r="E453" s="24">
        <v>4.5550497115858253</v>
      </c>
      <c r="F453" s="24">
        <v>4.45</v>
      </c>
      <c r="G453" s="83">
        <f t="shared" si="66"/>
        <v>95.547487101089246</v>
      </c>
      <c r="H453" s="84">
        <f t="shared" si="69"/>
        <v>100.93532604386967</v>
      </c>
      <c r="I453" s="84">
        <f t="shared" si="67"/>
        <v>89.202473165512998</v>
      </c>
      <c r="J453" s="84">
        <f t="shared" si="68"/>
        <v>396501877.79842591</v>
      </c>
      <c r="L453" s="19">
        <f t="shared" ref="L453:L516" si="70">B453-B452</f>
        <v>6.0000000000000497E-2</v>
      </c>
      <c r="M453" s="19">
        <f t="shared" ref="M453:P516" si="71">C453-C452</f>
        <v>7.0000000000000284E-2</v>
      </c>
      <c r="N453" s="19">
        <f t="shared" si="71"/>
        <v>0.10000000000000053</v>
      </c>
      <c r="O453" s="19">
        <f t="shared" si="71"/>
        <v>9.9565753656601252E-2</v>
      </c>
      <c r="P453" s="19">
        <f t="shared" si="71"/>
        <v>0.10000000000000053</v>
      </c>
      <c r="R453" s="19"/>
      <c r="S453" s="19"/>
      <c r="T453" s="19"/>
      <c r="U453" s="19"/>
      <c r="V453" s="19"/>
    </row>
    <row r="454" spans="1:22" x14ac:dyDescent="0.2">
      <c r="A454" s="8">
        <v>44855</v>
      </c>
      <c r="B454" s="24">
        <v>4.58</v>
      </c>
      <c r="C454" s="24">
        <v>4.49</v>
      </c>
      <c r="D454" s="24">
        <v>4.5199999999999996</v>
      </c>
      <c r="E454" s="24">
        <v>4.4303110829668935</v>
      </c>
      <c r="F454" s="24">
        <v>4.34</v>
      </c>
      <c r="G454" s="83">
        <f t="shared" si="66"/>
        <v>95.620577548288381</v>
      </c>
      <c r="H454" s="84">
        <f t="shared" si="69"/>
        <v>101.31888933244264</v>
      </c>
      <c r="I454" s="84">
        <f t="shared" si="67"/>
        <v>89.656911408953363</v>
      </c>
      <c r="J454" s="84">
        <f t="shared" si="68"/>
        <v>397890466.73372626</v>
      </c>
      <c r="L454" s="19">
        <f t="shared" si="70"/>
        <v>-8.0000000000000071E-2</v>
      </c>
      <c r="M454" s="19">
        <f t="shared" si="71"/>
        <v>-0.12999999999999989</v>
      </c>
      <c r="N454" s="19">
        <f t="shared" si="71"/>
        <v>-0.14000000000000057</v>
      </c>
      <c r="O454" s="19">
        <f t="shared" si="71"/>
        <v>-0.12473862861893181</v>
      </c>
      <c r="P454" s="19">
        <f t="shared" si="71"/>
        <v>-0.11000000000000032</v>
      </c>
      <c r="R454" s="19"/>
      <c r="S454" s="19"/>
      <c r="T454" s="19"/>
      <c r="U454" s="19"/>
      <c r="V454" s="19"/>
    </row>
    <row r="455" spans="1:22" x14ac:dyDescent="0.2">
      <c r="A455" s="8">
        <v>44858</v>
      </c>
      <c r="B455" s="24">
        <v>4.6100000000000003</v>
      </c>
      <c r="C455" s="24">
        <v>4.5</v>
      </c>
      <c r="D455" s="24">
        <v>4.5199999999999996</v>
      </c>
      <c r="E455" s="24">
        <v>4.4400755696812793</v>
      </c>
      <c r="F455" s="24">
        <v>4.3600000000000003</v>
      </c>
      <c r="G455" s="83">
        <f t="shared" si="66"/>
        <v>95.593155530064038</v>
      </c>
      <c r="H455" s="84">
        <f t="shared" si="69"/>
        <v>101.31664180912712</v>
      </c>
      <c r="I455" s="84">
        <f t="shared" si="67"/>
        <v>89.576380265560275</v>
      </c>
      <c r="J455" s="84">
        <f t="shared" si="68"/>
        <v>397516869.40867847</v>
      </c>
      <c r="L455" s="19">
        <f t="shared" si="70"/>
        <v>3.0000000000000249E-2</v>
      </c>
      <c r="M455" s="19">
        <f t="shared" si="71"/>
        <v>9.9999999999997868E-3</v>
      </c>
      <c r="N455" s="19">
        <f t="shared" si="71"/>
        <v>0</v>
      </c>
      <c r="O455" s="19">
        <f t="shared" si="71"/>
        <v>9.7644867143857894E-3</v>
      </c>
      <c r="P455" s="19">
        <f t="shared" si="71"/>
        <v>2.0000000000000462E-2</v>
      </c>
      <c r="R455" s="19"/>
      <c r="S455" s="19"/>
      <c r="T455" s="19"/>
      <c r="U455" s="19"/>
      <c r="V455" s="19"/>
    </row>
    <row r="456" spans="1:22" x14ac:dyDescent="0.2">
      <c r="A456" s="8">
        <v>44859</v>
      </c>
      <c r="B456" s="24">
        <v>4.5999999999999996</v>
      </c>
      <c r="C456" s="24">
        <v>4.42</v>
      </c>
      <c r="D456" s="24">
        <v>4.45</v>
      </c>
      <c r="E456" s="24">
        <v>4.3503003926759822</v>
      </c>
      <c r="F456" s="24">
        <v>4.25</v>
      </c>
      <c r="G456" s="83">
        <f t="shared" si="66"/>
        <v>95.602294455066911</v>
      </c>
      <c r="H456" s="84">
        <f t="shared" si="69"/>
        <v>101.50912623446649</v>
      </c>
      <c r="I456" s="84">
        <f t="shared" si="67"/>
        <v>90.024331816635041</v>
      </c>
      <c r="J456" s="84">
        <f t="shared" si="68"/>
        <v>399038226.82497424</v>
      </c>
      <c r="L456" s="19">
        <f t="shared" si="70"/>
        <v>-1.0000000000000675E-2</v>
      </c>
      <c r="M456" s="19">
        <f t="shared" si="71"/>
        <v>-8.0000000000000071E-2</v>
      </c>
      <c r="N456" s="19">
        <f t="shared" si="71"/>
        <v>-6.9999999999999396E-2</v>
      </c>
      <c r="O456" s="19">
        <f t="shared" si="71"/>
        <v>-8.9775177005297024E-2</v>
      </c>
      <c r="P456" s="19">
        <f t="shared" si="71"/>
        <v>-0.11000000000000032</v>
      </c>
      <c r="R456" s="19"/>
      <c r="S456" s="19"/>
      <c r="T456" s="19"/>
      <c r="U456" s="19"/>
      <c r="V456" s="19"/>
    </row>
    <row r="457" spans="1:22" x14ac:dyDescent="0.2">
      <c r="A457" s="8">
        <v>44860</v>
      </c>
      <c r="B457" s="24">
        <v>4.54</v>
      </c>
      <c r="C457" s="24">
        <v>4.3899999999999997</v>
      </c>
      <c r="D457" s="24">
        <v>4.41</v>
      </c>
      <c r="E457" s="24">
        <v>4.305363242705794</v>
      </c>
      <c r="F457" s="24">
        <v>4.2</v>
      </c>
      <c r="G457" s="83">
        <f t="shared" si="66"/>
        <v>95.657164721637642</v>
      </c>
      <c r="H457" s="84">
        <f t="shared" si="69"/>
        <v>101.62044814218039</v>
      </c>
      <c r="I457" s="84">
        <f t="shared" si="67"/>
        <v>90.230344233874618</v>
      </c>
      <c r="J457" s="84">
        <f t="shared" si="68"/>
        <v>399805034.16550314</v>
      </c>
      <c r="L457" s="19">
        <f t="shared" si="70"/>
        <v>-5.9999999999999609E-2</v>
      </c>
      <c r="M457" s="19">
        <f t="shared" si="71"/>
        <v>-3.0000000000000249E-2</v>
      </c>
      <c r="N457" s="19">
        <f t="shared" si="71"/>
        <v>-4.0000000000000036E-2</v>
      </c>
      <c r="O457" s="19">
        <f t="shared" si="71"/>
        <v>-4.4937149970188273E-2</v>
      </c>
      <c r="P457" s="19">
        <f t="shared" si="71"/>
        <v>-4.9999999999999822E-2</v>
      </c>
      <c r="R457" s="19"/>
      <c r="S457" s="19"/>
      <c r="T457" s="19"/>
      <c r="U457" s="19"/>
      <c r="V457" s="19"/>
    </row>
    <row r="458" spans="1:22" x14ac:dyDescent="0.2">
      <c r="A458" s="8">
        <v>44861</v>
      </c>
      <c r="B458" s="24">
        <v>4.5</v>
      </c>
      <c r="C458" s="24">
        <v>4.3</v>
      </c>
      <c r="D458" s="24">
        <v>4.29</v>
      </c>
      <c r="E458" s="24">
        <v>4.1901531444086277</v>
      </c>
      <c r="F458" s="24">
        <v>4.09</v>
      </c>
      <c r="G458" s="83">
        <f t="shared" si="66"/>
        <v>95.693779904306226</v>
      </c>
      <c r="H458" s="84">
        <f t="shared" si="69"/>
        <v>101.94900381978725</v>
      </c>
      <c r="I458" s="84">
        <f t="shared" si="67"/>
        <v>90.687480094241266</v>
      </c>
      <c r="J458" s="84">
        <f t="shared" si="68"/>
        <v>401213974.45589662</v>
      </c>
      <c r="L458" s="19">
        <f t="shared" si="70"/>
        <v>-4.0000000000000036E-2</v>
      </c>
      <c r="M458" s="19">
        <f t="shared" si="71"/>
        <v>-8.9999999999999858E-2</v>
      </c>
      <c r="N458" s="19">
        <f t="shared" si="71"/>
        <v>-0.12000000000000011</v>
      </c>
      <c r="O458" s="19">
        <f t="shared" si="71"/>
        <v>-0.11521009829716622</v>
      </c>
      <c r="P458" s="19">
        <f t="shared" si="71"/>
        <v>-0.11000000000000032</v>
      </c>
      <c r="R458" s="19"/>
      <c r="S458" s="19"/>
      <c r="T458" s="19"/>
      <c r="U458" s="19"/>
      <c r="V458" s="19"/>
    </row>
    <row r="459" spans="1:22" x14ac:dyDescent="0.2">
      <c r="A459" s="8">
        <v>44862</v>
      </c>
      <c r="B459" s="24">
        <v>4.55</v>
      </c>
      <c r="C459" s="24">
        <v>4.41</v>
      </c>
      <c r="D459" s="24">
        <v>4.38</v>
      </c>
      <c r="E459" s="24">
        <v>4.2852060020993612</v>
      </c>
      <c r="F459" s="24">
        <v>4.1900000000000004</v>
      </c>
      <c r="G459" s="83">
        <f t="shared" si="66"/>
        <v>95.648015303682442</v>
      </c>
      <c r="H459" s="84">
        <f t="shared" si="69"/>
        <v>101.69779638394704</v>
      </c>
      <c r="I459" s="84">
        <f t="shared" si="67"/>
        <v>90.27213600921219</v>
      </c>
      <c r="J459" s="84">
        <f t="shared" si="68"/>
        <v>399837880.06829309</v>
      </c>
      <c r="L459" s="19">
        <f t="shared" si="70"/>
        <v>4.9999999999999822E-2</v>
      </c>
      <c r="M459" s="19">
        <f t="shared" si="71"/>
        <v>0.11000000000000032</v>
      </c>
      <c r="N459" s="19">
        <f t="shared" si="71"/>
        <v>8.9999999999999858E-2</v>
      </c>
      <c r="O459" s="19">
        <f t="shared" si="71"/>
        <v>9.5052857690733461E-2</v>
      </c>
      <c r="P459" s="19">
        <f t="shared" si="71"/>
        <v>0.10000000000000053</v>
      </c>
      <c r="R459" s="19"/>
      <c r="S459" s="19"/>
      <c r="T459" s="19"/>
      <c r="U459" s="19"/>
      <c r="V459" s="19"/>
    </row>
    <row r="460" spans="1:22" x14ac:dyDescent="0.2">
      <c r="A460" s="8">
        <v>44865</v>
      </c>
      <c r="B460" s="24">
        <v>4.66</v>
      </c>
      <c r="C460" s="24">
        <v>4.51</v>
      </c>
      <c r="D460" s="24">
        <v>4.45</v>
      </c>
      <c r="E460" s="24">
        <v>4.36048829851189</v>
      </c>
      <c r="F460" s="24">
        <v>4.2699999999999996</v>
      </c>
      <c r="G460" s="83">
        <f t="shared" si="66"/>
        <v>95.547487101089246</v>
      </c>
      <c r="H460" s="84">
        <f t="shared" si="69"/>
        <v>101.4984912646854</v>
      </c>
      <c r="I460" s="84">
        <f t="shared" si="67"/>
        <v>89.940005845359053</v>
      </c>
      <c r="J460" s="84">
        <f t="shared" si="68"/>
        <v>398607260.68658662</v>
      </c>
      <c r="L460" s="19">
        <f t="shared" si="70"/>
        <v>0.11000000000000032</v>
      </c>
      <c r="M460" s="19">
        <f t="shared" si="71"/>
        <v>9.9999999999999645E-2</v>
      </c>
      <c r="N460" s="19">
        <f t="shared" si="71"/>
        <v>7.0000000000000284E-2</v>
      </c>
      <c r="O460" s="19">
        <f t="shared" si="71"/>
        <v>7.5282296412528815E-2</v>
      </c>
      <c r="P460" s="19">
        <f t="shared" si="71"/>
        <v>7.9999999999999183E-2</v>
      </c>
      <c r="R460" s="19"/>
      <c r="S460" s="19"/>
      <c r="T460" s="19"/>
      <c r="U460" s="19"/>
      <c r="V460" s="19"/>
    </row>
    <row r="461" spans="1:22" x14ac:dyDescent="0.2">
      <c r="A461" s="8">
        <v>44866</v>
      </c>
      <c r="B461" s="24">
        <v>4.75</v>
      </c>
      <c r="C461" s="24">
        <v>4.54</v>
      </c>
      <c r="D461" s="24">
        <v>4.4800000000000004</v>
      </c>
      <c r="E461" s="24">
        <v>4.3752383458375572</v>
      </c>
      <c r="F461" s="24">
        <v>4.2699999999999996</v>
      </c>
      <c r="G461" s="83">
        <f t="shared" si="66"/>
        <v>95.465393794749389</v>
      </c>
      <c r="H461" s="84">
        <f t="shared" si="69"/>
        <v>101.41240928965912</v>
      </c>
      <c r="I461" s="84">
        <f t="shared" si="67"/>
        <v>89.934848838558068</v>
      </c>
      <c r="J461" s="84">
        <f t="shared" si="68"/>
        <v>398551569.00924236</v>
      </c>
      <c r="L461" s="19">
        <f t="shared" si="70"/>
        <v>8.9999999999999858E-2</v>
      </c>
      <c r="M461" s="19">
        <f t="shared" si="71"/>
        <v>3.0000000000000249E-2</v>
      </c>
      <c r="N461" s="19">
        <f t="shared" si="71"/>
        <v>3.0000000000000249E-2</v>
      </c>
      <c r="O461" s="19">
        <f t="shared" si="71"/>
        <v>1.4750047325667204E-2</v>
      </c>
      <c r="P461" s="19">
        <f t="shared" si="71"/>
        <v>0</v>
      </c>
      <c r="R461" s="19"/>
      <c r="S461" s="19"/>
      <c r="T461" s="19"/>
      <c r="U461" s="19"/>
      <c r="V461" s="19"/>
    </row>
    <row r="462" spans="1:22" x14ac:dyDescent="0.2">
      <c r="A462" s="8">
        <v>44867</v>
      </c>
      <c r="B462" s="24">
        <v>4.76</v>
      </c>
      <c r="C462" s="24">
        <v>4.6100000000000003</v>
      </c>
      <c r="D462" s="24">
        <v>4.54</v>
      </c>
      <c r="E462" s="24">
        <v>4.4204769800848842</v>
      </c>
      <c r="F462" s="24">
        <v>4.3</v>
      </c>
      <c r="G462" s="83">
        <f t="shared" si="66"/>
        <v>95.456281023291325</v>
      </c>
      <c r="H462" s="84">
        <f t="shared" si="69"/>
        <v>101.24740527522727</v>
      </c>
      <c r="I462" s="84">
        <f t="shared" si="67"/>
        <v>89.807333284933847</v>
      </c>
      <c r="J462" s="84">
        <f t="shared" si="68"/>
        <v>398270787.27347714</v>
      </c>
      <c r="L462" s="19">
        <f t="shared" si="70"/>
        <v>9.9999999999997868E-3</v>
      </c>
      <c r="M462" s="19">
        <f t="shared" si="71"/>
        <v>7.0000000000000284E-2</v>
      </c>
      <c r="N462" s="19">
        <f t="shared" si="71"/>
        <v>5.9999999999999609E-2</v>
      </c>
      <c r="O462" s="19">
        <f t="shared" si="71"/>
        <v>4.5238634247326992E-2</v>
      </c>
      <c r="P462" s="19">
        <f t="shared" si="71"/>
        <v>3.0000000000000249E-2</v>
      </c>
      <c r="R462" s="19"/>
      <c r="S462" s="19"/>
      <c r="T462" s="19"/>
      <c r="U462" s="19"/>
      <c r="V462" s="19"/>
    </row>
    <row r="463" spans="1:22" x14ac:dyDescent="0.2">
      <c r="A463" s="8">
        <v>44868</v>
      </c>
      <c r="B463" s="24">
        <v>4.78</v>
      </c>
      <c r="C463" s="24">
        <v>4.71</v>
      </c>
      <c r="D463" s="24">
        <v>4.63</v>
      </c>
      <c r="E463" s="24">
        <v>4.4950702604499595</v>
      </c>
      <c r="F463" s="24">
        <v>4.3600000000000003</v>
      </c>
      <c r="G463" s="83">
        <f t="shared" si="66"/>
        <v>95.438060698606591</v>
      </c>
      <c r="H463" s="84">
        <f t="shared" si="69"/>
        <v>101.00081104208017</v>
      </c>
      <c r="I463" s="84">
        <f t="shared" si="67"/>
        <v>89.556885028886356</v>
      </c>
      <c r="J463" s="84">
        <f t="shared" si="68"/>
        <v>397602444.94963837</v>
      </c>
      <c r="L463" s="19">
        <f t="shared" si="70"/>
        <v>2.0000000000000462E-2</v>
      </c>
      <c r="M463" s="19">
        <f t="shared" si="71"/>
        <v>9.9999999999999645E-2</v>
      </c>
      <c r="N463" s="19">
        <f t="shared" si="71"/>
        <v>8.9999999999999858E-2</v>
      </c>
      <c r="O463" s="19">
        <f t="shared" si="71"/>
        <v>7.4593280365075287E-2</v>
      </c>
      <c r="P463" s="19">
        <f t="shared" si="71"/>
        <v>6.0000000000000497E-2</v>
      </c>
      <c r="R463" s="19"/>
      <c r="S463" s="19"/>
      <c r="T463" s="19"/>
      <c r="U463" s="19"/>
      <c r="V463" s="19"/>
    </row>
    <row r="464" spans="1:22" x14ac:dyDescent="0.2">
      <c r="A464" s="8">
        <v>44869</v>
      </c>
      <c r="B464" s="24">
        <v>4.76</v>
      </c>
      <c r="C464" s="24">
        <v>4.66</v>
      </c>
      <c r="D464" s="24">
        <v>4.58</v>
      </c>
      <c r="E464" s="24">
        <v>4.4551483487226209</v>
      </c>
      <c r="F464" s="24">
        <v>4.33</v>
      </c>
      <c r="G464" s="83">
        <f t="shared" si="66"/>
        <v>95.456281023291325</v>
      </c>
      <c r="H464" s="84">
        <f t="shared" si="69"/>
        <v>101.13762429992568</v>
      </c>
      <c r="I464" s="84">
        <f t="shared" si="67"/>
        <v>89.68260333991654</v>
      </c>
      <c r="J464" s="84">
        <f t="shared" si="68"/>
        <v>397936538.95636028</v>
      </c>
      <c r="L464" s="19">
        <f t="shared" si="70"/>
        <v>-2.0000000000000462E-2</v>
      </c>
      <c r="M464" s="19">
        <f t="shared" si="71"/>
        <v>-4.9999999999999822E-2</v>
      </c>
      <c r="N464" s="19">
        <f t="shared" si="71"/>
        <v>-4.9999999999999822E-2</v>
      </c>
      <c r="O464" s="19">
        <f t="shared" si="71"/>
        <v>-3.992191172733861E-2</v>
      </c>
      <c r="P464" s="19">
        <f t="shared" si="71"/>
        <v>-3.0000000000000249E-2</v>
      </c>
      <c r="R464" s="19"/>
      <c r="S464" s="19"/>
      <c r="T464" s="19"/>
      <c r="U464" s="19"/>
      <c r="V464" s="19"/>
    </row>
    <row r="465" spans="1:22" x14ac:dyDescent="0.2">
      <c r="A465" s="8">
        <v>44872</v>
      </c>
      <c r="B465" s="24">
        <v>4.8</v>
      </c>
      <c r="C465" s="24">
        <v>4.72</v>
      </c>
      <c r="D465" s="24">
        <v>4.63</v>
      </c>
      <c r="E465" s="24">
        <v>4.5100223197493969</v>
      </c>
      <c r="F465" s="24">
        <v>4.3899999999999997</v>
      </c>
      <c r="G465" s="83">
        <f t="shared" si="66"/>
        <v>95.419847328244273</v>
      </c>
      <c r="H465" s="84">
        <f t="shared" si="69"/>
        <v>100.99902946349479</v>
      </c>
      <c r="I465" s="84">
        <f t="shared" si="67"/>
        <v>89.436877828490807</v>
      </c>
      <c r="J465" s="84">
        <f t="shared" si="68"/>
        <v>397088661.77520955</v>
      </c>
      <c r="L465" s="19">
        <f t="shared" si="70"/>
        <v>4.0000000000000036E-2</v>
      </c>
      <c r="M465" s="19">
        <f t="shared" si="71"/>
        <v>5.9999999999999609E-2</v>
      </c>
      <c r="N465" s="19">
        <f t="shared" si="71"/>
        <v>4.9999999999999822E-2</v>
      </c>
      <c r="O465" s="19">
        <f t="shared" si="71"/>
        <v>5.4873971026776047E-2</v>
      </c>
      <c r="P465" s="19">
        <f t="shared" si="71"/>
        <v>5.9999999999999609E-2</v>
      </c>
      <c r="R465" s="19"/>
      <c r="S465" s="19"/>
      <c r="T465" s="19"/>
      <c r="U465" s="19"/>
      <c r="V465" s="19"/>
    </row>
    <row r="466" spans="1:22" x14ac:dyDescent="0.2">
      <c r="A466" s="8">
        <v>44873</v>
      </c>
      <c r="B466" s="24">
        <v>4.7699999999999996</v>
      </c>
      <c r="C466" s="24">
        <v>4.67</v>
      </c>
      <c r="D466" s="24">
        <v>4.55</v>
      </c>
      <c r="E466" s="24">
        <v>4.4300279284542023</v>
      </c>
      <c r="F466" s="24">
        <v>4.3099999999999996</v>
      </c>
      <c r="G466" s="83">
        <f t="shared" si="66"/>
        <v>95.447169991409751</v>
      </c>
      <c r="H466" s="84">
        <f t="shared" si="69"/>
        <v>101.2153437859092</v>
      </c>
      <c r="I466" s="84">
        <f t="shared" si="67"/>
        <v>89.764334746627341</v>
      </c>
      <c r="J466" s="84">
        <f t="shared" si="68"/>
        <v>398128663.29046512</v>
      </c>
      <c r="L466" s="19">
        <f t="shared" si="70"/>
        <v>-3.0000000000000249E-2</v>
      </c>
      <c r="M466" s="19">
        <f t="shared" si="71"/>
        <v>-4.9999999999999822E-2</v>
      </c>
      <c r="N466" s="19">
        <f t="shared" si="71"/>
        <v>-8.0000000000000071E-2</v>
      </c>
      <c r="O466" s="19">
        <f t="shared" si="71"/>
        <v>-7.9994391295194589E-2</v>
      </c>
      <c r="P466" s="19">
        <f t="shared" si="71"/>
        <v>-8.0000000000000071E-2</v>
      </c>
      <c r="R466" s="19"/>
      <c r="S466" s="19"/>
      <c r="T466" s="19"/>
      <c r="U466" s="19"/>
      <c r="V466" s="19"/>
    </row>
    <row r="467" spans="1:22" x14ac:dyDescent="0.2">
      <c r="A467" s="8">
        <v>44874</v>
      </c>
      <c r="B467" s="24">
        <v>4.75</v>
      </c>
      <c r="C467" s="24">
        <v>4.6100000000000003</v>
      </c>
      <c r="D467" s="24">
        <v>4.49</v>
      </c>
      <c r="E467" s="24">
        <v>4.3804675304813969</v>
      </c>
      <c r="F467" s="24">
        <v>4.2699999999999996</v>
      </c>
      <c r="G467" s="83">
        <f t="shared" si="66"/>
        <v>95.465393794749389</v>
      </c>
      <c r="H467" s="84">
        <f t="shared" si="69"/>
        <v>101.37985854617163</v>
      </c>
      <c r="I467" s="84">
        <f t="shared" si="67"/>
        <v>89.931559395099015</v>
      </c>
      <c r="J467" s="84">
        <f t="shared" si="68"/>
        <v>398587237.35063744</v>
      </c>
      <c r="L467" s="19">
        <f t="shared" si="70"/>
        <v>-1.9999999999999574E-2</v>
      </c>
      <c r="M467" s="19">
        <f t="shared" si="71"/>
        <v>-5.9999999999999609E-2</v>
      </c>
      <c r="N467" s="19">
        <f t="shared" si="71"/>
        <v>-5.9999999999999609E-2</v>
      </c>
      <c r="O467" s="19">
        <f t="shared" si="71"/>
        <v>-4.9560397972805426E-2</v>
      </c>
      <c r="P467" s="19">
        <f t="shared" si="71"/>
        <v>-4.0000000000000036E-2</v>
      </c>
      <c r="R467" s="19"/>
      <c r="S467" s="19"/>
      <c r="T467" s="19"/>
      <c r="U467" s="19"/>
      <c r="V467" s="19"/>
    </row>
    <row r="468" spans="1:22" x14ac:dyDescent="0.2">
      <c r="A468" s="8">
        <v>44875</v>
      </c>
      <c r="B468" s="24">
        <v>4.59</v>
      </c>
      <c r="C468" s="24">
        <v>4.34</v>
      </c>
      <c r="D468" s="24">
        <v>4.17</v>
      </c>
      <c r="E468" s="24">
        <v>4.0602118563046021</v>
      </c>
      <c r="F468" s="24">
        <v>3.95</v>
      </c>
      <c r="G468" s="83">
        <f t="shared" si="66"/>
        <v>95.611435127641258</v>
      </c>
      <c r="H468" s="84">
        <f t="shared" si="69"/>
        <v>102.2616369567027</v>
      </c>
      <c r="I468" s="84">
        <f t="shared" si="67"/>
        <v>91.262652965365405</v>
      </c>
      <c r="J468" s="84">
        <f t="shared" si="68"/>
        <v>402881026.6816901</v>
      </c>
      <c r="L468" s="19">
        <f t="shared" si="70"/>
        <v>-0.16000000000000014</v>
      </c>
      <c r="M468" s="19">
        <f t="shared" si="71"/>
        <v>-0.27000000000000046</v>
      </c>
      <c r="N468" s="19">
        <f t="shared" si="71"/>
        <v>-0.32000000000000028</v>
      </c>
      <c r="O468" s="19">
        <f t="shared" si="71"/>
        <v>-0.32025567417679479</v>
      </c>
      <c r="P468" s="19">
        <f t="shared" si="71"/>
        <v>-0.3199999999999994</v>
      </c>
      <c r="R468" s="19"/>
      <c r="S468" s="19"/>
      <c r="T468" s="19"/>
      <c r="U468" s="19"/>
      <c r="V468" s="19"/>
    </row>
    <row r="469" spans="1:22" x14ac:dyDescent="0.2">
      <c r="A469" s="8">
        <v>44879</v>
      </c>
      <c r="B469" s="24">
        <v>4.63</v>
      </c>
      <c r="C469" s="24">
        <v>4.4000000000000004</v>
      </c>
      <c r="D469" s="24">
        <v>4.24</v>
      </c>
      <c r="E469" s="24">
        <v>4.1202150346893696</v>
      </c>
      <c r="F469" s="24">
        <v>4</v>
      </c>
      <c r="G469" s="83">
        <f t="shared" si="66"/>
        <v>95.574882920768417</v>
      </c>
      <c r="H469" s="84">
        <f t="shared" si="69"/>
        <v>102.06752633187486</v>
      </c>
      <c r="I469" s="84">
        <f t="shared" si="67"/>
        <v>91.050499337806585</v>
      </c>
      <c r="J469" s="84">
        <f t="shared" si="68"/>
        <v>402250473.69495082</v>
      </c>
      <c r="L469" s="19">
        <f t="shared" si="70"/>
        <v>4.0000000000000036E-2</v>
      </c>
      <c r="M469" s="19">
        <f t="shared" si="71"/>
        <v>6.0000000000000497E-2</v>
      </c>
      <c r="N469" s="19">
        <f t="shared" si="71"/>
        <v>7.0000000000000284E-2</v>
      </c>
      <c r="O469" s="19">
        <f t="shared" si="71"/>
        <v>6.000317838476743E-2</v>
      </c>
      <c r="P469" s="19">
        <f t="shared" si="71"/>
        <v>4.9999999999999822E-2</v>
      </c>
      <c r="R469" s="19"/>
      <c r="S469" s="19"/>
      <c r="T469" s="19"/>
      <c r="U469" s="19"/>
      <c r="V469" s="19"/>
    </row>
    <row r="470" spans="1:22" x14ac:dyDescent="0.2">
      <c r="A470" s="8">
        <v>44880</v>
      </c>
      <c r="B470" s="24">
        <v>4.5999999999999996</v>
      </c>
      <c r="C470" s="24">
        <v>4.37</v>
      </c>
      <c r="D470" s="24">
        <v>4.17</v>
      </c>
      <c r="E470" s="24">
        <v>4.0501151672789266</v>
      </c>
      <c r="F470" s="24">
        <v>3.93</v>
      </c>
      <c r="G470" s="83">
        <f t="shared" si="66"/>
        <v>95.602294455066911</v>
      </c>
      <c r="H470" s="84">
        <f t="shared" si="69"/>
        <v>102.25854005948807</v>
      </c>
      <c r="I470" s="84">
        <f t="shared" si="67"/>
        <v>91.342968040959974</v>
      </c>
      <c r="J470" s="84">
        <f t="shared" si="68"/>
        <v>403188650.98474157</v>
      </c>
      <c r="L470" s="19">
        <f t="shared" si="70"/>
        <v>-3.0000000000000249E-2</v>
      </c>
      <c r="M470" s="19">
        <f t="shared" si="71"/>
        <v>-3.0000000000000249E-2</v>
      </c>
      <c r="N470" s="19">
        <f t="shared" si="71"/>
        <v>-7.0000000000000284E-2</v>
      </c>
      <c r="O470" s="19">
        <f t="shared" si="71"/>
        <v>-7.009986741044294E-2</v>
      </c>
      <c r="P470" s="19">
        <f t="shared" si="71"/>
        <v>-6.999999999999984E-2</v>
      </c>
      <c r="R470" s="19"/>
      <c r="S470" s="19"/>
      <c r="T470" s="19"/>
      <c r="U470" s="19"/>
      <c r="V470" s="19"/>
    </row>
    <row r="471" spans="1:22" x14ac:dyDescent="0.2">
      <c r="A471" s="8">
        <v>44881</v>
      </c>
      <c r="B471" s="24">
        <v>4.62</v>
      </c>
      <c r="C471" s="24">
        <v>4.3499999999999996</v>
      </c>
      <c r="D471" s="24">
        <v>4.13</v>
      </c>
      <c r="E471" s="24">
        <v>3.9804379654405566</v>
      </c>
      <c r="F471" s="24">
        <v>3.83</v>
      </c>
      <c r="G471" s="83">
        <f t="shared" si="66"/>
        <v>95.584018352131523</v>
      </c>
      <c r="H471" s="84">
        <f t="shared" si="69"/>
        <v>102.36647210884777</v>
      </c>
      <c r="I471" s="84">
        <f t="shared" si="67"/>
        <v>91.75578711231924</v>
      </c>
      <c r="J471" s="84">
        <f t="shared" si="68"/>
        <v>404641476.99026835</v>
      </c>
      <c r="L471" s="19">
        <f t="shared" si="70"/>
        <v>2.0000000000000462E-2</v>
      </c>
      <c r="M471" s="19">
        <f t="shared" si="71"/>
        <v>-2.0000000000000462E-2</v>
      </c>
      <c r="N471" s="19">
        <f t="shared" si="71"/>
        <v>-4.0000000000000036E-2</v>
      </c>
      <c r="O471" s="19">
        <f t="shared" si="71"/>
        <v>-6.9677201838370006E-2</v>
      </c>
      <c r="P471" s="19">
        <f t="shared" si="71"/>
        <v>-0.10000000000000009</v>
      </c>
      <c r="R471" s="19"/>
      <c r="S471" s="19"/>
      <c r="T471" s="19"/>
      <c r="U471" s="19"/>
      <c r="V471" s="19"/>
    </row>
    <row r="472" spans="1:22" x14ac:dyDescent="0.2">
      <c r="A472" s="8">
        <v>44882</v>
      </c>
      <c r="B472" s="24">
        <v>4.68</v>
      </c>
      <c r="C472" s="24">
        <v>4.43</v>
      </c>
      <c r="D472" s="24">
        <v>4.22</v>
      </c>
      <c r="E472" s="24">
        <v>4.0750814353882951</v>
      </c>
      <c r="F472" s="24">
        <v>3.93</v>
      </c>
      <c r="G472" s="83">
        <f t="shared" si="66"/>
        <v>95.529231944975166</v>
      </c>
      <c r="H472" s="84">
        <f t="shared" si="69"/>
        <v>102.11598736671783</v>
      </c>
      <c r="I472" s="84">
        <f t="shared" si="67"/>
        <v>91.335215654891172</v>
      </c>
      <c r="J472" s="84">
        <f t="shared" si="68"/>
        <v>403225345.45943832</v>
      </c>
      <c r="L472" s="19">
        <f t="shared" si="70"/>
        <v>5.9999999999999609E-2</v>
      </c>
      <c r="M472" s="19">
        <f t="shared" si="71"/>
        <v>8.0000000000000071E-2</v>
      </c>
      <c r="N472" s="19">
        <f t="shared" si="71"/>
        <v>8.9999999999999858E-2</v>
      </c>
      <c r="O472" s="19">
        <f t="shared" si="71"/>
        <v>9.4643469947738534E-2</v>
      </c>
      <c r="P472" s="19">
        <f t="shared" si="71"/>
        <v>0.10000000000000009</v>
      </c>
      <c r="R472" s="19"/>
      <c r="S472" s="19"/>
      <c r="T472" s="19"/>
      <c r="U472" s="19"/>
      <c r="V472" s="19"/>
    </row>
    <row r="473" spans="1:22" x14ac:dyDescent="0.2">
      <c r="A473" s="8">
        <v>44883</v>
      </c>
      <c r="B473" s="24">
        <v>4.74</v>
      </c>
      <c r="C473" s="24">
        <v>4.51</v>
      </c>
      <c r="D473" s="24">
        <v>4.28</v>
      </c>
      <c r="E473" s="24">
        <v>4.1350122481210487</v>
      </c>
      <c r="F473" s="24">
        <v>3.99</v>
      </c>
      <c r="G473" s="83">
        <f t="shared" si="66"/>
        <v>95.474508306282218</v>
      </c>
      <c r="H473" s="84">
        <f t="shared" si="69"/>
        <v>101.94622088384506</v>
      </c>
      <c r="I473" s="84">
        <f t="shared" si="67"/>
        <v>91.081950649630002</v>
      </c>
      <c r="J473" s="84">
        <f t="shared" si="68"/>
        <v>402357487.88531685</v>
      </c>
      <c r="L473" s="19">
        <f t="shared" si="70"/>
        <v>6.0000000000000497E-2</v>
      </c>
      <c r="M473" s="19">
        <f t="shared" si="71"/>
        <v>8.0000000000000071E-2</v>
      </c>
      <c r="N473" s="19">
        <f t="shared" si="71"/>
        <v>6.0000000000000497E-2</v>
      </c>
      <c r="O473" s="19">
        <f t="shared" si="71"/>
        <v>5.993081273275358E-2</v>
      </c>
      <c r="P473" s="19">
        <f t="shared" si="71"/>
        <v>6.0000000000000053E-2</v>
      </c>
      <c r="R473" s="19"/>
      <c r="S473" s="19"/>
      <c r="T473" s="19"/>
      <c r="U473" s="19"/>
      <c r="V473" s="19"/>
    </row>
    <row r="474" spans="1:22" x14ac:dyDescent="0.2">
      <c r="A474" s="8">
        <v>44886</v>
      </c>
      <c r="B474" s="24">
        <v>4.75</v>
      </c>
      <c r="C474" s="24">
        <v>4.4800000000000004</v>
      </c>
      <c r="D474" s="24">
        <v>4.32</v>
      </c>
      <c r="E474" s="24">
        <v>4.1450996622391987</v>
      </c>
      <c r="F474" s="24">
        <v>3.97</v>
      </c>
      <c r="G474" s="83">
        <f t="shared" si="66"/>
        <v>95.465393794749389</v>
      </c>
      <c r="H474" s="84">
        <f t="shared" si="69"/>
        <v>101.84192292752181</v>
      </c>
      <c r="I474" s="84">
        <f t="shared" si="67"/>
        <v>91.160838359926203</v>
      </c>
      <c r="J474" s="84">
        <f t="shared" si="68"/>
        <v>402811256.63792092</v>
      </c>
      <c r="L474" s="19">
        <f t="shared" si="70"/>
        <v>9.9999999999997868E-3</v>
      </c>
      <c r="M474" s="19">
        <f t="shared" si="71"/>
        <v>-2.9999999999999361E-2</v>
      </c>
      <c r="N474" s="19">
        <f t="shared" si="71"/>
        <v>4.0000000000000036E-2</v>
      </c>
      <c r="O474" s="19">
        <f t="shared" si="71"/>
        <v>1.0087414118149951E-2</v>
      </c>
      <c r="P474" s="19">
        <f t="shared" si="71"/>
        <v>-2.0000000000000018E-2</v>
      </c>
      <c r="R474" s="19"/>
      <c r="S474" s="19"/>
      <c r="T474" s="19"/>
      <c r="U474" s="19"/>
      <c r="V474" s="19"/>
    </row>
    <row r="475" spans="1:22" x14ac:dyDescent="0.2">
      <c r="A475" s="8">
        <v>44887</v>
      </c>
      <c r="B475" s="24">
        <v>4.79</v>
      </c>
      <c r="C475" s="24">
        <v>4.47</v>
      </c>
      <c r="D475" s="24">
        <v>4.2699999999999996</v>
      </c>
      <c r="E475" s="24">
        <v>4.100391803897308</v>
      </c>
      <c r="F475" s="24">
        <v>3.93</v>
      </c>
      <c r="G475" s="83">
        <f t="shared" si="66"/>
        <v>95.428953144383996</v>
      </c>
      <c r="H475" s="84">
        <f t="shared" si="69"/>
        <v>101.97409272613542</v>
      </c>
      <c r="I475" s="84">
        <f t="shared" si="67"/>
        <v>91.327608339628583</v>
      </c>
      <c r="J475" s="84">
        <f t="shared" si="68"/>
        <v>403207200.55807912</v>
      </c>
      <c r="L475" s="19">
        <f t="shared" si="70"/>
        <v>4.0000000000000036E-2</v>
      </c>
      <c r="M475" s="19">
        <f t="shared" si="71"/>
        <v>-1.0000000000000675E-2</v>
      </c>
      <c r="N475" s="19">
        <f t="shared" si="71"/>
        <v>-5.0000000000000711E-2</v>
      </c>
      <c r="O475" s="19">
        <f t="shared" si="71"/>
        <v>-4.4707858341890727E-2</v>
      </c>
      <c r="P475" s="19">
        <f t="shared" si="71"/>
        <v>-4.0000000000000036E-2</v>
      </c>
      <c r="R475" s="19"/>
      <c r="S475" s="19"/>
      <c r="T475" s="19"/>
      <c r="U475" s="19"/>
      <c r="V475" s="19"/>
    </row>
    <row r="476" spans="1:22" x14ac:dyDescent="0.2">
      <c r="A476" s="8">
        <v>44888</v>
      </c>
      <c r="B476" s="24">
        <v>4.75</v>
      </c>
      <c r="C476" s="24">
        <v>4.46</v>
      </c>
      <c r="D476" s="24">
        <v>4.2300000000000004</v>
      </c>
      <c r="E476" s="24">
        <v>4.0553998758099832</v>
      </c>
      <c r="F476" s="24">
        <v>3.88</v>
      </c>
      <c r="G476" s="83">
        <f t="shared" si="66"/>
        <v>95.465393794749389</v>
      </c>
      <c r="H476" s="84">
        <f t="shared" si="69"/>
        <v>102.08346784327442</v>
      </c>
      <c r="I476" s="84">
        <f t="shared" si="67"/>
        <v>91.536305665581096</v>
      </c>
      <c r="J476" s="84">
        <f t="shared" si="68"/>
        <v>403950808.48691154</v>
      </c>
      <c r="L476" s="19">
        <f t="shared" si="70"/>
        <v>-4.0000000000000036E-2</v>
      </c>
      <c r="M476" s="19">
        <f t="shared" si="71"/>
        <v>-9.9999999999997868E-3</v>
      </c>
      <c r="N476" s="19">
        <f t="shared" si="71"/>
        <v>-3.9999999999999147E-2</v>
      </c>
      <c r="O476" s="19">
        <f t="shared" si="71"/>
        <v>-4.4991928087324773E-2</v>
      </c>
      <c r="P476" s="19">
        <f t="shared" si="71"/>
        <v>-5.0000000000000266E-2</v>
      </c>
      <c r="R476" s="19"/>
      <c r="S476" s="19"/>
      <c r="T476" s="19"/>
      <c r="U476" s="19"/>
      <c r="V476" s="19"/>
    </row>
    <row r="477" spans="1:22" x14ac:dyDescent="0.2">
      <c r="A477" s="8">
        <v>44890</v>
      </c>
      <c r="B477" s="24">
        <v>4.76</v>
      </c>
      <c r="C477" s="24">
        <v>4.42</v>
      </c>
      <c r="D477" s="24">
        <v>4.2</v>
      </c>
      <c r="E477" s="24">
        <v>4.0251620932680074</v>
      </c>
      <c r="F477" s="24">
        <v>3.85</v>
      </c>
      <c r="G477" s="83">
        <f t="shared" si="66"/>
        <v>95.456281023291325</v>
      </c>
      <c r="H477" s="84">
        <f t="shared" si="69"/>
        <v>102.16663789546061</v>
      </c>
      <c r="I477" s="84">
        <f t="shared" si="67"/>
        <v>91.662902506777115</v>
      </c>
      <c r="J477" s="84">
        <f t="shared" si="68"/>
        <v>404314215.23050022</v>
      </c>
      <c r="L477" s="19">
        <f t="shared" si="70"/>
        <v>9.9999999999997868E-3</v>
      </c>
      <c r="M477" s="19">
        <f t="shared" si="71"/>
        <v>-4.0000000000000036E-2</v>
      </c>
      <c r="N477" s="19">
        <f t="shared" si="71"/>
        <v>-3.0000000000000249E-2</v>
      </c>
      <c r="O477" s="19">
        <f t="shared" si="71"/>
        <v>-3.0237782541975733E-2</v>
      </c>
      <c r="P477" s="19">
        <f t="shared" si="71"/>
        <v>-2.9999999999999805E-2</v>
      </c>
      <c r="R477" s="19"/>
      <c r="S477" s="19"/>
      <c r="T477" s="19"/>
      <c r="U477" s="19"/>
      <c r="V477" s="19"/>
    </row>
    <row r="478" spans="1:22" x14ac:dyDescent="0.2">
      <c r="A478" s="8">
        <v>44893</v>
      </c>
      <c r="B478" s="24">
        <v>4.76</v>
      </c>
      <c r="C478" s="24">
        <v>4.46</v>
      </c>
      <c r="D478" s="24">
        <v>4.22</v>
      </c>
      <c r="E478" s="24">
        <v>4.0503934828603647</v>
      </c>
      <c r="F478" s="24">
        <v>3.88</v>
      </c>
      <c r="G478" s="83">
        <f t="shared" si="66"/>
        <v>95.456281023291325</v>
      </c>
      <c r="H478" s="84">
        <f t="shared" si="69"/>
        <v>102.10970677546104</v>
      </c>
      <c r="I478" s="84">
        <f t="shared" si="67"/>
        <v>91.536960233479718</v>
      </c>
      <c r="J478" s="84">
        <f t="shared" si="68"/>
        <v>403895842.81730998</v>
      </c>
      <c r="L478" s="19">
        <f t="shared" si="70"/>
        <v>0</v>
      </c>
      <c r="M478" s="19">
        <f t="shared" si="71"/>
        <v>4.0000000000000036E-2</v>
      </c>
      <c r="N478" s="19">
        <f t="shared" si="71"/>
        <v>1.9999999999999574E-2</v>
      </c>
      <c r="O478" s="19">
        <f t="shared" si="71"/>
        <v>2.5231389592357267E-2</v>
      </c>
      <c r="P478" s="19">
        <f t="shared" si="71"/>
        <v>2.9999999999999805E-2</v>
      </c>
      <c r="R478" s="19"/>
      <c r="S478" s="19"/>
      <c r="T478" s="19"/>
      <c r="U478" s="19"/>
      <c r="V478" s="19"/>
    </row>
    <row r="479" spans="1:22" x14ac:dyDescent="0.2">
      <c r="A479" s="8">
        <v>44894</v>
      </c>
      <c r="B479" s="24">
        <v>4.78</v>
      </c>
      <c r="C479" s="24">
        <v>4.4800000000000004</v>
      </c>
      <c r="D479" s="24">
        <v>4.24</v>
      </c>
      <c r="E479" s="24">
        <v>4.0800137850543603</v>
      </c>
      <c r="F479" s="24">
        <v>3.92</v>
      </c>
      <c r="G479" s="83">
        <f t="shared" si="66"/>
        <v>95.438060698606591</v>
      </c>
      <c r="H479" s="84">
        <f t="shared" si="69"/>
        <v>102.05366275671116</v>
      </c>
      <c r="I479" s="84">
        <f t="shared" si="67"/>
        <v>91.370778397107145</v>
      </c>
      <c r="J479" s="84">
        <f t="shared" si="68"/>
        <v>403278740.85057497</v>
      </c>
      <c r="L479" s="19">
        <f t="shared" si="70"/>
        <v>2.0000000000000462E-2</v>
      </c>
      <c r="M479" s="19">
        <f t="shared" si="71"/>
        <v>2.0000000000000462E-2</v>
      </c>
      <c r="N479" s="19">
        <f t="shared" si="71"/>
        <v>2.0000000000000462E-2</v>
      </c>
      <c r="O479" s="19">
        <f t="shared" si="71"/>
        <v>2.9620302193995585E-2</v>
      </c>
      <c r="P479" s="19">
        <f t="shared" si="71"/>
        <v>4.0000000000000036E-2</v>
      </c>
      <c r="R479" s="19"/>
      <c r="S479" s="19"/>
      <c r="T479" s="19"/>
      <c r="U479" s="19"/>
      <c r="V479" s="19"/>
    </row>
    <row r="480" spans="1:22" x14ac:dyDescent="0.2">
      <c r="A480" s="8">
        <v>44895</v>
      </c>
      <c r="B480" s="24">
        <v>4.74</v>
      </c>
      <c r="C480" s="24">
        <v>4.38</v>
      </c>
      <c r="D480" s="24">
        <v>4.13</v>
      </c>
      <c r="E480" s="24">
        <v>3.9750311418927069</v>
      </c>
      <c r="F480" s="24">
        <v>3.82</v>
      </c>
      <c r="G480" s="83">
        <f t="shared" si="66"/>
        <v>95.474508306282218</v>
      </c>
      <c r="H480" s="84">
        <f t="shared" si="69"/>
        <v>102.35835750173258</v>
      </c>
      <c r="I480" s="84">
        <f t="shared" si="67"/>
        <v>91.793612556350226</v>
      </c>
      <c r="J480" s="84">
        <f t="shared" si="68"/>
        <v>404585930.58536649</v>
      </c>
      <c r="L480" s="19">
        <f t="shared" si="70"/>
        <v>-4.0000000000000036E-2</v>
      </c>
      <c r="M480" s="19">
        <f t="shared" si="71"/>
        <v>-0.10000000000000053</v>
      </c>
      <c r="N480" s="19">
        <f t="shared" si="71"/>
        <v>-0.11000000000000032</v>
      </c>
      <c r="O480" s="19">
        <f t="shared" si="71"/>
        <v>-0.1049826431616534</v>
      </c>
      <c r="P480" s="19">
        <f t="shared" si="71"/>
        <v>-0.10000000000000009</v>
      </c>
      <c r="R480" s="19"/>
      <c r="S480" s="19"/>
      <c r="T480" s="19"/>
      <c r="U480" s="19"/>
      <c r="V480" s="19"/>
    </row>
    <row r="481" spans="1:22" x14ac:dyDescent="0.2">
      <c r="A481" s="8">
        <v>44896</v>
      </c>
      <c r="B481" s="24">
        <v>4.66</v>
      </c>
      <c r="C481" s="24">
        <v>4.25</v>
      </c>
      <c r="D481" s="24">
        <v>3.98</v>
      </c>
      <c r="E481" s="24">
        <v>3.8300541535235708</v>
      </c>
      <c r="F481" s="24">
        <v>3.68</v>
      </c>
      <c r="G481" s="83">
        <f t="shared" si="66"/>
        <v>95.547487101089246</v>
      </c>
      <c r="H481" s="84">
        <f t="shared" si="69"/>
        <v>102.77650143667127</v>
      </c>
      <c r="I481" s="84">
        <f t="shared" si="67"/>
        <v>92.389401850992186</v>
      </c>
      <c r="J481" s="84">
        <f t="shared" si="68"/>
        <v>406487829.45114028</v>
      </c>
      <c r="L481" s="19">
        <f t="shared" si="70"/>
        <v>-8.0000000000000071E-2</v>
      </c>
      <c r="M481" s="19">
        <f t="shared" si="71"/>
        <v>-0.12999999999999989</v>
      </c>
      <c r="N481" s="19">
        <f t="shared" si="71"/>
        <v>-0.14999999999999991</v>
      </c>
      <c r="O481" s="19">
        <f t="shared" si="71"/>
        <v>-0.14497698836913608</v>
      </c>
      <c r="P481" s="19">
        <f t="shared" si="71"/>
        <v>-0.13999999999999968</v>
      </c>
      <c r="R481" s="19"/>
      <c r="S481" s="19"/>
      <c r="T481" s="19"/>
      <c r="U481" s="19"/>
      <c r="V481" s="19"/>
    </row>
    <row r="482" spans="1:22" x14ac:dyDescent="0.2">
      <c r="A482" s="8">
        <v>44897</v>
      </c>
      <c r="B482" s="24">
        <v>4.6900000000000004</v>
      </c>
      <c r="C482" s="24">
        <v>4.28</v>
      </c>
      <c r="D482" s="24">
        <v>3.99</v>
      </c>
      <c r="E482" s="24">
        <v>3.8300311257425919</v>
      </c>
      <c r="F482" s="24">
        <v>3.67</v>
      </c>
      <c r="G482" s="83">
        <f t="shared" si="66"/>
        <v>95.52010698251982</v>
      </c>
      <c r="H482" s="84">
        <f t="shared" si="69"/>
        <v>102.74554385293068</v>
      </c>
      <c r="I482" s="84">
        <f t="shared" si="67"/>
        <v>92.428354029486044</v>
      </c>
      <c r="J482" s="84">
        <f t="shared" si="68"/>
        <v>406635314.30358779</v>
      </c>
      <c r="L482" s="19">
        <f t="shared" si="70"/>
        <v>3.0000000000000249E-2</v>
      </c>
      <c r="M482" s="19">
        <f t="shared" si="71"/>
        <v>3.0000000000000249E-2</v>
      </c>
      <c r="N482" s="19">
        <f t="shared" si="71"/>
        <v>1.0000000000000231E-2</v>
      </c>
      <c r="O482" s="19">
        <f t="shared" si="71"/>
        <v>-2.3027780978956969E-5</v>
      </c>
      <c r="P482" s="19">
        <f t="shared" si="71"/>
        <v>-1.0000000000000231E-2</v>
      </c>
      <c r="R482" s="19"/>
      <c r="S482" s="19"/>
      <c r="T482" s="19"/>
      <c r="U482" s="19"/>
      <c r="V482" s="19"/>
    </row>
    <row r="483" spans="1:22" x14ac:dyDescent="0.2">
      <c r="A483" s="8">
        <v>44900</v>
      </c>
      <c r="B483" s="24">
        <v>4.7699999999999996</v>
      </c>
      <c r="C483" s="24">
        <v>4.41</v>
      </c>
      <c r="D483" s="24">
        <v>4.13</v>
      </c>
      <c r="E483" s="24">
        <v>3.9652622824916048</v>
      </c>
      <c r="F483" s="24">
        <v>3.8</v>
      </c>
      <c r="G483" s="83">
        <f t="shared" si="66"/>
        <v>95.447169991409751</v>
      </c>
      <c r="H483" s="84">
        <f t="shared" si="69"/>
        <v>102.35435375571188</v>
      </c>
      <c r="I483" s="84">
        <f t="shared" si="67"/>
        <v>91.874155721038093</v>
      </c>
      <c r="J483" s="84">
        <f t="shared" si="68"/>
        <v>404859432.23340404</v>
      </c>
      <c r="L483" s="19">
        <f t="shared" si="70"/>
        <v>7.9999999999999183E-2</v>
      </c>
      <c r="M483" s="19">
        <f t="shared" si="71"/>
        <v>0.12999999999999989</v>
      </c>
      <c r="N483" s="19">
        <f t="shared" si="71"/>
        <v>0.13999999999999968</v>
      </c>
      <c r="O483" s="19">
        <f t="shared" si="71"/>
        <v>0.13523115674901298</v>
      </c>
      <c r="P483" s="19">
        <f t="shared" si="71"/>
        <v>0.12999999999999989</v>
      </c>
      <c r="R483" s="19"/>
      <c r="S483" s="19"/>
      <c r="T483" s="19"/>
      <c r="U483" s="19"/>
      <c r="V483" s="19"/>
    </row>
    <row r="484" spans="1:22" x14ac:dyDescent="0.2">
      <c r="A484" s="8">
        <v>44901</v>
      </c>
      <c r="B484" s="24">
        <v>4.7300000000000004</v>
      </c>
      <c r="C484" s="24">
        <v>4.34</v>
      </c>
      <c r="D484" s="24">
        <v>4.07</v>
      </c>
      <c r="E484" s="24">
        <v>3.9003091043550224</v>
      </c>
      <c r="F484" s="24">
        <v>3.73</v>
      </c>
      <c r="G484" s="83">
        <f t="shared" si="66"/>
        <v>95.483624558388243</v>
      </c>
      <c r="H484" s="84">
        <f t="shared" si="69"/>
        <v>102.52327077726682</v>
      </c>
      <c r="I484" s="84">
        <f t="shared" si="67"/>
        <v>92.170695677626483</v>
      </c>
      <c r="J484" s="84">
        <f t="shared" si="68"/>
        <v>405865125.6613822</v>
      </c>
      <c r="L484" s="19">
        <f t="shared" si="70"/>
        <v>-3.9999999999999147E-2</v>
      </c>
      <c r="M484" s="19">
        <f t="shared" si="71"/>
        <v>-7.0000000000000284E-2</v>
      </c>
      <c r="N484" s="19">
        <f t="shared" si="71"/>
        <v>-5.9999999999999609E-2</v>
      </c>
      <c r="O484" s="19">
        <f t="shared" si="71"/>
        <v>-6.4953178136582412E-2</v>
      </c>
      <c r="P484" s="19">
        <f t="shared" si="71"/>
        <v>-6.999999999999984E-2</v>
      </c>
      <c r="R484" s="19"/>
      <c r="S484" s="19"/>
      <c r="T484" s="19"/>
      <c r="U484" s="19"/>
      <c r="V484" s="19"/>
    </row>
    <row r="485" spans="1:22" x14ac:dyDescent="0.2">
      <c r="A485" s="8">
        <v>44902</v>
      </c>
      <c r="B485" s="24">
        <v>4.67</v>
      </c>
      <c r="C485" s="24">
        <v>4.26</v>
      </c>
      <c r="D485" s="24">
        <v>3.97</v>
      </c>
      <c r="E485" s="24">
        <v>3.7952339026368258</v>
      </c>
      <c r="F485" s="24">
        <v>3.62</v>
      </c>
      <c r="G485" s="83">
        <f t="shared" si="66"/>
        <v>95.538358650998376</v>
      </c>
      <c r="H485" s="84">
        <f t="shared" si="69"/>
        <v>102.80211476361499</v>
      </c>
      <c r="I485" s="84">
        <f t="shared" si="67"/>
        <v>92.638467635021527</v>
      </c>
      <c r="J485" s="84">
        <f t="shared" si="68"/>
        <v>407427415.69666034</v>
      </c>
      <c r="L485" s="19">
        <f t="shared" si="70"/>
        <v>-6.0000000000000497E-2</v>
      </c>
      <c r="M485" s="19">
        <f t="shared" si="71"/>
        <v>-8.0000000000000071E-2</v>
      </c>
      <c r="N485" s="19">
        <f t="shared" si="71"/>
        <v>-0.10000000000000009</v>
      </c>
      <c r="O485" s="19">
        <f t="shared" si="71"/>
        <v>-0.10507520171819662</v>
      </c>
      <c r="P485" s="19">
        <f t="shared" si="71"/>
        <v>-0.10999999999999988</v>
      </c>
      <c r="R485" s="19"/>
      <c r="S485" s="19"/>
      <c r="T485" s="19"/>
      <c r="U485" s="19"/>
      <c r="V485" s="19"/>
    </row>
    <row r="486" spans="1:22" x14ac:dyDescent="0.2">
      <c r="A486" s="8">
        <v>44903</v>
      </c>
      <c r="B486" s="24">
        <v>4.71</v>
      </c>
      <c r="C486" s="24">
        <v>4.3099999999999996</v>
      </c>
      <c r="D486" s="24">
        <v>4.04</v>
      </c>
      <c r="E486" s="24">
        <v>3.8754643568400584</v>
      </c>
      <c r="F486" s="24">
        <v>3.71</v>
      </c>
      <c r="G486" s="83">
        <f t="shared" si="66"/>
        <v>95.501862286314591</v>
      </c>
      <c r="H486" s="84">
        <f t="shared" si="69"/>
        <v>102.60743315395756</v>
      </c>
      <c r="I486" s="84">
        <f t="shared" si="67"/>
        <v>92.257221807222194</v>
      </c>
      <c r="J486" s="84">
        <f t="shared" si="68"/>
        <v>406121462.07058156</v>
      </c>
      <c r="L486" s="19">
        <f t="shared" si="70"/>
        <v>4.0000000000000036E-2</v>
      </c>
      <c r="M486" s="19">
        <f t="shared" si="71"/>
        <v>4.9999999999999822E-2</v>
      </c>
      <c r="N486" s="19">
        <f t="shared" si="71"/>
        <v>6.999999999999984E-2</v>
      </c>
      <c r="O486" s="19">
        <f t="shared" si="71"/>
        <v>8.0230454203232604E-2</v>
      </c>
      <c r="P486" s="19">
        <f t="shared" si="71"/>
        <v>8.9999999999999858E-2</v>
      </c>
      <c r="R486" s="19"/>
      <c r="S486" s="19"/>
      <c r="T486" s="19"/>
      <c r="U486" s="19"/>
      <c r="V486" s="19"/>
    </row>
    <row r="487" spans="1:22" x14ac:dyDescent="0.2">
      <c r="A487" s="8">
        <v>44904</v>
      </c>
      <c r="B487" s="24">
        <v>4.72</v>
      </c>
      <c r="C487" s="24">
        <v>4.33</v>
      </c>
      <c r="D487" s="24">
        <v>4.07</v>
      </c>
      <c r="E487" s="24">
        <v>3.9101815171220546</v>
      </c>
      <c r="F487" s="24">
        <v>3.75</v>
      </c>
      <c r="G487" s="83">
        <f t="shared" si="66"/>
        <v>95.492742551566096</v>
      </c>
      <c r="H487" s="84">
        <f t="shared" si="69"/>
        <v>102.52460713755508</v>
      </c>
      <c r="I487" s="84">
        <f t="shared" si="67"/>
        <v>92.088746184677376</v>
      </c>
      <c r="J487" s="84">
        <f t="shared" si="68"/>
        <v>405553559.13550907</v>
      </c>
      <c r="L487" s="19">
        <f t="shared" si="70"/>
        <v>9.9999999999997868E-3</v>
      </c>
      <c r="M487" s="19">
        <f t="shared" si="71"/>
        <v>2.0000000000000462E-2</v>
      </c>
      <c r="N487" s="19">
        <f t="shared" si="71"/>
        <v>3.0000000000000249E-2</v>
      </c>
      <c r="O487" s="19">
        <f t="shared" si="71"/>
        <v>3.4717160281996229E-2</v>
      </c>
      <c r="P487" s="19">
        <f t="shared" si="71"/>
        <v>4.0000000000000036E-2</v>
      </c>
      <c r="R487" s="19"/>
      <c r="S487" s="19"/>
      <c r="T487" s="19"/>
      <c r="U487" s="19"/>
      <c r="V487" s="19"/>
    </row>
    <row r="488" spans="1:22" x14ac:dyDescent="0.2">
      <c r="A488" s="8">
        <v>44907</v>
      </c>
      <c r="B488" s="24">
        <v>4.75</v>
      </c>
      <c r="C488" s="24">
        <v>4.3899999999999997</v>
      </c>
      <c r="D488" s="24">
        <v>4.0999999999999996</v>
      </c>
      <c r="E488" s="24">
        <v>3.9500297740863424</v>
      </c>
      <c r="F488" s="24">
        <v>3.8</v>
      </c>
      <c r="G488" s="83">
        <f t="shared" si="66"/>
        <v>95.465393794749389</v>
      </c>
      <c r="H488" s="84">
        <f t="shared" si="69"/>
        <v>102.43744527556072</v>
      </c>
      <c r="I488" s="84">
        <f t="shared" si="67"/>
        <v>91.877758754626058</v>
      </c>
      <c r="J488" s="84">
        <f t="shared" si="68"/>
        <v>404785654.69466192</v>
      </c>
      <c r="L488" s="19">
        <f t="shared" si="70"/>
        <v>3.0000000000000249E-2</v>
      </c>
      <c r="M488" s="19">
        <f t="shared" si="71"/>
        <v>5.9999999999999609E-2</v>
      </c>
      <c r="N488" s="19">
        <f t="shared" si="71"/>
        <v>2.9999999999999361E-2</v>
      </c>
      <c r="O488" s="19">
        <f t="shared" si="71"/>
        <v>3.9848256964287732E-2</v>
      </c>
      <c r="P488" s="19">
        <f t="shared" si="71"/>
        <v>4.9999999999999822E-2</v>
      </c>
      <c r="R488" s="19"/>
      <c r="S488" s="19"/>
      <c r="T488" s="19"/>
      <c r="U488" s="19"/>
      <c r="V488" s="19"/>
    </row>
    <row r="489" spans="1:22" x14ac:dyDescent="0.2">
      <c r="A489" s="8">
        <v>44908</v>
      </c>
      <c r="B489" s="24">
        <v>4.6399999999999997</v>
      </c>
      <c r="C489" s="24">
        <v>4.22</v>
      </c>
      <c r="D489" s="24">
        <v>3.96</v>
      </c>
      <c r="E489" s="24">
        <v>3.8103631442544628</v>
      </c>
      <c r="F489" s="24">
        <v>3.66</v>
      </c>
      <c r="G489" s="83">
        <f t="shared" si="66"/>
        <v>95.565749235474001</v>
      </c>
      <c r="H489" s="84">
        <f t="shared" si="69"/>
        <v>102.833978383088</v>
      </c>
      <c r="I489" s="84">
        <f t="shared" si="67"/>
        <v>92.475323662362669</v>
      </c>
      <c r="J489" s="84">
        <f t="shared" si="68"/>
        <v>406781825.54576671</v>
      </c>
      <c r="L489" s="19">
        <f t="shared" si="70"/>
        <v>-0.11000000000000032</v>
      </c>
      <c r="M489" s="19">
        <f t="shared" si="71"/>
        <v>-0.16999999999999993</v>
      </c>
      <c r="N489" s="19">
        <f t="shared" si="71"/>
        <v>-0.13999999999999968</v>
      </c>
      <c r="O489" s="19">
        <f t="shared" si="71"/>
        <v>-0.13966662983187961</v>
      </c>
      <c r="P489" s="19">
        <f t="shared" si="71"/>
        <v>-0.13999999999999968</v>
      </c>
      <c r="R489" s="19"/>
      <c r="S489" s="19"/>
      <c r="T489" s="19"/>
      <c r="U489" s="19"/>
      <c r="V489" s="19"/>
    </row>
    <row r="490" spans="1:22" x14ac:dyDescent="0.2">
      <c r="A490" s="8">
        <v>44909</v>
      </c>
      <c r="B490" s="24">
        <v>4.6399999999999997</v>
      </c>
      <c r="C490" s="24">
        <v>4.2300000000000004</v>
      </c>
      <c r="D490" s="24">
        <v>3.94</v>
      </c>
      <c r="E490" s="24">
        <v>3.7900081743063523</v>
      </c>
      <c r="F490" s="24">
        <v>3.64</v>
      </c>
      <c r="G490" s="83">
        <f t="shared" si="66"/>
        <v>95.565749235474001</v>
      </c>
      <c r="H490" s="84">
        <f t="shared" si="69"/>
        <v>102.88705148488633</v>
      </c>
      <c r="I490" s="84">
        <f t="shared" si="67"/>
        <v>92.559608635308152</v>
      </c>
      <c r="J490" s="84">
        <f t="shared" si="68"/>
        <v>407039355.78485107</v>
      </c>
      <c r="L490" s="19">
        <f t="shared" si="70"/>
        <v>0</v>
      </c>
      <c r="M490" s="19">
        <f t="shared" si="71"/>
        <v>1.0000000000000675E-2</v>
      </c>
      <c r="N490" s="19">
        <f t="shared" si="71"/>
        <v>-2.0000000000000018E-2</v>
      </c>
      <c r="O490" s="19">
        <f t="shared" si="71"/>
        <v>-2.035496994811048E-2</v>
      </c>
      <c r="P490" s="19">
        <f t="shared" si="71"/>
        <v>-2.0000000000000018E-2</v>
      </c>
      <c r="R490" s="19"/>
      <c r="S490" s="19"/>
      <c r="T490" s="19"/>
      <c r="U490" s="19"/>
      <c r="V490" s="19"/>
    </row>
    <row r="491" spans="1:22" x14ac:dyDescent="0.2">
      <c r="A491" s="8">
        <v>44910</v>
      </c>
      <c r="B491" s="24">
        <v>4.6500000000000004</v>
      </c>
      <c r="C491" s="24">
        <v>4.2300000000000004</v>
      </c>
      <c r="D491" s="24">
        <v>3.96</v>
      </c>
      <c r="E491" s="24">
        <v>3.790143127585309</v>
      </c>
      <c r="F491" s="24">
        <v>3.62</v>
      </c>
      <c r="G491" s="83">
        <f t="shared" si="66"/>
        <v>95.556617295747728</v>
      </c>
      <c r="H491" s="84">
        <f t="shared" si="69"/>
        <v>102.83263853479093</v>
      </c>
      <c r="I491" s="84">
        <f t="shared" si="67"/>
        <v>92.640743769162427</v>
      </c>
      <c r="J491" s="84">
        <f t="shared" si="68"/>
        <v>407427251.86595881</v>
      </c>
      <c r="L491" s="19">
        <f t="shared" si="70"/>
        <v>1.0000000000000675E-2</v>
      </c>
      <c r="M491" s="19">
        <f t="shared" si="71"/>
        <v>0</v>
      </c>
      <c r="N491" s="19">
        <f t="shared" si="71"/>
        <v>2.0000000000000018E-2</v>
      </c>
      <c r="O491" s="19">
        <f t="shared" si="71"/>
        <v>1.3495327895673981E-4</v>
      </c>
      <c r="P491" s="19">
        <f t="shared" si="71"/>
        <v>-2.0000000000000018E-2</v>
      </c>
      <c r="R491" s="19"/>
      <c r="S491" s="19"/>
      <c r="T491" s="19"/>
      <c r="U491" s="19"/>
      <c r="V491" s="19"/>
    </row>
    <row r="492" spans="1:22" x14ac:dyDescent="0.2">
      <c r="A492" s="8">
        <v>44911</v>
      </c>
      <c r="B492" s="24">
        <v>4.6100000000000003</v>
      </c>
      <c r="C492" s="24">
        <v>4.17</v>
      </c>
      <c r="D492" s="24">
        <v>3.91</v>
      </c>
      <c r="E492" s="24">
        <v>3.7604211738514355</v>
      </c>
      <c r="F492" s="24">
        <v>3.61</v>
      </c>
      <c r="G492" s="83">
        <f t="shared" si="66"/>
        <v>95.593155530064038</v>
      </c>
      <c r="H492" s="84">
        <f t="shared" si="69"/>
        <v>102.97473756239644</v>
      </c>
      <c r="I492" s="84">
        <f t="shared" si="67"/>
        <v>92.689355307694953</v>
      </c>
      <c r="J492" s="84">
        <f t="shared" si="68"/>
        <v>407481625.94731319</v>
      </c>
      <c r="L492" s="19">
        <f t="shared" si="70"/>
        <v>-4.0000000000000036E-2</v>
      </c>
      <c r="M492" s="19">
        <f t="shared" si="71"/>
        <v>-6.0000000000000497E-2</v>
      </c>
      <c r="N492" s="19">
        <f t="shared" si="71"/>
        <v>-4.9999999999999822E-2</v>
      </c>
      <c r="O492" s="19">
        <f t="shared" si="71"/>
        <v>-2.9721953733873541E-2</v>
      </c>
      <c r="P492" s="19">
        <f t="shared" si="71"/>
        <v>-1.0000000000000231E-2</v>
      </c>
      <c r="R492" s="19"/>
      <c r="S492" s="19"/>
      <c r="T492" s="19"/>
      <c r="U492" s="19"/>
      <c r="V492" s="19"/>
    </row>
    <row r="493" spans="1:22" x14ac:dyDescent="0.2">
      <c r="A493" s="8">
        <v>44914</v>
      </c>
      <c r="B493" s="24">
        <v>4.6399999999999997</v>
      </c>
      <c r="C493" s="24">
        <v>4.25</v>
      </c>
      <c r="D493" s="24">
        <v>3.99</v>
      </c>
      <c r="E493" s="24">
        <v>3.8453001833204863</v>
      </c>
      <c r="F493" s="24">
        <v>3.7</v>
      </c>
      <c r="G493" s="83">
        <f t="shared" si="66"/>
        <v>95.565749235474001</v>
      </c>
      <c r="H493" s="84">
        <f t="shared" si="69"/>
        <v>102.75047267114016</v>
      </c>
      <c r="I493" s="84">
        <f t="shared" si="67"/>
        <v>92.306174600554101</v>
      </c>
      <c r="J493" s="84">
        <f t="shared" si="68"/>
        <v>406230487.86645412</v>
      </c>
      <c r="L493" s="19">
        <f t="shared" si="70"/>
        <v>2.9999999999999361E-2</v>
      </c>
      <c r="M493" s="19">
        <f t="shared" si="71"/>
        <v>8.0000000000000071E-2</v>
      </c>
      <c r="N493" s="19">
        <f t="shared" si="71"/>
        <v>8.0000000000000071E-2</v>
      </c>
      <c r="O493" s="19">
        <f t="shared" si="71"/>
        <v>8.4879009469050803E-2</v>
      </c>
      <c r="P493" s="19">
        <f t="shared" si="71"/>
        <v>9.0000000000000302E-2</v>
      </c>
      <c r="R493" s="19"/>
      <c r="S493" s="19"/>
      <c r="T493" s="19"/>
      <c r="U493" s="19"/>
      <c r="V493" s="19"/>
    </row>
    <row r="494" spans="1:22" x14ac:dyDescent="0.2">
      <c r="A494" s="8">
        <v>44915</v>
      </c>
      <c r="B494" s="24">
        <v>4.6399999999999997</v>
      </c>
      <c r="C494" s="24">
        <v>4.25</v>
      </c>
      <c r="D494" s="24">
        <v>4.03</v>
      </c>
      <c r="E494" s="24">
        <v>3.9104654897094893</v>
      </c>
      <c r="F494" s="24">
        <v>3.79</v>
      </c>
      <c r="G494" s="83">
        <f t="shared" si="66"/>
        <v>95.565749235474001</v>
      </c>
      <c r="H494" s="84">
        <f t="shared" si="69"/>
        <v>102.64280874497092</v>
      </c>
      <c r="I494" s="84">
        <f t="shared" si="67"/>
        <v>91.9316760949242</v>
      </c>
      <c r="J494" s="84">
        <f t="shared" si="68"/>
        <v>404893989.73318839</v>
      </c>
      <c r="L494" s="19">
        <f t="shared" si="70"/>
        <v>0</v>
      </c>
      <c r="M494" s="19">
        <f t="shared" si="71"/>
        <v>0</v>
      </c>
      <c r="N494" s="19">
        <f t="shared" si="71"/>
        <v>4.0000000000000036E-2</v>
      </c>
      <c r="O494" s="19">
        <f t="shared" si="71"/>
        <v>6.5165306389002975E-2</v>
      </c>
      <c r="P494" s="19">
        <f t="shared" si="71"/>
        <v>8.9999999999999858E-2</v>
      </c>
      <c r="R494" s="19"/>
      <c r="S494" s="19"/>
      <c r="T494" s="19"/>
      <c r="U494" s="19"/>
      <c r="V494" s="19"/>
    </row>
    <row r="495" spans="1:22" x14ac:dyDescent="0.2">
      <c r="A495" s="8">
        <v>44916</v>
      </c>
      <c r="B495" s="24">
        <v>4.5999999999999996</v>
      </c>
      <c r="C495" s="24">
        <v>4.21</v>
      </c>
      <c r="D495" s="24">
        <v>4</v>
      </c>
      <c r="E495" s="24">
        <v>3.8901972603442823</v>
      </c>
      <c r="F495" s="24">
        <v>3.78</v>
      </c>
      <c r="G495" s="83">
        <f t="shared" si="66"/>
        <v>95.602294455066911</v>
      </c>
      <c r="H495" s="84">
        <f t="shared" si="69"/>
        <v>102.7289009181993</v>
      </c>
      <c r="I495" s="84">
        <f t="shared" si="67"/>
        <v>91.977506512411452</v>
      </c>
      <c r="J495" s="84">
        <f t="shared" si="68"/>
        <v>405021263.58248067</v>
      </c>
      <c r="L495" s="19">
        <f t="shared" si="70"/>
        <v>-4.0000000000000036E-2</v>
      </c>
      <c r="M495" s="19">
        <f t="shared" si="71"/>
        <v>-4.0000000000000036E-2</v>
      </c>
      <c r="N495" s="19">
        <f t="shared" si="71"/>
        <v>-3.0000000000000249E-2</v>
      </c>
      <c r="O495" s="19">
        <f t="shared" si="71"/>
        <v>-2.0268229365207002E-2</v>
      </c>
      <c r="P495" s="19">
        <f t="shared" si="71"/>
        <v>-1.0000000000000231E-2</v>
      </c>
      <c r="R495" s="19"/>
      <c r="S495" s="19"/>
      <c r="T495" s="19"/>
      <c r="U495" s="19"/>
      <c r="V495" s="19"/>
    </row>
    <row r="496" spans="1:22" x14ac:dyDescent="0.2">
      <c r="A496" s="8">
        <v>44917</v>
      </c>
      <c r="B496" s="24">
        <v>4.6399999999999997</v>
      </c>
      <c r="C496" s="24">
        <v>4.24</v>
      </c>
      <c r="D496" s="24">
        <v>4.0199999999999996</v>
      </c>
      <c r="E496" s="24">
        <v>3.9051983734182514</v>
      </c>
      <c r="F496" s="24">
        <v>3.79</v>
      </c>
      <c r="G496" s="83">
        <f t="shared" si="66"/>
        <v>95.565749235474001</v>
      </c>
      <c r="H496" s="84">
        <f t="shared" si="69"/>
        <v>102.6705919450813</v>
      </c>
      <c r="I496" s="84">
        <f t="shared" si="67"/>
        <v>91.932889455404109</v>
      </c>
      <c r="J496" s="84">
        <f t="shared" si="68"/>
        <v>404857168.37494248</v>
      </c>
      <c r="L496" s="19">
        <f t="shared" si="70"/>
        <v>4.0000000000000036E-2</v>
      </c>
      <c r="M496" s="19">
        <f t="shared" si="71"/>
        <v>3.0000000000000249E-2</v>
      </c>
      <c r="N496" s="19">
        <f t="shared" si="71"/>
        <v>1.9999999999999574E-2</v>
      </c>
      <c r="O496" s="19">
        <f t="shared" si="71"/>
        <v>1.5001113073969119E-2</v>
      </c>
      <c r="P496" s="19">
        <f t="shared" si="71"/>
        <v>1.0000000000000231E-2</v>
      </c>
      <c r="R496" s="19"/>
      <c r="S496" s="19"/>
      <c r="T496" s="19"/>
      <c r="U496" s="19"/>
      <c r="V496" s="19"/>
    </row>
    <row r="497" spans="1:22" x14ac:dyDescent="0.2">
      <c r="A497" s="8">
        <v>44918</v>
      </c>
      <c r="B497" s="24">
        <v>4.66</v>
      </c>
      <c r="C497" s="24">
        <v>4.3099999999999996</v>
      </c>
      <c r="D497" s="24">
        <v>4.09</v>
      </c>
      <c r="E497" s="24">
        <v>3.9751722349494441</v>
      </c>
      <c r="F497" s="24">
        <v>3.86</v>
      </c>
      <c r="G497" s="83">
        <f t="shared" si="66"/>
        <v>95.547487101089246</v>
      </c>
      <c r="H497" s="84">
        <f t="shared" si="69"/>
        <v>102.47541876267591</v>
      </c>
      <c r="I497" s="84">
        <f t="shared" si="67"/>
        <v>91.636849823874101</v>
      </c>
      <c r="J497" s="84">
        <f t="shared" si="68"/>
        <v>403929245.353661</v>
      </c>
      <c r="L497" s="19">
        <f t="shared" si="70"/>
        <v>2.0000000000000462E-2</v>
      </c>
      <c r="M497" s="19">
        <f t="shared" si="71"/>
        <v>6.9999999999999396E-2</v>
      </c>
      <c r="N497" s="19">
        <f t="shared" si="71"/>
        <v>7.0000000000000284E-2</v>
      </c>
      <c r="O497" s="19">
        <f t="shared" si="71"/>
        <v>6.9973861531192671E-2</v>
      </c>
      <c r="P497" s="19">
        <f t="shared" si="71"/>
        <v>6.999999999999984E-2</v>
      </c>
      <c r="R497" s="19"/>
      <c r="S497" s="19"/>
      <c r="T497" s="19"/>
      <c r="U497" s="19"/>
      <c r="V497" s="19"/>
    </row>
    <row r="498" spans="1:22" x14ac:dyDescent="0.2">
      <c r="A498" s="8">
        <v>44922</v>
      </c>
      <c r="B498" s="24">
        <v>4.75</v>
      </c>
      <c r="C498" s="24">
        <v>4.32</v>
      </c>
      <c r="D498" s="24">
        <v>4.17</v>
      </c>
      <c r="E498" s="24">
        <v>4.0550722826436303</v>
      </c>
      <c r="F498" s="24">
        <v>3.94</v>
      </c>
      <c r="G498" s="83">
        <f t="shared" si="66"/>
        <v>95.465393794749389</v>
      </c>
      <c r="H498" s="84">
        <f t="shared" si="69"/>
        <v>102.25609606452893</v>
      </c>
      <c r="I498" s="84">
        <f t="shared" si="67"/>
        <v>91.301207794600785</v>
      </c>
      <c r="J498" s="84">
        <f t="shared" si="68"/>
        <v>402751474.67110848</v>
      </c>
      <c r="L498" s="19">
        <f t="shared" si="70"/>
        <v>8.9999999999999858E-2</v>
      </c>
      <c r="M498" s="19">
        <f t="shared" si="71"/>
        <v>1.0000000000000675E-2</v>
      </c>
      <c r="N498" s="19">
        <f t="shared" si="71"/>
        <v>8.0000000000000071E-2</v>
      </c>
      <c r="O498" s="19">
        <f t="shared" si="71"/>
        <v>7.9900047694186238E-2</v>
      </c>
      <c r="P498" s="19">
        <f t="shared" si="71"/>
        <v>8.0000000000000071E-2</v>
      </c>
      <c r="R498" s="19"/>
      <c r="S498" s="19"/>
      <c r="T498" s="19"/>
      <c r="U498" s="19"/>
      <c r="V498" s="19"/>
    </row>
    <row r="499" spans="1:22" x14ac:dyDescent="0.2">
      <c r="A499" s="8">
        <v>44923</v>
      </c>
      <c r="B499" s="24">
        <v>4.71</v>
      </c>
      <c r="C499" s="24">
        <v>4.3099999999999996</v>
      </c>
      <c r="D499" s="24">
        <v>4.18</v>
      </c>
      <c r="E499" s="24">
        <v>4.0750996366049659</v>
      </c>
      <c r="F499" s="24">
        <v>3.97</v>
      </c>
      <c r="G499" s="83">
        <f t="shared" si="66"/>
        <v>95.501862286314591</v>
      </c>
      <c r="H499" s="84">
        <f t="shared" si="69"/>
        <v>102.23205459911377</v>
      </c>
      <c r="I499" s="84">
        <f t="shared" si="67"/>
        <v>91.179234799184997</v>
      </c>
      <c r="J499" s="84">
        <f t="shared" si="68"/>
        <v>402372581.87069851</v>
      </c>
      <c r="L499" s="19">
        <f t="shared" si="70"/>
        <v>-4.0000000000000036E-2</v>
      </c>
      <c r="M499" s="19">
        <f t="shared" si="71"/>
        <v>-1.0000000000000675E-2</v>
      </c>
      <c r="N499" s="19">
        <f t="shared" si="71"/>
        <v>9.9999999999997868E-3</v>
      </c>
      <c r="O499" s="19">
        <f t="shared" si="71"/>
        <v>2.0027353961335592E-2</v>
      </c>
      <c r="P499" s="19">
        <f t="shared" si="71"/>
        <v>3.0000000000000249E-2</v>
      </c>
      <c r="R499" s="19"/>
      <c r="S499" s="19"/>
      <c r="T499" s="19"/>
      <c r="U499" s="19"/>
      <c r="V499" s="19"/>
    </row>
    <row r="500" spans="1:22" x14ac:dyDescent="0.2">
      <c r="A500" s="8">
        <v>44924</v>
      </c>
      <c r="B500" s="24">
        <v>4.71</v>
      </c>
      <c r="C500" s="24">
        <v>4.34</v>
      </c>
      <c r="D500" s="24">
        <v>4.16</v>
      </c>
      <c r="E500" s="24">
        <v>4.0504672282775598</v>
      </c>
      <c r="F500" s="24">
        <v>3.94</v>
      </c>
      <c r="G500" s="83">
        <f t="shared" si="66"/>
        <v>95.501862286314591</v>
      </c>
      <c r="H500" s="84">
        <f t="shared" si="69"/>
        <v>102.28291444383302</v>
      </c>
      <c r="I500" s="84">
        <f t="shared" si="67"/>
        <v>91.30204436967982</v>
      </c>
      <c r="J500" s="84">
        <f t="shared" si="68"/>
        <v>402787530.38559896</v>
      </c>
      <c r="L500" s="19">
        <f t="shared" si="70"/>
        <v>0</v>
      </c>
      <c r="M500" s="19">
        <f t="shared" si="71"/>
        <v>3.0000000000000249E-2</v>
      </c>
      <c r="N500" s="19">
        <f t="shared" si="71"/>
        <v>-1.9999999999999574E-2</v>
      </c>
      <c r="O500" s="19">
        <f t="shared" si="71"/>
        <v>-2.4632408327406097E-2</v>
      </c>
      <c r="P500" s="19">
        <f t="shared" si="71"/>
        <v>-3.0000000000000249E-2</v>
      </c>
      <c r="R500" s="19"/>
      <c r="S500" s="19"/>
      <c r="T500" s="19"/>
      <c r="U500" s="19"/>
      <c r="V500" s="19"/>
    </row>
    <row r="501" spans="1:22" x14ac:dyDescent="0.2">
      <c r="A501" s="8">
        <v>44925</v>
      </c>
      <c r="B501" s="24">
        <v>4.7300000000000004</v>
      </c>
      <c r="C501" s="24">
        <v>4.41</v>
      </c>
      <c r="D501" s="24">
        <v>4.22</v>
      </c>
      <c r="E501" s="24">
        <v>4.1052780156192856</v>
      </c>
      <c r="F501" s="24">
        <v>3.99</v>
      </c>
      <c r="G501" s="83">
        <f t="shared" si="66"/>
        <v>95.483624558388243</v>
      </c>
      <c r="H501" s="84">
        <f t="shared" si="69"/>
        <v>102.11546362189397</v>
      </c>
      <c r="I501" s="84">
        <f t="shared" si="67"/>
        <v>91.090633970012632</v>
      </c>
      <c r="J501" s="84">
        <f t="shared" si="68"/>
        <v>402156589.56398606</v>
      </c>
      <c r="L501" s="19">
        <f t="shared" si="70"/>
        <v>2.0000000000000462E-2</v>
      </c>
      <c r="M501" s="19">
        <f t="shared" si="71"/>
        <v>7.0000000000000284E-2</v>
      </c>
      <c r="N501" s="19">
        <f t="shared" si="71"/>
        <v>5.9999999999999609E-2</v>
      </c>
      <c r="O501" s="19">
        <f t="shared" si="71"/>
        <v>5.4810787341725842E-2</v>
      </c>
      <c r="P501" s="19">
        <f t="shared" si="71"/>
        <v>5.0000000000000266E-2</v>
      </c>
      <c r="R501" s="19"/>
      <c r="S501" s="19"/>
      <c r="T501" s="19"/>
      <c r="U501" s="19"/>
      <c r="V501" s="19"/>
    </row>
    <row r="502" spans="1:22" x14ac:dyDescent="0.2">
      <c r="A502" s="8">
        <v>44929</v>
      </c>
      <c r="B502" s="24">
        <v>4.72</v>
      </c>
      <c r="C502" s="24">
        <v>4.4000000000000004</v>
      </c>
      <c r="D502" s="24">
        <v>4.18</v>
      </c>
      <c r="E502" s="24">
        <v>4.0602548916656147</v>
      </c>
      <c r="F502" s="24">
        <v>3.94</v>
      </c>
      <c r="G502" s="83">
        <f t="shared" si="66"/>
        <v>95.492742551566096</v>
      </c>
      <c r="H502" s="84">
        <f t="shared" si="69"/>
        <v>102.22367901900053</v>
      </c>
      <c r="I502" s="84">
        <f t="shared" si="67"/>
        <v>91.298090039366599</v>
      </c>
      <c r="J502" s="84">
        <f t="shared" si="68"/>
        <v>402842326.7320978</v>
      </c>
      <c r="L502" s="19">
        <f t="shared" si="70"/>
        <v>-1.0000000000000675E-2</v>
      </c>
      <c r="M502" s="19">
        <f t="shared" si="71"/>
        <v>-9.9999999999997868E-3</v>
      </c>
      <c r="N502" s="19">
        <f t="shared" si="71"/>
        <v>-4.0000000000000036E-2</v>
      </c>
      <c r="O502" s="19">
        <f t="shared" si="71"/>
        <v>-4.5023123953670918E-2</v>
      </c>
      <c r="P502" s="19">
        <f t="shared" si="71"/>
        <v>-5.0000000000000266E-2</v>
      </c>
      <c r="R502" s="19"/>
      <c r="S502" s="19"/>
      <c r="T502" s="19"/>
      <c r="U502" s="19"/>
      <c r="V502" s="19"/>
    </row>
    <row r="503" spans="1:22" x14ac:dyDescent="0.2">
      <c r="A503" s="8">
        <v>44930</v>
      </c>
      <c r="B503" s="24">
        <v>4.71</v>
      </c>
      <c r="C503" s="24">
        <v>4.3600000000000003</v>
      </c>
      <c r="D503" s="24">
        <v>4.1100000000000003</v>
      </c>
      <c r="E503" s="24">
        <v>3.9802658950220677</v>
      </c>
      <c r="F503" s="24">
        <v>3.85</v>
      </c>
      <c r="G503" s="83">
        <f t="shared" si="66"/>
        <v>95.501862286314591</v>
      </c>
      <c r="H503" s="84">
        <f t="shared" si="69"/>
        <v>102.41508918130873</v>
      </c>
      <c r="I503" s="84">
        <f t="shared" si="67"/>
        <v>91.673464156952832</v>
      </c>
      <c r="J503" s="84">
        <f t="shared" si="68"/>
        <v>404074947.42847741</v>
      </c>
      <c r="L503" s="19">
        <f t="shared" si="70"/>
        <v>-9.9999999999997868E-3</v>
      </c>
      <c r="M503" s="19">
        <f t="shared" si="71"/>
        <v>-4.0000000000000036E-2</v>
      </c>
      <c r="N503" s="19">
        <f t="shared" si="71"/>
        <v>-6.9999999999999396E-2</v>
      </c>
      <c r="O503" s="19">
        <f t="shared" si="71"/>
        <v>-7.9988996643546972E-2</v>
      </c>
      <c r="P503" s="19">
        <f t="shared" si="71"/>
        <v>-8.9999999999999858E-2</v>
      </c>
      <c r="R503" s="19"/>
      <c r="S503" s="19"/>
      <c r="T503" s="19"/>
      <c r="U503" s="19"/>
      <c r="V503" s="19"/>
    </row>
    <row r="504" spans="1:22" x14ac:dyDescent="0.2">
      <c r="A504" s="8">
        <v>44931</v>
      </c>
      <c r="B504" s="24">
        <v>4.78</v>
      </c>
      <c r="C504" s="24">
        <v>4.45</v>
      </c>
      <c r="D504" s="24">
        <v>4.18</v>
      </c>
      <c r="E504" s="24">
        <v>4.0401621986535696</v>
      </c>
      <c r="F504" s="24">
        <v>3.9</v>
      </c>
      <c r="G504" s="83">
        <f t="shared" si="66"/>
        <v>95.438060698606591</v>
      </c>
      <c r="H504" s="84">
        <f t="shared" si="69"/>
        <v>102.21655399545625</v>
      </c>
      <c r="I504" s="84">
        <f t="shared" si="67"/>
        <v>91.45852834805126</v>
      </c>
      <c r="J504" s="84">
        <f t="shared" si="68"/>
        <v>403385403.79623389</v>
      </c>
      <c r="L504" s="19">
        <f t="shared" si="70"/>
        <v>7.0000000000000284E-2</v>
      </c>
      <c r="M504" s="19">
        <f t="shared" si="71"/>
        <v>8.9999999999999858E-2</v>
      </c>
      <c r="N504" s="19">
        <f t="shared" si="71"/>
        <v>6.9999999999999396E-2</v>
      </c>
      <c r="O504" s="19">
        <f t="shared" si="71"/>
        <v>5.989630363150189E-2</v>
      </c>
      <c r="P504" s="19">
        <f t="shared" si="71"/>
        <v>4.9999999999999822E-2</v>
      </c>
      <c r="R504" s="19"/>
      <c r="S504" s="19"/>
      <c r="T504" s="19"/>
      <c r="U504" s="19"/>
      <c r="V504" s="19"/>
    </row>
    <row r="505" spans="1:22" x14ac:dyDescent="0.2">
      <c r="A505" s="8">
        <v>44932</v>
      </c>
      <c r="B505" s="24">
        <v>4.71</v>
      </c>
      <c r="C505" s="24">
        <v>4.24</v>
      </c>
      <c r="D505" s="24">
        <v>3.96</v>
      </c>
      <c r="E505" s="24">
        <v>3.8250413804333729</v>
      </c>
      <c r="F505" s="24">
        <v>3.69</v>
      </c>
      <c r="G505" s="83">
        <f t="shared" si="66"/>
        <v>95.501862286314591</v>
      </c>
      <c r="H505" s="84">
        <f t="shared" si="69"/>
        <v>102.82901778719375</v>
      </c>
      <c r="I505" s="84">
        <f t="shared" si="67"/>
        <v>92.349155404119017</v>
      </c>
      <c r="J505" s="84">
        <f t="shared" si="68"/>
        <v>406156819.50831461</v>
      </c>
      <c r="L505" s="19">
        <f t="shared" si="70"/>
        <v>-7.0000000000000284E-2</v>
      </c>
      <c r="M505" s="19">
        <f t="shared" si="71"/>
        <v>-0.20999999999999996</v>
      </c>
      <c r="N505" s="19">
        <f t="shared" si="71"/>
        <v>-0.21999999999999975</v>
      </c>
      <c r="O505" s="19">
        <f t="shared" si="71"/>
        <v>-0.21512081822019669</v>
      </c>
      <c r="P505" s="19">
        <f t="shared" si="71"/>
        <v>-0.20999999999999996</v>
      </c>
      <c r="R505" s="19"/>
      <c r="S505" s="19"/>
      <c r="T505" s="19"/>
      <c r="U505" s="19"/>
      <c r="V505" s="19"/>
    </row>
    <row r="506" spans="1:22" x14ac:dyDescent="0.2">
      <c r="A506" s="8">
        <v>44935</v>
      </c>
      <c r="B506" s="24">
        <v>4.6900000000000004</v>
      </c>
      <c r="C506" s="24">
        <v>4.1900000000000004</v>
      </c>
      <c r="D506" s="24">
        <v>3.93</v>
      </c>
      <c r="E506" s="24">
        <v>3.7951345759267494</v>
      </c>
      <c r="F506" s="24">
        <v>3.66</v>
      </c>
      <c r="G506" s="83">
        <f t="shared" si="66"/>
        <v>95.52010698251982</v>
      </c>
      <c r="H506" s="84">
        <f t="shared" si="69"/>
        <v>102.91529765693734</v>
      </c>
      <c r="I506" s="84">
        <f t="shared" si="67"/>
        <v>92.478024128201454</v>
      </c>
      <c r="J506" s="84">
        <f t="shared" si="68"/>
        <v>406579363.99243945</v>
      </c>
      <c r="L506" s="19">
        <f t="shared" si="70"/>
        <v>-1.9999999999999574E-2</v>
      </c>
      <c r="M506" s="19">
        <f t="shared" si="71"/>
        <v>-4.9999999999999822E-2</v>
      </c>
      <c r="N506" s="19">
        <f t="shared" si="71"/>
        <v>-2.9999999999999805E-2</v>
      </c>
      <c r="O506" s="19">
        <f t="shared" si="71"/>
        <v>-2.990680450662353E-2</v>
      </c>
      <c r="P506" s="19">
        <f t="shared" si="71"/>
        <v>-2.9999999999999805E-2</v>
      </c>
      <c r="R506" s="19"/>
      <c r="S506" s="19"/>
      <c r="T506" s="19"/>
      <c r="U506" s="19"/>
      <c r="V506" s="19"/>
    </row>
    <row r="507" spans="1:22" x14ac:dyDescent="0.2">
      <c r="A507" s="8">
        <v>44936</v>
      </c>
      <c r="B507" s="24">
        <v>4.74</v>
      </c>
      <c r="C507" s="24">
        <v>4.24</v>
      </c>
      <c r="D507" s="24">
        <v>3.94</v>
      </c>
      <c r="E507" s="24">
        <v>3.8300140264796734</v>
      </c>
      <c r="F507" s="24">
        <v>3.72</v>
      </c>
      <c r="G507" s="83">
        <f t="shared" si="66"/>
        <v>95.474508306282218</v>
      </c>
      <c r="H507" s="84">
        <f t="shared" si="69"/>
        <v>102.88160644130122</v>
      </c>
      <c r="I507" s="84">
        <f t="shared" si="67"/>
        <v>92.226309707257855</v>
      </c>
      <c r="J507" s="84">
        <f t="shared" si="68"/>
        <v>405531845.77964401</v>
      </c>
      <c r="L507" s="19">
        <f t="shared" si="70"/>
        <v>4.9999999999999822E-2</v>
      </c>
      <c r="M507" s="19">
        <f t="shared" si="71"/>
        <v>4.9999999999999822E-2</v>
      </c>
      <c r="N507" s="19">
        <f t="shared" si="71"/>
        <v>9.9999999999997868E-3</v>
      </c>
      <c r="O507" s="19">
        <f t="shared" si="71"/>
        <v>3.4879450552923963E-2</v>
      </c>
      <c r="P507" s="19">
        <f t="shared" si="71"/>
        <v>6.0000000000000053E-2</v>
      </c>
      <c r="R507" s="19"/>
      <c r="S507" s="19"/>
      <c r="T507" s="19"/>
      <c r="U507" s="19"/>
      <c r="V507" s="19"/>
    </row>
    <row r="508" spans="1:22" x14ac:dyDescent="0.2">
      <c r="A508" s="8">
        <v>44937</v>
      </c>
      <c r="B508" s="24">
        <v>4.7300000000000004</v>
      </c>
      <c r="C508" s="24">
        <v>4.2</v>
      </c>
      <c r="D508" s="24">
        <v>3.9</v>
      </c>
      <c r="E508" s="24">
        <v>3.7801133373415912</v>
      </c>
      <c r="F508" s="24">
        <v>3.66</v>
      </c>
      <c r="G508" s="83">
        <f t="shared" si="66"/>
        <v>95.483624558388243</v>
      </c>
      <c r="H508" s="84">
        <f t="shared" si="69"/>
        <v>102.99363314861972</v>
      </c>
      <c r="I508" s="84">
        <f t="shared" si="67"/>
        <v>92.479482418126935</v>
      </c>
      <c r="J508" s="84">
        <f t="shared" si="68"/>
        <v>406394729.06635463</v>
      </c>
      <c r="L508" s="19">
        <f t="shared" si="70"/>
        <v>-9.9999999999997868E-3</v>
      </c>
      <c r="M508" s="19">
        <f t="shared" si="71"/>
        <v>-4.0000000000000036E-2</v>
      </c>
      <c r="N508" s="19">
        <f t="shared" si="71"/>
        <v>-4.0000000000000036E-2</v>
      </c>
      <c r="O508" s="19">
        <f t="shared" si="71"/>
        <v>-4.990068913808221E-2</v>
      </c>
      <c r="P508" s="19">
        <f t="shared" si="71"/>
        <v>-6.0000000000000053E-2</v>
      </c>
      <c r="R508" s="19"/>
      <c r="S508" s="19"/>
      <c r="T508" s="19"/>
      <c r="U508" s="19"/>
      <c r="V508" s="19"/>
    </row>
    <row r="509" spans="1:22" x14ac:dyDescent="0.2">
      <c r="A509" s="8">
        <v>44938</v>
      </c>
      <c r="B509" s="24">
        <v>4.66</v>
      </c>
      <c r="C509" s="24">
        <v>4.12</v>
      </c>
      <c r="D509" s="24">
        <v>3.79</v>
      </c>
      <c r="E509" s="24">
        <v>3.6602634450966836</v>
      </c>
      <c r="F509" s="24">
        <v>3.53</v>
      </c>
      <c r="G509" s="83">
        <f t="shared" si="66"/>
        <v>95.547487101089246</v>
      </c>
      <c r="H509" s="84">
        <f t="shared" si="69"/>
        <v>103.30186780053855</v>
      </c>
      <c r="I509" s="84">
        <f t="shared" si="67"/>
        <v>93.033645945051433</v>
      </c>
      <c r="J509" s="84">
        <f t="shared" si="68"/>
        <v>408276756.2815764</v>
      </c>
      <c r="L509" s="19">
        <f t="shared" si="70"/>
        <v>-7.0000000000000284E-2</v>
      </c>
      <c r="M509" s="19">
        <f t="shared" si="71"/>
        <v>-8.0000000000000071E-2</v>
      </c>
      <c r="N509" s="19">
        <f t="shared" si="71"/>
        <v>-0.10999999999999988</v>
      </c>
      <c r="O509" s="19">
        <f t="shared" si="71"/>
        <v>-0.11984989224490761</v>
      </c>
      <c r="P509" s="19">
        <f t="shared" si="71"/>
        <v>-0.13000000000000034</v>
      </c>
      <c r="R509" s="19"/>
      <c r="S509" s="19"/>
      <c r="T509" s="19"/>
      <c r="U509" s="19"/>
      <c r="V509" s="19"/>
    </row>
    <row r="510" spans="1:22" x14ac:dyDescent="0.2">
      <c r="A510" s="8">
        <v>44939</v>
      </c>
      <c r="B510" s="24">
        <v>4.6900000000000004</v>
      </c>
      <c r="C510" s="24">
        <v>4.22</v>
      </c>
      <c r="D510" s="24">
        <v>3.88</v>
      </c>
      <c r="E510" s="24">
        <v>3.7404802922274456</v>
      </c>
      <c r="F510" s="24">
        <v>3.6</v>
      </c>
      <c r="G510" s="83">
        <f t="shared" si="66"/>
        <v>95.52010698251982</v>
      </c>
      <c r="H510" s="84">
        <f t="shared" si="69"/>
        <v>103.04777111189141</v>
      </c>
      <c r="I510" s="84">
        <f t="shared" si="67"/>
        <v>92.730235114878042</v>
      </c>
      <c r="J510" s="84">
        <f t="shared" si="68"/>
        <v>407389497.7567147</v>
      </c>
      <c r="L510" s="19">
        <f t="shared" si="70"/>
        <v>3.0000000000000249E-2</v>
      </c>
      <c r="M510" s="19">
        <f t="shared" si="71"/>
        <v>9.9999999999999645E-2</v>
      </c>
      <c r="N510" s="19">
        <f t="shared" si="71"/>
        <v>8.9999999999999858E-2</v>
      </c>
      <c r="O510" s="19">
        <f t="shared" si="71"/>
        <v>8.0216847130762048E-2</v>
      </c>
      <c r="P510" s="19">
        <f t="shared" si="71"/>
        <v>7.0000000000000284E-2</v>
      </c>
      <c r="R510" s="19"/>
      <c r="S510" s="19"/>
      <c r="T510" s="19"/>
      <c r="U510" s="19"/>
      <c r="V510" s="19"/>
    </row>
    <row r="511" spans="1:22" x14ac:dyDescent="0.2">
      <c r="A511" s="8">
        <v>44943</v>
      </c>
      <c r="B511" s="24">
        <v>4.67</v>
      </c>
      <c r="C511" s="24">
        <v>4.18</v>
      </c>
      <c r="D511" s="24">
        <v>3.86</v>
      </c>
      <c r="E511" s="24">
        <v>3.7304868171037207</v>
      </c>
      <c r="F511" s="24">
        <v>3.6</v>
      </c>
      <c r="G511" s="83">
        <f t="shared" si="66"/>
        <v>95.538358650998376</v>
      </c>
      <c r="H511" s="84">
        <f t="shared" si="69"/>
        <v>103.10634201694607</v>
      </c>
      <c r="I511" s="84">
        <f t="shared" si="67"/>
        <v>92.733710811210798</v>
      </c>
      <c r="J511" s="84">
        <f t="shared" si="68"/>
        <v>407352047.52142084</v>
      </c>
      <c r="L511" s="19">
        <f t="shared" si="70"/>
        <v>-2.0000000000000462E-2</v>
      </c>
      <c r="M511" s="19">
        <f t="shared" si="71"/>
        <v>-4.0000000000000036E-2</v>
      </c>
      <c r="N511" s="19">
        <f t="shared" si="71"/>
        <v>-2.0000000000000018E-2</v>
      </c>
      <c r="O511" s="19">
        <f t="shared" si="71"/>
        <v>-9.9934751237249486E-3</v>
      </c>
      <c r="P511" s="19">
        <f t="shared" si="71"/>
        <v>0</v>
      </c>
      <c r="R511" s="19"/>
      <c r="S511" s="19"/>
      <c r="T511" s="19"/>
      <c r="U511" s="19"/>
      <c r="V511" s="19"/>
    </row>
    <row r="512" spans="1:22" x14ac:dyDescent="0.2">
      <c r="A512" s="8">
        <v>44944</v>
      </c>
      <c r="B512" s="24">
        <v>4.63</v>
      </c>
      <c r="C512" s="24">
        <v>4.0599999999999996</v>
      </c>
      <c r="D512" s="24">
        <v>3.72</v>
      </c>
      <c r="E512" s="24">
        <v>3.5750415858365363</v>
      </c>
      <c r="F512" s="24">
        <v>3.43</v>
      </c>
      <c r="G512" s="83">
        <f t="shared" si="66"/>
        <v>95.574882920768417</v>
      </c>
      <c r="H512" s="84">
        <f t="shared" si="69"/>
        <v>103.49882875494798</v>
      </c>
      <c r="I512" s="84">
        <f t="shared" si="67"/>
        <v>93.461021343392943</v>
      </c>
      <c r="J512" s="84">
        <f t="shared" si="68"/>
        <v>409745608.0826866</v>
      </c>
      <c r="L512" s="19">
        <f t="shared" si="70"/>
        <v>-4.0000000000000036E-2</v>
      </c>
      <c r="M512" s="19">
        <f t="shared" si="71"/>
        <v>-0.12000000000000011</v>
      </c>
      <c r="N512" s="19">
        <f t="shared" si="71"/>
        <v>-0.13999999999999968</v>
      </c>
      <c r="O512" s="19">
        <f t="shared" si="71"/>
        <v>-0.15544523126718435</v>
      </c>
      <c r="P512" s="19">
        <f t="shared" si="71"/>
        <v>-0.16999999999999993</v>
      </c>
      <c r="R512" s="19"/>
      <c r="S512" s="19"/>
      <c r="T512" s="19"/>
      <c r="U512" s="19"/>
      <c r="V512" s="19"/>
    </row>
    <row r="513" spans="1:22" x14ac:dyDescent="0.2">
      <c r="A513" s="8">
        <v>44945</v>
      </c>
      <c r="B513" s="24">
        <v>4.6500000000000004</v>
      </c>
      <c r="C513" s="24">
        <v>4.09</v>
      </c>
      <c r="D513" s="24">
        <v>3.76</v>
      </c>
      <c r="E513" s="24">
        <v>3.6204764521306196</v>
      </c>
      <c r="F513" s="24">
        <v>3.48</v>
      </c>
      <c r="G513" s="83">
        <f t="shared" si="66"/>
        <v>95.556617295747728</v>
      </c>
      <c r="H513" s="84">
        <f t="shared" si="69"/>
        <v>103.38646508590919</v>
      </c>
      <c r="I513" s="84">
        <f t="shared" si="67"/>
        <v>93.246488653381405</v>
      </c>
      <c r="J513" s="84">
        <f t="shared" si="68"/>
        <v>409019491.57615733</v>
      </c>
      <c r="L513" s="19">
        <f t="shared" si="70"/>
        <v>2.0000000000000462E-2</v>
      </c>
      <c r="M513" s="19">
        <f t="shared" si="71"/>
        <v>3.0000000000000249E-2</v>
      </c>
      <c r="N513" s="19">
        <f t="shared" si="71"/>
        <v>3.9999999999999591E-2</v>
      </c>
      <c r="O513" s="19">
        <f t="shared" si="71"/>
        <v>4.5434866294083331E-2</v>
      </c>
      <c r="P513" s="19">
        <f t="shared" si="71"/>
        <v>4.9999999999999822E-2</v>
      </c>
      <c r="R513" s="19"/>
      <c r="S513" s="19"/>
      <c r="T513" s="19"/>
      <c r="U513" s="19"/>
      <c r="V513" s="19"/>
    </row>
    <row r="514" spans="1:22" x14ac:dyDescent="0.2">
      <c r="A514" s="8">
        <v>44946</v>
      </c>
      <c r="B514" s="24">
        <v>4.68</v>
      </c>
      <c r="C514" s="24">
        <v>4.1399999999999997</v>
      </c>
      <c r="D514" s="24">
        <v>3.83</v>
      </c>
      <c r="E514" s="24">
        <v>3.6952640438127862</v>
      </c>
      <c r="F514" s="24">
        <v>3.56</v>
      </c>
      <c r="G514" s="83">
        <f t="shared" ref="G514:G577" si="72">100/((1+B514/100)^1)</f>
        <v>95.529231944975166</v>
      </c>
      <c r="H514" s="84">
        <f t="shared" si="69"/>
        <v>103.19068767392884</v>
      </c>
      <c r="I514" s="84">
        <f t="shared" ref="I514:I577" si="73">SUM(2/(1+B514/100)^1, 2/(1+C514/100)^2, 2/(1+D514/100)^3, 2/(1+E514/100)^4, 102/(1+F514/100)^5)</f>
        <v>92.904026873146066</v>
      </c>
      <c r="J514" s="84">
        <f t="shared" ref="J514:J577" si="74">G514*2000000+H514*-1500000+I514*4000000</f>
        <v>407888539.8716414</v>
      </c>
      <c r="L514" s="19">
        <f t="shared" si="70"/>
        <v>2.9999999999999361E-2</v>
      </c>
      <c r="M514" s="19">
        <f t="shared" si="71"/>
        <v>4.9999999999999822E-2</v>
      </c>
      <c r="N514" s="19">
        <f t="shared" si="71"/>
        <v>7.0000000000000284E-2</v>
      </c>
      <c r="O514" s="19">
        <f t="shared" si="71"/>
        <v>7.4787591682166532E-2</v>
      </c>
      <c r="P514" s="19">
        <f t="shared" si="71"/>
        <v>8.0000000000000071E-2</v>
      </c>
      <c r="R514" s="19"/>
      <c r="S514" s="19"/>
      <c r="T514" s="19"/>
      <c r="U514" s="19"/>
      <c r="V514" s="19"/>
    </row>
    <row r="515" spans="1:22" x14ac:dyDescent="0.2">
      <c r="A515" s="8">
        <v>44949</v>
      </c>
      <c r="B515" s="24">
        <v>4.7</v>
      </c>
      <c r="C515" s="24">
        <v>4.21</v>
      </c>
      <c r="D515" s="24">
        <v>3.88</v>
      </c>
      <c r="E515" s="24">
        <v>3.7452892340814259</v>
      </c>
      <c r="F515" s="24">
        <v>3.61</v>
      </c>
      <c r="G515" s="83">
        <f t="shared" si="72"/>
        <v>95.510983763132771</v>
      </c>
      <c r="H515" s="84">
        <f t="shared" ref="H515:H578" si="75">SUM(5/(1+B515/100)^1, 5/(1+C515/100)^2, 105/(1+D515/100)^3)</f>
        <v>103.04819845651561</v>
      </c>
      <c r="I515" s="84">
        <f t="shared" si="73"/>
        <v>92.688849017938608</v>
      </c>
      <c r="J515" s="84">
        <f t="shared" si="74"/>
        <v>407205065.91324657</v>
      </c>
      <c r="L515" s="19">
        <f t="shared" si="70"/>
        <v>2.0000000000000462E-2</v>
      </c>
      <c r="M515" s="19">
        <f t="shared" si="71"/>
        <v>7.0000000000000284E-2</v>
      </c>
      <c r="N515" s="19">
        <f t="shared" si="71"/>
        <v>4.9999999999999822E-2</v>
      </c>
      <c r="O515" s="19">
        <f t="shared" si="71"/>
        <v>5.0025190268639719E-2</v>
      </c>
      <c r="P515" s="19">
        <f t="shared" si="71"/>
        <v>4.9999999999999822E-2</v>
      </c>
      <c r="R515" s="19"/>
      <c r="S515" s="19"/>
      <c r="T515" s="19"/>
      <c r="U515" s="19"/>
      <c r="V515" s="19"/>
    </row>
    <row r="516" spans="1:22" x14ac:dyDescent="0.2">
      <c r="A516" s="8">
        <v>44950</v>
      </c>
      <c r="B516" s="24">
        <v>4.7</v>
      </c>
      <c r="C516" s="24">
        <v>4.12</v>
      </c>
      <c r="D516" s="24">
        <v>3.86</v>
      </c>
      <c r="E516" s="24">
        <v>3.7203913597278837</v>
      </c>
      <c r="F516" s="24">
        <v>3.58</v>
      </c>
      <c r="G516" s="83">
        <f t="shared" si="72"/>
        <v>95.510983763132771</v>
      </c>
      <c r="H516" s="84">
        <f t="shared" si="75"/>
        <v>103.11028423828937</v>
      </c>
      <c r="I516" s="84">
        <f t="shared" si="73"/>
        <v>92.818505812250166</v>
      </c>
      <c r="J516" s="84">
        <f t="shared" si="74"/>
        <v>407630564.41783214</v>
      </c>
      <c r="L516" s="19">
        <f t="shared" si="70"/>
        <v>0</v>
      </c>
      <c r="M516" s="19">
        <f t="shared" si="71"/>
        <v>-8.9999999999999858E-2</v>
      </c>
      <c r="N516" s="19">
        <f t="shared" si="71"/>
        <v>-2.0000000000000018E-2</v>
      </c>
      <c r="O516" s="19">
        <f t="shared" si="71"/>
        <v>-2.4897874353542182E-2</v>
      </c>
      <c r="P516" s="19">
        <f t="shared" ref="P516:P579" si="76">F516-F515</f>
        <v>-2.9999999999999805E-2</v>
      </c>
      <c r="R516" s="19"/>
      <c r="S516" s="19"/>
      <c r="T516" s="19"/>
      <c r="U516" s="19"/>
      <c r="V516" s="19"/>
    </row>
    <row r="517" spans="1:22" x14ac:dyDescent="0.2">
      <c r="A517" s="8">
        <v>44951</v>
      </c>
      <c r="B517" s="24">
        <v>4.67</v>
      </c>
      <c r="C517" s="24">
        <v>4.1100000000000003</v>
      </c>
      <c r="D517" s="24">
        <v>3.84</v>
      </c>
      <c r="E517" s="24">
        <v>3.6902228643823065</v>
      </c>
      <c r="F517" s="24">
        <v>3.54</v>
      </c>
      <c r="G517" s="83">
        <f t="shared" si="72"/>
        <v>95.538358650998376</v>
      </c>
      <c r="H517" s="84">
        <f t="shared" si="75"/>
        <v>103.16670351414683</v>
      </c>
      <c r="I517" s="84">
        <f t="shared" si="73"/>
        <v>92.987829598125458</v>
      </c>
      <c r="J517" s="84">
        <f t="shared" si="74"/>
        <v>408277980.42327833</v>
      </c>
      <c r="L517" s="19">
        <f t="shared" ref="L517:L580" si="77">B517-B516</f>
        <v>-3.0000000000000249E-2</v>
      </c>
      <c r="M517" s="19">
        <f t="shared" ref="M517:P580" si="78">C517-C516</f>
        <v>-9.9999999999997868E-3</v>
      </c>
      <c r="N517" s="19">
        <f t="shared" si="78"/>
        <v>-2.0000000000000018E-2</v>
      </c>
      <c r="O517" s="19">
        <f t="shared" si="78"/>
        <v>-3.0168495345577195E-2</v>
      </c>
      <c r="P517" s="19">
        <f t="shared" si="76"/>
        <v>-4.0000000000000036E-2</v>
      </c>
      <c r="R517" s="19"/>
      <c r="S517" s="19"/>
      <c r="T517" s="19"/>
      <c r="U517" s="19"/>
      <c r="V517" s="19"/>
    </row>
    <row r="518" spans="1:22" x14ac:dyDescent="0.2">
      <c r="A518" s="8">
        <v>44952</v>
      </c>
      <c r="B518" s="24">
        <v>4.68</v>
      </c>
      <c r="C518" s="24">
        <v>4.17</v>
      </c>
      <c r="D518" s="24">
        <v>3.88</v>
      </c>
      <c r="E518" s="24">
        <v>3.7304857356840873</v>
      </c>
      <c r="F518" s="24">
        <v>3.58</v>
      </c>
      <c r="G518" s="83">
        <f t="shared" si="72"/>
        <v>95.529231944975166</v>
      </c>
      <c r="H518" s="84">
        <f t="shared" si="75"/>
        <v>103.05264743276301</v>
      </c>
      <c r="I518" s="84">
        <f t="shared" si="73"/>
        <v>92.815396710481139</v>
      </c>
      <c r="J518" s="84">
        <f t="shared" si="74"/>
        <v>407741079.58273041</v>
      </c>
      <c r="L518" s="19">
        <f t="shared" si="77"/>
        <v>9.9999999999997868E-3</v>
      </c>
      <c r="M518" s="19">
        <f t="shared" si="78"/>
        <v>5.9999999999999609E-2</v>
      </c>
      <c r="N518" s="19">
        <f t="shared" si="78"/>
        <v>4.0000000000000036E-2</v>
      </c>
      <c r="O518" s="19">
        <f t="shared" si="78"/>
        <v>4.0262871301780745E-2</v>
      </c>
      <c r="P518" s="19">
        <f t="shared" si="76"/>
        <v>4.0000000000000036E-2</v>
      </c>
      <c r="R518" s="19"/>
      <c r="S518" s="19"/>
      <c r="T518" s="19"/>
      <c r="U518" s="19"/>
      <c r="V518" s="19"/>
    </row>
    <row r="519" spans="1:22" x14ac:dyDescent="0.2">
      <c r="A519" s="8">
        <v>44953</v>
      </c>
      <c r="B519" s="24">
        <v>4.68</v>
      </c>
      <c r="C519" s="24">
        <v>4.1900000000000004</v>
      </c>
      <c r="D519" s="24">
        <v>3.9</v>
      </c>
      <c r="E519" s="24">
        <v>3.7602624587015572</v>
      </c>
      <c r="F519" s="24">
        <v>3.62</v>
      </c>
      <c r="G519" s="83">
        <f t="shared" si="72"/>
        <v>95.529231944975166</v>
      </c>
      <c r="H519" s="84">
        <f t="shared" si="75"/>
        <v>102.99679753240113</v>
      </c>
      <c r="I519" s="84">
        <f t="shared" si="73"/>
        <v>92.646681621203825</v>
      </c>
      <c r="J519" s="84">
        <f t="shared" si="74"/>
        <v>407149994.07616395</v>
      </c>
      <c r="L519" s="19">
        <f t="shared" si="77"/>
        <v>0</v>
      </c>
      <c r="M519" s="19">
        <f t="shared" si="78"/>
        <v>2.0000000000000462E-2</v>
      </c>
      <c r="N519" s="19">
        <f t="shared" si="78"/>
        <v>2.0000000000000018E-2</v>
      </c>
      <c r="O519" s="19">
        <f t="shared" si="78"/>
        <v>2.9776723017469919E-2</v>
      </c>
      <c r="P519" s="19">
        <f t="shared" si="76"/>
        <v>4.0000000000000036E-2</v>
      </c>
      <c r="R519" s="19"/>
      <c r="S519" s="19"/>
      <c r="T519" s="19"/>
      <c r="U519" s="19"/>
      <c r="V519" s="19"/>
    </row>
    <row r="520" spans="1:22" x14ac:dyDescent="0.2">
      <c r="A520" s="8">
        <v>44956</v>
      </c>
      <c r="B520" s="24">
        <v>4.71</v>
      </c>
      <c r="C520" s="24">
        <v>4.25</v>
      </c>
      <c r="D520" s="24">
        <v>3.96</v>
      </c>
      <c r="E520" s="24">
        <v>3.8200917779778454</v>
      </c>
      <c r="F520" s="24">
        <v>3.68</v>
      </c>
      <c r="G520" s="83">
        <f t="shared" si="72"/>
        <v>95.501862286314591</v>
      </c>
      <c r="H520" s="84">
        <f t="shared" si="75"/>
        <v>102.82813504415593</v>
      </c>
      <c r="I520" s="84">
        <f t="shared" si="73"/>
        <v>92.390176908912252</v>
      </c>
      <c r="J520" s="84">
        <f t="shared" si="74"/>
        <v>406322229.64204431</v>
      </c>
      <c r="L520" s="19">
        <f t="shared" si="77"/>
        <v>3.0000000000000249E-2</v>
      </c>
      <c r="M520" s="19">
        <f t="shared" si="78"/>
        <v>5.9999999999999609E-2</v>
      </c>
      <c r="N520" s="19">
        <f t="shared" si="78"/>
        <v>6.0000000000000053E-2</v>
      </c>
      <c r="O520" s="19">
        <f t="shared" si="78"/>
        <v>5.9829319276288206E-2</v>
      </c>
      <c r="P520" s="19">
        <f t="shared" si="76"/>
        <v>6.0000000000000053E-2</v>
      </c>
      <c r="R520" s="19"/>
      <c r="S520" s="19"/>
      <c r="T520" s="19"/>
      <c r="U520" s="19"/>
      <c r="V520" s="19"/>
    </row>
    <row r="521" spans="1:22" x14ac:dyDescent="0.2">
      <c r="A521" s="8">
        <v>44957</v>
      </c>
      <c r="B521" s="24">
        <v>4.68</v>
      </c>
      <c r="C521" s="24">
        <v>4.21</v>
      </c>
      <c r="D521" s="24">
        <v>3.9</v>
      </c>
      <c r="E521" s="24">
        <v>3.7653787389656572</v>
      </c>
      <c r="F521" s="24">
        <v>3.63</v>
      </c>
      <c r="G521" s="83">
        <f t="shared" si="72"/>
        <v>95.529231944975166</v>
      </c>
      <c r="H521" s="84">
        <f t="shared" si="75"/>
        <v>102.99502975797509</v>
      </c>
      <c r="I521" s="84">
        <f t="shared" si="73"/>
        <v>92.604445073445419</v>
      </c>
      <c r="J521" s="84">
        <f t="shared" si="74"/>
        <v>406983699.54676938</v>
      </c>
      <c r="L521" s="19">
        <f t="shared" si="77"/>
        <v>-3.0000000000000249E-2</v>
      </c>
      <c r="M521" s="19">
        <f t="shared" si="78"/>
        <v>-4.0000000000000036E-2</v>
      </c>
      <c r="N521" s="19">
        <f t="shared" si="78"/>
        <v>-6.0000000000000053E-2</v>
      </c>
      <c r="O521" s="19">
        <f t="shared" si="78"/>
        <v>-5.4713039012188158E-2</v>
      </c>
      <c r="P521" s="19">
        <f t="shared" si="76"/>
        <v>-5.0000000000000266E-2</v>
      </c>
      <c r="R521" s="19"/>
      <c r="S521" s="19"/>
      <c r="T521" s="19"/>
      <c r="U521" s="19"/>
      <c r="V521" s="19"/>
    </row>
    <row r="522" spans="1:22" x14ac:dyDescent="0.2">
      <c r="A522" s="8">
        <v>44958</v>
      </c>
      <c r="B522" s="24">
        <v>4.66</v>
      </c>
      <c r="C522" s="24">
        <v>4.09</v>
      </c>
      <c r="D522" s="24">
        <v>3.75</v>
      </c>
      <c r="E522" s="24">
        <v>3.6152164858191425</v>
      </c>
      <c r="F522" s="24">
        <v>3.48</v>
      </c>
      <c r="G522" s="83">
        <f t="shared" si="72"/>
        <v>95.547487101089246</v>
      </c>
      <c r="H522" s="84">
        <f t="shared" si="75"/>
        <v>103.41319013868846</v>
      </c>
      <c r="I522" s="84">
        <f t="shared" si="73"/>
        <v>93.247176083394749</v>
      </c>
      <c r="J522" s="84">
        <f t="shared" si="74"/>
        <v>408963893.32772481</v>
      </c>
      <c r="L522" s="19">
        <f t="shared" si="77"/>
        <v>-1.9999999999999574E-2</v>
      </c>
      <c r="M522" s="19">
        <f t="shared" si="78"/>
        <v>-0.12000000000000011</v>
      </c>
      <c r="N522" s="19">
        <f t="shared" si="78"/>
        <v>-0.14999999999999991</v>
      </c>
      <c r="O522" s="19">
        <f t="shared" si="78"/>
        <v>-0.15016225314651477</v>
      </c>
      <c r="P522" s="19">
        <f t="shared" si="76"/>
        <v>-0.14999999999999991</v>
      </c>
      <c r="R522" s="19"/>
      <c r="S522" s="19"/>
      <c r="T522" s="19"/>
      <c r="U522" s="19"/>
      <c r="V522" s="19"/>
    </row>
    <row r="523" spans="1:22" x14ac:dyDescent="0.2">
      <c r="A523" s="8">
        <v>44959</v>
      </c>
      <c r="B523" s="24">
        <v>4.6399999999999997</v>
      </c>
      <c r="C523" s="24">
        <v>4.09</v>
      </c>
      <c r="D523" s="24">
        <v>3.75</v>
      </c>
      <c r="E523" s="24">
        <v>3.6202946777009344</v>
      </c>
      <c r="F523" s="24">
        <v>3.49</v>
      </c>
      <c r="G523" s="83">
        <f t="shared" si="72"/>
        <v>95.565749235474001</v>
      </c>
      <c r="H523" s="84">
        <f t="shared" si="75"/>
        <v>103.41410324540769</v>
      </c>
      <c r="I523" s="84">
        <f t="shared" si="73"/>
        <v>93.205676580369229</v>
      </c>
      <c r="J523" s="84">
        <f t="shared" si="74"/>
        <v>408833049.92431343</v>
      </c>
      <c r="L523" s="19">
        <f t="shared" si="77"/>
        <v>-2.0000000000000462E-2</v>
      </c>
      <c r="M523" s="19">
        <f t="shared" si="78"/>
        <v>0</v>
      </c>
      <c r="N523" s="19">
        <f t="shared" si="78"/>
        <v>0</v>
      </c>
      <c r="O523" s="19">
        <f t="shared" si="78"/>
        <v>5.0781918817919269E-3</v>
      </c>
      <c r="P523" s="19">
        <f t="shared" si="76"/>
        <v>1.0000000000000231E-2</v>
      </c>
      <c r="R523" s="19"/>
      <c r="S523" s="19"/>
      <c r="T523" s="19"/>
      <c r="U523" s="19"/>
      <c r="V523" s="19"/>
    </row>
    <row r="524" spans="1:22" x14ac:dyDescent="0.2">
      <c r="A524" s="8">
        <v>44960</v>
      </c>
      <c r="B524" s="24">
        <v>4.79</v>
      </c>
      <c r="C524" s="24">
        <v>4.3</v>
      </c>
      <c r="D524" s="24">
        <v>3.96</v>
      </c>
      <c r="E524" s="24">
        <v>3.8153198492672971</v>
      </c>
      <c r="F524" s="24">
        <v>3.67</v>
      </c>
      <c r="G524" s="83">
        <f t="shared" si="72"/>
        <v>95.428953144383996</v>
      </c>
      <c r="H524" s="84">
        <f t="shared" si="75"/>
        <v>102.8200796797758</v>
      </c>
      <c r="I524" s="84">
        <f t="shared" si="73"/>
        <v>92.428341416851083</v>
      </c>
      <c r="J524" s="84">
        <f t="shared" si="74"/>
        <v>406341152.43650866</v>
      </c>
      <c r="L524" s="19">
        <f t="shared" si="77"/>
        <v>0.15000000000000036</v>
      </c>
      <c r="M524" s="19">
        <f t="shared" si="78"/>
        <v>0.20999999999999996</v>
      </c>
      <c r="N524" s="19">
        <f t="shared" si="78"/>
        <v>0.20999999999999996</v>
      </c>
      <c r="O524" s="19">
        <f t="shared" si="78"/>
        <v>0.19502517156636268</v>
      </c>
      <c r="P524" s="19">
        <f t="shared" si="76"/>
        <v>0.17999999999999972</v>
      </c>
      <c r="R524" s="19"/>
      <c r="S524" s="19"/>
      <c r="T524" s="19"/>
      <c r="U524" s="19"/>
      <c r="V524" s="19"/>
    </row>
    <row r="525" spans="1:22" x14ac:dyDescent="0.2">
      <c r="A525" s="8">
        <v>44963</v>
      </c>
      <c r="B525" s="24">
        <v>4.8499999999999996</v>
      </c>
      <c r="C525" s="24">
        <v>4.4400000000000004</v>
      </c>
      <c r="D525" s="24">
        <v>4.0999999999999996</v>
      </c>
      <c r="E525" s="24">
        <v>3.9553967939667922</v>
      </c>
      <c r="F525" s="24">
        <v>3.81</v>
      </c>
      <c r="G525" s="83">
        <f t="shared" si="72"/>
        <v>95.374344301382934</v>
      </c>
      <c r="H525" s="84">
        <f t="shared" si="75"/>
        <v>102.42850060829468</v>
      </c>
      <c r="I525" s="84">
        <f t="shared" si="73"/>
        <v>91.833064705307066</v>
      </c>
      <c r="J525" s="84">
        <f t="shared" si="74"/>
        <v>404438196.5115521</v>
      </c>
      <c r="L525" s="19">
        <f t="shared" si="77"/>
        <v>5.9999999999999609E-2</v>
      </c>
      <c r="M525" s="19">
        <f t="shared" si="78"/>
        <v>0.14000000000000057</v>
      </c>
      <c r="N525" s="19">
        <f t="shared" si="78"/>
        <v>0.13999999999999968</v>
      </c>
      <c r="O525" s="19">
        <f t="shared" si="78"/>
        <v>0.14007694469949517</v>
      </c>
      <c r="P525" s="19">
        <f t="shared" si="76"/>
        <v>0.14000000000000012</v>
      </c>
      <c r="R525" s="19"/>
      <c r="S525" s="19"/>
      <c r="T525" s="19"/>
      <c r="U525" s="19"/>
      <c r="V525" s="19"/>
    </row>
    <row r="526" spans="1:22" x14ac:dyDescent="0.2">
      <c r="A526" s="8">
        <v>44964</v>
      </c>
      <c r="B526" s="24">
        <v>4.88</v>
      </c>
      <c r="C526" s="24">
        <v>4.47</v>
      </c>
      <c r="D526" s="24">
        <v>4.1100000000000003</v>
      </c>
      <c r="E526" s="24">
        <v>3.9803125018266727</v>
      </c>
      <c r="F526" s="24">
        <v>3.85</v>
      </c>
      <c r="G526" s="83">
        <f t="shared" si="72"/>
        <v>95.347063310450039</v>
      </c>
      <c r="H526" s="84">
        <f t="shared" si="75"/>
        <v>102.39768640454632</v>
      </c>
      <c r="I526" s="84">
        <f t="shared" si="73"/>
        <v>91.666499978750409</v>
      </c>
      <c r="J526" s="84">
        <f t="shared" si="74"/>
        <v>403763596.92908221</v>
      </c>
      <c r="L526" s="19">
        <f t="shared" si="77"/>
        <v>3.0000000000000249E-2</v>
      </c>
      <c r="M526" s="19">
        <f t="shared" si="78"/>
        <v>2.9999999999999361E-2</v>
      </c>
      <c r="N526" s="19">
        <f t="shared" si="78"/>
        <v>1.0000000000000675E-2</v>
      </c>
      <c r="O526" s="19">
        <f t="shared" si="78"/>
        <v>2.4915707859880509E-2</v>
      </c>
      <c r="P526" s="19">
        <f t="shared" si="76"/>
        <v>4.0000000000000036E-2</v>
      </c>
      <c r="R526" s="19"/>
      <c r="S526" s="19"/>
      <c r="T526" s="19"/>
      <c r="U526" s="19"/>
      <c r="V526" s="19"/>
    </row>
    <row r="527" spans="1:22" x14ac:dyDescent="0.2">
      <c r="A527" s="8">
        <v>44965</v>
      </c>
      <c r="B527" s="24">
        <v>4.87</v>
      </c>
      <c r="C527" s="24">
        <v>4.45</v>
      </c>
      <c r="D527" s="24">
        <v>4.08</v>
      </c>
      <c r="E527" s="24">
        <v>3.9502597486359532</v>
      </c>
      <c r="F527" s="24">
        <v>3.82</v>
      </c>
      <c r="G527" s="83">
        <f t="shared" si="72"/>
        <v>95.356155239820737</v>
      </c>
      <c r="H527" s="84">
        <f t="shared" si="75"/>
        <v>102.48038012874323</v>
      </c>
      <c r="I527" s="84">
        <f t="shared" si="73"/>
        <v>91.792971700591806</v>
      </c>
      <c r="J527" s="84">
        <f t="shared" si="74"/>
        <v>404163627.08889383</v>
      </c>
      <c r="L527" s="19">
        <f t="shared" si="77"/>
        <v>-9.9999999999997868E-3</v>
      </c>
      <c r="M527" s="19">
        <f t="shared" si="78"/>
        <v>-1.9999999999999574E-2</v>
      </c>
      <c r="N527" s="19">
        <f t="shared" si="78"/>
        <v>-3.0000000000000249E-2</v>
      </c>
      <c r="O527" s="19">
        <f t="shared" si="78"/>
        <v>-3.0052753190719539E-2</v>
      </c>
      <c r="P527" s="19">
        <f t="shared" si="76"/>
        <v>-3.0000000000000249E-2</v>
      </c>
      <c r="R527" s="19"/>
      <c r="S527" s="19"/>
      <c r="T527" s="19"/>
      <c r="U527" s="19"/>
      <c r="V527" s="19"/>
    </row>
    <row r="528" spans="1:22" x14ac:dyDescent="0.2">
      <c r="A528" s="8">
        <v>44966</v>
      </c>
      <c r="B528" s="24">
        <v>4.88</v>
      </c>
      <c r="C528" s="24">
        <v>4.4800000000000004</v>
      </c>
      <c r="D528" s="24">
        <v>4.1500000000000004</v>
      </c>
      <c r="E528" s="24">
        <v>4.0101941975470696</v>
      </c>
      <c r="F528" s="24">
        <v>3.87</v>
      </c>
      <c r="G528" s="83">
        <f t="shared" si="72"/>
        <v>95.347063310450039</v>
      </c>
      <c r="H528" s="84">
        <f t="shared" si="75"/>
        <v>102.2896409854109</v>
      </c>
      <c r="I528" s="84">
        <f t="shared" si="73"/>
        <v>91.580876345879275</v>
      </c>
      <c r="J528" s="84">
        <f t="shared" si="74"/>
        <v>403583170.52630079</v>
      </c>
      <c r="L528" s="19">
        <f t="shared" si="77"/>
        <v>9.9999999999997868E-3</v>
      </c>
      <c r="M528" s="19">
        <f t="shared" si="78"/>
        <v>3.0000000000000249E-2</v>
      </c>
      <c r="N528" s="19">
        <f t="shared" si="78"/>
        <v>7.0000000000000284E-2</v>
      </c>
      <c r="O528" s="19">
        <f t="shared" si="78"/>
        <v>5.9934448911116434E-2</v>
      </c>
      <c r="P528" s="19">
        <f t="shared" si="76"/>
        <v>5.0000000000000266E-2</v>
      </c>
      <c r="R528" s="19"/>
      <c r="S528" s="19"/>
      <c r="T528" s="19"/>
      <c r="U528" s="19"/>
      <c r="V528" s="19"/>
    </row>
    <row r="529" spans="1:22" x14ac:dyDescent="0.2">
      <c r="A529" s="8">
        <v>44967</v>
      </c>
      <c r="B529" s="24">
        <v>4.8899999999999997</v>
      </c>
      <c r="C529" s="24">
        <v>4.5</v>
      </c>
      <c r="D529" s="24">
        <v>4.1900000000000004</v>
      </c>
      <c r="E529" s="24">
        <v>4.0603504343810544</v>
      </c>
      <c r="F529" s="24">
        <v>3.93</v>
      </c>
      <c r="G529" s="83">
        <f t="shared" si="72"/>
        <v>95.337973114691593</v>
      </c>
      <c r="H529" s="84">
        <f t="shared" si="75"/>
        <v>102.18042939660738</v>
      </c>
      <c r="I529" s="84">
        <f t="shared" si="73"/>
        <v>91.331426433242001</v>
      </c>
      <c r="J529" s="84">
        <f t="shared" si="74"/>
        <v>402731007.86744016</v>
      </c>
      <c r="L529" s="19">
        <f t="shared" si="77"/>
        <v>9.9999999999997868E-3</v>
      </c>
      <c r="M529" s="19">
        <f t="shared" si="78"/>
        <v>1.9999999999999574E-2</v>
      </c>
      <c r="N529" s="19">
        <f t="shared" si="78"/>
        <v>4.0000000000000036E-2</v>
      </c>
      <c r="O529" s="19">
        <f t="shared" si="78"/>
        <v>5.0156236833984735E-2</v>
      </c>
      <c r="P529" s="19">
        <f t="shared" si="76"/>
        <v>6.0000000000000053E-2</v>
      </c>
      <c r="R529" s="19"/>
      <c r="S529" s="19"/>
      <c r="T529" s="19"/>
      <c r="U529" s="19"/>
      <c r="V529" s="19"/>
    </row>
    <row r="530" spans="1:22" x14ac:dyDescent="0.2">
      <c r="A530" s="8">
        <v>44970</v>
      </c>
      <c r="B530" s="24">
        <v>4.91</v>
      </c>
      <c r="C530" s="24">
        <v>4.5199999999999996</v>
      </c>
      <c r="D530" s="24">
        <v>4.22</v>
      </c>
      <c r="E530" s="24">
        <v>4.0752547055046708</v>
      </c>
      <c r="F530" s="24">
        <v>3.93</v>
      </c>
      <c r="G530" s="83">
        <f t="shared" si="72"/>
        <v>95.319797922028414</v>
      </c>
      <c r="H530" s="84">
        <f t="shared" si="75"/>
        <v>102.09762333020714</v>
      </c>
      <c r="I530" s="84">
        <f t="shared" si="73"/>
        <v>91.327858688138761</v>
      </c>
      <c r="J530" s="84">
        <f t="shared" si="74"/>
        <v>402804595.60130119</v>
      </c>
      <c r="L530" s="19">
        <f t="shared" si="77"/>
        <v>2.0000000000000462E-2</v>
      </c>
      <c r="M530" s="19">
        <f t="shared" si="78"/>
        <v>1.9999999999999574E-2</v>
      </c>
      <c r="N530" s="19">
        <f t="shared" si="78"/>
        <v>2.9999999999999361E-2</v>
      </c>
      <c r="O530" s="19">
        <f t="shared" si="78"/>
        <v>1.4904271123616475E-2</v>
      </c>
      <c r="P530" s="19">
        <f t="shared" si="76"/>
        <v>0</v>
      </c>
      <c r="R530" s="19"/>
      <c r="S530" s="19"/>
      <c r="T530" s="19"/>
      <c r="U530" s="19"/>
      <c r="V530" s="19"/>
    </row>
    <row r="531" spans="1:22" x14ac:dyDescent="0.2">
      <c r="A531" s="8">
        <v>44971</v>
      </c>
      <c r="B531" s="24">
        <v>4.99</v>
      </c>
      <c r="C531" s="24">
        <v>4.5999999999999996</v>
      </c>
      <c r="D531" s="24">
        <v>4.32</v>
      </c>
      <c r="E531" s="24">
        <v>4.160033741674015</v>
      </c>
      <c r="F531" s="24">
        <v>4</v>
      </c>
      <c r="G531" s="83">
        <f t="shared" si="72"/>
        <v>95.247166396799685</v>
      </c>
      <c r="H531" s="84">
        <f t="shared" si="75"/>
        <v>101.82050805750075</v>
      </c>
      <c r="I531" s="84">
        <f t="shared" si="73"/>
        <v>91.030274771481416</v>
      </c>
      <c r="J531" s="84">
        <f t="shared" si="74"/>
        <v>401884669.79327393</v>
      </c>
      <c r="L531" s="19">
        <f t="shared" si="77"/>
        <v>8.0000000000000071E-2</v>
      </c>
      <c r="M531" s="19">
        <f t="shared" si="78"/>
        <v>8.0000000000000071E-2</v>
      </c>
      <c r="N531" s="19">
        <f t="shared" si="78"/>
        <v>0.10000000000000053</v>
      </c>
      <c r="O531" s="19">
        <f t="shared" si="78"/>
        <v>8.4779036169344124E-2</v>
      </c>
      <c r="P531" s="19">
        <f t="shared" si="76"/>
        <v>6.999999999999984E-2</v>
      </c>
      <c r="R531" s="19"/>
      <c r="S531" s="19"/>
      <c r="T531" s="19"/>
      <c r="U531" s="19"/>
      <c r="V531" s="19"/>
    </row>
    <row r="532" spans="1:22" x14ac:dyDescent="0.2">
      <c r="A532" s="8">
        <v>44972</v>
      </c>
      <c r="B532" s="24">
        <v>4.96</v>
      </c>
      <c r="C532" s="24">
        <v>4.62</v>
      </c>
      <c r="D532" s="24">
        <v>4.3499999999999996</v>
      </c>
      <c r="E532" s="24">
        <v>4.1951027871256548</v>
      </c>
      <c r="F532" s="24">
        <v>4.04</v>
      </c>
      <c r="G532" s="83">
        <f t="shared" si="72"/>
        <v>95.274390243902431</v>
      </c>
      <c r="H532" s="84">
        <f t="shared" si="75"/>
        <v>101.74037565643849</v>
      </c>
      <c r="I532" s="84">
        <f t="shared" si="73"/>
        <v>90.86527678564272</v>
      </c>
      <c r="J532" s="84">
        <f t="shared" si="74"/>
        <v>401399324.14571798</v>
      </c>
      <c r="L532" s="19">
        <f t="shared" si="77"/>
        <v>-3.0000000000000249E-2</v>
      </c>
      <c r="M532" s="19">
        <f t="shared" si="78"/>
        <v>2.0000000000000462E-2</v>
      </c>
      <c r="N532" s="19">
        <f t="shared" si="78"/>
        <v>2.9999999999999361E-2</v>
      </c>
      <c r="O532" s="19">
        <f t="shared" si="78"/>
        <v>3.5069045451639802E-2</v>
      </c>
      <c r="P532" s="19">
        <f t="shared" si="76"/>
        <v>4.0000000000000036E-2</v>
      </c>
      <c r="R532" s="19"/>
      <c r="S532" s="19"/>
      <c r="T532" s="19"/>
      <c r="U532" s="19"/>
      <c r="V532" s="19"/>
    </row>
    <row r="533" spans="1:22" x14ac:dyDescent="0.2">
      <c r="A533" s="8">
        <v>44973</v>
      </c>
      <c r="B533" s="24">
        <v>4.99</v>
      </c>
      <c r="C533" s="24">
        <v>4.62</v>
      </c>
      <c r="D533" s="24">
        <v>4.3499999999999996</v>
      </c>
      <c r="E533" s="24">
        <v>4.2051388074267733</v>
      </c>
      <c r="F533" s="24">
        <v>4.0599999999999996</v>
      </c>
      <c r="G533" s="83">
        <f t="shared" si="72"/>
        <v>95.247166396799685</v>
      </c>
      <c r="H533" s="84">
        <f t="shared" si="75"/>
        <v>101.73901446408335</v>
      </c>
      <c r="I533" s="84">
        <f t="shared" si="73"/>
        <v>90.78369876840334</v>
      </c>
      <c r="J533" s="84">
        <f t="shared" si="74"/>
        <v>401020606.17108768</v>
      </c>
      <c r="L533" s="19">
        <f t="shared" si="77"/>
        <v>3.0000000000000249E-2</v>
      </c>
      <c r="M533" s="19">
        <f t="shared" si="78"/>
        <v>0</v>
      </c>
      <c r="N533" s="19">
        <f t="shared" si="78"/>
        <v>0</v>
      </c>
      <c r="O533" s="19">
        <f t="shared" si="78"/>
        <v>1.0036020301118498E-2</v>
      </c>
      <c r="P533" s="19">
        <f t="shared" si="76"/>
        <v>1.9999999999999574E-2</v>
      </c>
      <c r="R533" s="19"/>
      <c r="S533" s="19"/>
      <c r="T533" s="19"/>
      <c r="U533" s="19"/>
      <c r="V533" s="19"/>
    </row>
    <row r="534" spans="1:22" x14ac:dyDescent="0.2">
      <c r="A534" s="8">
        <v>44974</v>
      </c>
      <c r="B534" s="24">
        <v>5</v>
      </c>
      <c r="C534" s="24">
        <v>4.5999999999999996</v>
      </c>
      <c r="D534" s="24">
        <v>4.33</v>
      </c>
      <c r="E534" s="24">
        <v>4.1801369269414375</v>
      </c>
      <c r="F534" s="24">
        <v>4.03</v>
      </c>
      <c r="G534" s="83">
        <f t="shared" si="72"/>
        <v>95.238095238095241</v>
      </c>
      <c r="H534" s="84">
        <f t="shared" si="75"/>
        <v>101.7934621333152</v>
      </c>
      <c r="I534" s="84">
        <f t="shared" si="73"/>
        <v>90.90746216293023</v>
      </c>
      <c r="J534" s="84">
        <f t="shared" si="74"/>
        <v>401415845.92793858</v>
      </c>
      <c r="L534" s="19">
        <f t="shared" si="77"/>
        <v>9.9999999999997868E-3</v>
      </c>
      <c r="M534" s="19">
        <f t="shared" si="78"/>
        <v>-2.0000000000000462E-2</v>
      </c>
      <c r="N534" s="19">
        <f t="shared" si="78"/>
        <v>-1.9999999999999574E-2</v>
      </c>
      <c r="O534" s="19">
        <f t="shared" si="78"/>
        <v>-2.5001880485335803E-2</v>
      </c>
      <c r="P534" s="19">
        <f t="shared" si="76"/>
        <v>-2.9999999999999361E-2</v>
      </c>
      <c r="R534" s="19"/>
      <c r="S534" s="19"/>
      <c r="T534" s="19"/>
      <c r="U534" s="19"/>
      <c r="V534" s="19"/>
    </row>
    <row r="535" spans="1:22" x14ac:dyDescent="0.2">
      <c r="A535" s="8">
        <v>44978</v>
      </c>
      <c r="B535" s="24">
        <v>5.07</v>
      </c>
      <c r="C535" s="24">
        <v>4.67</v>
      </c>
      <c r="D535" s="24">
        <v>4.4400000000000004</v>
      </c>
      <c r="E535" s="24">
        <v>4.3003166335912635</v>
      </c>
      <c r="F535" s="24">
        <v>4.16</v>
      </c>
      <c r="G535" s="83">
        <f t="shared" si="72"/>
        <v>95.174645474445612</v>
      </c>
      <c r="H535" s="84">
        <f t="shared" si="75"/>
        <v>101.49233495049647</v>
      </c>
      <c r="I535" s="84">
        <f t="shared" si="73"/>
        <v>90.3692610831541</v>
      </c>
      <c r="J535" s="84">
        <f t="shared" si="74"/>
        <v>399587832.8557629</v>
      </c>
      <c r="L535" s="19">
        <f t="shared" si="77"/>
        <v>7.0000000000000284E-2</v>
      </c>
      <c r="M535" s="19">
        <f t="shared" si="78"/>
        <v>7.0000000000000284E-2</v>
      </c>
      <c r="N535" s="19">
        <f t="shared" si="78"/>
        <v>0.11000000000000032</v>
      </c>
      <c r="O535" s="19">
        <f t="shared" si="78"/>
        <v>0.12017970664982602</v>
      </c>
      <c r="P535" s="19">
        <f t="shared" si="76"/>
        <v>0.12999999999999989</v>
      </c>
      <c r="R535" s="19"/>
      <c r="S535" s="19"/>
      <c r="T535" s="19"/>
      <c r="U535" s="19"/>
      <c r="V535" s="19"/>
    </row>
    <row r="536" spans="1:22" x14ac:dyDescent="0.2">
      <c r="A536" s="8">
        <v>44979</v>
      </c>
      <c r="B536" s="24">
        <v>5.07</v>
      </c>
      <c r="C536" s="24">
        <v>4.66</v>
      </c>
      <c r="D536" s="24">
        <v>4.43</v>
      </c>
      <c r="E536" s="24">
        <v>4.2804559265286635</v>
      </c>
      <c r="F536" s="24">
        <v>4.13</v>
      </c>
      <c r="G536" s="83">
        <f t="shared" si="72"/>
        <v>95.174645474445612</v>
      </c>
      <c r="H536" s="84">
        <f t="shared" si="75"/>
        <v>101.5196876148903</v>
      </c>
      <c r="I536" s="84">
        <f t="shared" si="73"/>
        <v>90.491313712484327</v>
      </c>
      <c r="J536" s="84">
        <f t="shared" si="74"/>
        <v>400035014.3764931</v>
      </c>
      <c r="L536" s="19">
        <f t="shared" si="77"/>
        <v>0</v>
      </c>
      <c r="M536" s="19">
        <f t="shared" si="78"/>
        <v>-9.9999999999997868E-3</v>
      </c>
      <c r="N536" s="19">
        <f t="shared" si="78"/>
        <v>-1.0000000000000675E-2</v>
      </c>
      <c r="O536" s="19">
        <f t="shared" si="78"/>
        <v>-1.9860707062600014E-2</v>
      </c>
      <c r="P536" s="19">
        <f t="shared" si="76"/>
        <v>-3.0000000000000249E-2</v>
      </c>
      <c r="R536" s="19"/>
      <c r="S536" s="19"/>
      <c r="T536" s="19"/>
      <c r="U536" s="19"/>
      <c r="V536" s="19"/>
    </row>
    <row r="537" spans="1:22" x14ac:dyDescent="0.2">
      <c r="A537" s="8">
        <v>44980</v>
      </c>
      <c r="B537" s="24">
        <v>5.03</v>
      </c>
      <c r="C537" s="24">
        <v>4.66</v>
      </c>
      <c r="D537" s="24">
        <v>4.4000000000000004</v>
      </c>
      <c r="E537" s="24">
        <v>4.245486629127611</v>
      </c>
      <c r="F537" s="24">
        <v>4.09</v>
      </c>
      <c r="G537" s="83">
        <f t="shared" si="72"/>
        <v>95.210892126059221</v>
      </c>
      <c r="H537" s="84">
        <f t="shared" si="75"/>
        <v>101.60100235257541</v>
      </c>
      <c r="I537" s="84">
        <f t="shared" si="73"/>
        <v>90.656028331252784</v>
      </c>
      <c r="J537" s="84">
        <f t="shared" si="74"/>
        <v>400644394.04826647</v>
      </c>
      <c r="L537" s="19">
        <f t="shared" si="77"/>
        <v>-4.0000000000000036E-2</v>
      </c>
      <c r="M537" s="19">
        <f t="shared" si="78"/>
        <v>0</v>
      </c>
      <c r="N537" s="19">
        <f t="shared" si="78"/>
        <v>-2.9999999999999361E-2</v>
      </c>
      <c r="O537" s="19">
        <f t="shared" si="78"/>
        <v>-3.4969297401052479E-2</v>
      </c>
      <c r="P537" s="19">
        <f t="shared" si="76"/>
        <v>-4.0000000000000036E-2</v>
      </c>
      <c r="R537" s="19"/>
      <c r="S537" s="19"/>
      <c r="T537" s="19"/>
      <c r="U537" s="19"/>
      <c r="V537" s="19"/>
    </row>
    <row r="538" spans="1:22" x14ac:dyDescent="0.2">
      <c r="A538" s="8">
        <v>44981</v>
      </c>
      <c r="B538" s="24">
        <v>5.05</v>
      </c>
      <c r="C538" s="24">
        <v>4.78</v>
      </c>
      <c r="D538" s="24">
        <v>4.5199999999999996</v>
      </c>
      <c r="E538" s="24">
        <v>4.3554470032708492</v>
      </c>
      <c r="F538" s="24">
        <v>4.1900000000000004</v>
      </c>
      <c r="G538" s="83">
        <f t="shared" si="72"/>
        <v>95.192765349833408</v>
      </c>
      <c r="H538" s="84">
        <f t="shared" si="75"/>
        <v>101.27218425888414</v>
      </c>
      <c r="I538" s="84">
        <f t="shared" si="73"/>
        <v>90.238491457330028</v>
      </c>
      <c r="J538" s="84">
        <f t="shared" si="74"/>
        <v>399431220.14066076</v>
      </c>
      <c r="L538" s="19">
        <f t="shared" si="77"/>
        <v>1.9999999999999574E-2</v>
      </c>
      <c r="M538" s="19">
        <f t="shared" si="78"/>
        <v>0.12000000000000011</v>
      </c>
      <c r="N538" s="19">
        <f t="shared" si="78"/>
        <v>0.11999999999999922</v>
      </c>
      <c r="O538" s="19">
        <f t="shared" si="78"/>
        <v>0.10996037414323823</v>
      </c>
      <c r="P538" s="19">
        <f t="shared" si="76"/>
        <v>0.10000000000000053</v>
      </c>
      <c r="R538" s="19"/>
      <c r="S538" s="19"/>
      <c r="T538" s="19"/>
      <c r="U538" s="19"/>
      <c r="V538" s="19"/>
    </row>
    <row r="539" spans="1:22" x14ac:dyDescent="0.2">
      <c r="A539" s="8">
        <v>44984</v>
      </c>
      <c r="B539" s="24">
        <v>5.03</v>
      </c>
      <c r="C539" s="24">
        <v>4.78</v>
      </c>
      <c r="D539" s="24">
        <v>4.49</v>
      </c>
      <c r="E539" s="24">
        <v>4.3302498960250935</v>
      </c>
      <c r="F539" s="24">
        <v>4.17</v>
      </c>
      <c r="G539" s="83">
        <f t="shared" si="72"/>
        <v>95.210892126059221</v>
      </c>
      <c r="H539" s="84">
        <f t="shared" si="75"/>
        <v>101.35231948559507</v>
      </c>
      <c r="I539" s="84">
        <f t="shared" si="73"/>
        <v>90.321772897105959</v>
      </c>
      <c r="J539" s="84">
        <f t="shared" si="74"/>
        <v>399680396.61214972</v>
      </c>
      <c r="L539" s="19">
        <f t="shared" si="77"/>
        <v>-1.9999999999999574E-2</v>
      </c>
      <c r="M539" s="19">
        <f t="shared" si="78"/>
        <v>0</v>
      </c>
      <c r="N539" s="19">
        <f t="shared" si="78"/>
        <v>-2.9999999999999361E-2</v>
      </c>
      <c r="O539" s="19">
        <f t="shared" si="78"/>
        <v>-2.5197107245755745E-2</v>
      </c>
      <c r="P539" s="19">
        <f t="shared" si="76"/>
        <v>-2.0000000000000462E-2</v>
      </c>
      <c r="R539" s="19"/>
      <c r="S539" s="19"/>
      <c r="T539" s="19"/>
      <c r="U539" s="19"/>
      <c r="V539" s="19"/>
    </row>
    <row r="540" spans="1:22" x14ac:dyDescent="0.2">
      <c r="A540" s="8">
        <v>44985</v>
      </c>
      <c r="B540" s="24">
        <v>5.0199999999999996</v>
      </c>
      <c r="C540" s="24">
        <v>4.8099999999999996</v>
      </c>
      <c r="D540" s="24">
        <v>4.51</v>
      </c>
      <c r="E540" s="24">
        <v>4.3453010636360156</v>
      </c>
      <c r="F540" s="24">
        <v>4.18</v>
      </c>
      <c r="G540" s="83">
        <f t="shared" si="72"/>
        <v>95.219958103218431</v>
      </c>
      <c r="H540" s="84">
        <f t="shared" si="75"/>
        <v>101.29733666696777</v>
      </c>
      <c r="I540" s="84">
        <f t="shared" si="73"/>
        <v>90.27902999026098</v>
      </c>
      <c r="J540" s="84">
        <f t="shared" si="74"/>
        <v>399610031.16702914</v>
      </c>
      <c r="L540" s="19">
        <f t="shared" si="77"/>
        <v>-1.0000000000000675E-2</v>
      </c>
      <c r="M540" s="19">
        <f t="shared" si="78"/>
        <v>2.9999999999999361E-2</v>
      </c>
      <c r="N540" s="19">
        <f t="shared" si="78"/>
        <v>1.9999999999999574E-2</v>
      </c>
      <c r="O540" s="19">
        <f t="shared" si="78"/>
        <v>1.5051167610922178E-2</v>
      </c>
      <c r="P540" s="19">
        <f t="shared" si="76"/>
        <v>9.9999999999997868E-3</v>
      </c>
      <c r="R540" s="19"/>
      <c r="S540" s="19"/>
      <c r="T540" s="19"/>
      <c r="U540" s="19"/>
      <c r="V540" s="19"/>
    </row>
    <row r="541" spans="1:22" x14ac:dyDescent="0.2">
      <c r="A541" s="8">
        <v>44986</v>
      </c>
      <c r="B541" s="24">
        <v>5.0599999999999996</v>
      </c>
      <c r="C541" s="24">
        <v>4.8899999999999997</v>
      </c>
      <c r="D541" s="24">
        <v>4.6100000000000003</v>
      </c>
      <c r="E541" s="24">
        <v>4.4404551624467921</v>
      </c>
      <c r="F541" s="24">
        <v>4.2699999999999996</v>
      </c>
      <c r="G541" s="83">
        <f t="shared" si="72"/>
        <v>95.183704549781083</v>
      </c>
      <c r="H541" s="84">
        <f t="shared" si="75"/>
        <v>101.02504234346034</v>
      </c>
      <c r="I541" s="84">
        <f t="shared" si="73"/>
        <v>89.906287536825502</v>
      </c>
      <c r="J541" s="84">
        <f t="shared" si="74"/>
        <v>398454995.73167372</v>
      </c>
      <c r="L541" s="19">
        <f t="shared" si="77"/>
        <v>4.0000000000000036E-2</v>
      </c>
      <c r="M541" s="19">
        <f t="shared" si="78"/>
        <v>8.0000000000000071E-2</v>
      </c>
      <c r="N541" s="19">
        <f t="shared" si="78"/>
        <v>0.10000000000000053</v>
      </c>
      <c r="O541" s="19">
        <f t="shared" si="78"/>
        <v>9.5154098810776411E-2</v>
      </c>
      <c r="P541" s="19">
        <f t="shared" si="76"/>
        <v>8.9999999999999858E-2</v>
      </c>
      <c r="R541" s="19"/>
      <c r="S541" s="19"/>
      <c r="T541" s="19"/>
      <c r="U541" s="19"/>
      <c r="V541" s="19"/>
    </row>
    <row r="542" spans="1:22" x14ac:dyDescent="0.2">
      <c r="A542" s="8">
        <v>44987</v>
      </c>
      <c r="B542" s="24">
        <v>5.04</v>
      </c>
      <c r="C542" s="24">
        <v>4.8899999999999997</v>
      </c>
      <c r="D542" s="24">
        <v>4.63</v>
      </c>
      <c r="E542" s="24">
        <v>4.4750710603793653</v>
      </c>
      <c r="F542" s="24">
        <v>4.32</v>
      </c>
      <c r="G542" s="83">
        <f t="shared" si="72"/>
        <v>95.201827875095205</v>
      </c>
      <c r="H542" s="84">
        <f t="shared" si="75"/>
        <v>100.97336110963633</v>
      </c>
      <c r="I542" s="84">
        <f t="shared" si="73"/>
        <v>89.705287446557222</v>
      </c>
      <c r="J542" s="84">
        <f t="shared" si="74"/>
        <v>397764763.87196481</v>
      </c>
      <c r="L542" s="19">
        <f t="shared" si="77"/>
        <v>-1.9999999999999574E-2</v>
      </c>
      <c r="M542" s="19">
        <f t="shared" si="78"/>
        <v>0</v>
      </c>
      <c r="N542" s="19">
        <f t="shared" si="78"/>
        <v>1.9999999999999574E-2</v>
      </c>
      <c r="O542" s="19">
        <f t="shared" si="78"/>
        <v>3.4615897932573247E-2</v>
      </c>
      <c r="P542" s="19">
        <f t="shared" si="76"/>
        <v>5.0000000000000711E-2</v>
      </c>
      <c r="R542" s="19"/>
      <c r="S542" s="19"/>
      <c r="T542" s="19"/>
      <c r="U542" s="19"/>
      <c r="V542" s="19"/>
    </row>
    <row r="543" spans="1:22" x14ac:dyDescent="0.2">
      <c r="A543" s="8">
        <v>44988</v>
      </c>
      <c r="B543" s="24">
        <v>5.03</v>
      </c>
      <c r="C543" s="24">
        <v>4.8600000000000003</v>
      </c>
      <c r="D543" s="24">
        <v>4.5999999999999996</v>
      </c>
      <c r="E543" s="24">
        <v>4.4301405063400541</v>
      </c>
      <c r="F543" s="24">
        <v>4.26</v>
      </c>
      <c r="G543" s="83">
        <f t="shared" si="72"/>
        <v>95.210892126059221</v>
      </c>
      <c r="H543" s="84">
        <f t="shared" si="75"/>
        <v>101.05531129705527</v>
      </c>
      <c r="I543" s="84">
        <f t="shared" si="73"/>
        <v>89.94873222103098</v>
      </c>
      <c r="J543" s="84">
        <f t="shared" si="74"/>
        <v>398633746.19065946</v>
      </c>
      <c r="L543" s="19">
        <f t="shared" si="77"/>
        <v>-9.9999999999997868E-3</v>
      </c>
      <c r="M543" s="19">
        <f t="shared" si="78"/>
        <v>-2.9999999999999361E-2</v>
      </c>
      <c r="N543" s="19">
        <f t="shared" si="78"/>
        <v>-3.0000000000000249E-2</v>
      </c>
      <c r="O543" s="19">
        <f t="shared" si="78"/>
        <v>-4.4930554039311232E-2</v>
      </c>
      <c r="P543" s="19">
        <f t="shared" si="76"/>
        <v>-6.0000000000000497E-2</v>
      </c>
      <c r="R543" s="19"/>
      <c r="S543" s="19"/>
      <c r="T543" s="19"/>
      <c r="U543" s="19"/>
      <c r="V543" s="19"/>
    </row>
    <row r="544" spans="1:22" x14ac:dyDescent="0.2">
      <c r="A544" s="8">
        <v>44991</v>
      </c>
      <c r="B544" s="24">
        <v>5.05</v>
      </c>
      <c r="C544" s="24">
        <v>4.8899999999999997</v>
      </c>
      <c r="D544" s="24">
        <v>4.6100000000000003</v>
      </c>
      <c r="E544" s="24">
        <v>4.440380033729399</v>
      </c>
      <c r="F544" s="24">
        <v>4.2699999999999996</v>
      </c>
      <c r="G544" s="83">
        <f t="shared" si="72"/>
        <v>95.192765349833408</v>
      </c>
      <c r="H544" s="84">
        <f t="shared" si="75"/>
        <v>101.02549538346297</v>
      </c>
      <c r="I544" s="84">
        <f t="shared" si="73"/>
        <v>89.906473589569018</v>
      </c>
      <c r="J544" s="84">
        <f t="shared" si="74"/>
        <v>398473181.98274845</v>
      </c>
      <c r="L544" s="19">
        <f t="shared" si="77"/>
        <v>1.9999999999999574E-2</v>
      </c>
      <c r="M544" s="19">
        <f t="shared" si="78"/>
        <v>2.9999999999999361E-2</v>
      </c>
      <c r="N544" s="19">
        <f t="shared" si="78"/>
        <v>1.0000000000000675E-2</v>
      </c>
      <c r="O544" s="19">
        <f t="shared" si="78"/>
        <v>1.0239527389344971E-2</v>
      </c>
      <c r="P544" s="19">
        <f t="shared" si="76"/>
        <v>9.9999999999997868E-3</v>
      </c>
      <c r="R544" s="19"/>
      <c r="S544" s="19"/>
      <c r="T544" s="19"/>
      <c r="U544" s="19"/>
      <c r="V544" s="19"/>
    </row>
    <row r="545" spans="1:22" x14ac:dyDescent="0.2">
      <c r="A545" s="8">
        <v>44992</v>
      </c>
      <c r="B545" s="24">
        <v>5.22</v>
      </c>
      <c r="C545" s="24">
        <v>5</v>
      </c>
      <c r="D545" s="24">
        <v>4.66</v>
      </c>
      <c r="E545" s="24">
        <v>4.4854919885137745</v>
      </c>
      <c r="F545" s="24">
        <v>4.3099999999999996</v>
      </c>
      <c r="G545" s="83">
        <f t="shared" si="72"/>
        <v>95.038965976050179</v>
      </c>
      <c r="H545" s="84">
        <f t="shared" si="75"/>
        <v>100.87689509773766</v>
      </c>
      <c r="I545" s="84">
        <f t="shared" si="73"/>
        <v>89.73563392517039</v>
      </c>
      <c r="J545" s="84">
        <f t="shared" si="74"/>
        <v>397705125.00617546</v>
      </c>
      <c r="L545" s="19">
        <f t="shared" si="77"/>
        <v>0.16999999999999993</v>
      </c>
      <c r="M545" s="19">
        <f t="shared" si="78"/>
        <v>0.11000000000000032</v>
      </c>
      <c r="N545" s="19">
        <f t="shared" si="78"/>
        <v>4.9999999999999822E-2</v>
      </c>
      <c r="O545" s="19">
        <f t="shared" si="78"/>
        <v>4.5111954784375463E-2</v>
      </c>
      <c r="P545" s="19">
        <f t="shared" si="76"/>
        <v>4.0000000000000036E-2</v>
      </c>
      <c r="R545" s="19"/>
      <c r="S545" s="19"/>
      <c r="T545" s="19"/>
      <c r="U545" s="19"/>
      <c r="V545" s="19"/>
    </row>
    <row r="546" spans="1:22" x14ac:dyDescent="0.2">
      <c r="A546" s="8">
        <v>44993</v>
      </c>
      <c r="B546" s="24">
        <v>5.25</v>
      </c>
      <c r="C546" s="24">
        <v>5.05</v>
      </c>
      <c r="D546" s="24">
        <v>4.71</v>
      </c>
      <c r="E546" s="24">
        <v>4.5254994027922955</v>
      </c>
      <c r="F546" s="24">
        <v>4.34</v>
      </c>
      <c r="G546" s="83">
        <f t="shared" si="72"/>
        <v>95.011876484560574</v>
      </c>
      <c r="H546" s="84">
        <f t="shared" si="75"/>
        <v>100.74008221381195</v>
      </c>
      <c r="I546" s="84">
        <f t="shared" si="73"/>
        <v>89.609624582934146</v>
      </c>
      <c r="J546" s="84">
        <f t="shared" si="74"/>
        <v>397352127.98013979</v>
      </c>
      <c r="L546" s="19">
        <f t="shared" si="77"/>
        <v>3.0000000000000249E-2</v>
      </c>
      <c r="M546" s="19">
        <f t="shared" si="78"/>
        <v>4.9999999999999822E-2</v>
      </c>
      <c r="N546" s="19">
        <f t="shared" si="78"/>
        <v>4.9999999999999822E-2</v>
      </c>
      <c r="O546" s="19">
        <f t="shared" si="78"/>
        <v>4.0007414278520947E-2</v>
      </c>
      <c r="P546" s="19">
        <f t="shared" si="76"/>
        <v>3.0000000000000249E-2</v>
      </c>
      <c r="R546" s="19"/>
      <c r="S546" s="19"/>
      <c r="T546" s="19"/>
      <c r="U546" s="19"/>
      <c r="V546" s="19"/>
    </row>
    <row r="547" spans="1:22" x14ac:dyDescent="0.2">
      <c r="A547" s="8">
        <v>44994</v>
      </c>
      <c r="B547" s="24">
        <v>5.18</v>
      </c>
      <c r="C547" s="24">
        <v>4.9000000000000004</v>
      </c>
      <c r="D547" s="24">
        <v>4.5599999999999996</v>
      </c>
      <c r="E547" s="24">
        <v>4.4432999999999998</v>
      </c>
      <c r="F547" s="24">
        <v>4.22</v>
      </c>
      <c r="G547" s="83">
        <f t="shared" si="72"/>
        <v>95.075109336375732</v>
      </c>
      <c r="H547" s="84">
        <f t="shared" si="75"/>
        <v>101.15039074503545</v>
      </c>
      <c r="I547" s="84">
        <f t="shared" si="73"/>
        <v>90.104798511025336</v>
      </c>
      <c r="J547" s="84">
        <f t="shared" si="74"/>
        <v>398843826.59929967</v>
      </c>
      <c r="L547" s="19">
        <f t="shared" si="77"/>
        <v>-7.0000000000000284E-2</v>
      </c>
      <c r="M547" s="19">
        <f t="shared" si="78"/>
        <v>-0.14999999999999947</v>
      </c>
      <c r="N547" s="19">
        <f t="shared" si="78"/>
        <v>-0.15000000000000036</v>
      </c>
      <c r="O547" s="19">
        <f t="shared" si="78"/>
        <v>-8.219940279229565E-2</v>
      </c>
      <c r="P547" s="19">
        <f t="shared" si="76"/>
        <v>-0.12000000000000011</v>
      </c>
      <c r="R547" s="19"/>
      <c r="S547" s="19"/>
      <c r="T547" s="19"/>
      <c r="U547" s="19"/>
      <c r="V547" s="19"/>
    </row>
    <row r="548" spans="1:22" x14ac:dyDescent="0.2">
      <c r="A548" s="8">
        <v>44995</v>
      </c>
      <c r="B548" s="24">
        <v>4.9000000000000004</v>
      </c>
      <c r="C548" s="24">
        <v>4.5999999999999996</v>
      </c>
      <c r="D548" s="24">
        <v>4.3099999999999996</v>
      </c>
      <c r="E548" s="24">
        <v>4.2092000000000001</v>
      </c>
      <c r="F548" s="24">
        <v>3.96</v>
      </c>
      <c r="G548" s="83">
        <f t="shared" si="72"/>
        <v>95.328884652049581</v>
      </c>
      <c r="H548" s="84">
        <f t="shared" si="75"/>
        <v>101.85119653492818</v>
      </c>
      <c r="I548" s="84">
        <f t="shared" si="73"/>
        <v>91.190621865289472</v>
      </c>
      <c r="J548" s="84">
        <f t="shared" si="74"/>
        <v>402643461.96286482</v>
      </c>
      <c r="L548" s="19">
        <f t="shared" si="77"/>
        <v>-0.27999999999999936</v>
      </c>
      <c r="M548" s="19">
        <f t="shared" si="78"/>
        <v>-0.30000000000000071</v>
      </c>
      <c r="N548" s="19">
        <f t="shared" si="78"/>
        <v>-0.25</v>
      </c>
      <c r="O548" s="19">
        <f t="shared" si="78"/>
        <v>-0.23409999999999975</v>
      </c>
      <c r="P548" s="19">
        <f t="shared" si="76"/>
        <v>-0.25999999999999979</v>
      </c>
      <c r="R548" s="19"/>
      <c r="S548" s="19"/>
      <c r="T548" s="19"/>
      <c r="U548" s="19"/>
      <c r="V548" s="19"/>
    </row>
    <row r="549" spans="1:22" x14ac:dyDescent="0.2">
      <c r="A549" s="8">
        <v>44998</v>
      </c>
      <c r="B549" s="24">
        <v>4.3</v>
      </c>
      <c r="C549" s="24">
        <v>4.03</v>
      </c>
      <c r="D549" s="24">
        <v>3.88</v>
      </c>
      <c r="E549" s="24">
        <v>3.8530000000000002</v>
      </c>
      <c r="F549" s="24">
        <v>3.68</v>
      </c>
      <c r="G549" s="83">
        <f t="shared" si="72"/>
        <v>95.877277085330789</v>
      </c>
      <c r="H549" s="84">
        <f t="shared" si="75"/>
        <v>103.08245981718034</v>
      </c>
      <c r="I549" s="84">
        <f t="shared" si="73"/>
        <v>92.407411654928083</v>
      </c>
      <c r="J549" s="84">
        <f t="shared" si="74"/>
        <v>406760511.06460345</v>
      </c>
      <c r="L549" s="19">
        <f t="shared" si="77"/>
        <v>-0.60000000000000053</v>
      </c>
      <c r="M549" s="19">
        <f t="shared" si="78"/>
        <v>-0.5699999999999994</v>
      </c>
      <c r="N549" s="19">
        <f t="shared" si="78"/>
        <v>-0.42999999999999972</v>
      </c>
      <c r="O549" s="19">
        <f t="shared" si="78"/>
        <v>-0.35619999999999985</v>
      </c>
      <c r="P549" s="19">
        <f t="shared" si="76"/>
        <v>-0.2799999999999998</v>
      </c>
      <c r="R549" s="19"/>
      <c r="S549" s="19"/>
      <c r="T549" s="19"/>
      <c r="U549" s="19"/>
      <c r="V549" s="19"/>
    </row>
    <row r="550" spans="1:22" x14ac:dyDescent="0.2">
      <c r="A550" s="8">
        <v>44999</v>
      </c>
      <c r="B550" s="24">
        <v>4.45</v>
      </c>
      <c r="C550" s="24">
        <v>4.2</v>
      </c>
      <c r="D550" s="24">
        <v>4.05</v>
      </c>
      <c r="E550" s="24">
        <v>3.8782000000000001</v>
      </c>
      <c r="F550" s="24">
        <v>3.78</v>
      </c>
      <c r="G550" s="83">
        <f t="shared" si="72"/>
        <v>95.73958831977022</v>
      </c>
      <c r="H550" s="84">
        <f t="shared" si="75"/>
        <v>102.60214706118656</v>
      </c>
      <c r="I550" s="84">
        <f t="shared" si="73"/>
        <v>91.978837221463323</v>
      </c>
      <c r="J550" s="84">
        <f t="shared" si="74"/>
        <v>405491304.9336139</v>
      </c>
      <c r="L550" s="19">
        <f t="shared" si="77"/>
        <v>0.15000000000000036</v>
      </c>
      <c r="M550" s="19">
        <f t="shared" si="78"/>
        <v>0.16999999999999993</v>
      </c>
      <c r="N550" s="19">
        <f t="shared" si="78"/>
        <v>0.16999999999999993</v>
      </c>
      <c r="O550" s="19">
        <f t="shared" si="78"/>
        <v>2.5199999999999889E-2</v>
      </c>
      <c r="P550" s="19">
        <f t="shared" si="76"/>
        <v>9.9999999999999645E-2</v>
      </c>
      <c r="R550" s="19"/>
      <c r="S550" s="19"/>
      <c r="T550" s="19"/>
      <c r="U550" s="19"/>
      <c r="V550" s="19"/>
    </row>
    <row r="551" spans="1:22" x14ac:dyDescent="0.2">
      <c r="A551" s="8">
        <v>45000</v>
      </c>
      <c r="B551" s="24">
        <v>4.1900000000000004</v>
      </c>
      <c r="C551" s="24">
        <v>3.93</v>
      </c>
      <c r="D551" s="24">
        <v>3.83</v>
      </c>
      <c r="E551" s="24">
        <v>3.6987000000000001</v>
      </c>
      <c r="F551" s="24">
        <v>3.59</v>
      </c>
      <c r="G551" s="83">
        <f t="shared" si="72"/>
        <v>95.978500815817256</v>
      </c>
      <c r="H551" s="84">
        <f t="shared" si="75"/>
        <v>103.23180124324537</v>
      </c>
      <c r="I551" s="84">
        <f t="shared" si="73"/>
        <v>92.796317220256526</v>
      </c>
      <c r="J551" s="84">
        <f t="shared" si="74"/>
        <v>408294568.64779258</v>
      </c>
      <c r="L551" s="19">
        <f t="shared" si="77"/>
        <v>-0.25999999999999979</v>
      </c>
      <c r="M551" s="19">
        <f t="shared" si="78"/>
        <v>-0.27</v>
      </c>
      <c r="N551" s="19">
        <f t="shared" si="78"/>
        <v>-0.21999999999999975</v>
      </c>
      <c r="O551" s="19">
        <f t="shared" si="78"/>
        <v>-0.17949999999999999</v>
      </c>
      <c r="P551" s="19">
        <f t="shared" si="76"/>
        <v>-0.18999999999999995</v>
      </c>
      <c r="R551" s="19"/>
      <c r="S551" s="19"/>
      <c r="T551" s="19"/>
      <c r="U551" s="19"/>
      <c r="V551" s="19"/>
    </row>
    <row r="552" spans="1:22" x14ac:dyDescent="0.2">
      <c r="A552" s="8">
        <v>45001</v>
      </c>
      <c r="B552" s="24">
        <v>4.49</v>
      </c>
      <c r="C552" s="24">
        <v>4.1399999999999997</v>
      </c>
      <c r="D552" s="24">
        <v>3.99</v>
      </c>
      <c r="E552" s="24">
        <v>3.7869000000000002</v>
      </c>
      <c r="F552" s="24">
        <v>3.72</v>
      </c>
      <c r="G552" s="83">
        <f t="shared" si="72"/>
        <v>95.702938080199061</v>
      </c>
      <c r="H552" s="84">
        <f t="shared" si="75"/>
        <v>102.76705627772316</v>
      </c>
      <c r="I552" s="84">
        <f t="shared" si="73"/>
        <v>92.234708181906797</v>
      </c>
      <c r="J552" s="84">
        <f t="shared" si="74"/>
        <v>406194124.47144055</v>
      </c>
      <c r="L552" s="19">
        <f t="shared" si="77"/>
        <v>0.29999999999999982</v>
      </c>
      <c r="M552" s="19">
        <f t="shared" si="78"/>
        <v>0.20999999999999952</v>
      </c>
      <c r="N552" s="19">
        <f t="shared" si="78"/>
        <v>0.16000000000000014</v>
      </c>
      <c r="O552" s="19">
        <f t="shared" si="78"/>
        <v>8.8200000000000056E-2</v>
      </c>
      <c r="P552" s="19">
        <f t="shared" si="76"/>
        <v>0.13000000000000034</v>
      </c>
      <c r="R552" s="19"/>
      <c r="S552" s="19"/>
      <c r="T552" s="19"/>
      <c r="U552" s="19"/>
      <c r="V552" s="19"/>
    </row>
    <row r="553" spans="1:22" x14ac:dyDescent="0.2">
      <c r="A553" s="8">
        <v>45002</v>
      </c>
      <c r="B553" s="24">
        <v>4.26</v>
      </c>
      <c r="C553" s="24">
        <v>3.81</v>
      </c>
      <c r="D553" s="24">
        <v>3.68</v>
      </c>
      <c r="E553" s="24">
        <v>3.5901000000000001</v>
      </c>
      <c r="F553" s="24">
        <v>3.44</v>
      </c>
      <c r="G553" s="83">
        <f t="shared" si="72"/>
        <v>95.914061001342802</v>
      </c>
      <c r="H553" s="84">
        <f t="shared" si="75"/>
        <v>103.6470114657043</v>
      </c>
      <c r="I553" s="84">
        <f t="shared" si="73"/>
        <v>93.436131479892907</v>
      </c>
      <c r="J553" s="84">
        <f t="shared" si="74"/>
        <v>410102130.72370076</v>
      </c>
      <c r="L553" s="19">
        <f t="shared" si="77"/>
        <v>-0.23000000000000043</v>
      </c>
      <c r="M553" s="19">
        <f t="shared" si="78"/>
        <v>-0.32999999999999963</v>
      </c>
      <c r="N553" s="19">
        <f t="shared" si="78"/>
        <v>-0.31000000000000005</v>
      </c>
      <c r="O553" s="19">
        <f t="shared" si="78"/>
        <v>-0.19680000000000009</v>
      </c>
      <c r="P553" s="19">
        <f t="shared" si="76"/>
        <v>-0.28000000000000025</v>
      </c>
      <c r="R553" s="19"/>
      <c r="S553" s="19"/>
      <c r="T553" s="19"/>
      <c r="U553" s="19"/>
      <c r="V553" s="19"/>
    </row>
    <row r="554" spans="1:22" x14ac:dyDescent="0.2">
      <c r="A554" s="8">
        <v>45005</v>
      </c>
      <c r="B554" s="24">
        <v>4.34</v>
      </c>
      <c r="C554" s="24">
        <v>3.92</v>
      </c>
      <c r="D554" s="24">
        <v>3.77</v>
      </c>
      <c r="E554" s="24">
        <v>3.6377999999999999</v>
      </c>
      <c r="F554" s="24">
        <v>3.56</v>
      </c>
      <c r="G554" s="83">
        <f t="shared" si="72"/>
        <v>95.840521372436257</v>
      </c>
      <c r="H554" s="84">
        <f t="shared" si="75"/>
        <v>103.38859998258262</v>
      </c>
      <c r="I554" s="84">
        <f t="shared" si="73"/>
        <v>92.92500982902618</v>
      </c>
      <c r="J554" s="84">
        <f t="shared" si="74"/>
        <v>408298182.08710325</v>
      </c>
      <c r="L554" s="19">
        <f t="shared" si="77"/>
        <v>8.0000000000000071E-2</v>
      </c>
      <c r="M554" s="19">
        <f t="shared" si="78"/>
        <v>0.10999999999999988</v>
      </c>
      <c r="N554" s="19">
        <f t="shared" si="78"/>
        <v>8.9999999999999858E-2</v>
      </c>
      <c r="O554" s="19">
        <f t="shared" si="78"/>
        <v>4.7699999999999854E-2</v>
      </c>
      <c r="P554" s="19">
        <f t="shared" si="76"/>
        <v>0.12000000000000011</v>
      </c>
      <c r="R554" s="19"/>
      <c r="S554" s="19"/>
      <c r="T554" s="19"/>
      <c r="U554" s="19"/>
      <c r="V554" s="19"/>
    </row>
    <row r="555" spans="1:22" x14ac:dyDescent="0.2">
      <c r="A555" s="8">
        <v>45006</v>
      </c>
      <c r="B555" s="24">
        <v>4.68</v>
      </c>
      <c r="C555" s="24">
        <v>4.17</v>
      </c>
      <c r="D555" s="24">
        <v>3.98</v>
      </c>
      <c r="E555" s="24">
        <v>3.7873000000000001</v>
      </c>
      <c r="F555" s="24">
        <v>3.73</v>
      </c>
      <c r="G555" s="83">
        <f t="shared" si="72"/>
        <v>95.529231944975166</v>
      </c>
      <c r="H555" s="84">
        <f t="shared" si="75"/>
        <v>102.78265774308849</v>
      </c>
      <c r="I555" s="84">
        <f t="shared" si="73"/>
        <v>92.18970715265219</v>
      </c>
      <c r="J555" s="84">
        <f t="shared" si="74"/>
        <v>405643305.88592637</v>
      </c>
      <c r="L555" s="19">
        <f t="shared" si="77"/>
        <v>0.33999999999999986</v>
      </c>
      <c r="M555" s="19">
        <f t="shared" si="78"/>
        <v>0.25</v>
      </c>
      <c r="N555" s="19">
        <f t="shared" si="78"/>
        <v>0.20999999999999996</v>
      </c>
      <c r="O555" s="19">
        <f t="shared" si="78"/>
        <v>0.14950000000000019</v>
      </c>
      <c r="P555" s="19">
        <f t="shared" si="76"/>
        <v>0.16999999999999993</v>
      </c>
      <c r="R555" s="19"/>
      <c r="S555" s="19"/>
      <c r="T555" s="19"/>
      <c r="U555" s="19"/>
      <c r="V555" s="19"/>
    </row>
    <row r="556" spans="1:22" x14ac:dyDescent="0.2">
      <c r="A556" s="8">
        <v>45007</v>
      </c>
      <c r="B556" s="24">
        <v>4.5599999999999996</v>
      </c>
      <c r="C556" s="24">
        <v>3.96</v>
      </c>
      <c r="D556" s="24">
        <v>3.76</v>
      </c>
      <c r="E556" s="24">
        <v>3.6840000000000002</v>
      </c>
      <c r="F556" s="24">
        <v>3.54</v>
      </c>
      <c r="G556" s="83">
        <f t="shared" si="72"/>
        <v>95.638867635807188</v>
      </c>
      <c r="H556" s="84">
        <f t="shared" si="75"/>
        <v>103.40212623425735</v>
      </c>
      <c r="I556" s="84">
        <f t="shared" si="73"/>
        <v>92.999718546750117</v>
      </c>
      <c r="J556" s="84">
        <f t="shared" si="74"/>
        <v>408173420.10722876</v>
      </c>
      <c r="L556" s="19">
        <f t="shared" si="77"/>
        <v>-0.12000000000000011</v>
      </c>
      <c r="M556" s="19">
        <f t="shared" si="78"/>
        <v>-0.20999999999999996</v>
      </c>
      <c r="N556" s="19">
        <f t="shared" si="78"/>
        <v>-0.2200000000000002</v>
      </c>
      <c r="O556" s="19">
        <f t="shared" si="78"/>
        <v>-0.10329999999999995</v>
      </c>
      <c r="P556" s="19">
        <f t="shared" si="76"/>
        <v>-0.18999999999999995</v>
      </c>
      <c r="R556" s="19"/>
      <c r="S556" s="19"/>
      <c r="T556" s="19"/>
      <c r="U556" s="19"/>
      <c r="V556" s="19"/>
    </row>
    <row r="557" spans="1:22" x14ac:dyDescent="0.2">
      <c r="A557" s="8">
        <v>45008</v>
      </c>
      <c r="B557" s="24">
        <v>4.38</v>
      </c>
      <c r="C557" s="24">
        <v>3.76</v>
      </c>
      <c r="D557" s="24">
        <v>3.57</v>
      </c>
      <c r="E557" s="24">
        <v>3.5165000000000002</v>
      </c>
      <c r="F557" s="24">
        <v>3.39</v>
      </c>
      <c r="G557" s="83">
        <f t="shared" si="72"/>
        <v>95.803793830235676</v>
      </c>
      <c r="H557" s="84">
        <f t="shared" si="75"/>
        <v>103.94647146056059</v>
      </c>
      <c r="I557" s="84">
        <f t="shared" si="73"/>
        <v>93.654851695961156</v>
      </c>
      <c r="J557" s="84">
        <f t="shared" si="74"/>
        <v>410307287.25347513</v>
      </c>
      <c r="L557" s="19">
        <f t="shared" si="77"/>
        <v>-0.17999999999999972</v>
      </c>
      <c r="M557" s="19">
        <f t="shared" si="78"/>
        <v>-0.20000000000000018</v>
      </c>
      <c r="N557" s="19">
        <f t="shared" si="78"/>
        <v>-0.18999999999999995</v>
      </c>
      <c r="O557" s="19">
        <f t="shared" si="78"/>
        <v>-0.16749999999999998</v>
      </c>
      <c r="P557" s="19">
        <f t="shared" si="76"/>
        <v>-0.14999999999999991</v>
      </c>
      <c r="R557" s="19"/>
      <c r="S557" s="19"/>
      <c r="T557" s="19"/>
      <c r="U557" s="19"/>
      <c r="V557" s="19"/>
    </row>
    <row r="558" spans="1:22" x14ac:dyDescent="0.2">
      <c r="A558" s="8">
        <v>45009</v>
      </c>
      <c r="B558" s="24">
        <v>4.32</v>
      </c>
      <c r="C558" s="24">
        <v>3.76</v>
      </c>
      <c r="D558" s="24">
        <v>3.58</v>
      </c>
      <c r="E558" s="24">
        <v>3.4742000000000002</v>
      </c>
      <c r="F558" s="24">
        <v>3.41</v>
      </c>
      <c r="G558" s="83">
        <f t="shared" si="72"/>
        <v>95.858895705521476</v>
      </c>
      <c r="H558" s="84">
        <f t="shared" si="75"/>
        <v>103.9218555464705</v>
      </c>
      <c r="I558" s="84">
        <f t="shared" si="73"/>
        <v>93.574822530348953</v>
      </c>
      <c r="J558" s="84">
        <f t="shared" si="74"/>
        <v>410134298.21273303</v>
      </c>
      <c r="L558" s="19">
        <f t="shared" si="77"/>
        <v>-5.9999999999999609E-2</v>
      </c>
      <c r="M558" s="19">
        <f t="shared" si="78"/>
        <v>0</v>
      </c>
      <c r="N558" s="19">
        <f t="shared" si="78"/>
        <v>1.0000000000000231E-2</v>
      </c>
      <c r="O558" s="19">
        <f t="shared" si="78"/>
        <v>-4.2300000000000004E-2</v>
      </c>
      <c r="P558" s="19">
        <f t="shared" si="76"/>
        <v>2.0000000000000018E-2</v>
      </c>
      <c r="R558" s="19"/>
      <c r="S558" s="19"/>
      <c r="T558" s="19"/>
      <c r="U558" s="19"/>
      <c r="V558" s="19"/>
    </row>
    <row r="559" spans="1:22" x14ac:dyDescent="0.2">
      <c r="A559" s="8">
        <v>45012</v>
      </c>
      <c r="B559" s="24">
        <v>4.51</v>
      </c>
      <c r="C559" s="24">
        <v>3.94</v>
      </c>
      <c r="D559" s="24">
        <v>3.79</v>
      </c>
      <c r="E559" s="24">
        <v>3.6191</v>
      </c>
      <c r="F559" s="24">
        <v>3.59</v>
      </c>
      <c r="G559" s="83">
        <f t="shared" si="72"/>
        <v>95.684623481006611</v>
      </c>
      <c r="H559" s="84">
        <f t="shared" si="75"/>
        <v>103.32471273808076</v>
      </c>
      <c r="I559" s="84">
        <f t="shared" si="73"/>
        <v>92.797470718302776</v>
      </c>
      <c r="J559" s="84">
        <f t="shared" si="74"/>
        <v>407572060.72810316</v>
      </c>
      <c r="L559" s="19">
        <f t="shared" si="77"/>
        <v>0.1899999999999995</v>
      </c>
      <c r="M559" s="19">
        <f t="shared" si="78"/>
        <v>0.18000000000000016</v>
      </c>
      <c r="N559" s="19">
        <f t="shared" si="78"/>
        <v>0.20999999999999996</v>
      </c>
      <c r="O559" s="19">
        <f t="shared" si="78"/>
        <v>0.14489999999999981</v>
      </c>
      <c r="P559" s="19">
        <f t="shared" si="76"/>
        <v>0.17999999999999972</v>
      </c>
      <c r="R559" s="19"/>
      <c r="S559" s="19"/>
      <c r="T559" s="19"/>
      <c r="U559" s="19"/>
      <c r="V559" s="19"/>
    </row>
    <row r="560" spans="1:22" x14ac:dyDescent="0.2">
      <c r="A560" s="8">
        <v>45013</v>
      </c>
      <c r="B560" s="24">
        <v>4.55</v>
      </c>
      <c r="C560" s="24">
        <v>4.0199999999999996</v>
      </c>
      <c r="D560" s="24">
        <v>3.84</v>
      </c>
      <c r="E560" s="24">
        <v>3.6783999999999999</v>
      </c>
      <c r="F560" s="24">
        <v>3.63</v>
      </c>
      <c r="G560" s="83">
        <f t="shared" si="72"/>
        <v>95.648015303682442</v>
      </c>
      <c r="H560" s="84">
        <f t="shared" si="75"/>
        <v>103.18017233391485</v>
      </c>
      <c r="I560" s="84">
        <f t="shared" si="73"/>
        <v>92.622443798296644</v>
      </c>
      <c r="J560" s="84">
        <f t="shared" si="74"/>
        <v>407015547.29967916</v>
      </c>
      <c r="L560" s="19">
        <f t="shared" si="77"/>
        <v>4.0000000000000036E-2</v>
      </c>
      <c r="M560" s="19">
        <f t="shared" si="78"/>
        <v>7.9999999999999627E-2</v>
      </c>
      <c r="N560" s="19">
        <f t="shared" si="78"/>
        <v>4.9999999999999822E-2</v>
      </c>
      <c r="O560" s="19">
        <f t="shared" si="78"/>
        <v>5.9299999999999908E-2</v>
      </c>
      <c r="P560" s="19">
        <f t="shared" si="76"/>
        <v>4.0000000000000036E-2</v>
      </c>
      <c r="R560" s="19"/>
      <c r="S560" s="19"/>
      <c r="T560" s="19"/>
      <c r="U560" s="19"/>
      <c r="V560" s="19"/>
    </row>
    <row r="561" spans="1:22" x14ac:dyDescent="0.2">
      <c r="A561" s="8">
        <v>45014</v>
      </c>
      <c r="B561" s="24">
        <v>4.59</v>
      </c>
      <c r="C561" s="24">
        <v>4.08</v>
      </c>
      <c r="D561" s="24">
        <v>3.87</v>
      </c>
      <c r="E561" s="24">
        <v>3.7170000000000001</v>
      </c>
      <c r="F561" s="24">
        <v>3.67</v>
      </c>
      <c r="G561" s="83">
        <f t="shared" si="72"/>
        <v>95.611435127641258</v>
      </c>
      <c r="H561" s="84">
        <f t="shared" si="75"/>
        <v>103.09178595733798</v>
      </c>
      <c r="I561" s="84">
        <f t="shared" si="73"/>
        <v>92.450940709010553</v>
      </c>
      <c r="J561" s="84">
        <f t="shared" si="74"/>
        <v>406388954.15531778</v>
      </c>
      <c r="L561" s="19">
        <f t="shared" si="77"/>
        <v>4.0000000000000036E-2</v>
      </c>
      <c r="M561" s="19">
        <f t="shared" si="78"/>
        <v>6.0000000000000497E-2</v>
      </c>
      <c r="N561" s="19">
        <f t="shared" si="78"/>
        <v>3.0000000000000249E-2</v>
      </c>
      <c r="O561" s="19">
        <f t="shared" si="78"/>
        <v>3.860000000000019E-2</v>
      </c>
      <c r="P561" s="19">
        <f t="shared" si="76"/>
        <v>4.0000000000000036E-2</v>
      </c>
      <c r="R561" s="19"/>
      <c r="S561" s="19"/>
      <c r="T561" s="19"/>
      <c r="U561" s="19"/>
      <c r="V561" s="19"/>
    </row>
    <row r="562" spans="1:22" x14ac:dyDescent="0.2">
      <c r="A562" s="8">
        <v>45015</v>
      </c>
      <c r="B562" s="24">
        <v>4.63</v>
      </c>
      <c r="C562" s="24">
        <v>4.0999999999999996</v>
      </c>
      <c r="D562" s="24">
        <v>3.87</v>
      </c>
      <c r="E562" s="24">
        <v>3.7246000000000001</v>
      </c>
      <c r="F562" s="24">
        <v>3.66</v>
      </c>
      <c r="G562" s="83">
        <f t="shared" si="72"/>
        <v>95.574882920768417</v>
      </c>
      <c r="H562" s="84">
        <f t="shared" si="75"/>
        <v>103.08818496220927</v>
      </c>
      <c r="I562" s="84">
        <f t="shared" si="73"/>
        <v>92.490087708576453</v>
      </c>
      <c r="J562" s="84">
        <f t="shared" si="74"/>
        <v>406477839.23252875</v>
      </c>
      <c r="L562" s="19">
        <f t="shared" si="77"/>
        <v>4.0000000000000036E-2</v>
      </c>
      <c r="M562" s="19">
        <f t="shared" si="78"/>
        <v>1.9999999999999574E-2</v>
      </c>
      <c r="N562" s="19">
        <f t="shared" si="78"/>
        <v>0</v>
      </c>
      <c r="O562" s="19">
        <f t="shared" si="78"/>
        <v>7.6000000000000512E-3</v>
      </c>
      <c r="P562" s="19">
        <f t="shared" si="76"/>
        <v>-9.9999999999997868E-3</v>
      </c>
      <c r="R562" s="19"/>
      <c r="S562" s="19"/>
      <c r="T562" s="19"/>
      <c r="U562" s="19"/>
      <c r="V562" s="19"/>
    </row>
    <row r="563" spans="1:22" x14ac:dyDescent="0.2">
      <c r="A563" s="8">
        <v>45016</v>
      </c>
      <c r="B563" s="24">
        <v>4.6399999999999997</v>
      </c>
      <c r="C563" s="24">
        <v>4.0599999999999996</v>
      </c>
      <c r="D563" s="24">
        <v>3.81</v>
      </c>
      <c r="E563" s="24">
        <v>3.6787000000000001</v>
      </c>
      <c r="F563" s="24">
        <v>3.6</v>
      </c>
      <c r="G563" s="83">
        <f t="shared" si="72"/>
        <v>95.565749235474001</v>
      </c>
      <c r="H563" s="84">
        <f t="shared" si="75"/>
        <v>103.25383214614459</v>
      </c>
      <c r="I563" s="84">
        <f t="shared" si="73"/>
        <v>92.744545799717031</v>
      </c>
      <c r="J563" s="84">
        <f t="shared" si="74"/>
        <v>407228933.45059919</v>
      </c>
      <c r="L563" s="19">
        <f t="shared" si="77"/>
        <v>9.9999999999997868E-3</v>
      </c>
      <c r="M563" s="19">
        <f t="shared" si="78"/>
        <v>-4.0000000000000036E-2</v>
      </c>
      <c r="N563" s="19">
        <f t="shared" si="78"/>
        <v>-6.0000000000000053E-2</v>
      </c>
      <c r="O563" s="19">
        <f t="shared" si="78"/>
        <v>-4.5900000000000052E-2</v>
      </c>
      <c r="P563" s="19">
        <f t="shared" si="76"/>
        <v>-6.0000000000000053E-2</v>
      </c>
      <c r="R563" s="19"/>
      <c r="S563" s="19"/>
      <c r="T563" s="19"/>
      <c r="U563" s="19"/>
      <c r="V563" s="19"/>
    </row>
    <row r="564" spans="1:22" x14ac:dyDescent="0.2">
      <c r="A564" s="8">
        <v>45019</v>
      </c>
      <c r="B564" s="24">
        <v>4.5999999999999996</v>
      </c>
      <c r="C564" s="24">
        <v>3.97</v>
      </c>
      <c r="D564" s="24">
        <v>3.73</v>
      </c>
      <c r="E564" s="24">
        <v>3.6111</v>
      </c>
      <c r="F564" s="24">
        <v>3.52</v>
      </c>
      <c r="G564" s="83">
        <f t="shared" si="72"/>
        <v>95.602294455066911</v>
      </c>
      <c r="H564" s="84">
        <f t="shared" si="75"/>
        <v>103.48098381827526</v>
      </c>
      <c r="I564" s="84">
        <f t="shared" si="73"/>
        <v>93.087893404381987</v>
      </c>
      <c r="J564" s="84">
        <f t="shared" si="74"/>
        <v>408334686.80024886</v>
      </c>
      <c r="L564" s="19">
        <f t="shared" si="77"/>
        <v>-4.0000000000000036E-2</v>
      </c>
      <c r="M564" s="19">
        <f t="shared" si="78"/>
        <v>-8.9999999999999414E-2</v>
      </c>
      <c r="N564" s="19">
        <f t="shared" si="78"/>
        <v>-8.0000000000000071E-2</v>
      </c>
      <c r="O564" s="19">
        <f t="shared" si="78"/>
        <v>-6.7600000000000104E-2</v>
      </c>
      <c r="P564" s="19">
        <f t="shared" si="76"/>
        <v>-8.0000000000000071E-2</v>
      </c>
      <c r="R564" s="19"/>
      <c r="S564" s="19"/>
      <c r="T564" s="19"/>
      <c r="U564" s="19"/>
      <c r="V564" s="19"/>
    </row>
    <row r="565" spans="1:22" x14ac:dyDescent="0.2">
      <c r="A565" s="8">
        <v>45020</v>
      </c>
      <c r="B565" s="24">
        <v>4.5</v>
      </c>
      <c r="C565" s="24">
        <v>3.84</v>
      </c>
      <c r="D565" s="24">
        <v>3.6</v>
      </c>
      <c r="E565" s="24">
        <v>3.4952999999999999</v>
      </c>
      <c r="F565" s="24">
        <v>3.39</v>
      </c>
      <c r="G565" s="83">
        <f t="shared" si="72"/>
        <v>95.693779904306226</v>
      </c>
      <c r="H565" s="84">
        <f t="shared" si="75"/>
        <v>103.85173627755871</v>
      </c>
      <c r="I565" s="84">
        <f t="shared" si="73"/>
        <v>93.649654278496882</v>
      </c>
      <c r="J565" s="84">
        <f t="shared" si="74"/>
        <v>410208572.50626189</v>
      </c>
      <c r="L565" s="19">
        <f t="shared" si="77"/>
        <v>-9.9999999999999645E-2</v>
      </c>
      <c r="M565" s="19">
        <f t="shared" si="78"/>
        <v>-0.13000000000000034</v>
      </c>
      <c r="N565" s="19">
        <f t="shared" si="78"/>
        <v>-0.12999999999999989</v>
      </c>
      <c r="O565" s="19">
        <f t="shared" si="78"/>
        <v>-0.11580000000000013</v>
      </c>
      <c r="P565" s="19">
        <f t="shared" si="76"/>
        <v>-0.12999999999999989</v>
      </c>
      <c r="R565" s="19"/>
      <c r="S565" s="19"/>
      <c r="T565" s="19"/>
      <c r="U565" s="19"/>
      <c r="V565" s="19"/>
    </row>
    <row r="566" spans="1:22" x14ac:dyDescent="0.2">
      <c r="A566" s="8">
        <v>45021</v>
      </c>
      <c r="B566" s="24">
        <v>4.43</v>
      </c>
      <c r="C566" s="24">
        <v>3.79</v>
      </c>
      <c r="D566" s="24">
        <v>3.55</v>
      </c>
      <c r="E566" s="24">
        <v>3.4329000000000001</v>
      </c>
      <c r="F566" s="24">
        <v>3.36</v>
      </c>
      <c r="G566" s="83">
        <f t="shared" si="72"/>
        <v>95.757923968208374</v>
      </c>
      <c r="H566" s="84">
        <f t="shared" si="75"/>
        <v>103.99626733330994</v>
      </c>
      <c r="I566" s="84">
        <f t="shared" si="73"/>
        <v>93.784913233542397</v>
      </c>
      <c r="J566" s="84">
        <f t="shared" si="74"/>
        <v>410661099.87062144</v>
      </c>
      <c r="L566" s="19">
        <f t="shared" si="77"/>
        <v>-7.0000000000000284E-2</v>
      </c>
      <c r="M566" s="19">
        <f t="shared" si="78"/>
        <v>-4.9999999999999822E-2</v>
      </c>
      <c r="N566" s="19">
        <f t="shared" si="78"/>
        <v>-5.0000000000000266E-2</v>
      </c>
      <c r="O566" s="19">
        <f t="shared" si="78"/>
        <v>-6.2399999999999789E-2</v>
      </c>
      <c r="P566" s="19">
        <f t="shared" si="76"/>
        <v>-3.0000000000000249E-2</v>
      </c>
      <c r="R566" s="19"/>
      <c r="S566" s="19"/>
      <c r="T566" s="19"/>
      <c r="U566" s="19"/>
      <c r="V566" s="19"/>
    </row>
    <row r="567" spans="1:22" x14ac:dyDescent="0.2">
      <c r="A567" s="8">
        <v>45022</v>
      </c>
      <c r="B567" s="24">
        <v>4.51</v>
      </c>
      <c r="C567" s="24">
        <v>3.82</v>
      </c>
      <c r="D567" s="24">
        <v>3.59</v>
      </c>
      <c r="E567" s="24">
        <v>3.4317000000000002</v>
      </c>
      <c r="F567" s="24">
        <v>3.37</v>
      </c>
      <c r="G567" s="83">
        <f t="shared" si="72"/>
        <v>95.684623481006611</v>
      </c>
      <c r="H567" s="84">
        <f t="shared" si="75"/>
        <v>103.88041507377025</v>
      </c>
      <c r="I567" s="84">
        <f t="shared" si="73"/>
        <v>93.738554972148421</v>
      </c>
      <c r="J567" s="84">
        <f t="shared" si="74"/>
        <v>410502844.23995149</v>
      </c>
      <c r="L567" s="19">
        <f t="shared" si="77"/>
        <v>8.0000000000000071E-2</v>
      </c>
      <c r="M567" s="19">
        <f t="shared" si="78"/>
        <v>2.9999999999999805E-2</v>
      </c>
      <c r="N567" s="19">
        <f t="shared" si="78"/>
        <v>4.0000000000000036E-2</v>
      </c>
      <c r="O567" s="19">
        <f t="shared" si="78"/>
        <v>-1.1999999999998678E-3</v>
      </c>
      <c r="P567" s="19">
        <f t="shared" si="76"/>
        <v>1.0000000000000231E-2</v>
      </c>
      <c r="R567" s="19"/>
      <c r="S567" s="19"/>
      <c r="T567" s="19"/>
      <c r="U567" s="19"/>
      <c r="V567" s="19"/>
    </row>
    <row r="568" spans="1:22" x14ac:dyDescent="0.2">
      <c r="A568" s="8">
        <v>45023</v>
      </c>
      <c r="B568" s="24">
        <v>4.6100000000000003</v>
      </c>
      <c r="C568" s="24">
        <v>3.97</v>
      </c>
      <c r="D568" s="24">
        <v>3.72</v>
      </c>
      <c r="E568" s="24">
        <v>3.5274999999999999</v>
      </c>
      <c r="F568" s="24">
        <v>3.49</v>
      </c>
      <c r="G568" s="83">
        <f t="shared" si="72"/>
        <v>95.593155530064038</v>
      </c>
      <c r="H568" s="84">
        <f t="shared" si="75"/>
        <v>103.50773989467599</v>
      </c>
      <c r="I568" s="84">
        <f t="shared" si="73"/>
        <v>93.218270822077343</v>
      </c>
      <c r="J568" s="84">
        <f t="shared" si="74"/>
        <v>408797784.50642347</v>
      </c>
      <c r="L568" s="19">
        <f t="shared" si="77"/>
        <v>0.10000000000000053</v>
      </c>
      <c r="M568" s="19">
        <f t="shared" si="78"/>
        <v>0.15000000000000036</v>
      </c>
      <c r="N568" s="19">
        <f t="shared" si="78"/>
        <v>0.13000000000000034</v>
      </c>
      <c r="O568" s="19">
        <f t="shared" si="78"/>
        <v>9.5799999999999663E-2</v>
      </c>
      <c r="P568" s="19">
        <f t="shared" si="76"/>
        <v>0.12000000000000011</v>
      </c>
      <c r="R568" s="19"/>
      <c r="S568" s="19"/>
      <c r="T568" s="19"/>
      <c r="U568" s="19"/>
      <c r="V568" s="19"/>
    </row>
    <row r="569" spans="1:22" x14ac:dyDescent="0.2">
      <c r="A569" s="8">
        <v>45026</v>
      </c>
      <c r="B569" s="24">
        <v>4.6500000000000004</v>
      </c>
      <c r="C569" s="24">
        <v>4</v>
      </c>
      <c r="D569" s="24">
        <v>3.75</v>
      </c>
      <c r="E569" s="24">
        <v>3.5634999999999999</v>
      </c>
      <c r="F569" s="24">
        <v>3.52</v>
      </c>
      <c r="G569" s="83">
        <f t="shared" si="72"/>
        <v>95.556617295747728</v>
      </c>
      <c r="H569" s="84">
        <f t="shared" si="75"/>
        <v>103.42163724174925</v>
      </c>
      <c r="I569" s="84">
        <f t="shared" si="73"/>
        <v>93.088069263518065</v>
      </c>
      <c r="J569" s="84">
        <f t="shared" si="74"/>
        <v>408333055.78294384</v>
      </c>
      <c r="L569" s="19">
        <f t="shared" si="77"/>
        <v>4.0000000000000036E-2</v>
      </c>
      <c r="M569" s="19">
        <f t="shared" si="78"/>
        <v>2.9999999999999805E-2</v>
      </c>
      <c r="N569" s="19">
        <f t="shared" si="78"/>
        <v>2.9999999999999805E-2</v>
      </c>
      <c r="O569" s="19">
        <f t="shared" si="78"/>
        <v>3.6000000000000032E-2</v>
      </c>
      <c r="P569" s="19">
        <f t="shared" si="76"/>
        <v>2.9999999999999805E-2</v>
      </c>
      <c r="R569" s="19"/>
      <c r="S569" s="19"/>
      <c r="T569" s="19"/>
      <c r="U569" s="19"/>
      <c r="V569" s="19"/>
    </row>
    <row r="570" spans="1:22" x14ac:dyDescent="0.2">
      <c r="A570" s="8">
        <v>45027</v>
      </c>
      <c r="B570" s="24">
        <v>4.67</v>
      </c>
      <c r="C570" s="24">
        <v>4.03</v>
      </c>
      <c r="D570" s="24">
        <v>3.76</v>
      </c>
      <c r="E570" s="24">
        <v>3.5828000000000002</v>
      </c>
      <c r="F570" s="24">
        <v>3.54</v>
      </c>
      <c r="G570" s="83">
        <f t="shared" si="72"/>
        <v>95.538358650998376</v>
      </c>
      <c r="H570" s="84">
        <f t="shared" si="75"/>
        <v>103.39087691146557</v>
      </c>
      <c r="I570" s="84">
        <f t="shared" si="73"/>
        <v>93.001991680520746</v>
      </c>
      <c r="J570" s="84">
        <f t="shared" si="74"/>
        <v>407998368.65688133</v>
      </c>
      <c r="L570" s="19">
        <f t="shared" si="77"/>
        <v>1.9999999999999574E-2</v>
      </c>
      <c r="M570" s="19">
        <f t="shared" si="78"/>
        <v>3.0000000000000249E-2</v>
      </c>
      <c r="N570" s="19">
        <f t="shared" si="78"/>
        <v>9.9999999999997868E-3</v>
      </c>
      <c r="O570" s="19">
        <f t="shared" si="78"/>
        <v>1.9300000000000317E-2</v>
      </c>
      <c r="P570" s="19">
        <f t="shared" si="76"/>
        <v>2.0000000000000018E-2</v>
      </c>
      <c r="R570" s="19"/>
      <c r="S570" s="19"/>
      <c r="T570" s="19"/>
      <c r="U570" s="19"/>
      <c r="V570" s="19"/>
    </row>
    <row r="571" spans="1:22" x14ac:dyDescent="0.2">
      <c r="A571" s="8">
        <v>45028</v>
      </c>
      <c r="B571" s="24">
        <v>4.6399999999999997</v>
      </c>
      <c r="C571" s="24">
        <v>3.95</v>
      </c>
      <c r="D571" s="24">
        <v>3.68</v>
      </c>
      <c r="E571" s="24">
        <v>3.5381</v>
      </c>
      <c r="F571" s="24">
        <v>3.46</v>
      </c>
      <c r="G571" s="83">
        <f t="shared" si="72"/>
        <v>95.565749235474001</v>
      </c>
      <c r="H571" s="84">
        <f t="shared" si="75"/>
        <v>103.61710673530428</v>
      </c>
      <c r="I571" s="84">
        <f t="shared" si="73"/>
        <v>93.344443379503033</v>
      </c>
      <c r="J571" s="84">
        <f t="shared" si="74"/>
        <v>409083611.88600373</v>
      </c>
      <c r="L571" s="19">
        <f t="shared" si="77"/>
        <v>-3.0000000000000249E-2</v>
      </c>
      <c r="M571" s="19">
        <f t="shared" si="78"/>
        <v>-8.0000000000000071E-2</v>
      </c>
      <c r="N571" s="19">
        <f t="shared" si="78"/>
        <v>-7.9999999999999627E-2</v>
      </c>
      <c r="O571" s="19">
        <f t="shared" si="78"/>
        <v>-4.4700000000000184E-2</v>
      </c>
      <c r="P571" s="19">
        <f t="shared" si="76"/>
        <v>-8.0000000000000071E-2</v>
      </c>
      <c r="R571" s="19"/>
      <c r="S571" s="19"/>
      <c r="T571" s="19"/>
      <c r="U571" s="19"/>
      <c r="V571" s="19"/>
    </row>
    <row r="572" spans="1:22" x14ac:dyDescent="0.2">
      <c r="A572" s="8">
        <v>45029</v>
      </c>
      <c r="B572" s="24">
        <v>4.66</v>
      </c>
      <c r="C572" s="24">
        <v>3.96</v>
      </c>
      <c r="D572" s="24">
        <v>3.7</v>
      </c>
      <c r="E572" s="24">
        <v>3.5510000000000002</v>
      </c>
      <c r="F572" s="24">
        <v>3.51</v>
      </c>
      <c r="G572" s="83">
        <f t="shared" si="72"/>
        <v>95.547487101089246</v>
      </c>
      <c r="H572" s="84">
        <f t="shared" si="75"/>
        <v>103.56080390858138</v>
      </c>
      <c r="I572" s="84">
        <f t="shared" si="73"/>
        <v>93.134193714996712</v>
      </c>
      <c r="J572" s="84">
        <f t="shared" si="74"/>
        <v>408290543.19929326</v>
      </c>
      <c r="L572" s="19">
        <f t="shared" si="77"/>
        <v>2.0000000000000462E-2</v>
      </c>
      <c r="M572" s="19">
        <f t="shared" si="78"/>
        <v>9.9999999999997868E-3</v>
      </c>
      <c r="N572" s="19">
        <f t="shared" si="78"/>
        <v>2.0000000000000018E-2</v>
      </c>
      <c r="O572" s="19">
        <f t="shared" si="78"/>
        <v>1.2900000000000134E-2</v>
      </c>
      <c r="P572" s="19">
        <f t="shared" si="76"/>
        <v>4.9999999999999822E-2</v>
      </c>
      <c r="R572" s="19"/>
      <c r="S572" s="19"/>
      <c r="T572" s="19"/>
      <c r="U572" s="19"/>
      <c r="V572" s="19"/>
    </row>
    <row r="573" spans="1:22" x14ac:dyDescent="0.2">
      <c r="A573" s="8">
        <v>45030</v>
      </c>
      <c r="B573" s="24">
        <v>4.7699999999999996</v>
      </c>
      <c r="C573" s="24">
        <v>4.08</v>
      </c>
      <c r="D573" s="24">
        <v>3.83</v>
      </c>
      <c r="E573" s="24">
        <v>3.6333000000000002</v>
      </c>
      <c r="F573" s="24">
        <v>3.6</v>
      </c>
      <c r="G573" s="83">
        <f t="shared" si="72"/>
        <v>95.447169991409751</v>
      </c>
      <c r="H573" s="84">
        <f t="shared" si="75"/>
        <v>103.19190166590275</v>
      </c>
      <c r="I573" s="84">
        <f t="shared" si="73"/>
        <v>92.743466659495482</v>
      </c>
      <c r="J573" s="84">
        <f t="shared" si="74"/>
        <v>407080354.12194729</v>
      </c>
      <c r="L573" s="19">
        <f t="shared" si="77"/>
        <v>0.10999999999999943</v>
      </c>
      <c r="M573" s="19">
        <f t="shared" si="78"/>
        <v>0.12000000000000011</v>
      </c>
      <c r="N573" s="19">
        <f t="shared" si="78"/>
        <v>0.12999999999999989</v>
      </c>
      <c r="O573" s="19">
        <f t="shared" si="78"/>
        <v>8.230000000000004E-2</v>
      </c>
      <c r="P573" s="19">
        <f t="shared" si="76"/>
        <v>9.0000000000000302E-2</v>
      </c>
      <c r="R573" s="19"/>
      <c r="S573" s="19"/>
      <c r="T573" s="19"/>
      <c r="U573" s="19"/>
      <c r="V573" s="19"/>
    </row>
    <row r="574" spans="1:22" x14ac:dyDescent="0.2">
      <c r="A574" s="8">
        <v>45033</v>
      </c>
      <c r="B574" s="24">
        <v>4.8</v>
      </c>
      <c r="C574" s="24">
        <v>4.18</v>
      </c>
      <c r="D574" s="24">
        <v>3.92</v>
      </c>
      <c r="E574" s="24">
        <v>3.7143999999999999</v>
      </c>
      <c r="F574" s="24">
        <v>3.69</v>
      </c>
      <c r="G574" s="83">
        <f t="shared" si="72"/>
        <v>95.419847328244273</v>
      </c>
      <c r="H574" s="84">
        <f t="shared" si="75"/>
        <v>102.93817308782485</v>
      </c>
      <c r="I574" s="84">
        <f t="shared" si="73"/>
        <v>92.359048319496679</v>
      </c>
      <c r="J574" s="84">
        <f t="shared" si="74"/>
        <v>405868628.30273795</v>
      </c>
      <c r="L574" s="19">
        <f t="shared" si="77"/>
        <v>3.0000000000000249E-2</v>
      </c>
      <c r="M574" s="19">
        <f t="shared" si="78"/>
        <v>9.9999999999999645E-2</v>
      </c>
      <c r="N574" s="19">
        <f t="shared" si="78"/>
        <v>8.9999999999999858E-2</v>
      </c>
      <c r="O574" s="19">
        <f t="shared" si="78"/>
        <v>8.1099999999999728E-2</v>
      </c>
      <c r="P574" s="19">
        <f t="shared" si="76"/>
        <v>8.9999999999999858E-2</v>
      </c>
      <c r="R574" s="19"/>
      <c r="S574" s="19"/>
      <c r="T574" s="19"/>
      <c r="U574" s="19"/>
      <c r="V574" s="19"/>
    </row>
    <row r="575" spans="1:22" x14ac:dyDescent="0.2">
      <c r="A575" s="8">
        <v>45034</v>
      </c>
      <c r="B575" s="24">
        <v>4.8099999999999996</v>
      </c>
      <c r="C575" s="24">
        <v>4.1900000000000004</v>
      </c>
      <c r="D575" s="24">
        <v>3.92</v>
      </c>
      <c r="E575" s="24">
        <v>3.7271000000000001</v>
      </c>
      <c r="F575" s="24">
        <v>3.69</v>
      </c>
      <c r="G575" s="83">
        <f t="shared" si="72"/>
        <v>95.410743249689915</v>
      </c>
      <c r="H575" s="84">
        <f t="shared" si="75"/>
        <v>102.93683361486929</v>
      </c>
      <c r="I575" s="84">
        <f t="shared" si="73"/>
        <v>92.357666150155978</v>
      </c>
      <c r="J575" s="84">
        <f t="shared" si="74"/>
        <v>405846900.6776998</v>
      </c>
      <c r="L575" s="19">
        <f t="shared" si="77"/>
        <v>9.9999999999997868E-3</v>
      </c>
      <c r="M575" s="19">
        <f t="shared" si="78"/>
        <v>1.0000000000000675E-2</v>
      </c>
      <c r="N575" s="19">
        <f t="shared" si="78"/>
        <v>0</v>
      </c>
      <c r="O575" s="19">
        <f t="shared" si="78"/>
        <v>1.2700000000000156E-2</v>
      </c>
      <c r="P575" s="19">
        <f t="shared" si="76"/>
        <v>0</v>
      </c>
      <c r="R575" s="19"/>
      <c r="S575" s="19"/>
      <c r="T575" s="19"/>
      <c r="U575" s="19"/>
      <c r="V575" s="19"/>
    </row>
    <row r="576" spans="1:22" x14ac:dyDescent="0.2">
      <c r="A576" s="8">
        <v>45035</v>
      </c>
      <c r="B576" s="24">
        <v>4.84</v>
      </c>
      <c r="C576" s="24">
        <v>4.24</v>
      </c>
      <c r="D576" s="24">
        <v>3.97</v>
      </c>
      <c r="E576" s="24">
        <v>3.7599</v>
      </c>
      <c r="F576" s="24">
        <v>3.71</v>
      </c>
      <c r="G576" s="83">
        <f t="shared" si="72"/>
        <v>95.383441434566961</v>
      </c>
      <c r="H576" s="84">
        <f t="shared" si="75"/>
        <v>102.79613413487883</v>
      </c>
      <c r="I576" s="84">
        <f t="shared" si="73"/>
        <v>92.268578234903757</v>
      </c>
      <c r="J576" s="84">
        <f t="shared" si="74"/>
        <v>405646994.60643065</v>
      </c>
      <c r="L576" s="19">
        <f t="shared" si="77"/>
        <v>3.0000000000000249E-2</v>
      </c>
      <c r="M576" s="19">
        <f t="shared" si="78"/>
        <v>4.9999999999999822E-2</v>
      </c>
      <c r="N576" s="19">
        <f t="shared" si="78"/>
        <v>5.0000000000000266E-2</v>
      </c>
      <c r="O576" s="19">
        <f t="shared" si="78"/>
        <v>3.279999999999994E-2</v>
      </c>
      <c r="P576" s="19">
        <f t="shared" si="76"/>
        <v>2.0000000000000018E-2</v>
      </c>
      <c r="R576" s="19"/>
      <c r="S576" s="19"/>
      <c r="T576" s="19"/>
      <c r="U576" s="19"/>
      <c r="V576" s="19"/>
    </row>
    <row r="577" spans="1:22" x14ac:dyDescent="0.2">
      <c r="A577" s="8">
        <v>45036</v>
      </c>
      <c r="B577" s="24">
        <v>4.7699999999999996</v>
      </c>
      <c r="C577" s="24">
        <v>4.1399999999999997</v>
      </c>
      <c r="D577" s="24">
        <v>3.87</v>
      </c>
      <c r="E577" s="24">
        <v>3.7002999999999999</v>
      </c>
      <c r="F577" s="24">
        <v>3.63</v>
      </c>
      <c r="G577" s="83">
        <f t="shared" si="72"/>
        <v>95.447169991409751</v>
      </c>
      <c r="H577" s="84">
        <f t="shared" si="75"/>
        <v>103.07825561087422</v>
      </c>
      <c r="I577" s="84">
        <f t="shared" si="73"/>
        <v>92.611160563121189</v>
      </c>
      <c r="J577" s="84">
        <f t="shared" si="74"/>
        <v>406721598.81899291</v>
      </c>
      <c r="L577" s="19">
        <f t="shared" si="77"/>
        <v>-7.0000000000000284E-2</v>
      </c>
      <c r="M577" s="19">
        <f t="shared" si="78"/>
        <v>-0.10000000000000053</v>
      </c>
      <c r="N577" s="19">
        <f t="shared" si="78"/>
        <v>-0.10000000000000009</v>
      </c>
      <c r="O577" s="19">
        <f t="shared" si="78"/>
        <v>-5.9600000000000097E-2</v>
      </c>
      <c r="P577" s="19">
        <f t="shared" si="76"/>
        <v>-8.0000000000000071E-2</v>
      </c>
      <c r="R577" s="19"/>
      <c r="S577" s="19"/>
      <c r="T577" s="19"/>
      <c r="U577" s="19"/>
      <c r="V577" s="19"/>
    </row>
    <row r="578" spans="1:22" x14ac:dyDescent="0.2">
      <c r="A578" s="8">
        <v>45037</v>
      </c>
      <c r="B578" s="24">
        <v>4.78</v>
      </c>
      <c r="C578" s="24">
        <v>4.17</v>
      </c>
      <c r="D578" s="24">
        <v>3.89</v>
      </c>
      <c r="E578" s="24">
        <v>3.7111999999999998</v>
      </c>
      <c r="F578" s="24">
        <v>3.66</v>
      </c>
      <c r="G578" s="83">
        <f t="shared" ref="G578:G641" si="79">100/((1+B578/100)^1)</f>
        <v>95.438060698606591</v>
      </c>
      <c r="H578" s="84">
        <f t="shared" si="75"/>
        <v>103.02104311101586</v>
      </c>
      <c r="I578" s="84">
        <f t="shared" ref="I578:I641" si="80">SUM(2/(1+B578/100)^1, 2/(1+C578/100)^2, 2/(1+D578/100)^3, 2/(1+E578/100)^4, 102/(1+F578/100)^5)</f>
        <v>92.484734382824641</v>
      </c>
      <c r="J578" s="84">
        <f t="shared" ref="J578:J641" si="81">G578*2000000+H578*-1500000+I578*4000000</f>
        <v>406283494.26198798</v>
      </c>
      <c r="L578" s="19">
        <f t="shared" si="77"/>
        <v>1.0000000000000675E-2</v>
      </c>
      <c r="M578" s="19">
        <f t="shared" si="78"/>
        <v>3.0000000000000249E-2</v>
      </c>
      <c r="N578" s="19">
        <f t="shared" si="78"/>
        <v>2.0000000000000018E-2</v>
      </c>
      <c r="O578" s="19">
        <f t="shared" si="78"/>
        <v>1.089999999999991E-2</v>
      </c>
      <c r="P578" s="19">
        <f t="shared" si="76"/>
        <v>3.0000000000000249E-2</v>
      </c>
      <c r="R578" s="19"/>
      <c r="S578" s="19"/>
      <c r="T578" s="19"/>
      <c r="U578" s="19"/>
      <c r="V578" s="19"/>
    </row>
    <row r="579" spans="1:22" x14ac:dyDescent="0.2">
      <c r="A579" s="8">
        <v>45040</v>
      </c>
      <c r="B579" s="24">
        <v>4.76</v>
      </c>
      <c r="C579" s="24">
        <v>4.12</v>
      </c>
      <c r="D579" s="24">
        <v>3.84</v>
      </c>
      <c r="E579" s="24">
        <v>3.669</v>
      </c>
      <c r="F579" s="24">
        <v>3.6</v>
      </c>
      <c r="G579" s="83">
        <f t="shared" si="79"/>
        <v>95.456281023291325</v>
      </c>
      <c r="H579" s="84">
        <f t="shared" ref="H579:H642" si="82">SUM(5/(1+B579/100)^1, 5/(1+C579/100)^2, 105/(1+D579/100)^3)</f>
        <v>103.16171357896319</v>
      </c>
      <c r="I579" s="84">
        <f t="shared" si="80"/>
        <v>92.739327237127881</v>
      </c>
      <c r="J579" s="84">
        <f t="shared" si="81"/>
        <v>407127300.62664938</v>
      </c>
      <c r="L579" s="19">
        <f t="shared" si="77"/>
        <v>-2.0000000000000462E-2</v>
      </c>
      <c r="M579" s="19">
        <f t="shared" si="78"/>
        <v>-4.9999999999999822E-2</v>
      </c>
      <c r="N579" s="19">
        <f t="shared" si="78"/>
        <v>-5.0000000000000266E-2</v>
      </c>
      <c r="O579" s="19">
        <f t="shared" si="78"/>
        <v>-4.2199999999999793E-2</v>
      </c>
      <c r="P579" s="19">
        <f t="shared" si="76"/>
        <v>-6.0000000000000053E-2</v>
      </c>
      <c r="R579" s="19"/>
      <c r="S579" s="19"/>
      <c r="T579" s="19"/>
      <c r="U579" s="19"/>
      <c r="V579" s="19"/>
    </row>
    <row r="580" spans="1:22" x14ac:dyDescent="0.2">
      <c r="A580" s="8">
        <v>45041</v>
      </c>
      <c r="B580" s="24">
        <v>4.5999999999999996</v>
      </c>
      <c r="C580" s="24">
        <v>3.86</v>
      </c>
      <c r="D580" s="24">
        <v>3.62</v>
      </c>
      <c r="E580" s="24">
        <v>3.5213000000000001</v>
      </c>
      <c r="F580" s="24">
        <v>3.43</v>
      </c>
      <c r="G580" s="83">
        <f t="shared" si="79"/>
        <v>95.602294455066911</v>
      </c>
      <c r="H580" s="84">
        <f t="shared" si="82"/>
        <v>103.7907082109666</v>
      </c>
      <c r="I580" s="84">
        <f t="shared" si="80"/>
        <v>93.477495722991463</v>
      </c>
      <c r="J580" s="84">
        <f t="shared" si="81"/>
        <v>409428509.48564976</v>
      </c>
      <c r="L580" s="19">
        <f t="shared" si="77"/>
        <v>-0.16000000000000014</v>
      </c>
      <c r="M580" s="19">
        <f t="shared" si="78"/>
        <v>-0.26000000000000023</v>
      </c>
      <c r="N580" s="19">
        <f t="shared" si="78"/>
        <v>-0.21999999999999975</v>
      </c>
      <c r="O580" s="19">
        <f t="shared" si="78"/>
        <v>-0.14769999999999994</v>
      </c>
      <c r="P580" s="19">
        <f t="shared" si="78"/>
        <v>-0.16999999999999993</v>
      </c>
      <c r="R580" s="19"/>
      <c r="S580" s="19"/>
      <c r="T580" s="19"/>
      <c r="U580" s="19"/>
      <c r="V580" s="19"/>
    </row>
    <row r="581" spans="1:22" x14ac:dyDescent="0.2">
      <c r="A581" s="8">
        <v>45042</v>
      </c>
      <c r="B581" s="24">
        <v>4.6399999999999997</v>
      </c>
      <c r="C581" s="24">
        <v>3.9</v>
      </c>
      <c r="D581" s="24">
        <v>3.65</v>
      </c>
      <c r="E581" s="24">
        <v>3.5169999999999999</v>
      </c>
      <c r="F581" s="24">
        <v>3.46</v>
      </c>
      <c r="G581" s="83">
        <f t="shared" si="79"/>
        <v>95.565749235474001</v>
      </c>
      <c r="H581" s="84">
        <f t="shared" si="82"/>
        <v>103.70338959190059</v>
      </c>
      <c r="I581" s="84">
        <f t="shared" si="80"/>
        <v>93.349203218537369</v>
      </c>
      <c r="J581" s="84">
        <f t="shared" si="81"/>
        <v>408973226.95724666</v>
      </c>
      <c r="L581" s="19">
        <f t="shared" ref="L581:L644" si="83">B581-B580</f>
        <v>4.0000000000000036E-2</v>
      </c>
      <c r="M581" s="19">
        <f t="shared" ref="M581:P644" si="84">C581-C580</f>
        <v>4.0000000000000036E-2</v>
      </c>
      <c r="N581" s="19">
        <f t="shared" si="84"/>
        <v>2.9999999999999805E-2</v>
      </c>
      <c r="O581" s="19">
        <f t="shared" si="84"/>
        <v>-4.3000000000001926E-3</v>
      </c>
      <c r="P581" s="19">
        <f t="shared" si="84"/>
        <v>2.9999999999999805E-2</v>
      </c>
      <c r="R581" s="19"/>
      <c r="S581" s="19"/>
      <c r="T581" s="19"/>
      <c r="U581" s="19"/>
      <c r="V581" s="19"/>
    </row>
    <row r="582" spans="1:22" x14ac:dyDescent="0.2">
      <c r="A582" s="8">
        <v>45043</v>
      </c>
      <c r="B582" s="24">
        <v>4.78</v>
      </c>
      <c r="C582" s="24">
        <v>4.07</v>
      </c>
      <c r="D582" s="24">
        <v>3.82</v>
      </c>
      <c r="E582" s="24">
        <v>3.6272000000000002</v>
      </c>
      <c r="F582" s="24">
        <v>3.6</v>
      </c>
      <c r="G582" s="83">
        <f t="shared" si="79"/>
        <v>95.438060698606591</v>
      </c>
      <c r="H582" s="84">
        <f t="shared" si="82"/>
        <v>103.21944160922055</v>
      </c>
      <c r="I582" s="84">
        <f t="shared" si="80"/>
        <v>92.744563960405515</v>
      </c>
      <c r="J582" s="84">
        <f t="shared" si="81"/>
        <v>407025214.82500446</v>
      </c>
      <c r="L582" s="19">
        <f t="shared" si="83"/>
        <v>0.14000000000000057</v>
      </c>
      <c r="M582" s="19">
        <f t="shared" si="84"/>
        <v>0.17000000000000037</v>
      </c>
      <c r="N582" s="19">
        <f t="shared" si="84"/>
        <v>0.16999999999999993</v>
      </c>
      <c r="O582" s="19">
        <f t="shared" si="84"/>
        <v>0.1102000000000003</v>
      </c>
      <c r="P582" s="19">
        <f t="shared" si="84"/>
        <v>0.14000000000000012</v>
      </c>
      <c r="R582" s="19"/>
      <c r="S582" s="19"/>
      <c r="T582" s="19"/>
      <c r="U582" s="19"/>
      <c r="V582" s="19"/>
    </row>
    <row r="583" spans="1:22" x14ac:dyDescent="0.2">
      <c r="A583" s="8">
        <v>45044</v>
      </c>
      <c r="B583" s="24">
        <v>4.8</v>
      </c>
      <c r="C583" s="24">
        <v>4.04</v>
      </c>
      <c r="D583" s="24">
        <v>3.75</v>
      </c>
      <c r="E583" s="24">
        <v>3.5962999999999998</v>
      </c>
      <c r="F583" s="24">
        <v>3.51</v>
      </c>
      <c r="G583" s="83">
        <f t="shared" si="79"/>
        <v>95.419847328244273</v>
      </c>
      <c r="H583" s="84">
        <f t="shared" si="82"/>
        <v>103.41124480841789</v>
      </c>
      <c r="I583" s="84">
        <f t="shared" si="80"/>
        <v>93.123163935279422</v>
      </c>
      <c r="J583" s="84">
        <f t="shared" si="81"/>
        <v>408215483.18497944</v>
      </c>
      <c r="L583" s="19">
        <f t="shared" si="83"/>
        <v>1.9999999999999574E-2</v>
      </c>
      <c r="M583" s="19">
        <f t="shared" si="84"/>
        <v>-3.0000000000000249E-2</v>
      </c>
      <c r="N583" s="19">
        <f t="shared" si="84"/>
        <v>-6.999999999999984E-2</v>
      </c>
      <c r="O583" s="19">
        <f t="shared" si="84"/>
        <v>-3.0900000000000372E-2</v>
      </c>
      <c r="P583" s="19">
        <f t="shared" si="84"/>
        <v>-9.0000000000000302E-2</v>
      </c>
      <c r="R583" s="19"/>
      <c r="S583" s="19"/>
      <c r="T583" s="19"/>
      <c r="U583" s="19"/>
      <c r="V583" s="19"/>
    </row>
    <row r="584" spans="1:22" x14ac:dyDescent="0.2">
      <c r="A584" s="8">
        <v>45047</v>
      </c>
      <c r="B584" s="24">
        <v>4.8600000000000003</v>
      </c>
      <c r="C584" s="24">
        <v>4.1399999999999997</v>
      </c>
      <c r="D584" s="24">
        <v>3.85</v>
      </c>
      <c r="E584" s="24">
        <v>3.6823000000000001</v>
      </c>
      <c r="F584" s="24">
        <v>3.64</v>
      </c>
      <c r="G584" s="83">
        <f t="shared" si="79"/>
        <v>95.365248903299644</v>
      </c>
      <c r="H584" s="84">
        <f t="shared" si="82"/>
        <v>103.12830317657395</v>
      </c>
      <c r="I584" s="84">
        <f t="shared" si="80"/>
        <v>92.570589429027294</v>
      </c>
      <c r="J584" s="84">
        <f t="shared" si="81"/>
        <v>406320400.75784755</v>
      </c>
      <c r="L584" s="19">
        <f t="shared" si="83"/>
        <v>6.0000000000000497E-2</v>
      </c>
      <c r="M584" s="19">
        <f t="shared" si="84"/>
        <v>9.9999999999999645E-2</v>
      </c>
      <c r="N584" s="19">
        <f t="shared" si="84"/>
        <v>0.10000000000000009</v>
      </c>
      <c r="O584" s="19">
        <f t="shared" si="84"/>
        <v>8.6000000000000298E-2</v>
      </c>
      <c r="P584" s="19">
        <f t="shared" si="84"/>
        <v>0.13000000000000034</v>
      </c>
      <c r="R584" s="19"/>
      <c r="S584" s="19"/>
      <c r="T584" s="19"/>
      <c r="U584" s="19"/>
      <c r="V584" s="19"/>
    </row>
    <row r="585" spans="1:22" x14ac:dyDescent="0.2">
      <c r="A585" s="8">
        <v>45048</v>
      </c>
      <c r="B585" s="24">
        <v>4.74</v>
      </c>
      <c r="C585" s="24">
        <v>3.97</v>
      </c>
      <c r="D585" s="24">
        <v>3.67</v>
      </c>
      <c r="E585" s="24">
        <v>3.5577999999999999</v>
      </c>
      <c r="F585" s="24">
        <v>3.46</v>
      </c>
      <c r="G585" s="83">
        <f t="shared" si="79"/>
        <v>95.474508306282218</v>
      </c>
      <c r="H585" s="84">
        <f t="shared" si="82"/>
        <v>103.63803020041374</v>
      </c>
      <c r="I585" s="84">
        <f t="shared" si="80"/>
        <v>93.341102006267718</v>
      </c>
      <c r="J585" s="84">
        <f t="shared" si="81"/>
        <v>408856379.33701468</v>
      </c>
      <c r="L585" s="19">
        <f t="shared" si="83"/>
        <v>-0.12000000000000011</v>
      </c>
      <c r="M585" s="19">
        <f t="shared" si="84"/>
        <v>-0.16999999999999948</v>
      </c>
      <c r="N585" s="19">
        <f t="shared" si="84"/>
        <v>-0.18000000000000016</v>
      </c>
      <c r="O585" s="19">
        <f t="shared" si="84"/>
        <v>-0.12450000000000028</v>
      </c>
      <c r="P585" s="19">
        <f t="shared" si="84"/>
        <v>-0.18000000000000016</v>
      </c>
      <c r="R585" s="19"/>
      <c r="S585" s="19"/>
      <c r="T585" s="19"/>
      <c r="U585" s="19"/>
      <c r="V585" s="19"/>
    </row>
    <row r="586" spans="1:22" x14ac:dyDescent="0.2">
      <c r="A586" s="8">
        <v>45049</v>
      </c>
      <c r="B586" s="24">
        <v>4.7</v>
      </c>
      <c r="C586" s="24">
        <v>3.89</v>
      </c>
      <c r="D586" s="24">
        <v>3.58</v>
      </c>
      <c r="E586" s="24">
        <v>3.4710999999999999</v>
      </c>
      <c r="F586" s="24">
        <v>3.37</v>
      </c>
      <c r="G586" s="83">
        <f t="shared" si="79"/>
        <v>95.510983763132771</v>
      </c>
      <c r="H586" s="84">
        <f t="shared" si="82"/>
        <v>103.89284445030722</v>
      </c>
      <c r="I586" s="84">
        <f t="shared" si="80"/>
        <v>93.730443558454652</v>
      </c>
      <c r="J586" s="84">
        <f t="shared" si="81"/>
        <v>410104475.08462328</v>
      </c>
      <c r="L586" s="19">
        <f t="shared" si="83"/>
        <v>-4.0000000000000036E-2</v>
      </c>
      <c r="M586" s="19">
        <f t="shared" si="84"/>
        <v>-8.0000000000000071E-2</v>
      </c>
      <c r="N586" s="19">
        <f t="shared" si="84"/>
        <v>-8.9999999999999858E-2</v>
      </c>
      <c r="O586" s="19">
        <f t="shared" si="84"/>
        <v>-8.6699999999999999E-2</v>
      </c>
      <c r="P586" s="19">
        <f t="shared" si="84"/>
        <v>-8.9999999999999858E-2</v>
      </c>
      <c r="R586" s="19"/>
      <c r="S586" s="19"/>
      <c r="T586" s="19"/>
      <c r="U586" s="19"/>
      <c r="V586" s="19"/>
    </row>
    <row r="587" spans="1:22" x14ac:dyDescent="0.2">
      <c r="A587" s="8">
        <v>45050</v>
      </c>
      <c r="B587" s="24">
        <v>4.59</v>
      </c>
      <c r="C587" s="24">
        <v>3.75</v>
      </c>
      <c r="D587" s="24">
        <v>3.47</v>
      </c>
      <c r="E587" s="24">
        <v>3.3797000000000001</v>
      </c>
      <c r="F587" s="24">
        <v>3.29</v>
      </c>
      <c r="G587" s="83">
        <f t="shared" si="79"/>
        <v>95.611435127641258</v>
      </c>
      <c r="H587" s="84">
        <f t="shared" si="82"/>
        <v>104.21204127456792</v>
      </c>
      <c r="I587" s="84">
        <f t="shared" si="80"/>
        <v>94.084580109792</v>
      </c>
      <c r="J587" s="84">
        <f t="shared" si="81"/>
        <v>411243128.78259861</v>
      </c>
      <c r="L587" s="19">
        <f t="shared" si="83"/>
        <v>-0.11000000000000032</v>
      </c>
      <c r="M587" s="19">
        <f t="shared" si="84"/>
        <v>-0.14000000000000012</v>
      </c>
      <c r="N587" s="19">
        <f t="shared" si="84"/>
        <v>-0.10999999999999988</v>
      </c>
      <c r="O587" s="19">
        <f t="shared" si="84"/>
        <v>-9.1399999999999704E-2</v>
      </c>
      <c r="P587" s="19">
        <f t="shared" si="84"/>
        <v>-8.0000000000000071E-2</v>
      </c>
      <c r="R587" s="19"/>
      <c r="S587" s="19"/>
      <c r="T587" s="19"/>
      <c r="U587" s="19"/>
      <c r="V587" s="19"/>
    </row>
    <row r="588" spans="1:22" x14ac:dyDescent="0.2">
      <c r="A588" s="8">
        <v>45051</v>
      </c>
      <c r="B588" s="24">
        <v>4.7300000000000004</v>
      </c>
      <c r="C588" s="24">
        <v>3.92</v>
      </c>
      <c r="D588" s="24">
        <v>3.63</v>
      </c>
      <c r="E588" s="24">
        <v>3.4525000000000001</v>
      </c>
      <c r="F588" s="24">
        <v>3.41</v>
      </c>
      <c r="G588" s="83">
        <f t="shared" si="79"/>
        <v>95.483624558388243</v>
      </c>
      <c r="H588" s="84">
        <f t="shared" si="82"/>
        <v>103.75210555705843</v>
      </c>
      <c r="I588" s="84">
        <f t="shared" si="80"/>
        <v>93.560461694330002</v>
      </c>
      <c r="J588" s="84">
        <f t="shared" si="81"/>
        <v>409580937.55850887</v>
      </c>
      <c r="L588" s="19">
        <f t="shared" si="83"/>
        <v>0.14000000000000057</v>
      </c>
      <c r="M588" s="19">
        <f t="shared" si="84"/>
        <v>0.16999999999999993</v>
      </c>
      <c r="N588" s="19">
        <f t="shared" si="84"/>
        <v>0.1599999999999997</v>
      </c>
      <c r="O588" s="19">
        <f t="shared" si="84"/>
        <v>7.2799999999999976E-2</v>
      </c>
      <c r="P588" s="19">
        <f t="shared" si="84"/>
        <v>0.12000000000000011</v>
      </c>
      <c r="R588" s="19"/>
      <c r="S588" s="19"/>
      <c r="T588" s="19"/>
      <c r="U588" s="19"/>
      <c r="V588" s="19"/>
    </row>
    <row r="589" spans="1:22" x14ac:dyDescent="0.2">
      <c r="A589" s="8">
        <v>45054</v>
      </c>
      <c r="B589" s="24">
        <v>4.79</v>
      </c>
      <c r="C589" s="24">
        <v>4</v>
      </c>
      <c r="D589" s="24">
        <v>3.7</v>
      </c>
      <c r="E589" s="24">
        <v>3.5287999999999999</v>
      </c>
      <c r="F589" s="24">
        <v>3.49</v>
      </c>
      <c r="G589" s="83">
        <f t="shared" si="79"/>
        <v>95.428953144383996</v>
      </c>
      <c r="H589" s="84">
        <f t="shared" si="82"/>
        <v>103.5513191727288</v>
      </c>
      <c r="I589" s="84">
        <f t="shared" si="80"/>
        <v>93.214869357227471</v>
      </c>
      <c r="J589" s="84">
        <f t="shared" si="81"/>
        <v>408390404.95858467</v>
      </c>
      <c r="L589" s="19">
        <f t="shared" si="83"/>
        <v>5.9999999999999609E-2</v>
      </c>
      <c r="M589" s="19">
        <f t="shared" si="84"/>
        <v>8.0000000000000071E-2</v>
      </c>
      <c r="N589" s="19">
        <f t="shared" si="84"/>
        <v>7.0000000000000284E-2</v>
      </c>
      <c r="O589" s="19">
        <f t="shared" si="84"/>
        <v>7.6299999999999812E-2</v>
      </c>
      <c r="P589" s="19">
        <f t="shared" si="84"/>
        <v>8.0000000000000071E-2</v>
      </c>
      <c r="R589" s="19"/>
      <c r="S589" s="19"/>
      <c r="T589" s="19"/>
      <c r="U589" s="19"/>
      <c r="V589" s="19"/>
    </row>
    <row r="590" spans="1:22" x14ac:dyDescent="0.2">
      <c r="A590" s="8">
        <v>45055</v>
      </c>
      <c r="B590" s="24">
        <v>4.8099999999999996</v>
      </c>
      <c r="C590" s="24">
        <v>4.01</v>
      </c>
      <c r="D590" s="24">
        <v>3.67</v>
      </c>
      <c r="E590" s="24">
        <v>3.5531999999999999</v>
      </c>
      <c r="F590" s="24">
        <v>3.51</v>
      </c>
      <c r="G590" s="83">
        <f t="shared" si="79"/>
        <v>95.410743249689915</v>
      </c>
      <c r="H590" s="84">
        <f t="shared" si="82"/>
        <v>103.63128493592397</v>
      </c>
      <c r="I590" s="84">
        <f t="shared" si="80"/>
        <v>93.131089691606789</v>
      </c>
      <c r="J590" s="84">
        <f t="shared" si="81"/>
        <v>407898917.86192107</v>
      </c>
      <c r="L590" s="19">
        <f t="shared" si="83"/>
        <v>1.9999999999999574E-2</v>
      </c>
      <c r="M590" s="19">
        <f t="shared" si="84"/>
        <v>9.9999999999997868E-3</v>
      </c>
      <c r="N590" s="19">
        <f t="shared" si="84"/>
        <v>-3.0000000000000249E-2</v>
      </c>
      <c r="O590" s="19">
        <f t="shared" si="84"/>
        <v>2.4399999999999977E-2</v>
      </c>
      <c r="P590" s="19">
        <f t="shared" si="84"/>
        <v>1.9999999999999574E-2</v>
      </c>
      <c r="R590" s="19"/>
      <c r="S590" s="19"/>
      <c r="T590" s="19"/>
      <c r="U590" s="19"/>
      <c r="V590" s="19"/>
    </row>
    <row r="591" spans="1:22" x14ac:dyDescent="0.2">
      <c r="A591" s="8">
        <v>45056</v>
      </c>
      <c r="B591" s="24">
        <v>4.7</v>
      </c>
      <c r="C591" s="24">
        <v>3.9</v>
      </c>
      <c r="D591" s="24">
        <v>3.55</v>
      </c>
      <c r="E591" s="24">
        <v>3.4668000000000001</v>
      </c>
      <c r="F591" s="24">
        <v>3.37</v>
      </c>
      <c r="G591" s="83">
        <f t="shared" si="79"/>
        <v>95.510983763132771</v>
      </c>
      <c r="H591" s="84">
        <f t="shared" si="82"/>
        <v>103.97409750371222</v>
      </c>
      <c r="I591" s="84">
        <f t="shared" si="80"/>
        <v>93.731941616160981</v>
      </c>
      <c r="J591" s="84">
        <f t="shared" si="81"/>
        <v>409988587.73534107</v>
      </c>
      <c r="L591" s="19">
        <f t="shared" si="83"/>
        <v>-0.10999999999999943</v>
      </c>
      <c r="M591" s="19">
        <f t="shared" si="84"/>
        <v>-0.10999999999999988</v>
      </c>
      <c r="N591" s="19">
        <f t="shared" si="84"/>
        <v>-0.12000000000000011</v>
      </c>
      <c r="O591" s="19">
        <f t="shared" si="84"/>
        <v>-8.639999999999981E-2</v>
      </c>
      <c r="P591" s="19">
        <f t="shared" si="84"/>
        <v>-0.13999999999999968</v>
      </c>
      <c r="R591" s="19"/>
      <c r="S591" s="19"/>
      <c r="T591" s="19"/>
      <c r="U591" s="19"/>
      <c r="V591" s="19"/>
    </row>
    <row r="592" spans="1:22" x14ac:dyDescent="0.2">
      <c r="A592" s="8">
        <v>45057</v>
      </c>
      <c r="B592" s="24">
        <v>4.7</v>
      </c>
      <c r="C592" s="24">
        <v>3.89</v>
      </c>
      <c r="D592" s="24">
        <v>3.56</v>
      </c>
      <c r="E592" s="24">
        <v>3.4291999999999998</v>
      </c>
      <c r="F592" s="24">
        <v>3.36</v>
      </c>
      <c r="G592" s="83">
        <f t="shared" si="79"/>
        <v>95.510983763132771</v>
      </c>
      <c r="H592" s="84">
        <f t="shared" si="82"/>
        <v>103.94759703907539</v>
      </c>
      <c r="I592" s="84">
        <f t="shared" si="80"/>
        <v>93.776130279933497</v>
      </c>
      <c r="J592" s="84">
        <f t="shared" si="81"/>
        <v>410205093.08738643</v>
      </c>
      <c r="L592" s="19">
        <f t="shared" si="83"/>
        <v>0</v>
      </c>
      <c r="M592" s="19">
        <f t="shared" si="84"/>
        <v>-9.9999999999997868E-3</v>
      </c>
      <c r="N592" s="19">
        <f t="shared" si="84"/>
        <v>1.0000000000000231E-2</v>
      </c>
      <c r="O592" s="19">
        <f t="shared" si="84"/>
        <v>-3.76000000000003E-2</v>
      </c>
      <c r="P592" s="19">
        <f t="shared" si="84"/>
        <v>-1.0000000000000231E-2</v>
      </c>
      <c r="R592" s="19"/>
      <c r="S592" s="19"/>
      <c r="T592" s="19"/>
      <c r="U592" s="19"/>
      <c r="V592" s="19"/>
    </row>
    <row r="593" spans="1:22" x14ac:dyDescent="0.2">
      <c r="A593" s="8">
        <v>45058</v>
      </c>
      <c r="B593" s="24">
        <v>4.75</v>
      </c>
      <c r="C593" s="24">
        <v>3.98</v>
      </c>
      <c r="D593" s="24">
        <v>3.65</v>
      </c>
      <c r="E593" s="24">
        <v>3.4882</v>
      </c>
      <c r="F593" s="24">
        <v>3.45</v>
      </c>
      <c r="G593" s="83">
        <f t="shared" si="79"/>
        <v>95.465393794749389</v>
      </c>
      <c r="H593" s="84">
        <f t="shared" si="82"/>
        <v>103.69124752348786</v>
      </c>
      <c r="I593" s="84">
        <f t="shared" si="80"/>
        <v>93.387882983280619</v>
      </c>
      <c r="J593" s="84">
        <f t="shared" si="81"/>
        <v>408945448.23738945</v>
      </c>
      <c r="L593" s="19">
        <f t="shared" si="83"/>
        <v>4.9999999999999822E-2</v>
      </c>
      <c r="M593" s="19">
        <f t="shared" si="84"/>
        <v>8.9999999999999858E-2</v>
      </c>
      <c r="N593" s="19">
        <f t="shared" si="84"/>
        <v>8.9999999999999858E-2</v>
      </c>
      <c r="O593" s="19">
        <f t="shared" si="84"/>
        <v>5.9000000000000163E-2</v>
      </c>
      <c r="P593" s="19">
        <f t="shared" si="84"/>
        <v>9.0000000000000302E-2</v>
      </c>
      <c r="R593" s="19"/>
      <c r="S593" s="19"/>
      <c r="T593" s="19"/>
      <c r="U593" s="19"/>
      <c r="V593" s="19"/>
    </row>
    <row r="594" spans="1:22" x14ac:dyDescent="0.2">
      <c r="A594" s="8">
        <v>45061</v>
      </c>
      <c r="B594" s="24">
        <v>4.7300000000000004</v>
      </c>
      <c r="C594" s="24">
        <v>3.99</v>
      </c>
      <c r="D594" s="24">
        <v>3.67</v>
      </c>
      <c r="E594" s="24">
        <v>3.5182000000000002</v>
      </c>
      <c r="F594" s="24">
        <v>3.46</v>
      </c>
      <c r="G594" s="83">
        <f t="shared" si="79"/>
        <v>95.483624558388243</v>
      </c>
      <c r="H594" s="84">
        <f t="shared" si="82"/>
        <v>103.63670699410912</v>
      </c>
      <c r="I594" s="84">
        <f t="shared" si="80"/>
        <v>93.343235203991</v>
      </c>
      <c r="J594" s="84">
        <f t="shared" si="81"/>
        <v>408885129.44157684</v>
      </c>
      <c r="L594" s="19">
        <f t="shared" si="83"/>
        <v>-1.9999999999999574E-2</v>
      </c>
      <c r="M594" s="19">
        <f t="shared" si="84"/>
        <v>1.0000000000000231E-2</v>
      </c>
      <c r="N594" s="19">
        <f t="shared" si="84"/>
        <v>2.0000000000000018E-2</v>
      </c>
      <c r="O594" s="19">
        <f t="shared" si="84"/>
        <v>3.0000000000000249E-2</v>
      </c>
      <c r="P594" s="19">
        <f t="shared" si="84"/>
        <v>9.9999999999997868E-3</v>
      </c>
      <c r="R594" s="19"/>
      <c r="S594" s="19"/>
      <c r="T594" s="19"/>
      <c r="U594" s="19"/>
      <c r="V594" s="19"/>
    </row>
    <row r="595" spans="1:22" x14ac:dyDescent="0.2">
      <c r="A595" s="8">
        <v>45062</v>
      </c>
      <c r="B595" s="24">
        <v>4.88</v>
      </c>
      <c r="C595" s="24">
        <v>4.0599999999999996</v>
      </c>
      <c r="D595" s="24">
        <v>3.74</v>
      </c>
      <c r="E595" s="24">
        <v>3.5733000000000001</v>
      </c>
      <c r="F595" s="24">
        <v>3.52</v>
      </c>
      <c r="G595" s="83">
        <f t="shared" si="79"/>
        <v>95.347063310450039</v>
      </c>
      <c r="H595" s="84">
        <f t="shared" si="82"/>
        <v>103.43302222089805</v>
      </c>
      <c r="I595" s="84">
        <f t="shared" si="80"/>
        <v>93.081606451142562</v>
      </c>
      <c r="J595" s="84">
        <f t="shared" si="81"/>
        <v>407871019.09412324</v>
      </c>
      <c r="L595" s="19">
        <f t="shared" si="83"/>
        <v>0.14999999999999947</v>
      </c>
      <c r="M595" s="19">
        <f t="shared" si="84"/>
        <v>6.9999999999999396E-2</v>
      </c>
      <c r="N595" s="19">
        <f t="shared" si="84"/>
        <v>7.0000000000000284E-2</v>
      </c>
      <c r="O595" s="19">
        <f t="shared" si="84"/>
        <v>5.5099999999999927E-2</v>
      </c>
      <c r="P595" s="19">
        <f t="shared" si="84"/>
        <v>6.0000000000000053E-2</v>
      </c>
      <c r="R595" s="19"/>
      <c r="S595" s="19"/>
      <c r="T595" s="19"/>
      <c r="U595" s="19"/>
      <c r="V595" s="19"/>
    </row>
    <row r="596" spans="1:22" x14ac:dyDescent="0.2">
      <c r="A596" s="8">
        <v>45063</v>
      </c>
      <c r="B596" s="24">
        <v>4.92</v>
      </c>
      <c r="C596" s="24">
        <v>4.12</v>
      </c>
      <c r="D596" s="24">
        <v>3.8</v>
      </c>
      <c r="E596" s="24">
        <v>3.6313</v>
      </c>
      <c r="F596" s="24">
        <v>3.58</v>
      </c>
      <c r="G596" s="83">
        <f t="shared" si="79"/>
        <v>95.310712924132687</v>
      </c>
      <c r="H596" s="84">
        <f t="shared" si="82"/>
        <v>103.26288940534442</v>
      </c>
      <c r="I596" s="84">
        <f t="shared" si="80"/>
        <v>92.823548183452871</v>
      </c>
      <c r="J596" s="84">
        <f t="shared" si="81"/>
        <v>407021284.47406024</v>
      </c>
      <c r="L596" s="19">
        <f t="shared" si="83"/>
        <v>4.0000000000000036E-2</v>
      </c>
      <c r="M596" s="19">
        <f t="shared" si="84"/>
        <v>6.0000000000000497E-2</v>
      </c>
      <c r="N596" s="19">
        <f t="shared" si="84"/>
        <v>5.9999999999999609E-2</v>
      </c>
      <c r="O596" s="19">
        <f t="shared" si="84"/>
        <v>5.7999999999999829E-2</v>
      </c>
      <c r="P596" s="19">
        <f t="shared" si="84"/>
        <v>6.0000000000000053E-2</v>
      </c>
      <c r="R596" s="19"/>
      <c r="S596" s="19"/>
      <c r="T596" s="19"/>
      <c r="U596" s="19"/>
      <c r="V596" s="19"/>
    </row>
    <row r="597" spans="1:22" x14ac:dyDescent="0.2">
      <c r="A597" s="8">
        <v>45064</v>
      </c>
      <c r="B597" s="24">
        <v>5.0199999999999996</v>
      </c>
      <c r="C597" s="24">
        <v>4.24</v>
      </c>
      <c r="D597" s="24">
        <v>3.94</v>
      </c>
      <c r="E597" s="24">
        <v>3.7353999999999998</v>
      </c>
      <c r="F597" s="24">
        <v>3.69</v>
      </c>
      <c r="G597" s="83">
        <f t="shared" si="79"/>
        <v>95.219958103218431</v>
      </c>
      <c r="H597" s="84">
        <f t="shared" si="82"/>
        <v>102.86887893114803</v>
      </c>
      <c r="I597" s="84">
        <f t="shared" si="80"/>
        <v>92.350502038272126</v>
      </c>
      <c r="J597" s="84">
        <f t="shared" si="81"/>
        <v>405538605.96280336</v>
      </c>
      <c r="L597" s="19">
        <f t="shared" si="83"/>
        <v>9.9999999999999645E-2</v>
      </c>
      <c r="M597" s="19">
        <f t="shared" si="84"/>
        <v>0.12000000000000011</v>
      </c>
      <c r="N597" s="19">
        <f t="shared" si="84"/>
        <v>0.14000000000000012</v>
      </c>
      <c r="O597" s="19">
        <f t="shared" si="84"/>
        <v>0.10409999999999986</v>
      </c>
      <c r="P597" s="19">
        <f t="shared" si="84"/>
        <v>0.10999999999999988</v>
      </c>
      <c r="R597" s="19"/>
      <c r="S597" s="19"/>
      <c r="T597" s="19"/>
      <c r="U597" s="19"/>
      <c r="V597" s="19"/>
    </row>
    <row r="598" spans="1:22" x14ac:dyDescent="0.2">
      <c r="A598" s="8">
        <v>45065</v>
      </c>
      <c r="B598" s="24">
        <v>5.0199999999999996</v>
      </c>
      <c r="C598" s="24">
        <v>4.28</v>
      </c>
      <c r="D598" s="24">
        <v>3.98</v>
      </c>
      <c r="E598" s="24">
        <v>3.7945000000000002</v>
      </c>
      <c r="F598" s="24">
        <v>3.76</v>
      </c>
      <c r="G598" s="83">
        <f t="shared" si="79"/>
        <v>95.219958103218431</v>
      </c>
      <c r="H598" s="84">
        <f t="shared" si="82"/>
        <v>102.75747828121595</v>
      </c>
      <c r="I598" s="84">
        <f t="shared" si="80"/>
        <v>92.056444751366399</v>
      </c>
      <c r="J598" s="84">
        <f t="shared" si="81"/>
        <v>404529477.79007858</v>
      </c>
      <c r="L598" s="19">
        <f t="shared" si="83"/>
        <v>0</v>
      </c>
      <c r="M598" s="19">
        <f t="shared" si="84"/>
        <v>4.0000000000000036E-2</v>
      </c>
      <c r="N598" s="19">
        <f t="shared" si="84"/>
        <v>4.0000000000000036E-2</v>
      </c>
      <c r="O598" s="19">
        <f t="shared" si="84"/>
        <v>5.9100000000000374E-2</v>
      </c>
      <c r="P598" s="19">
        <f t="shared" si="84"/>
        <v>6.999999999999984E-2</v>
      </c>
      <c r="R598" s="19"/>
      <c r="S598" s="19"/>
      <c r="T598" s="19"/>
      <c r="U598" s="19"/>
      <c r="V598" s="19"/>
    </row>
    <row r="599" spans="1:22" x14ac:dyDescent="0.2">
      <c r="A599" s="8">
        <v>45068</v>
      </c>
      <c r="B599" s="24">
        <v>5.07</v>
      </c>
      <c r="C599" s="24">
        <v>4.29</v>
      </c>
      <c r="D599" s="24">
        <v>3.98</v>
      </c>
      <c r="E599" s="24">
        <v>3.8256000000000001</v>
      </c>
      <c r="F599" s="24">
        <v>3.77</v>
      </c>
      <c r="G599" s="83">
        <f t="shared" si="79"/>
        <v>95.174645474445612</v>
      </c>
      <c r="H599" s="84">
        <f t="shared" si="82"/>
        <v>102.75433092211601</v>
      </c>
      <c r="I599" s="84">
        <f t="shared" si="80"/>
        <v>92.012265228842566</v>
      </c>
      <c r="J599" s="84">
        <f t="shared" si="81"/>
        <v>404266855.48108745</v>
      </c>
      <c r="L599" s="19">
        <f t="shared" si="83"/>
        <v>5.0000000000000711E-2</v>
      </c>
      <c r="M599" s="19">
        <f t="shared" si="84"/>
        <v>9.9999999999997868E-3</v>
      </c>
      <c r="N599" s="19">
        <f t="shared" si="84"/>
        <v>0</v>
      </c>
      <c r="O599" s="19">
        <f t="shared" si="84"/>
        <v>3.1099999999999905E-2</v>
      </c>
      <c r="P599" s="19">
        <f t="shared" si="84"/>
        <v>1.0000000000000231E-2</v>
      </c>
      <c r="R599" s="19"/>
      <c r="S599" s="19"/>
      <c r="T599" s="19"/>
      <c r="U599" s="19"/>
      <c r="V599" s="19"/>
    </row>
    <row r="600" spans="1:22" x14ac:dyDescent="0.2">
      <c r="A600" s="8">
        <v>45069</v>
      </c>
      <c r="B600" s="24">
        <v>5.0599999999999996</v>
      </c>
      <c r="C600" s="24">
        <v>4.26</v>
      </c>
      <c r="D600" s="24">
        <v>3.99</v>
      </c>
      <c r="E600" s="24">
        <v>3.8281999999999998</v>
      </c>
      <c r="F600" s="24">
        <v>3.76</v>
      </c>
      <c r="G600" s="83">
        <f t="shared" si="79"/>
        <v>95.183704549781083</v>
      </c>
      <c r="H600" s="84">
        <f t="shared" si="82"/>
        <v>102.73048794780792</v>
      </c>
      <c r="I600" s="84">
        <f t="shared" si="80"/>
        <v>92.053676065062803</v>
      </c>
      <c r="J600" s="84">
        <f t="shared" si="81"/>
        <v>404486381.43810153</v>
      </c>
      <c r="L600" s="19">
        <f t="shared" si="83"/>
        <v>-1.0000000000000675E-2</v>
      </c>
      <c r="M600" s="19">
        <f t="shared" si="84"/>
        <v>-3.0000000000000249E-2</v>
      </c>
      <c r="N600" s="19">
        <f t="shared" si="84"/>
        <v>1.0000000000000231E-2</v>
      </c>
      <c r="O600" s="19">
        <f t="shared" si="84"/>
        <v>2.5999999999997137E-3</v>
      </c>
      <c r="P600" s="19">
        <f t="shared" si="84"/>
        <v>-1.0000000000000231E-2</v>
      </c>
      <c r="R600" s="19"/>
      <c r="S600" s="19"/>
      <c r="T600" s="19"/>
      <c r="U600" s="19"/>
      <c r="V600" s="19"/>
    </row>
    <row r="601" spans="1:22" x14ac:dyDescent="0.2">
      <c r="A601" s="8">
        <v>45070</v>
      </c>
      <c r="B601" s="24">
        <v>5.12</v>
      </c>
      <c r="C601" s="24">
        <v>4.3099999999999996</v>
      </c>
      <c r="D601" s="24">
        <v>4.04</v>
      </c>
      <c r="E601" s="24">
        <v>3.8637000000000001</v>
      </c>
      <c r="F601" s="24">
        <v>3.75</v>
      </c>
      <c r="G601" s="83">
        <f t="shared" si="79"/>
        <v>95.129375951293767</v>
      </c>
      <c r="H601" s="84">
        <f t="shared" si="82"/>
        <v>102.58880883720651</v>
      </c>
      <c r="I601" s="84">
        <f t="shared" si="80"/>
        <v>92.086791943717245</v>
      </c>
      <c r="J601" s="84">
        <f t="shared" si="81"/>
        <v>404722706.42164671</v>
      </c>
      <c r="L601" s="19">
        <f t="shared" si="83"/>
        <v>6.0000000000000497E-2</v>
      </c>
      <c r="M601" s="19">
        <f t="shared" si="84"/>
        <v>4.9999999999999822E-2</v>
      </c>
      <c r="N601" s="19">
        <f t="shared" si="84"/>
        <v>4.9999999999999822E-2</v>
      </c>
      <c r="O601" s="19">
        <f t="shared" si="84"/>
        <v>3.5500000000000309E-2</v>
      </c>
      <c r="P601" s="19">
        <f t="shared" si="84"/>
        <v>-9.9999999999997868E-3</v>
      </c>
      <c r="R601" s="19"/>
      <c r="S601" s="19"/>
      <c r="T601" s="19"/>
      <c r="U601" s="19"/>
      <c r="V601" s="19"/>
    </row>
    <row r="602" spans="1:22" x14ac:dyDescent="0.2">
      <c r="A602" s="8">
        <v>45071</v>
      </c>
      <c r="B602" s="24">
        <v>5.24</v>
      </c>
      <c r="C602" s="24">
        <v>4.5</v>
      </c>
      <c r="D602" s="24">
        <v>4.21</v>
      </c>
      <c r="E602" s="24">
        <v>3.9882</v>
      </c>
      <c r="F602" s="24">
        <v>3.9</v>
      </c>
      <c r="G602" s="83">
        <f t="shared" si="79"/>
        <v>95.020904599011786</v>
      </c>
      <c r="H602" s="84">
        <f t="shared" si="82"/>
        <v>102.11113557245136</v>
      </c>
      <c r="I602" s="84">
        <f t="shared" si="80"/>
        <v>91.450318616237084</v>
      </c>
      <c r="J602" s="84">
        <f t="shared" si="81"/>
        <v>402676380.30429488</v>
      </c>
      <c r="L602" s="19">
        <f t="shared" si="83"/>
        <v>0.12000000000000011</v>
      </c>
      <c r="M602" s="19">
        <f t="shared" si="84"/>
        <v>0.19000000000000039</v>
      </c>
      <c r="N602" s="19">
        <f t="shared" si="84"/>
        <v>0.16999999999999993</v>
      </c>
      <c r="O602" s="19">
        <f t="shared" si="84"/>
        <v>0.12449999999999983</v>
      </c>
      <c r="P602" s="19">
        <f t="shared" si="84"/>
        <v>0.14999999999999991</v>
      </c>
      <c r="R602" s="19"/>
      <c r="S602" s="19"/>
      <c r="T602" s="19"/>
      <c r="U602" s="19"/>
      <c r="V602" s="19"/>
    </row>
    <row r="603" spans="1:22" x14ac:dyDescent="0.2">
      <c r="A603" s="8">
        <v>45072</v>
      </c>
      <c r="B603" s="24">
        <v>5.25</v>
      </c>
      <c r="C603" s="24">
        <v>4.54</v>
      </c>
      <c r="D603" s="24">
        <v>4.2300000000000004</v>
      </c>
      <c r="E603" s="24">
        <v>4.0319000000000003</v>
      </c>
      <c r="F603" s="24">
        <v>3.92</v>
      </c>
      <c r="G603" s="83">
        <f t="shared" si="79"/>
        <v>95.011876484560574</v>
      </c>
      <c r="H603" s="84">
        <f t="shared" si="82"/>
        <v>102.05378160287826</v>
      </c>
      <c r="I603" s="84">
        <f t="shared" si="80"/>
        <v>91.363815662644527</v>
      </c>
      <c r="J603" s="84">
        <f t="shared" si="81"/>
        <v>402398343.21538186</v>
      </c>
      <c r="L603" s="19">
        <f t="shared" si="83"/>
        <v>9.9999999999997868E-3</v>
      </c>
      <c r="M603" s="19">
        <f t="shared" si="84"/>
        <v>4.0000000000000036E-2</v>
      </c>
      <c r="N603" s="19">
        <f t="shared" si="84"/>
        <v>2.0000000000000462E-2</v>
      </c>
      <c r="O603" s="19">
        <f t="shared" si="84"/>
        <v>4.3700000000000294E-2</v>
      </c>
      <c r="P603" s="19">
        <f t="shared" si="84"/>
        <v>2.0000000000000018E-2</v>
      </c>
      <c r="R603" s="19"/>
      <c r="S603" s="19"/>
      <c r="T603" s="19"/>
      <c r="U603" s="19"/>
      <c r="V603" s="19"/>
    </row>
    <row r="604" spans="1:22" x14ac:dyDescent="0.2">
      <c r="A604" s="8">
        <v>45076</v>
      </c>
      <c r="B604" s="24">
        <v>5.22</v>
      </c>
      <c r="C604" s="24">
        <v>4.46</v>
      </c>
      <c r="D604" s="24">
        <v>4.0999999999999996</v>
      </c>
      <c r="E604" s="66">
        <v>4</v>
      </c>
      <c r="F604" s="24">
        <v>3.81</v>
      </c>
      <c r="G604" s="83">
        <f t="shared" si="79"/>
        <v>95.038965976050179</v>
      </c>
      <c r="H604" s="84">
        <f t="shared" si="82"/>
        <v>102.40997658069446</v>
      </c>
      <c r="I604" s="84">
        <f t="shared" si="80"/>
        <v>91.822719100264578</v>
      </c>
      <c r="J604" s="84">
        <f t="shared" si="81"/>
        <v>403753843.482117</v>
      </c>
      <c r="L604" s="19">
        <f t="shared" si="83"/>
        <v>-3.0000000000000249E-2</v>
      </c>
      <c r="M604" s="19">
        <f t="shared" si="84"/>
        <v>-8.0000000000000071E-2</v>
      </c>
      <c r="N604" s="19">
        <f t="shared" si="84"/>
        <v>-0.13000000000000078</v>
      </c>
      <c r="O604" s="19">
        <f t="shared" si="84"/>
        <v>-3.1900000000000261E-2</v>
      </c>
      <c r="P604" s="19">
        <f t="shared" si="84"/>
        <v>-0.10999999999999988</v>
      </c>
      <c r="R604" s="19"/>
      <c r="S604" s="19"/>
      <c r="T604" s="19"/>
      <c r="U604" s="19"/>
      <c r="V604" s="19"/>
    </row>
    <row r="605" spans="1:22" x14ac:dyDescent="0.2">
      <c r="A605" s="8">
        <v>45077</v>
      </c>
      <c r="B605" s="24">
        <v>5.18</v>
      </c>
      <c r="C605" s="24">
        <v>4.4000000000000004</v>
      </c>
      <c r="D605" s="24">
        <v>4.04</v>
      </c>
      <c r="E605" s="24">
        <v>3.9666999999999999</v>
      </c>
      <c r="F605" s="24">
        <v>3.74</v>
      </c>
      <c r="G605" s="83">
        <f t="shared" si="79"/>
        <v>95.075109336375732</v>
      </c>
      <c r="H605" s="84">
        <f t="shared" si="82"/>
        <v>102.57817591308479</v>
      </c>
      <c r="I605" s="84">
        <f t="shared" si="80"/>
        <v>92.11664253445322</v>
      </c>
      <c r="J605" s="84">
        <f t="shared" si="81"/>
        <v>404749524.94093716</v>
      </c>
      <c r="L605" s="19">
        <f t="shared" si="83"/>
        <v>-4.0000000000000036E-2</v>
      </c>
      <c r="M605" s="19">
        <f t="shared" si="84"/>
        <v>-5.9999999999999609E-2</v>
      </c>
      <c r="N605" s="19">
        <f t="shared" si="84"/>
        <v>-5.9999999999999609E-2</v>
      </c>
      <c r="O605" s="19">
        <f t="shared" si="84"/>
        <v>-3.3300000000000107E-2</v>
      </c>
      <c r="P605" s="19">
        <f t="shared" si="84"/>
        <v>-6.999999999999984E-2</v>
      </c>
      <c r="R605" s="19"/>
      <c r="S605" s="19"/>
      <c r="T605" s="19"/>
      <c r="U605" s="19"/>
      <c r="V605" s="19"/>
    </row>
    <row r="606" spans="1:22" x14ac:dyDescent="0.2">
      <c r="A606" s="8">
        <v>45078</v>
      </c>
      <c r="B606" s="24">
        <v>5.1100000000000003</v>
      </c>
      <c r="C606" s="24">
        <v>4.33</v>
      </c>
      <c r="D606" s="24">
        <v>3.98</v>
      </c>
      <c r="E606" s="24">
        <v>3.8934000000000002</v>
      </c>
      <c r="F606" s="24">
        <v>3.7</v>
      </c>
      <c r="G606" s="83">
        <f t="shared" si="79"/>
        <v>95.138426410427172</v>
      </c>
      <c r="H606" s="84">
        <f t="shared" si="82"/>
        <v>102.74899559330549</v>
      </c>
      <c r="I606" s="84">
        <f t="shared" si="80"/>
        <v>92.292137493548978</v>
      </c>
      <c r="J606" s="84">
        <f t="shared" si="81"/>
        <v>405321909.405092</v>
      </c>
      <c r="L606" s="19">
        <f t="shared" si="83"/>
        <v>-6.9999999999999396E-2</v>
      </c>
      <c r="M606" s="19">
        <f t="shared" si="84"/>
        <v>-7.0000000000000284E-2</v>
      </c>
      <c r="N606" s="19">
        <f t="shared" si="84"/>
        <v>-6.0000000000000053E-2</v>
      </c>
      <c r="O606" s="19">
        <f t="shared" si="84"/>
        <v>-7.3299999999999699E-2</v>
      </c>
      <c r="P606" s="19">
        <f t="shared" si="84"/>
        <v>-4.0000000000000036E-2</v>
      </c>
      <c r="R606" s="19"/>
      <c r="S606" s="19"/>
      <c r="T606" s="19"/>
      <c r="U606" s="19"/>
      <c r="V606" s="19"/>
    </row>
    <row r="607" spans="1:22" x14ac:dyDescent="0.2">
      <c r="A607" s="8">
        <v>45079</v>
      </c>
      <c r="B607" s="24">
        <v>5.22</v>
      </c>
      <c r="C607" s="24">
        <v>4.5</v>
      </c>
      <c r="D607" s="24">
        <v>4.13</v>
      </c>
      <c r="E607" s="24">
        <v>3.8397999999999999</v>
      </c>
      <c r="F607" s="24">
        <v>3.84</v>
      </c>
      <c r="G607" s="83">
        <f t="shared" si="79"/>
        <v>95.038965976050179</v>
      </c>
      <c r="H607" s="84">
        <f t="shared" si="82"/>
        <v>102.32604668527473</v>
      </c>
      <c r="I607" s="84">
        <f t="shared" si="80"/>
        <v>91.708212697350817</v>
      </c>
      <c r="J607" s="84">
        <f t="shared" si="81"/>
        <v>403421712.71359152</v>
      </c>
      <c r="L607" s="19">
        <f t="shared" si="83"/>
        <v>0.10999999999999943</v>
      </c>
      <c r="M607" s="19">
        <f t="shared" si="84"/>
        <v>0.16999999999999993</v>
      </c>
      <c r="N607" s="19">
        <f t="shared" si="84"/>
        <v>0.14999999999999991</v>
      </c>
      <c r="O607" s="19">
        <f t="shared" si="84"/>
        <v>-5.3600000000000314E-2</v>
      </c>
      <c r="P607" s="19">
        <f t="shared" si="84"/>
        <v>0.13999999999999968</v>
      </c>
      <c r="R607" s="19"/>
      <c r="S607" s="19"/>
      <c r="T607" s="19"/>
      <c r="U607" s="19"/>
      <c r="V607" s="19"/>
    </row>
    <row r="608" spans="1:22" x14ac:dyDescent="0.2">
      <c r="A608" s="8">
        <v>45082</v>
      </c>
      <c r="B608" s="24">
        <v>5.17</v>
      </c>
      <c r="C608" s="24">
        <v>4.46</v>
      </c>
      <c r="D608" s="24">
        <v>4.0999999999999996</v>
      </c>
      <c r="E608" s="24">
        <v>3.931</v>
      </c>
      <c r="F608" s="24">
        <v>3.82</v>
      </c>
      <c r="G608" s="83">
        <f t="shared" si="79"/>
        <v>95.084149472282959</v>
      </c>
      <c r="H608" s="84">
        <f t="shared" si="82"/>
        <v>102.4122357555061</v>
      </c>
      <c r="I608" s="84">
        <f t="shared" si="80"/>
        <v>91.787428421143773</v>
      </c>
      <c r="J608" s="84">
        <f t="shared" si="81"/>
        <v>403699658.99588186</v>
      </c>
      <c r="L608" s="19">
        <f t="shared" si="83"/>
        <v>-4.9999999999999822E-2</v>
      </c>
      <c r="M608" s="19">
        <f t="shared" si="84"/>
        <v>-4.0000000000000036E-2</v>
      </c>
      <c r="N608" s="19">
        <f t="shared" si="84"/>
        <v>-3.0000000000000249E-2</v>
      </c>
      <c r="O608" s="19">
        <f t="shared" si="84"/>
        <v>9.120000000000017E-2</v>
      </c>
      <c r="P608" s="19">
        <f t="shared" si="84"/>
        <v>-2.0000000000000018E-2</v>
      </c>
      <c r="R608" s="19"/>
      <c r="S608" s="19"/>
      <c r="T608" s="19"/>
      <c r="U608" s="19"/>
      <c r="V608" s="19"/>
    </row>
    <row r="609" spans="1:22" x14ac:dyDescent="0.2">
      <c r="A609" s="8">
        <v>45083</v>
      </c>
      <c r="B609" s="24">
        <v>5.2</v>
      </c>
      <c r="C609" s="24">
        <v>4.51</v>
      </c>
      <c r="D609" s="24">
        <v>4.1500000000000004</v>
      </c>
      <c r="E609" s="24">
        <v>3.9350999999999998</v>
      </c>
      <c r="F609" s="24">
        <v>3.85</v>
      </c>
      <c r="G609" s="83">
        <f t="shared" si="79"/>
        <v>95.057034220532316</v>
      </c>
      <c r="H609" s="84">
        <f t="shared" si="82"/>
        <v>102.27251026360578</v>
      </c>
      <c r="I609" s="84">
        <f t="shared" si="80"/>
        <v>91.660234578590831</v>
      </c>
      <c r="J609" s="84">
        <f t="shared" si="81"/>
        <v>403346241.36001927</v>
      </c>
      <c r="L609" s="19">
        <f t="shared" si="83"/>
        <v>3.0000000000000249E-2</v>
      </c>
      <c r="M609" s="19">
        <f t="shared" si="84"/>
        <v>4.9999999999999822E-2</v>
      </c>
      <c r="N609" s="19">
        <f t="shared" si="84"/>
        <v>5.0000000000000711E-2</v>
      </c>
      <c r="O609" s="19">
        <f t="shared" si="84"/>
        <v>4.0999999999997705E-3</v>
      </c>
      <c r="P609" s="19">
        <f t="shared" si="84"/>
        <v>3.0000000000000249E-2</v>
      </c>
      <c r="R609" s="19"/>
      <c r="S609" s="19"/>
      <c r="T609" s="19"/>
      <c r="U609" s="19"/>
      <c r="V609" s="19"/>
    </row>
    <row r="610" spans="1:22" x14ac:dyDescent="0.2">
      <c r="A610" s="8">
        <v>45084</v>
      </c>
      <c r="B610" s="24">
        <v>5.16</v>
      </c>
      <c r="C610" s="24">
        <v>4.5599999999999996</v>
      </c>
      <c r="D610" s="24">
        <v>4.21</v>
      </c>
      <c r="E610" s="24">
        <v>3.9544000000000001</v>
      </c>
      <c r="F610" s="24">
        <v>3.93</v>
      </c>
      <c r="G610" s="83">
        <f t="shared" si="79"/>
        <v>95.093191327500946</v>
      </c>
      <c r="H610" s="84">
        <f t="shared" si="82"/>
        <v>102.10949665401864</v>
      </c>
      <c r="I610" s="84">
        <f t="shared" si="80"/>
        <v>91.33037580525297</v>
      </c>
      <c r="J610" s="84">
        <f t="shared" si="81"/>
        <v>402343640.8949858</v>
      </c>
      <c r="L610" s="19">
        <f t="shared" si="83"/>
        <v>-4.0000000000000036E-2</v>
      </c>
      <c r="M610" s="19">
        <f t="shared" si="84"/>
        <v>4.9999999999999822E-2</v>
      </c>
      <c r="N610" s="19">
        <f t="shared" si="84"/>
        <v>5.9999999999999609E-2</v>
      </c>
      <c r="O610" s="19">
        <f t="shared" si="84"/>
        <v>1.9300000000000317E-2</v>
      </c>
      <c r="P610" s="19">
        <f t="shared" si="84"/>
        <v>8.0000000000000071E-2</v>
      </c>
      <c r="R610" s="19"/>
      <c r="S610" s="19"/>
      <c r="T610" s="19"/>
      <c r="U610" s="19"/>
      <c r="V610" s="19"/>
    </row>
    <row r="611" spans="1:22" x14ac:dyDescent="0.2">
      <c r="A611" s="8">
        <v>45085</v>
      </c>
      <c r="B611" s="24">
        <v>5.12</v>
      </c>
      <c r="C611" s="24">
        <v>4.5199999999999996</v>
      </c>
      <c r="D611" s="24">
        <v>4.17</v>
      </c>
      <c r="E611" s="24">
        <v>4.0221</v>
      </c>
      <c r="F611" s="24">
        <v>3.87</v>
      </c>
      <c r="G611" s="83">
        <f t="shared" si="79"/>
        <v>95.129375951293767</v>
      </c>
      <c r="H611" s="84">
        <f t="shared" si="82"/>
        <v>102.22172889540236</v>
      </c>
      <c r="I611" s="84">
        <f t="shared" si="80"/>
        <v>91.573318798459155</v>
      </c>
      <c r="J611" s="84">
        <f t="shared" si="81"/>
        <v>403219433.75332057</v>
      </c>
      <c r="L611" s="19">
        <f t="shared" si="83"/>
        <v>-4.0000000000000036E-2</v>
      </c>
      <c r="M611" s="19">
        <f t="shared" si="84"/>
        <v>-4.0000000000000036E-2</v>
      </c>
      <c r="N611" s="19">
        <f t="shared" si="84"/>
        <v>-4.0000000000000036E-2</v>
      </c>
      <c r="O611" s="19">
        <f t="shared" si="84"/>
        <v>6.7699999999999871E-2</v>
      </c>
      <c r="P611" s="19">
        <f t="shared" si="84"/>
        <v>-6.0000000000000053E-2</v>
      </c>
      <c r="R611" s="19"/>
      <c r="S611" s="19"/>
      <c r="T611" s="19"/>
      <c r="U611" s="19"/>
      <c r="V611" s="19"/>
    </row>
    <row r="612" spans="1:22" x14ac:dyDescent="0.2">
      <c r="A612" s="8">
        <v>45086</v>
      </c>
      <c r="B612" s="24">
        <v>5.17</v>
      </c>
      <c r="C612" s="24">
        <v>4.59</v>
      </c>
      <c r="D612" s="24">
        <v>4.2300000000000004</v>
      </c>
      <c r="E612" s="24">
        <v>3.9916</v>
      </c>
      <c r="F612" s="24">
        <v>3.92</v>
      </c>
      <c r="G612" s="83">
        <f t="shared" si="79"/>
        <v>95.084149472282959</v>
      </c>
      <c r="H612" s="84">
        <f t="shared" si="82"/>
        <v>102.0530219345567</v>
      </c>
      <c r="I612" s="84">
        <f t="shared" si="80"/>
        <v>91.366160192377578</v>
      </c>
      <c r="J612" s="84">
        <f t="shared" si="81"/>
        <v>402553406.8122412</v>
      </c>
      <c r="L612" s="19">
        <f t="shared" si="83"/>
        <v>4.9999999999999822E-2</v>
      </c>
      <c r="M612" s="19">
        <f t="shared" si="84"/>
        <v>7.0000000000000284E-2</v>
      </c>
      <c r="N612" s="19">
        <f t="shared" si="84"/>
        <v>6.0000000000000497E-2</v>
      </c>
      <c r="O612" s="19">
        <f t="shared" si="84"/>
        <v>-3.0499999999999972E-2</v>
      </c>
      <c r="P612" s="19">
        <f t="shared" si="84"/>
        <v>4.9999999999999822E-2</v>
      </c>
      <c r="R612" s="19"/>
      <c r="S612" s="19"/>
      <c r="T612" s="19"/>
      <c r="U612" s="19"/>
      <c r="V612" s="19"/>
    </row>
    <row r="613" spans="1:22" x14ac:dyDescent="0.2">
      <c r="A613" s="8">
        <v>45089</v>
      </c>
      <c r="B613" s="24">
        <v>5.18</v>
      </c>
      <c r="C613" s="24">
        <v>4.55</v>
      </c>
      <c r="D613" s="24">
        <v>4.16</v>
      </c>
      <c r="E613" s="24">
        <v>4.0271999999999997</v>
      </c>
      <c r="F613" s="24">
        <v>3.89</v>
      </c>
      <c r="G613" s="83">
        <f t="shared" si="79"/>
        <v>95.075109336375732</v>
      </c>
      <c r="H613" s="84">
        <f t="shared" si="82"/>
        <v>102.24314544363261</v>
      </c>
      <c r="I613" s="84">
        <f t="shared" si="80"/>
        <v>91.490185226219197</v>
      </c>
      <c r="J613" s="84">
        <f t="shared" si="81"/>
        <v>402746241.41217929</v>
      </c>
      <c r="L613" s="19">
        <f t="shared" si="83"/>
        <v>9.9999999999997868E-3</v>
      </c>
      <c r="M613" s="19">
        <f t="shared" si="84"/>
        <v>-4.0000000000000036E-2</v>
      </c>
      <c r="N613" s="19">
        <f t="shared" si="84"/>
        <v>-7.0000000000000284E-2</v>
      </c>
      <c r="O613" s="19">
        <f t="shared" si="84"/>
        <v>3.5599999999999632E-2</v>
      </c>
      <c r="P613" s="19">
        <f t="shared" si="84"/>
        <v>-2.9999999999999805E-2</v>
      </c>
      <c r="R613" s="19"/>
      <c r="S613" s="19"/>
      <c r="T613" s="19"/>
      <c r="U613" s="19"/>
      <c r="V613" s="19"/>
    </row>
    <row r="614" spans="1:22" x14ac:dyDescent="0.2">
      <c r="A614" s="8">
        <v>45090</v>
      </c>
      <c r="B614" s="24">
        <v>5.26</v>
      </c>
      <c r="C614" s="24">
        <v>4.67</v>
      </c>
      <c r="D614" s="24">
        <v>4.3</v>
      </c>
      <c r="E614" s="24">
        <v>4.0225</v>
      </c>
      <c r="F614" s="24">
        <v>4.01</v>
      </c>
      <c r="G614" s="83">
        <f t="shared" si="79"/>
        <v>95.002850085502573</v>
      </c>
      <c r="H614" s="84">
        <f t="shared" si="82"/>
        <v>101.85539720889655</v>
      </c>
      <c r="I614" s="84">
        <f t="shared" si="80"/>
        <v>90.99266736744633</v>
      </c>
      <c r="J614" s="84">
        <f t="shared" si="81"/>
        <v>401193273.82744563</v>
      </c>
      <c r="L614" s="19">
        <f t="shared" si="83"/>
        <v>8.0000000000000071E-2</v>
      </c>
      <c r="M614" s="19">
        <f t="shared" si="84"/>
        <v>0.12000000000000011</v>
      </c>
      <c r="N614" s="19">
        <f t="shared" si="84"/>
        <v>0.13999999999999968</v>
      </c>
      <c r="O614" s="19">
        <f t="shared" si="84"/>
        <v>-4.6999999999997044E-3</v>
      </c>
      <c r="P614" s="19">
        <f t="shared" si="84"/>
        <v>0.11999999999999966</v>
      </c>
      <c r="R614" s="19"/>
      <c r="S614" s="19"/>
      <c r="T614" s="19"/>
      <c r="U614" s="19"/>
      <c r="V614" s="19"/>
    </row>
    <row r="615" spans="1:22" x14ac:dyDescent="0.2">
      <c r="A615" s="8">
        <v>45091</v>
      </c>
      <c r="B615" s="24">
        <v>5.27</v>
      </c>
      <c r="C615" s="24">
        <v>4.74</v>
      </c>
      <c r="D615" s="24">
        <v>4.37</v>
      </c>
      <c r="E615" s="24">
        <v>4.1090999999999998</v>
      </c>
      <c r="F615" s="24">
        <v>4.0599999999999996</v>
      </c>
      <c r="G615" s="83">
        <f t="shared" si="79"/>
        <v>94.993825401348914</v>
      </c>
      <c r="H615" s="84">
        <f t="shared" si="82"/>
        <v>101.66277257855828</v>
      </c>
      <c r="I615" s="84">
        <f t="shared" si="80"/>
        <v>90.779703170703556</v>
      </c>
      <c r="J615" s="84">
        <f t="shared" si="81"/>
        <v>400612304.61767471</v>
      </c>
      <c r="L615" s="19">
        <f t="shared" si="83"/>
        <v>9.9999999999997868E-3</v>
      </c>
      <c r="M615" s="19">
        <f t="shared" si="84"/>
        <v>7.0000000000000284E-2</v>
      </c>
      <c r="N615" s="19">
        <f t="shared" si="84"/>
        <v>7.0000000000000284E-2</v>
      </c>
      <c r="O615" s="19">
        <f t="shared" si="84"/>
        <v>8.6599999999999788E-2</v>
      </c>
      <c r="P615" s="19">
        <f t="shared" si="84"/>
        <v>4.9999999999999822E-2</v>
      </c>
      <c r="R615" s="19"/>
      <c r="S615" s="19"/>
      <c r="T615" s="19"/>
      <c r="U615" s="19"/>
      <c r="V615" s="19"/>
    </row>
    <row r="616" spans="1:22" x14ac:dyDescent="0.2">
      <c r="A616" s="8">
        <v>45092</v>
      </c>
      <c r="B616" s="24">
        <v>5.21</v>
      </c>
      <c r="C616" s="24">
        <v>4.62</v>
      </c>
      <c r="D616" s="24">
        <v>4.2300000000000004</v>
      </c>
      <c r="E616" s="24">
        <v>4.1582999999999997</v>
      </c>
      <c r="F616" s="24">
        <v>3.91</v>
      </c>
      <c r="G616" s="83">
        <f t="shared" si="79"/>
        <v>95.047999239616004</v>
      </c>
      <c r="H616" s="84">
        <f t="shared" si="82"/>
        <v>102.04859344151008</v>
      </c>
      <c r="I616" s="84">
        <f t="shared" si="80"/>
        <v>91.393971215000278</v>
      </c>
      <c r="J616" s="84">
        <f t="shared" si="81"/>
        <v>402598993.17696798</v>
      </c>
      <c r="L616" s="19">
        <f t="shared" si="83"/>
        <v>-5.9999999999999609E-2</v>
      </c>
      <c r="M616" s="19">
        <f t="shared" si="84"/>
        <v>-0.12000000000000011</v>
      </c>
      <c r="N616" s="19">
        <f t="shared" si="84"/>
        <v>-0.13999999999999968</v>
      </c>
      <c r="O616" s="19">
        <f t="shared" si="84"/>
        <v>4.919999999999991E-2</v>
      </c>
      <c r="P616" s="19">
        <f t="shared" si="84"/>
        <v>-0.14999999999999947</v>
      </c>
      <c r="R616" s="19"/>
      <c r="S616" s="19"/>
      <c r="T616" s="19"/>
      <c r="U616" s="19"/>
      <c r="V616" s="19"/>
    </row>
    <row r="617" spans="1:22" x14ac:dyDescent="0.2">
      <c r="A617" s="8">
        <v>45093</v>
      </c>
      <c r="B617" s="24">
        <v>5.24</v>
      </c>
      <c r="C617" s="24">
        <v>4.7</v>
      </c>
      <c r="D617" s="24">
        <v>4.32</v>
      </c>
      <c r="E617" s="24">
        <v>4.0766</v>
      </c>
      <c r="F617" s="24">
        <v>3.99</v>
      </c>
      <c r="G617" s="83">
        <f t="shared" si="79"/>
        <v>95.020904599011786</v>
      </c>
      <c r="H617" s="84">
        <f t="shared" si="82"/>
        <v>101.8004696247754</v>
      </c>
      <c r="I617" s="84">
        <f t="shared" si="80"/>
        <v>91.068032088735535</v>
      </c>
      <c r="J617" s="84">
        <f t="shared" si="81"/>
        <v>401613233.11580259</v>
      </c>
      <c r="L617" s="19">
        <f t="shared" si="83"/>
        <v>3.0000000000000249E-2</v>
      </c>
      <c r="M617" s="19">
        <f t="shared" si="84"/>
        <v>8.0000000000000071E-2</v>
      </c>
      <c r="N617" s="19">
        <f t="shared" si="84"/>
        <v>8.9999999999999858E-2</v>
      </c>
      <c r="O617" s="19">
        <f t="shared" si="84"/>
        <v>-8.1699999999999662E-2</v>
      </c>
      <c r="P617" s="19">
        <f t="shared" si="84"/>
        <v>8.0000000000000071E-2</v>
      </c>
      <c r="R617" s="19"/>
      <c r="S617" s="19"/>
      <c r="T617" s="19"/>
      <c r="U617" s="19"/>
      <c r="V617" s="19"/>
    </row>
    <row r="618" spans="1:22" x14ac:dyDescent="0.2">
      <c r="A618" s="8">
        <v>45097</v>
      </c>
      <c r="B618" s="24">
        <v>5.24</v>
      </c>
      <c r="C618" s="24">
        <v>4.68</v>
      </c>
      <c r="D618" s="24">
        <v>4.29</v>
      </c>
      <c r="E618" s="24">
        <v>4.1147</v>
      </c>
      <c r="F618" s="24">
        <v>3.96</v>
      </c>
      <c r="G618" s="83">
        <f t="shared" si="79"/>
        <v>95.020904599011786</v>
      </c>
      <c r="H618" s="84">
        <f t="shared" si="82"/>
        <v>101.88205100187231</v>
      </c>
      <c r="I618" s="84">
        <f t="shared" si="80"/>
        <v>91.188848988293259</v>
      </c>
      <c r="J618" s="84">
        <f t="shared" si="81"/>
        <v>401974128.64838815</v>
      </c>
      <c r="L618" s="19">
        <f t="shared" si="83"/>
        <v>0</v>
      </c>
      <c r="M618" s="19">
        <f t="shared" si="84"/>
        <v>-2.0000000000000462E-2</v>
      </c>
      <c r="N618" s="19">
        <f t="shared" si="84"/>
        <v>-3.0000000000000249E-2</v>
      </c>
      <c r="O618" s="19">
        <f t="shared" si="84"/>
        <v>3.8100000000000023E-2</v>
      </c>
      <c r="P618" s="19">
        <f t="shared" si="84"/>
        <v>-3.0000000000000249E-2</v>
      </c>
      <c r="R618" s="19"/>
      <c r="S618" s="19"/>
      <c r="T618" s="19"/>
      <c r="U618" s="19"/>
      <c r="V618" s="19"/>
    </row>
    <row r="619" spans="1:22" x14ac:dyDescent="0.2">
      <c r="A619" s="8">
        <v>45098</v>
      </c>
      <c r="B619" s="24">
        <v>5.25</v>
      </c>
      <c r="C619" s="24">
        <v>4.68</v>
      </c>
      <c r="D619" s="24">
        <v>4.29</v>
      </c>
      <c r="E619" s="66">
        <v>4.1100000000000003</v>
      </c>
      <c r="F619" s="24">
        <v>3.95</v>
      </c>
      <c r="G619" s="83">
        <f t="shared" si="79"/>
        <v>95.011876484560574</v>
      </c>
      <c r="H619" s="84">
        <f t="shared" si="82"/>
        <v>101.88159959614975</v>
      </c>
      <c r="I619" s="84">
        <f t="shared" si="80"/>
        <v>91.229386647509756</v>
      </c>
      <c r="J619" s="84">
        <f t="shared" si="81"/>
        <v>402118900.16493553</v>
      </c>
      <c r="L619" s="19">
        <f t="shared" si="83"/>
        <v>9.9999999999997868E-3</v>
      </c>
      <c r="M619" s="19">
        <f t="shared" si="84"/>
        <v>0</v>
      </c>
      <c r="N619" s="19">
        <f t="shared" si="84"/>
        <v>0</v>
      </c>
      <c r="O619" s="19">
        <f t="shared" si="84"/>
        <v>-4.6999999999997044E-3</v>
      </c>
      <c r="P619" s="19">
        <f t="shared" si="84"/>
        <v>-9.9999999999997868E-3</v>
      </c>
      <c r="R619" s="19"/>
      <c r="S619" s="19"/>
      <c r="T619" s="19"/>
      <c r="U619" s="19"/>
      <c r="V619" s="19"/>
    </row>
    <row r="620" spans="1:22" x14ac:dyDescent="0.2">
      <c r="A620" s="8">
        <v>45099</v>
      </c>
      <c r="B620" s="24">
        <v>5.29</v>
      </c>
      <c r="C620" s="24">
        <v>4.7699999999999996</v>
      </c>
      <c r="D620" s="24">
        <v>4.37</v>
      </c>
      <c r="E620" s="24">
        <v>4.1085000000000003</v>
      </c>
      <c r="F620" s="24">
        <v>4.03</v>
      </c>
      <c r="G620" s="83">
        <f t="shared" si="79"/>
        <v>94.975781175800179</v>
      </c>
      <c r="H620" s="84">
        <f t="shared" si="82"/>
        <v>101.6592606288022</v>
      </c>
      <c r="I620" s="84">
        <f t="shared" si="80"/>
        <v>90.898942330379242</v>
      </c>
      <c r="J620" s="84">
        <f t="shared" si="81"/>
        <v>401058440.72991407</v>
      </c>
      <c r="L620" s="19">
        <f t="shared" si="83"/>
        <v>4.0000000000000036E-2</v>
      </c>
      <c r="M620" s="19">
        <f t="shared" si="84"/>
        <v>8.9999999999999858E-2</v>
      </c>
      <c r="N620" s="19">
        <f t="shared" si="84"/>
        <v>8.0000000000000071E-2</v>
      </c>
      <c r="O620" s="19">
        <f t="shared" si="84"/>
        <v>-1.5000000000000568E-3</v>
      </c>
      <c r="P620" s="19">
        <f t="shared" si="84"/>
        <v>8.0000000000000071E-2</v>
      </c>
      <c r="R620" s="19"/>
      <c r="S620" s="19"/>
      <c r="T620" s="19"/>
      <c r="U620" s="19"/>
      <c r="V620" s="19"/>
    </row>
    <row r="621" spans="1:22" x14ac:dyDescent="0.2">
      <c r="A621" s="8">
        <v>45100</v>
      </c>
      <c r="B621" s="24">
        <v>5.25</v>
      </c>
      <c r="C621" s="24">
        <v>4.71</v>
      </c>
      <c r="D621" s="24">
        <v>4.32</v>
      </c>
      <c r="E621" s="24">
        <v>4.0994000000000002</v>
      </c>
      <c r="F621" s="24">
        <v>3.99</v>
      </c>
      <c r="G621" s="83">
        <f t="shared" si="79"/>
        <v>95.011876484560574</v>
      </c>
      <c r="H621" s="84">
        <f t="shared" si="82"/>
        <v>101.79914705942923</v>
      </c>
      <c r="I621" s="84">
        <f t="shared" si="80"/>
        <v>91.066010194143971</v>
      </c>
      <c r="J621" s="84">
        <f t="shared" si="81"/>
        <v>401589073.15655315</v>
      </c>
      <c r="L621" s="19">
        <f t="shared" si="83"/>
        <v>-4.0000000000000036E-2</v>
      </c>
      <c r="M621" s="19">
        <f t="shared" si="84"/>
        <v>-5.9999999999999609E-2</v>
      </c>
      <c r="N621" s="19">
        <f t="shared" si="84"/>
        <v>-4.9999999999999822E-2</v>
      </c>
      <c r="O621" s="19">
        <f t="shared" si="84"/>
        <v>-9.100000000000108E-3</v>
      </c>
      <c r="P621" s="19">
        <f t="shared" si="84"/>
        <v>-4.0000000000000036E-2</v>
      </c>
      <c r="R621" s="19"/>
      <c r="S621" s="19"/>
      <c r="T621" s="19"/>
      <c r="U621" s="19"/>
      <c r="V621" s="19"/>
    </row>
    <row r="622" spans="1:22" x14ac:dyDescent="0.2">
      <c r="A622" s="8">
        <v>45103</v>
      </c>
      <c r="B622" s="24">
        <v>5.27</v>
      </c>
      <c r="C622" s="24">
        <v>4.6500000000000004</v>
      </c>
      <c r="D622" s="24">
        <v>4.3</v>
      </c>
      <c r="E622" s="24">
        <v>4.1590999999999996</v>
      </c>
      <c r="F622" s="24">
        <v>3.96</v>
      </c>
      <c r="G622" s="83">
        <f t="shared" si="79"/>
        <v>94.993825401348914</v>
      </c>
      <c r="H622" s="84">
        <f t="shared" si="82"/>
        <v>101.85669054232847</v>
      </c>
      <c r="I622" s="84">
        <f t="shared" si="80"/>
        <v>91.185946544507104</v>
      </c>
      <c r="J622" s="84">
        <f t="shared" si="81"/>
        <v>401946401.16723359</v>
      </c>
      <c r="L622" s="19">
        <f t="shared" si="83"/>
        <v>1.9999999999999574E-2</v>
      </c>
      <c r="M622" s="19">
        <f t="shared" si="84"/>
        <v>-5.9999999999999609E-2</v>
      </c>
      <c r="N622" s="19">
        <f t="shared" si="84"/>
        <v>-2.0000000000000462E-2</v>
      </c>
      <c r="O622" s="19">
        <f t="shared" si="84"/>
        <v>5.969999999999942E-2</v>
      </c>
      <c r="P622" s="19">
        <f t="shared" si="84"/>
        <v>-3.0000000000000249E-2</v>
      </c>
      <c r="R622" s="19"/>
      <c r="S622" s="19"/>
      <c r="T622" s="19"/>
      <c r="U622" s="19"/>
      <c r="V622" s="19"/>
    </row>
    <row r="623" spans="1:22" x14ac:dyDescent="0.2">
      <c r="A623" s="8">
        <v>45104</v>
      </c>
      <c r="B623" s="24">
        <v>5.33</v>
      </c>
      <c r="C623" s="24">
        <v>4.74</v>
      </c>
      <c r="D623" s="24">
        <v>4.38</v>
      </c>
      <c r="E623" s="24">
        <v>4.1441999999999997</v>
      </c>
      <c r="F623" s="24">
        <v>4.0199999999999996</v>
      </c>
      <c r="G623" s="83">
        <f t="shared" si="79"/>
        <v>94.939713282065895</v>
      </c>
      <c r="H623" s="84">
        <f t="shared" si="82"/>
        <v>101.63352552517333</v>
      </c>
      <c r="I623" s="84">
        <f t="shared" si="80"/>
        <v>90.93667405663291</v>
      </c>
      <c r="J623" s="84">
        <f t="shared" si="81"/>
        <v>401175834.50290346</v>
      </c>
      <c r="L623" s="19">
        <f t="shared" si="83"/>
        <v>6.0000000000000497E-2</v>
      </c>
      <c r="M623" s="19">
        <f t="shared" si="84"/>
        <v>8.9999999999999858E-2</v>
      </c>
      <c r="N623" s="19">
        <f t="shared" si="84"/>
        <v>8.0000000000000071E-2</v>
      </c>
      <c r="O623" s="19">
        <f t="shared" si="84"/>
        <v>-1.4899999999999913E-2</v>
      </c>
      <c r="P623" s="19">
        <f t="shared" si="84"/>
        <v>5.9999999999999609E-2</v>
      </c>
      <c r="R623" s="19"/>
      <c r="S623" s="19"/>
      <c r="T623" s="19"/>
      <c r="U623" s="19"/>
      <c r="V623" s="19"/>
    </row>
    <row r="624" spans="1:22" x14ac:dyDescent="0.2">
      <c r="A624" s="8">
        <v>45105</v>
      </c>
      <c r="B624" s="24">
        <v>5.32</v>
      </c>
      <c r="C624" s="24">
        <v>4.71</v>
      </c>
      <c r="D624" s="24">
        <v>4.32</v>
      </c>
      <c r="E624" s="24">
        <v>4.1257999999999999</v>
      </c>
      <c r="F624" s="24">
        <v>3.97</v>
      </c>
      <c r="G624" s="83">
        <f t="shared" si="79"/>
        <v>94.948727687049001</v>
      </c>
      <c r="H624" s="84">
        <f t="shared" si="82"/>
        <v>101.79598961955365</v>
      </c>
      <c r="I624" s="84">
        <f t="shared" si="80"/>
        <v>91.143725838269262</v>
      </c>
      <c r="J624" s="84">
        <f t="shared" si="81"/>
        <v>401778374.29784459</v>
      </c>
      <c r="L624" s="19">
        <f t="shared" si="83"/>
        <v>-9.9999999999997868E-3</v>
      </c>
      <c r="M624" s="19">
        <f t="shared" si="84"/>
        <v>-3.0000000000000249E-2</v>
      </c>
      <c r="N624" s="19">
        <f t="shared" si="84"/>
        <v>-5.9999999999999609E-2</v>
      </c>
      <c r="O624" s="19">
        <f t="shared" si="84"/>
        <v>-1.839999999999975E-2</v>
      </c>
      <c r="P624" s="19">
        <f t="shared" si="84"/>
        <v>-4.9999999999999378E-2</v>
      </c>
      <c r="R624" s="19"/>
      <c r="S624" s="19"/>
      <c r="T624" s="19"/>
      <c r="U624" s="19"/>
      <c r="V624" s="19"/>
    </row>
    <row r="625" spans="1:22" x14ac:dyDescent="0.2">
      <c r="A625" s="8">
        <v>45106</v>
      </c>
      <c r="B625" s="24">
        <v>5.41</v>
      </c>
      <c r="C625" s="24">
        <v>4.87</v>
      </c>
      <c r="D625" s="24">
        <v>4.49</v>
      </c>
      <c r="E625" s="24">
        <v>4.1668000000000003</v>
      </c>
      <c r="F625" s="24">
        <v>4.1399999999999997</v>
      </c>
      <c r="G625" s="83">
        <f t="shared" si="79"/>
        <v>94.867659614837294</v>
      </c>
      <c r="H625" s="84">
        <f t="shared" si="82"/>
        <v>101.32734431613892</v>
      </c>
      <c r="I625" s="84">
        <f t="shared" si="80"/>
        <v>90.442245345611141</v>
      </c>
      <c r="J625" s="84">
        <f t="shared" si="81"/>
        <v>399513284.13791072</v>
      </c>
      <c r="L625" s="19">
        <f t="shared" si="83"/>
        <v>8.9999999999999858E-2</v>
      </c>
      <c r="M625" s="19">
        <f t="shared" si="84"/>
        <v>0.16000000000000014</v>
      </c>
      <c r="N625" s="19">
        <f t="shared" si="84"/>
        <v>0.16999999999999993</v>
      </c>
      <c r="O625" s="19">
        <f t="shared" si="84"/>
        <v>4.1000000000000369E-2</v>
      </c>
      <c r="P625" s="19">
        <f t="shared" si="84"/>
        <v>0.16999999999999948</v>
      </c>
      <c r="R625" s="19"/>
      <c r="S625" s="19"/>
      <c r="T625" s="19"/>
      <c r="U625" s="19"/>
      <c r="V625" s="19"/>
    </row>
    <row r="626" spans="1:22" x14ac:dyDescent="0.2">
      <c r="A626" s="8">
        <v>45107</v>
      </c>
      <c r="B626" s="24">
        <v>5.4</v>
      </c>
      <c r="C626" s="24">
        <v>4.87</v>
      </c>
      <c r="D626" s="24">
        <v>4.49</v>
      </c>
      <c r="E626" s="24">
        <v>4.1367000000000003</v>
      </c>
      <c r="F626" s="24">
        <v>4.13</v>
      </c>
      <c r="G626" s="83">
        <f t="shared" si="79"/>
        <v>94.876660341555976</v>
      </c>
      <c r="H626" s="84">
        <f t="shared" si="82"/>
        <v>101.32779435247485</v>
      </c>
      <c r="I626" s="84">
        <f t="shared" si="80"/>
        <v>90.484383724936379</v>
      </c>
      <c r="J626" s="84">
        <f t="shared" si="81"/>
        <v>399699164.05414522</v>
      </c>
      <c r="L626" s="19">
        <f t="shared" si="83"/>
        <v>-9.9999999999997868E-3</v>
      </c>
      <c r="M626" s="19">
        <f t="shared" si="84"/>
        <v>0</v>
      </c>
      <c r="N626" s="19">
        <f t="shared" si="84"/>
        <v>0</v>
      </c>
      <c r="O626" s="19">
        <f t="shared" si="84"/>
        <v>-3.0100000000000016E-2</v>
      </c>
      <c r="P626" s="19">
        <f t="shared" si="84"/>
        <v>-9.9999999999997868E-3</v>
      </c>
      <c r="R626" s="19"/>
      <c r="S626" s="19"/>
      <c r="T626" s="19"/>
      <c r="U626" s="19"/>
      <c r="V626" s="19"/>
    </row>
    <row r="627" spans="1:22" x14ac:dyDescent="0.2">
      <c r="A627" s="8">
        <v>45110</v>
      </c>
      <c r="B627" s="24">
        <v>5.43</v>
      </c>
      <c r="C627" s="24">
        <v>4.9400000000000004</v>
      </c>
      <c r="D627" s="24">
        <v>4.5599999999999996</v>
      </c>
      <c r="E627" s="24">
        <v>4.2737999999999996</v>
      </c>
      <c r="F627" s="24">
        <v>4.1900000000000004</v>
      </c>
      <c r="G627" s="83">
        <f t="shared" si="79"/>
        <v>94.849663283695335</v>
      </c>
      <c r="H627" s="84">
        <f t="shared" si="82"/>
        <v>101.13565518176161</v>
      </c>
      <c r="I627" s="84">
        <f t="shared" si="80"/>
        <v>90.229357366656018</v>
      </c>
      <c r="J627" s="84">
        <f t="shared" si="81"/>
        <v>398913273.26137233</v>
      </c>
      <c r="L627" s="19">
        <f t="shared" si="83"/>
        <v>2.9999999999999361E-2</v>
      </c>
      <c r="M627" s="19">
        <f t="shared" si="84"/>
        <v>7.0000000000000284E-2</v>
      </c>
      <c r="N627" s="19">
        <f t="shared" si="84"/>
        <v>6.9999999999999396E-2</v>
      </c>
      <c r="O627" s="19">
        <f t="shared" si="84"/>
        <v>0.13709999999999933</v>
      </c>
      <c r="P627" s="19">
        <f t="shared" si="84"/>
        <v>6.0000000000000497E-2</v>
      </c>
      <c r="R627" s="19"/>
      <c r="S627" s="19"/>
      <c r="T627" s="19"/>
      <c r="U627" s="19"/>
      <c r="V627" s="19"/>
    </row>
    <row r="628" spans="1:22" x14ac:dyDescent="0.2">
      <c r="A628" s="8">
        <v>45112</v>
      </c>
      <c r="B628" s="24">
        <v>5.4</v>
      </c>
      <c r="C628" s="24">
        <v>4.9400000000000004</v>
      </c>
      <c r="D628" s="24">
        <v>4.59</v>
      </c>
      <c r="E628" s="24">
        <v>4.2907999999999999</v>
      </c>
      <c r="F628" s="24">
        <v>4.25</v>
      </c>
      <c r="G628" s="83">
        <f t="shared" si="79"/>
        <v>94.876660341555976</v>
      </c>
      <c r="H628" s="84">
        <f t="shared" si="82"/>
        <v>101.0579880695383</v>
      </c>
      <c r="I628" s="84">
        <f t="shared" si="80"/>
        <v>89.988499928726384</v>
      </c>
      <c r="J628" s="84">
        <f t="shared" si="81"/>
        <v>398120338.29371011</v>
      </c>
      <c r="L628" s="19">
        <f t="shared" si="83"/>
        <v>-2.9999999999999361E-2</v>
      </c>
      <c r="M628" s="19">
        <f t="shared" si="84"/>
        <v>0</v>
      </c>
      <c r="N628" s="19">
        <f t="shared" si="84"/>
        <v>3.0000000000000249E-2</v>
      </c>
      <c r="O628" s="19">
        <f t="shared" si="84"/>
        <v>1.7000000000000348E-2</v>
      </c>
      <c r="P628" s="19">
        <f t="shared" si="84"/>
        <v>5.9999999999999609E-2</v>
      </c>
      <c r="R628" s="19"/>
      <c r="S628" s="19"/>
      <c r="T628" s="19"/>
      <c r="U628" s="19"/>
      <c r="V628" s="19"/>
    </row>
    <row r="629" spans="1:22" x14ac:dyDescent="0.2">
      <c r="A629" s="8">
        <v>45113</v>
      </c>
      <c r="B629" s="24">
        <v>5.44</v>
      </c>
      <c r="C629" s="24">
        <v>4.99</v>
      </c>
      <c r="D629" s="24">
        <v>4.68</v>
      </c>
      <c r="E629" s="24">
        <v>4.3446999999999996</v>
      </c>
      <c r="F629" s="24">
        <v>4.37</v>
      </c>
      <c r="G629" s="83">
        <f t="shared" si="79"/>
        <v>94.840667678300449</v>
      </c>
      <c r="H629" s="84">
        <f t="shared" si="82"/>
        <v>100.81535715408296</v>
      </c>
      <c r="I629" s="84">
        <f t="shared" si="80"/>
        <v>89.502942432703577</v>
      </c>
      <c r="J629" s="84">
        <f t="shared" si="81"/>
        <v>396470069.35629076</v>
      </c>
      <c r="L629" s="19">
        <f t="shared" si="83"/>
        <v>4.0000000000000036E-2</v>
      </c>
      <c r="M629" s="19">
        <f t="shared" si="84"/>
        <v>4.9999999999999822E-2</v>
      </c>
      <c r="N629" s="19">
        <f t="shared" si="84"/>
        <v>8.9999999999999858E-2</v>
      </c>
      <c r="O629" s="19">
        <f t="shared" si="84"/>
        <v>5.3899999999999615E-2</v>
      </c>
      <c r="P629" s="19">
        <f t="shared" si="84"/>
        <v>0.12000000000000011</v>
      </c>
      <c r="R629" s="19"/>
      <c r="S629" s="19"/>
      <c r="T629" s="19"/>
      <c r="U629" s="19"/>
      <c r="V629" s="19"/>
    </row>
    <row r="630" spans="1:22" x14ac:dyDescent="0.2">
      <c r="A630" s="8">
        <v>45114</v>
      </c>
      <c r="B630" s="24">
        <v>5.41</v>
      </c>
      <c r="C630" s="24">
        <v>4.9400000000000004</v>
      </c>
      <c r="D630" s="24">
        <v>4.6399999999999997</v>
      </c>
      <c r="E630" s="66">
        <v>4.37</v>
      </c>
      <c r="F630" s="24">
        <v>4.3499999999999996</v>
      </c>
      <c r="G630" s="83">
        <f t="shared" si="79"/>
        <v>94.867659614837294</v>
      </c>
      <c r="H630" s="84">
        <f t="shared" si="82"/>
        <v>100.92604437637355</v>
      </c>
      <c r="I630" s="84">
        <f t="shared" si="80"/>
        <v>89.584534586625637</v>
      </c>
      <c r="J630" s="84">
        <f t="shared" si="81"/>
        <v>396684391.01161683</v>
      </c>
      <c r="L630" s="19">
        <f t="shared" si="83"/>
        <v>-3.0000000000000249E-2</v>
      </c>
      <c r="M630" s="19">
        <f t="shared" si="84"/>
        <v>-4.9999999999999822E-2</v>
      </c>
      <c r="N630" s="19">
        <f t="shared" si="84"/>
        <v>-4.0000000000000036E-2</v>
      </c>
      <c r="O630" s="19">
        <f t="shared" si="84"/>
        <v>2.5300000000000544E-2</v>
      </c>
      <c r="P630" s="19">
        <f t="shared" si="84"/>
        <v>-2.0000000000000462E-2</v>
      </c>
      <c r="R630" s="19"/>
      <c r="S630" s="19"/>
      <c r="T630" s="19"/>
      <c r="U630" s="19"/>
      <c r="V630" s="19"/>
    </row>
    <row r="631" spans="1:22" x14ac:dyDescent="0.2">
      <c r="A631" s="8">
        <v>45117</v>
      </c>
      <c r="B631" s="24">
        <v>5.38</v>
      </c>
      <c r="C631" s="24">
        <v>4.8499999999999996</v>
      </c>
      <c r="D631" s="24">
        <v>4.54</v>
      </c>
      <c r="E631" s="24">
        <v>4.3905000000000003</v>
      </c>
      <c r="F631" s="24">
        <v>4.25</v>
      </c>
      <c r="G631" s="83">
        <f t="shared" si="79"/>
        <v>94.8946669197191</v>
      </c>
      <c r="H631" s="84">
        <f t="shared" si="82"/>
        <v>101.19843165341052</v>
      </c>
      <c r="I631" s="84">
        <f t="shared" si="80"/>
        <v>89.988039280261646</v>
      </c>
      <c r="J631" s="84">
        <f t="shared" si="81"/>
        <v>397943843.48036903</v>
      </c>
      <c r="L631" s="19">
        <f t="shared" si="83"/>
        <v>-3.0000000000000249E-2</v>
      </c>
      <c r="M631" s="19">
        <f t="shared" si="84"/>
        <v>-9.0000000000000746E-2</v>
      </c>
      <c r="N631" s="19">
        <f t="shared" si="84"/>
        <v>-9.9999999999999645E-2</v>
      </c>
      <c r="O631" s="19">
        <f t="shared" si="84"/>
        <v>2.0500000000000185E-2</v>
      </c>
      <c r="P631" s="19">
        <f t="shared" si="84"/>
        <v>-9.9999999999999645E-2</v>
      </c>
      <c r="R631" s="19"/>
      <c r="S631" s="19"/>
      <c r="T631" s="19"/>
      <c r="U631" s="19"/>
      <c r="V631" s="19"/>
    </row>
    <row r="632" spans="1:22" x14ac:dyDescent="0.2">
      <c r="A632" s="8">
        <v>45118</v>
      </c>
      <c r="B632" s="24">
        <v>5.44</v>
      </c>
      <c r="C632" s="24">
        <v>4.88</v>
      </c>
      <c r="D632" s="24">
        <v>4.5199999999999996</v>
      </c>
      <c r="E632" s="24">
        <v>4.4749999999999996</v>
      </c>
      <c r="F632" s="24">
        <v>4.24</v>
      </c>
      <c r="G632" s="83">
        <f t="shared" si="79"/>
        <v>94.840667678300449</v>
      </c>
      <c r="H632" s="84">
        <f t="shared" si="82"/>
        <v>101.24589890131551</v>
      </c>
      <c r="I632" s="84">
        <f t="shared" si="80"/>
        <v>90.021222737732046</v>
      </c>
      <c r="J632" s="84">
        <f t="shared" si="81"/>
        <v>397897377.95555586</v>
      </c>
      <c r="L632" s="19">
        <f t="shared" si="83"/>
        <v>6.0000000000000497E-2</v>
      </c>
      <c r="M632" s="19">
        <f t="shared" si="84"/>
        <v>3.0000000000000249E-2</v>
      </c>
      <c r="N632" s="19">
        <f t="shared" si="84"/>
        <v>-2.0000000000000462E-2</v>
      </c>
      <c r="O632" s="19">
        <f t="shared" si="84"/>
        <v>8.4499999999999353E-2</v>
      </c>
      <c r="P632" s="19">
        <f t="shared" si="84"/>
        <v>-9.9999999999997868E-3</v>
      </c>
      <c r="R632" s="19"/>
      <c r="S632" s="19"/>
      <c r="T632" s="19"/>
      <c r="U632" s="19"/>
      <c r="V632" s="19"/>
    </row>
    <row r="633" spans="1:22" x14ac:dyDescent="0.2">
      <c r="A633" s="8">
        <v>45119</v>
      </c>
      <c r="B633" s="24">
        <v>5.35</v>
      </c>
      <c r="C633" s="24">
        <v>4.72</v>
      </c>
      <c r="D633" s="24">
        <v>4.3600000000000003</v>
      </c>
      <c r="E633" s="24">
        <v>4.4741</v>
      </c>
      <c r="F633" s="24">
        <v>4.07</v>
      </c>
      <c r="G633" s="83">
        <f t="shared" si="79"/>
        <v>94.921689606074978</v>
      </c>
      <c r="H633" s="84">
        <f t="shared" si="82"/>
        <v>101.68745848207152</v>
      </c>
      <c r="I633" s="84">
        <f t="shared" si="80"/>
        <v>90.715640424505295</v>
      </c>
      <c r="J633" s="84">
        <f t="shared" si="81"/>
        <v>400174753.18706381</v>
      </c>
      <c r="L633" s="19">
        <f t="shared" si="83"/>
        <v>-9.0000000000000746E-2</v>
      </c>
      <c r="M633" s="19">
        <f t="shared" si="84"/>
        <v>-0.16000000000000014</v>
      </c>
      <c r="N633" s="19">
        <f t="shared" si="84"/>
        <v>-0.15999999999999925</v>
      </c>
      <c r="O633" s="19">
        <f t="shared" si="84"/>
        <v>-8.9999999999967883E-4</v>
      </c>
      <c r="P633" s="19">
        <f t="shared" si="84"/>
        <v>-0.16999999999999993</v>
      </c>
      <c r="R633" s="19"/>
      <c r="S633" s="19"/>
      <c r="T633" s="19"/>
      <c r="U633" s="19"/>
      <c r="V633" s="19"/>
    </row>
    <row r="634" spans="1:22" x14ac:dyDescent="0.2">
      <c r="A634" s="8">
        <v>45120</v>
      </c>
      <c r="B634" s="24">
        <v>5.27</v>
      </c>
      <c r="C634" s="24">
        <v>4.59</v>
      </c>
      <c r="D634" s="24">
        <v>4.21</v>
      </c>
      <c r="E634" s="24">
        <v>4.3996000000000004</v>
      </c>
      <c r="F634" s="24">
        <v>3.93</v>
      </c>
      <c r="G634" s="83">
        <f t="shared" si="79"/>
        <v>94.993825401348914</v>
      </c>
      <c r="H634" s="84">
        <f t="shared" si="82"/>
        <v>102.10190511996488</v>
      </c>
      <c r="I634" s="84">
        <f t="shared" si="80"/>
        <v>91.298312614718441</v>
      </c>
      <c r="J634" s="84">
        <f t="shared" si="81"/>
        <v>402028043.58162427</v>
      </c>
      <c r="L634" s="19">
        <f t="shared" si="83"/>
        <v>-8.0000000000000071E-2</v>
      </c>
      <c r="M634" s="19">
        <f t="shared" si="84"/>
        <v>-0.12999999999999989</v>
      </c>
      <c r="N634" s="19">
        <f t="shared" si="84"/>
        <v>-0.15000000000000036</v>
      </c>
      <c r="O634" s="19">
        <f t="shared" si="84"/>
        <v>-7.4499999999999567E-2</v>
      </c>
      <c r="P634" s="19">
        <f t="shared" si="84"/>
        <v>-0.14000000000000012</v>
      </c>
      <c r="R634" s="19"/>
      <c r="S634" s="19"/>
      <c r="T634" s="19"/>
      <c r="U634" s="19"/>
      <c r="V634" s="19"/>
    </row>
    <row r="635" spans="1:22" x14ac:dyDescent="0.2">
      <c r="A635" s="8">
        <v>45121</v>
      </c>
      <c r="B635" s="24">
        <v>5.34</v>
      </c>
      <c r="C635" s="24">
        <v>4.74</v>
      </c>
      <c r="D635" s="24">
        <v>4.3499999999999996</v>
      </c>
      <c r="E635" s="24">
        <v>4.3780000000000001</v>
      </c>
      <c r="F635" s="24">
        <v>4.04</v>
      </c>
      <c r="G635" s="83">
        <f t="shared" si="79"/>
        <v>94.93070058857036</v>
      </c>
      <c r="H635" s="84">
        <f t="shared" si="82"/>
        <v>101.71272975966475</v>
      </c>
      <c r="I635" s="84">
        <f t="shared" si="80"/>
        <v>90.842356446231051</v>
      </c>
      <c r="J635" s="84">
        <f t="shared" si="81"/>
        <v>400661732.32256782</v>
      </c>
      <c r="L635" s="19">
        <f t="shared" si="83"/>
        <v>7.0000000000000284E-2</v>
      </c>
      <c r="M635" s="19">
        <f t="shared" si="84"/>
        <v>0.15000000000000036</v>
      </c>
      <c r="N635" s="19">
        <f t="shared" si="84"/>
        <v>0.13999999999999968</v>
      </c>
      <c r="O635" s="19">
        <f t="shared" si="84"/>
        <v>-2.1600000000000286E-2</v>
      </c>
      <c r="P635" s="19">
        <f t="shared" si="84"/>
        <v>0.10999999999999988</v>
      </c>
      <c r="R635" s="19"/>
      <c r="S635" s="19"/>
      <c r="T635" s="19"/>
      <c r="U635" s="19"/>
      <c r="V635" s="19"/>
    </row>
    <row r="636" spans="1:22" x14ac:dyDescent="0.2">
      <c r="A636" s="8">
        <v>45124</v>
      </c>
      <c r="B636" s="24">
        <v>5.33</v>
      </c>
      <c r="C636" s="24">
        <v>4.74</v>
      </c>
      <c r="D636" s="24">
        <v>4.34</v>
      </c>
      <c r="E636" s="24">
        <v>4.2483000000000004</v>
      </c>
      <c r="F636" s="24">
        <v>4.0199999999999996</v>
      </c>
      <c r="G636" s="83">
        <f t="shared" si="79"/>
        <v>94.939713282065895</v>
      </c>
      <c r="H636" s="84">
        <f t="shared" si="82"/>
        <v>101.7397523784178</v>
      </c>
      <c r="I636" s="84">
        <f t="shared" si="80"/>
        <v>90.931916627172129</v>
      </c>
      <c r="J636" s="84">
        <f t="shared" si="81"/>
        <v>400997464.50519359</v>
      </c>
      <c r="L636" s="19">
        <f t="shared" si="83"/>
        <v>-9.9999999999997868E-3</v>
      </c>
      <c r="M636" s="19">
        <f t="shared" si="84"/>
        <v>0</v>
      </c>
      <c r="N636" s="19">
        <f t="shared" si="84"/>
        <v>-9.9999999999997868E-3</v>
      </c>
      <c r="O636" s="19">
        <f t="shared" si="84"/>
        <v>-0.1296999999999997</v>
      </c>
      <c r="P636" s="19">
        <f t="shared" si="84"/>
        <v>-2.0000000000000462E-2</v>
      </c>
      <c r="R636" s="19"/>
      <c r="S636" s="19"/>
      <c r="T636" s="19"/>
      <c r="U636" s="19"/>
      <c r="V636" s="19"/>
    </row>
    <row r="637" spans="1:22" x14ac:dyDescent="0.2">
      <c r="A637" s="8">
        <v>45125</v>
      </c>
      <c r="B637" s="24">
        <v>5.32</v>
      </c>
      <c r="C637" s="24">
        <v>4.74</v>
      </c>
      <c r="D637" s="24">
        <v>4.3499999999999996</v>
      </c>
      <c r="E637" s="24">
        <v>4.1146000000000003</v>
      </c>
      <c r="F637" s="24">
        <v>4</v>
      </c>
      <c r="G637" s="83">
        <f t="shared" si="79"/>
        <v>94.948727687049001</v>
      </c>
      <c r="H637" s="84">
        <f t="shared" si="82"/>
        <v>101.71363111458868</v>
      </c>
      <c r="I637" s="84">
        <f t="shared" si="80"/>
        <v>91.0208714361234</v>
      </c>
      <c r="J637" s="84">
        <f t="shared" si="81"/>
        <v>401410494.44670856</v>
      </c>
      <c r="L637" s="19">
        <f t="shared" si="83"/>
        <v>-9.9999999999997868E-3</v>
      </c>
      <c r="M637" s="19">
        <f t="shared" si="84"/>
        <v>0</v>
      </c>
      <c r="N637" s="19">
        <f t="shared" si="84"/>
        <v>9.9999999999997868E-3</v>
      </c>
      <c r="O637" s="19">
        <f t="shared" si="84"/>
        <v>-0.13370000000000015</v>
      </c>
      <c r="P637" s="19">
        <f t="shared" si="84"/>
        <v>-1.9999999999999574E-2</v>
      </c>
      <c r="R637" s="19"/>
      <c r="S637" s="19"/>
      <c r="T637" s="19"/>
      <c r="U637" s="19"/>
      <c r="V637" s="19"/>
    </row>
    <row r="638" spans="1:22" x14ac:dyDescent="0.2">
      <c r="A638" s="8">
        <v>45126</v>
      </c>
      <c r="B638" s="24">
        <v>5.32</v>
      </c>
      <c r="C638" s="24">
        <v>4.74</v>
      </c>
      <c r="D638" s="24">
        <v>4.34</v>
      </c>
      <c r="E638" s="24">
        <v>4.1581999999999999</v>
      </c>
      <c r="F638" s="24">
        <v>3.98</v>
      </c>
      <c r="G638" s="83">
        <f t="shared" si="79"/>
        <v>94.948727687049001</v>
      </c>
      <c r="H638" s="84">
        <f t="shared" si="82"/>
        <v>101.74020309866697</v>
      </c>
      <c r="I638" s="84">
        <f t="shared" si="80"/>
        <v>91.09918802263509</v>
      </c>
      <c r="J638" s="84">
        <f t="shared" si="81"/>
        <v>401683902.81663787</v>
      </c>
      <c r="L638" s="19">
        <f t="shared" si="83"/>
        <v>0</v>
      </c>
      <c r="M638" s="19">
        <f t="shared" si="84"/>
        <v>0</v>
      </c>
      <c r="N638" s="19">
        <f t="shared" si="84"/>
        <v>-9.9999999999997868E-3</v>
      </c>
      <c r="O638" s="19">
        <f t="shared" si="84"/>
        <v>4.3599999999999639E-2</v>
      </c>
      <c r="P638" s="19">
        <f t="shared" si="84"/>
        <v>-2.0000000000000018E-2</v>
      </c>
      <c r="R638" s="19"/>
      <c r="S638" s="19"/>
      <c r="T638" s="19"/>
      <c r="U638" s="19"/>
      <c r="V638" s="19"/>
    </row>
    <row r="639" spans="1:22" x14ac:dyDescent="0.2">
      <c r="A639" s="8">
        <v>45127</v>
      </c>
      <c r="B639" s="24">
        <v>5.35</v>
      </c>
      <c r="C639" s="24">
        <v>4.8</v>
      </c>
      <c r="D639" s="24">
        <v>4.43</v>
      </c>
      <c r="E639" s="24">
        <v>4.1516000000000002</v>
      </c>
      <c r="F639" s="24">
        <v>4.08</v>
      </c>
      <c r="G639" s="83">
        <f t="shared" si="79"/>
        <v>94.921689606074978</v>
      </c>
      <c r="H639" s="84">
        <f t="shared" si="82"/>
        <v>101.49485230787809</v>
      </c>
      <c r="I639" s="84">
        <f t="shared" si="80"/>
        <v>90.690078746707869</v>
      </c>
      <c r="J639" s="84">
        <f t="shared" si="81"/>
        <v>400361415.73716426</v>
      </c>
      <c r="L639" s="19">
        <f t="shared" si="83"/>
        <v>2.9999999999999361E-2</v>
      </c>
      <c r="M639" s="19">
        <f t="shared" si="84"/>
        <v>5.9999999999999609E-2</v>
      </c>
      <c r="N639" s="19">
        <f t="shared" si="84"/>
        <v>8.9999999999999858E-2</v>
      </c>
      <c r="O639" s="19">
        <f t="shared" si="84"/>
        <v>-6.5999999999997172E-3</v>
      </c>
      <c r="P639" s="19">
        <f t="shared" si="84"/>
        <v>0.10000000000000009</v>
      </c>
      <c r="R639" s="19"/>
      <c r="S639" s="19"/>
      <c r="T639" s="19"/>
      <c r="U639" s="19"/>
      <c r="V639" s="19"/>
    </row>
    <row r="640" spans="1:22" x14ac:dyDescent="0.2">
      <c r="A640" s="8">
        <v>45128</v>
      </c>
      <c r="B640" s="24">
        <v>5.35</v>
      </c>
      <c r="C640" s="24">
        <v>4.82</v>
      </c>
      <c r="D640" s="24">
        <v>4.4400000000000004</v>
      </c>
      <c r="E640" s="24">
        <v>4.1413000000000002</v>
      </c>
      <c r="F640" s="24">
        <v>4.09</v>
      </c>
      <c r="G640" s="83">
        <f t="shared" si="79"/>
        <v>94.921689606074978</v>
      </c>
      <c r="H640" s="84">
        <f t="shared" si="82"/>
        <v>101.46663471420537</v>
      </c>
      <c r="I640" s="84">
        <f t="shared" si="80"/>
        <v>90.64944308934993</v>
      </c>
      <c r="J640" s="84">
        <f t="shared" si="81"/>
        <v>400241199.4982416</v>
      </c>
      <c r="L640" s="19">
        <f t="shared" si="83"/>
        <v>0</v>
      </c>
      <c r="M640" s="19">
        <f t="shared" si="84"/>
        <v>2.0000000000000462E-2</v>
      </c>
      <c r="N640" s="19">
        <f t="shared" si="84"/>
        <v>1.0000000000000675E-2</v>
      </c>
      <c r="O640" s="19">
        <f t="shared" si="84"/>
        <v>-1.0299999999999976E-2</v>
      </c>
      <c r="P640" s="19">
        <f t="shared" si="84"/>
        <v>9.9999999999997868E-3</v>
      </c>
      <c r="R640" s="19"/>
      <c r="S640" s="19"/>
      <c r="T640" s="19"/>
      <c r="U640" s="19"/>
      <c r="V640" s="19"/>
    </row>
    <row r="641" spans="1:22" x14ac:dyDescent="0.2">
      <c r="A641" s="8">
        <v>45131</v>
      </c>
      <c r="B641" s="24">
        <v>5.38</v>
      </c>
      <c r="C641" s="24">
        <v>4.8099999999999996</v>
      </c>
      <c r="D641" s="24">
        <v>4.4800000000000004</v>
      </c>
      <c r="E641" s="24">
        <v>4.1204000000000001</v>
      </c>
      <c r="F641" s="24">
        <v>4.13</v>
      </c>
      <c r="G641" s="83">
        <f t="shared" si="79"/>
        <v>94.8946669197191</v>
      </c>
      <c r="H641" s="84">
        <f t="shared" si="82"/>
        <v>101.36033132834548</v>
      </c>
      <c r="I641" s="84">
        <f t="shared" si="80"/>
        <v>90.488395192845701</v>
      </c>
      <c r="J641" s="84">
        <f t="shared" si="81"/>
        <v>399702417.61830282</v>
      </c>
      <c r="L641" s="19">
        <f t="shared" si="83"/>
        <v>3.0000000000000249E-2</v>
      </c>
      <c r="M641" s="19">
        <f t="shared" si="84"/>
        <v>-1.0000000000000675E-2</v>
      </c>
      <c r="N641" s="19">
        <f t="shared" si="84"/>
        <v>4.0000000000000036E-2</v>
      </c>
      <c r="O641" s="19">
        <f t="shared" si="84"/>
        <v>-2.0900000000000141E-2</v>
      </c>
      <c r="P641" s="19">
        <f t="shared" si="84"/>
        <v>4.0000000000000036E-2</v>
      </c>
      <c r="R641" s="19"/>
      <c r="S641" s="19"/>
      <c r="T641" s="19"/>
      <c r="U641" s="19"/>
      <c r="V641" s="19"/>
    </row>
    <row r="642" spans="1:22" x14ac:dyDescent="0.2">
      <c r="A642" s="8">
        <v>45132</v>
      </c>
      <c r="B642" s="24">
        <v>5.38</v>
      </c>
      <c r="C642" s="24">
        <v>4.8499999999999996</v>
      </c>
      <c r="D642" s="24">
        <v>4.53</v>
      </c>
      <c r="E642" s="24">
        <v>4.1887999999999996</v>
      </c>
      <c r="F642" s="24">
        <v>4.1500000000000004</v>
      </c>
      <c r="G642" s="83">
        <f t="shared" ref="G642:G705" si="85">100/((1+B642/100)^1)</f>
        <v>94.8946669197191</v>
      </c>
      <c r="H642" s="84">
        <f t="shared" si="82"/>
        <v>101.22481097745512</v>
      </c>
      <c r="I642" s="84">
        <f t="shared" ref="I642:I705" si="86">SUM(2/(1+B642/100)^1, 2/(1+C642/100)^2, 2/(1+D642/100)^3, 2/(1+E642/100)^4, 102/(1+F642/100)^5)</f>
        <v>90.400062761610258</v>
      </c>
      <c r="J642" s="84">
        <f t="shared" ref="J642:J705" si="87">G642*2000000+H642*-1500000+I642*4000000</f>
        <v>399552368.41969657</v>
      </c>
      <c r="L642" s="19">
        <f t="shared" si="83"/>
        <v>0</v>
      </c>
      <c r="M642" s="19">
        <f t="shared" si="84"/>
        <v>4.0000000000000036E-2</v>
      </c>
      <c r="N642" s="19">
        <f t="shared" si="84"/>
        <v>4.9999999999999822E-2</v>
      </c>
      <c r="O642" s="19">
        <f t="shared" si="84"/>
        <v>6.8399999999999572E-2</v>
      </c>
      <c r="P642" s="19">
        <f t="shared" si="84"/>
        <v>2.0000000000000462E-2</v>
      </c>
      <c r="R642" s="19"/>
      <c r="S642" s="19"/>
      <c r="T642" s="19"/>
      <c r="U642" s="19"/>
      <c r="V642" s="19"/>
    </row>
    <row r="643" spans="1:22" x14ac:dyDescent="0.2">
      <c r="A643" s="8">
        <v>45133</v>
      </c>
      <c r="B643" s="24">
        <v>5.37</v>
      </c>
      <c r="C643" s="24">
        <v>4.82</v>
      </c>
      <c r="D643" s="24">
        <v>4.47</v>
      </c>
      <c r="E643" s="24">
        <v>4.2103000000000002</v>
      </c>
      <c r="F643" s="24">
        <v>4.09</v>
      </c>
      <c r="G643" s="83">
        <f t="shared" si="85"/>
        <v>94.903672772136275</v>
      </c>
      <c r="H643" s="84">
        <f t="shared" ref="H643:H706" si="88">SUM(5/(1+B643/100)^1, 5/(1+C643/100)^2, 105/(1+D643/100)^3)</f>
        <v>101.38635317608623</v>
      </c>
      <c r="I643" s="84">
        <f t="shared" si="86"/>
        <v>90.643071852305084</v>
      </c>
      <c r="J643" s="84">
        <f t="shared" si="87"/>
        <v>400300103.18936354</v>
      </c>
      <c r="L643" s="19">
        <f t="shared" si="83"/>
        <v>-9.9999999999997868E-3</v>
      </c>
      <c r="M643" s="19">
        <f t="shared" si="84"/>
        <v>-2.9999999999999361E-2</v>
      </c>
      <c r="N643" s="19">
        <f t="shared" si="84"/>
        <v>-6.0000000000000497E-2</v>
      </c>
      <c r="O643" s="19">
        <f t="shared" si="84"/>
        <v>2.1500000000000519E-2</v>
      </c>
      <c r="P643" s="19">
        <f t="shared" si="84"/>
        <v>-6.0000000000000497E-2</v>
      </c>
      <c r="R643" s="19"/>
      <c r="S643" s="19"/>
      <c r="T643" s="19"/>
      <c r="U643" s="19"/>
      <c r="V643" s="19"/>
    </row>
    <row r="644" spans="1:22" x14ac:dyDescent="0.2">
      <c r="A644" s="8">
        <v>45134</v>
      </c>
      <c r="B644" s="24">
        <v>5.4</v>
      </c>
      <c r="C644" s="24">
        <v>4.91</v>
      </c>
      <c r="D644" s="24">
        <v>4.58</v>
      </c>
      <c r="E644" s="24">
        <v>4.2526999999999999</v>
      </c>
      <c r="F644" s="24">
        <v>4.24</v>
      </c>
      <c r="G644" s="83">
        <f t="shared" si="85"/>
        <v>94.876660341555976</v>
      </c>
      <c r="H644" s="84">
        <f t="shared" si="88"/>
        <v>101.08691405812067</v>
      </c>
      <c r="I644" s="84">
        <f t="shared" si="86"/>
        <v>90.03225401919245</v>
      </c>
      <c r="J644" s="84">
        <f t="shared" si="87"/>
        <v>398251965.67270076</v>
      </c>
      <c r="L644" s="19">
        <f t="shared" si="83"/>
        <v>3.0000000000000249E-2</v>
      </c>
      <c r="M644" s="19">
        <f t="shared" si="84"/>
        <v>8.9999999999999858E-2</v>
      </c>
      <c r="N644" s="19">
        <f t="shared" si="84"/>
        <v>0.11000000000000032</v>
      </c>
      <c r="O644" s="19">
        <f t="shared" si="84"/>
        <v>4.2399999999999771E-2</v>
      </c>
      <c r="P644" s="19">
        <f t="shared" ref="P644:P707" si="89">F644-F643</f>
        <v>0.15000000000000036</v>
      </c>
      <c r="R644" s="19"/>
      <c r="S644" s="19"/>
      <c r="T644" s="19"/>
      <c r="U644" s="19"/>
      <c r="V644" s="19"/>
    </row>
    <row r="645" spans="1:22" x14ac:dyDescent="0.2">
      <c r="A645" s="8">
        <v>45135</v>
      </c>
      <c r="B645" s="24">
        <v>5.37</v>
      </c>
      <c r="C645" s="24">
        <v>4.87</v>
      </c>
      <c r="D645" s="24">
        <v>4.5199999999999996</v>
      </c>
      <c r="E645" s="24">
        <v>4.3005000000000004</v>
      </c>
      <c r="F645" s="24">
        <v>4.18</v>
      </c>
      <c r="G645" s="83">
        <f t="shared" si="85"/>
        <v>94.903672772136275</v>
      </c>
      <c r="H645" s="84">
        <f t="shared" si="88"/>
        <v>101.24991608610422</v>
      </c>
      <c r="I645" s="84">
        <f t="shared" si="86"/>
        <v>90.273019267128447</v>
      </c>
      <c r="J645" s="84">
        <f t="shared" si="87"/>
        <v>399024548.48363006</v>
      </c>
      <c r="L645" s="19">
        <f t="shared" ref="L645:L708" si="90">B645-B644</f>
        <v>-3.0000000000000249E-2</v>
      </c>
      <c r="M645" s="19">
        <f t="shared" ref="M645:P708" si="91">C645-C644</f>
        <v>-4.0000000000000036E-2</v>
      </c>
      <c r="N645" s="19">
        <f t="shared" si="91"/>
        <v>-6.0000000000000497E-2</v>
      </c>
      <c r="O645" s="19">
        <f t="shared" si="91"/>
        <v>4.7800000000000509E-2</v>
      </c>
      <c r="P645" s="19">
        <f t="shared" si="89"/>
        <v>-6.0000000000000497E-2</v>
      </c>
      <c r="R645" s="19"/>
      <c r="S645" s="19"/>
      <c r="T645" s="19"/>
      <c r="U645" s="19"/>
      <c r="V645" s="19"/>
    </row>
    <row r="646" spans="1:22" x14ac:dyDescent="0.2">
      <c r="A646" s="8">
        <v>45138</v>
      </c>
      <c r="B646" s="24">
        <v>5.37</v>
      </c>
      <c r="C646" s="24">
        <v>4.88</v>
      </c>
      <c r="D646" s="24">
        <v>4.51</v>
      </c>
      <c r="E646" s="24">
        <v>4.2709999999999999</v>
      </c>
      <c r="F646" s="24">
        <v>4.18</v>
      </c>
      <c r="G646" s="83">
        <f t="shared" si="85"/>
        <v>94.903672772136275</v>
      </c>
      <c r="H646" s="84">
        <f t="shared" si="88"/>
        <v>101.27544867764801</v>
      </c>
      <c r="I646" s="84">
        <f t="shared" si="86"/>
        <v>90.275088661319046</v>
      </c>
      <c r="J646" s="84">
        <f t="shared" si="87"/>
        <v>398994527.17307675</v>
      </c>
      <c r="L646" s="19">
        <f t="shared" si="90"/>
        <v>0</v>
      </c>
      <c r="M646" s="19">
        <f t="shared" si="91"/>
        <v>9.9999999999997868E-3</v>
      </c>
      <c r="N646" s="19">
        <f t="shared" si="91"/>
        <v>-9.9999999999997868E-3</v>
      </c>
      <c r="O646" s="19">
        <f t="shared" si="91"/>
        <v>-2.9500000000000526E-2</v>
      </c>
      <c r="P646" s="19">
        <f t="shared" si="89"/>
        <v>0</v>
      </c>
      <c r="R646" s="19"/>
      <c r="S646" s="19"/>
      <c r="T646" s="19"/>
      <c r="U646" s="19"/>
      <c r="V646" s="19"/>
    </row>
    <row r="647" spans="1:22" x14ac:dyDescent="0.2">
      <c r="A647" s="8">
        <v>45139</v>
      </c>
      <c r="B647" s="24">
        <v>5.38</v>
      </c>
      <c r="C647" s="24">
        <v>4.92</v>
      </c>
      <c r="D647" s="24">
        <v>4.57</v>
      </c>
      <c r="E647" s="24">
        <v>4.3616999999999999</v>
      </c>
      <c r="F647" s="24">
        <v>4.24</v>
      </c>
      <c r="G647" s="83">
        <f t="shared" si="85"/>
        <v>94.8946669197191</v>
      </c>
      <c r="H647" s="84">
        <f t="shared" si="88"/>
        <v>101.11328743490033</v>
      </c>
      <c r="I647" s="84">
        <f t="shared" si="86"/>
        <v>90.025707178665144</v>
      </c>
      <c r="J647" s="84">
        <f t="shared" si="87"/>
        <v>398222231.4017483</v>
      </c>
      <c r="L647" s="19">
        <f t="shared" si="90"/>
        <v>9.9999999999997868E-3</v>
      </c>
      <c r="M647" s="19">
        <f t="shared" si="91"/>
        <v>4.0000000000000036E-2</v>
      </c>
      <c r="N647" s="19">
        <f t="shared" si="91"/>
        <v>6.0000000000000497E-2</v>
      </c>
      <c r="O647" s="19">
        <f t="shared" si="91"/>
        <v>9.0700000000000003E-2</v>
      </c>
      <c r="P647" s="19">
        <f t="shared" si="89"/>
        <v>6.0000000000000497E-2</v>
      </c>
      <c r="R647" s="19"/>
      <c r="S647" s="19"/>
      <c r="T647" s="19"/>
      <c r="U647" s="19"/>
      <c r="V647" s="19"/>
    </row>
    <row r="648" spans="1:22" x14ac:dyDescent="0.2">
      <c r="A648" s="8">
        <v>45140</v>
      </c>
      <c r="B648" s="24">
        <v>5.36</v>
      </c>
      <c r="C648" s="24">
        <v>4.88</v>
      </c>
      <c r="D648" s="24">
        <v>4.54</v>
      </c>
      <c r="E648" s="24">
        <v>4.3342999999999998</v>
      </c>
      <c r="F648" s="24">
        <v>4.24</v>
      </c>
      <c r="G648" s="83">
        <f t="shared" si="85"/>
        <v>94.912680334092627</v>
      </c>
      <c r="H648" s="84">
        <f t="shared" si="88"/>
        <v>101.19673078963331</v>
      </c>
      <c r="I648" s="84">
        <f t="shared" si="86"/>
        <v>90.030731602096452</v>
      </c>
      <c r="J648" s="84">
        <f t="shared" si="87"/>
        <v>398153190.89212108</v>
      </c>
      <c r="L648" s="19">
        <f t="shared" si="90"/>
        <v>-1.9999999999999574E-2</v>
      </c>
      <c r="M648" s="19">
        <f t="shared" si="91"/>
        <v>-4.0000000000000036E-2</v>
      </c>
      <c r="N648" s="19">
        <f t="shared" si="91"/>
        <v>-3.0000000000000249E-2</v>
      </c>
      <c r="O648" s="19">
        <f t="shared" si="91"/>
        <v>-2.7400000000000091E-2</v>
      </c>
      <c r="P648" s="19">
        <f t="shared" si="89"/>
        <v>0</v>
      </c>
      <c r="R648" s="19"/>
      <c r="S648" s="19"/>
      <c r="T648" s="19"/>
      <c r="U648" s="19"/>
      <c r="V648" s="19"/>
    </row>
    <row r="649" spans="1:22" x14ac:dyDescent="0.2">
      <c r="A649" s="8">
        <v>45141</v>
      </c>
      <c r="B649" s="24">
        <v>5.37</v>
      </c>
      <c r="C649" s="24">
        <v>4.9000000000000004</v>
      </c>
      <c r="D649" s="24">
        <v>4.58</v>
      </c>
      <c r="E649" s="24">
        <v>4.33</v>
      </c>
      <c r="F649" s="24">
        <v>4.3</v>
      </c>
      <c r="G649" s="83">
        <f t="shared" si="85"/>
        <v>94.903672772136275</v>
      </c>
      <c r="H649" s="84">
        <f t="shared" si="88"/>
        <v>101.0891308662034</v>
      </c>
      <c r="I649" s="84">
        <f t="shared" si="86"/>
        <v>89.790025230867059</v>
      </c>
      <c r="J649" s="84">
        <f t="shared" si="87"/>
        <v>397333750.16843569</v>
      </c>
      <c r="L649" s="19">
        <f t="shared" si="90"/>
        <v>9.9999999999997868E-3</v>
      </c>
      <c r="M649" s="19">
        <f t="shared" si="91"/>
        <v>2.0000000000000462E-2</v>
      </c>
      <c r="N649" s="19">
        <f t="shared" si="91"/>
        <v>4.0000000000000036E-2</v>
      </c>
      <c r="O649" s="19">
        <f t="shared" si="91"/>
        <v>-4.2999999999997485E-3</v>
      </c>
      <c r="P649" s="19">
        <f t="shared" si="89"/>
        <v>5.9999999999999609E-2</v>
      </c>
      <c r="R649" s="19"/>
      <c r="S649" s="19"/>
      <c r="T649" s="19"/>
      <c r="U649" s="19"/>
      <c r="V649" s="19"/>
    </row>
    <row r="650" spans="1:22" x14ac:dyDescent="0.2">
      <c r="A650" s="8">
        <v>45142</v>
      </c>
      <c r="B650" s="24">
        <v>5.33</v>
      </c>
      <c r="C650" s="24">
        <v>4.78</v>
      </c>
      <c r="D650" s="24">
        <v>4.45</v>
      </c>
      <c r="E650" s="24">
        <v>4.3784999999999998</v>
      </c>
      <c r="F650" s="24">
        <v>4.1500000000000004</v>
      </c>
      <c r="G650" s="83">
        <f t="shared" si="85"/>
        <v>94.939713282065895</v>
      </c>
      <c r="H650" s="84">
        <f t="shared" si="88"/>
        <v>101.44454070333869</v>
      </c>
      <c r="I650" s="84">
        <f t="shared" si="86"/>
        <v>90.395117004730636</v>
      </c>
      <c r="J650" s="84">
        <f t="shared" si="87"/>
        <v>399293083.52804637</v>
      </c>
      <c r="L650" s="19">
        <f t="shared" si="90"/>
        <v>-4.0000000000000036E-2</v>
      </c>
      <c r="M650" s="19">
        <f t="shared" si="91"/>
        <v>-0.12000000000000011</v>
      </c>
      <c r="N650" s="19">
        <f t="shared" si="91"/>
        <v>-0.12999999999999989</v>
      </c>
      <c r="O650" s="19">
        <f t="shared" si="91"/>
        <v>4.8499999999999766E-2</v>
      </c>
      <c r="P650" s="19">
        <f t="shared" si="89"/>
        <v>-0.14999999999999947</v>
      </c>
      <c r="R650" s="19"/>
      <c r="S650" s="19"/>
      <c r="T650" s="19"/>
      <c r="U650" s="19"/>
      <c r="V650" s="19"/>
    </row>
    <row r="651" spans="1:22" x14ac:dyDescent="0.2">
      <c r="A651" s="8">
        <v>45145</v>
      </c>
      <c r="B651" s="24">
        <v>5.3</v>
      </c>
      <c r="C651" s="24">
        <v>4.76</v>
      </c>
      <c r="D651" s="24">
        <v>4.4400000000000004</v>
      </c>
      <c r="E651" s="24">
        <v>4.3753000000000002</v>
      </c>
      <c r="F651" s="24">
        <v>4.16</v>
      </c>
      <c r="G651" s="83">
        <f t="shared" si="85"/>
        <v>94.966761633428305</v>
      </c>
      <c r="H651" s="84">
        <f t="shared" si="88"/>
        <v>101.474102564981</v>
      </c>
      <c r="I651" s="84">
        <f t="shared" si="86"/>
        <v>90.357116957176558</v>
      </c>
      <c r="J651" s="84">
        <f t="shared" si="87"/>
        <v>399150837.24809134</v>
      </c>
      <c r="L651" s="19">
        <f t="shared" si="90"/>
        <v>-3.0000000000000249E-2</v>
      </c>
      <c r="M651" s="19">
        <f t="shared" si="91"/>
        <v>-2.0000000000000462E-2</v>
      </c>
      <c r="N651" s="19">
        <f t="shared" si="91"/>
        <v>-9.9999999999997868E-3</v>
      </c>
      <c r="O651" s="19">
        <f t="shared" si="91"/>
        <v>-3.1999999999996476E-3</v>
      </c>
      <c r="P651" s="19">
        <f t="shared" si="89"/>
        <v>9.9999999999997868E-3</v>
      </c>
      <c r="R651" s="19"/>
      <c r="S651" s="19"/>
      <c r="T651" s="19"/>
      <c r="U651" s="19"/>
      <c r="V651" s="19"/>
    </row>
    <row r="652" spans="1:22" x14ac:dyDescent="0.2">
      <c r="A652" s="8">
        <v>45146</v>
      </c>
      <c r="B652" s="24">
        <v>5.35</v>
      </c>
      <c r="C652" s="24">
        <v>4.74</v>
      </c>
      <c r="D652" s="24">
        <v>4.3600000000000003</v>
      </c>
      <c r="E652" s="24">
        <v>4.4173</v>
      </c>
      <c r="F652" s="24">
        <v>4.0999999999999996</v>
      </c>
      <c r="G652" s="83">
        <f t="shared" si="85"/>
        <v>94.921689606074978</v>
      </c>
      <c r="H652" s="84">
        <f t="shared" si="88"/>
        <v>101.68571741022485</v>
      </c>
      <c r="I652" s="84">
        <f t="shared" si="86"/>
        <v>90.598272954369307</v>
      </c>
      <c r="J652" s="84">
        <f t="shared" si="87"/>
        <v>399707894.91428989</v>
      </c>
      <c r="L652" s="19">
        <f t="shared" si="90"/>
        <v>4.9999999999999822E-2</v>
      </c>
      <c r="M652" s="19">
        <f t="shared" si="91"/>
        <v>-1.9999999999999574E-2</v>
      </c>
      <c r="N652" s="19">
        <f t="shared" si="91"/>
        <v>-8.0000000000000071E-2</v>
      </c>
      <c r="O652" s="19">
        <f t="shared" si="91"/>
        <v>4.1999999999999815E-2</v>
      </c>
      <c r="P652" s="19">
        <f t="shared" si="89"/>
        <v>-6.0000000000000497E-2</v>
      </c>
      <c r="R652" s="19"/>
      <c r="S652" s="19"/>
      <c r="T652" s="19"/>
      <c r="U652" s="19"/>
      <c r="V652" s="19"/>
    </row>
    <row r="653" spans="1:22" x14ac:dyDescent="0.2">
      <c r="A653" s="8">
        <v>45147</v>
      </c>
      <c r="B653" s="24">
        <v>5.35</v>
      </c>
      <c r="C653" s="24">
        <v>4.79</v>
      </c>
      <c r="D653" s="24">
        <v>4.41</v>
      </c>
      <c r="E653" s="24">
        <v>4.3133999999999997</v>
      </c>
      <c r="F653" s="24">
        <v>4.12</v>
      </c>
      <c r="G653" s="83">
        <f t="shared" si="85"/>
        <v>94.921689606074978</v>
      </c>
      <c r="H653" s="84">
        <f t="shared" si="88"/>
        <v>101.5487126754095</v>
      </c>
      <c r="I653" s="84">
        <f t="shared" si="86"/>
        <v>90.520617559150409</v>
      </c>
      <c r="J653" s="84">
        <f t="shared" si="87"/>
        <v>399602780.43563735</v>
      </c>
      <c r="L653" s="19">
        <f t="shared" si="90"/>
        <v>0</v>
      </c>
      <c r="M653" s="19">
        <f t="shared" si="91"/>
        <v>4.9999999999999822E-2</v>
      </c>
      <c r="N653" s="19">
        <f t="shared" si="91"/>
        <v>4.9999999999999822E-2</v>
      </c>
      <c r="O653" s="19">
        <f t="shared" si="91"/>
        <v>-0.10390000000000033</v>
      </c>
      <c r="P653" s="19">
        <f t="shared" si="89"/>
        <v>2.0000000000000462E-2</v>
      </c>
      <c r="R653" s="19"/>
      <c r="S653" s="19"/>
      <c r="T653" s="19"/>
      <c r="U653" s="19"/>
      <c r="V653" s="19"/>
    </row>
    <row r="654" spans="1:22" x14ac:dyDescent="0.2">
      <c r="A654" s="8">
        <v>45148</v>
      </c>
      <c r="B654" s="24">
        <v>5.33</v>
      </c>
      <c r="C654" s="24">
        <v>4.82</v>
      </c>
      <c r="D654" s="24">
        <v>4.47</v>
      </c>
      <c r="E654" s="24">
        <v>4.3019999999999996</v>
      </c>
      <c r="F654" s="24">
        <v>4.21</v>
      </c>
      <c r="G654" s="83">
        <f t="shared" si="85"/>
        <v>94.939713282065895</v>
      </c>
      <c r="H654" s="84">
        <f t="shared" si="88"/>
        <v>101.38815520158271</v>
      </c>
      <c r="I654" s="84">
        <f t="shared" si="86"/>
        <v>90.158327683833633</v>
      </c>
      <c r="J654" s="84">
        <f t="shared" si="87"/>
        <v>398430504.49709225</v>
      </c>
      <c r="L654" s="19">
        <f t="shared" si="90"/>
        <v>-1.9999999999999574E-2</v>
      </c>
      <c r="M654" s="19">
        <f t="shared" si="91"/>
        <v>3.0000000000000249E-2</v>
      </c>
      <c r="N654" s="19">
        <f t="shared" si="91"/>
        <v>5.9999999999999609E-2</v>
      </c>
      <c r="O654" s="19">
        <f t="shared" si="91"/>
        <v>-1.1400000000000077E-2</v>
      </c>
      <c r="P654" s="19">
        <f t="shared" si="89"/>
        <v>8.9999999999999858E-2</v>
      </c>
      <c r="R654" s="19"/>
      <c r="S654" s="19"/>
      <c r="T654" s="19"/>
      <c r="U654" s="19"/>
      <c r="V654" s="19"/>
    </row>
    <row r="655" spans="1:22" x14ac:dyDescent="0.2">
      <c r="A655" s="8">
        <v>45149</v>
      </c>
      <c r="B655" s="24">
        <v>5.36</v>
      </c>
      <c r="C655" s="24">
        <v>4.8899999999999997</v>
      </c>
      <c r="D655" s="24">
        <v>4.5599999999999996</v>
      </c>
      <c r="E655" s="24">
        <v>4.2542999999999997</v>
      </c>
      <c r="F655" s="24">
        <v>4.3099999999999996</v>
      </c>
      <c r="G655" s="83">
        <f t="shared" si="85"/>
        <v>94.912680334092627</v>
      </c>
      <c r="H655" s="84">
        <f t="shared" si="88"/>
        <v>101.14313572922825</v>
      </c>
      <c r="I655" s="84">
        <f t="shared" si="86"/>
        <v>89.756859769831053</v>
      </c>
      <c r="J655" s="84">
        <f t="shared" si="87"/>
        <v>397138096.15366709</v>
      </c>
      <c r="L655" s="19">
        <f t="shared" si="90"/>
        <v>3.0000000000000249E-2</v>
      </c>
      <c r="M655" s="19">
        <f t="shared" si="91"/>
        <v>6.9999999999999396E-2</v>
      </c>
      <c r="N655" s="19">
        <f t="shared" si="91"/>
        <v>8.9999999999999858E-2</v>
      </c>
      <c r="O655" s="19">
        <f t="shared" si="91"/>
        <v>-4.7699999999999854E-2</v>
      </c>
      <c r="P655" s="19">
        <f t="shared" si="89"/>
        <v>9.9999999999999645E-2</v>
      </c>
      <c r="R655" s="19"/>
      <c r="S655" s="19"/>
      <c r="T655" s="19"/>
      <c r="U655" s="19"/>
      <c r="V655" s="19"/>
    </row>
    <row r="656" spans="1:22" x14ac:dyDescent="0.2">
      <c r="A656" s="8">
        <v>45152</v>
      </c>
      <c r="B656" s="24">
        <v>5.37</v>
      </c>
      <c r="C656" s="24">
        <v>4.96</v>
      </c>
      <c r="D656" s="24">
        <v>4.6399999999999997</v>
      </c>
      <c r="E656" s="24">
        <v>4.2572000000000001</v>
      </c>
      <c r="F656" s="24">
        <v>4.3600000000000003</v>
      </c>
      <c r="G656" s="83">
        <f t="shared" si="85"/>
        <v>94.903672772136275</v>
      </c>
      <c r="H656" s="84">
        <f t="shared" si="88"/>
        <v>100.92611488855016</v>
      </c>
      <c r="I656" s="84">
        <f t="shared" si="86"/>
        <v>89.552378734348565</v>
      </c>
      <c r="J656" s="84">
        <f t="shared" si="87"/>
        <v>396627688.14884156</v>
      </c>
      <c r="L656" s="19">
        <f t="shared" si="90"/>
        <v>9.9999999999997868E-3</v>
      </c>
      <c r="M656" s="19">
        <f t="shared" si="91"/>
        <v>7.0000000000000284E-2</v>
      </c>
      <c r="N656" s="19">
        <f t="shared" si="91"/>
        <v>8.0000000000000071E-2</v>
      </c>
      <c r="O656" s="19">
        <f t="shared" si="91"/>
        <v>2.9000000000003467E-3</v>
      </c>
      <c r="P656" s="19">
        <f t="shared" si="89"/>
        <v>5.0000000000000711E-2</v>
      </c>
      <c r="R656" s="19"/>
      <c r="S656" s="19"/>
      <c r="T656" s="19"/>
      <c r="U656" s="19"/>
      <c r="V656" s="19"/>
    </row>
    <row r="657" spans="1:22" x14ac:dyDescent="0.2">
      <c r="A657" s="8">
        <v>45153</v>
      </c>
      <c r="B657" s="24">
        <v>5.36</v>
      </c>
      <c r="C657" s="24">
        <v>4.92</v>
      </c>
      <c r="D657" s="24">
        <v>4.6399999999999997</v>
      </c>
      <c r="E657" s="24">
        <v>4.3109000000000002</v>
      </c>
      <c r="F657" s="24">
        <v>4.3600000000000003</v>
      </c>
      <c r="G657" s="83">
        <f t="shared" si="85"/>
        <v>94.912680334092627</v>
      </c>
      <c r="H657" s="84">
        <f t="shared" si="88"/>
        <v>100.93002654752749</v>
      </c>
      <c r="I657" s="84">
        <f t="shared" si="86"/>
        <v>89.550460225537392</v>
      </c>
      <c r="J657" s="84">
        <f t="shared" si="87"/>
        <v>396632161.74904358</v>
      </c>
      <c r="L657" s="19">
        <f t="shared" si="90"/>
        <v>-9.9999999999997868E-3</v>
      </c>
      <c r="M657" s="19">
        <f t="shared" si="91"/>
        <v>-4.0000000000000036E-2</v>
      </c>
      <c r="N657" s="19">
        <f t="shared" si="91"/>
        <v>0</v>
      </c>
      <c r="O657" s="19">
        <f t="shared" si="91"/>
        <v>5.3700000000000081E-2</v>
      </c>
      <c r="P657" s="19">
        <f t="shared" si="89"/>
        <v>0</v>
      </c>
      <c r="R657" s="19"/>
      <c r="S657" s="19"/>
      <c r="T657" s="19"/>
      <c r="U657" s="19"/>
      <c r="V657" s="19"/>
    </row>
    <row r="658" spans="1:22" x14ac:dyDescent="0.2">
      <c r="A658" s="8">
        <v>45154</v>
      </c>
      <c r="B658" s="24">
        <v>5.37</v>
      </c>
      <c r="C658" s="24">
        <v>4.97</v>
      </c>
      <c r="D658" s="24">
        <v>4.68</v>
      </c>
      <c r="E658" s="24">
        <v>4.3844000000000003</v>
      </c>
      <c r="F658" s="24">
        <v>4.42</v>
      </c>
      <c r="G658" s="83">
        <f t="shared" si="85"/>
        <v>94.903672772136275</v>
      </c>
      <c r="H658" s="84">
        <f t="shared" si="88"/>
        <v>100.82023607162236</v>
      </c>
      <c r="I658" s="84">
        <f t="shared" si="86"/>
        <v>89.305330676352028</v>
      </c>
      <c r="J658" s="84">
        <f t="shared" si="87"/>
        <v>395798314.14224708</v>
      </c>
      <c r="L658" s="19">
        <f t="shared" si="90"/>
        <v>9.9999999999997868E-3</v>
      </c>
      <c r="M658" s="19">
        <f t="shared" si="91"/>
        <v>4.9999999999999822E-2</v>
      </c>
      <c r="N658" s="19">
        <f t="shared" si="91"/>
        <v>4.0000000000000036E-2</v>
      </c>
      <c r="O658" s="19">
        <f t="shared" si="91"/>
        <v>7.3500000000000121E-2</v>
      </c>
      <c r="P658" s="19">
        <f t="shared" si="89"/>
        <v>5.9999999999999609E-2</v>
      </c>
      <c r="R658" s="19"/>
      <c r="S658" s="19"/>
      <c r="T658" s="19"/>
      <c r="U658" s="19"/>
      <c r="V658" s="19"/>
    </row>
    <row r="659" spans="1:22" x14ac:dyDescent="0.2">
      <c r="A659" s="8">
        <v>45155</v>
      </c>
      <c r="B659" s="24">
        <v>5.36</v>
      </c>
      <c r="C659" s="24">
        <v>4.9400000000000004</v>
      </c>
      <c r="D659" s="24">
        <v>4.67</v>
      </c>
      <c r="E659" s="24">
        <v>4.4318</v>
      </c>
      <c r="F659" s="24">
        <v>4.42</v>
      </c>
      <c r="G659" s="83">
        <f t="shared" si="85"/>
        <v>94.912680334092627</v>
      </c>
      <c r="H659" s="84">
        <f t="shared" si="88"/>
        <v>100.84951977779738</v>
      </c>
      <c r="I659" s="84">
        <f t="shared" si="86"/>
        <v>89.303992236723431</v>
      </c>
      <c r="J659" s="84">
        <f t="shared" si="87"/>
        <v>395767049.94838297</v>
      </c>
      <c r="L659" s="19">
        <f t="shared" si="90"/>
        <v>-9.9999999999997868E-3</v>
      </c>
      <c r="M659" s="19">
        <f t="shared" si="91"/>
        <v>-2.9999999999999361E-2</v>
      </c>
      <c r="N659" s="19">
        <f t="shared" si="91"/>
        <v>-9.9999999999997868E-3</v>
      </c>
      <c r="O659" s="19">
        <f t="shared" si="91"/>
        <v>4.7399999999999665E-2</v>
      </c>
      <c r="P659" s="19">
        <f t="shared" si="89"/>
        <v>0</v>
      </c>
      <c r="R659" s="19"/>
      <c r="S659" s="19"/>
      <c r="T659" s="19"/>
      <c r="U659" s="19"/>
      <c r="V659" s="19"/>
    </row>
    <row r="660" spans="1:22" x14ac:dyDescent="0.2">
      <c r="A660" s="8">
        <v>45156</v>
      </c>
      <c r="B660" s="24">
        <v>5.35</v>
      </c>
      <c r="C660" s="24">
        <v>4.92</v>
      </c>
      <c r="D660" s="24">
        <v>4.63</v>
      </c>
      <c r="E660" s="24">
        <v>4.4477000000000002</v>
      </c>
      <c r="F660" s="24">
        <v>4.38</v>
      </c>
      <c r="G660" s="83">
        <f t="shared" si="85"/>
        <v>94.921689606074978</v>
      </c>
      <c r="H660" s="84">
        <f t="shared" si="88"/>
        <v>100.9567556364297</v>
      </c>
      <c r="I660" s="84">
        <f t="shared" si="86"/>
        <v>89.463395465668071</v>
      </c>
      <c r="J660" s="84">
        <f t="shared" si="87"/>
        <v>396261827.62017763</v>
      </c>
      <c r="L660" s="19">
        <f t="shared" si="90"/>
        <v>-1.0000000000000675E-2</v>
      </c>
      <c r="M660" s="19">
        <f t="shared" si="91"/>
        <v>-2.0000000000000462E-2</v>
      </c>
      <c r="N660" s="19">
        <f t="shared" si="91"/>
        <v>-4.0000000000000036E-2</v>
      </c>
      <c r="O660" s="19">
        <f t="shared" si="91"/>
        <v>1.5900000000000247E-2</v>
      </c>
      <c r="P660" s="19">
        <f t="shared" si="89"/>
        <v>-4.0000000000000036E-2</v>
      </c>
      <c r="R660" s="19"/>
      <c r="S660" s="19"/>
      <c r="T660" s="19"/>
      <c r="U660" s="19"/>
      <c r="V660" s="19"/>
    </row>
    <row r="661" spans="1:22" x14ac:dyDescent="0.2">
      <c r="A661" s="8">
        <v>45159</v>
      </c>
      <c r="B661" s="24">
        <v>5.37</v>
      </c>
      <c r="C661" s="24">
        <v>4.97</v>
      </c>
      <c r="D661" s="24">
        <v>4.7</v>
      </c>
      <c r="E661" s="24">
        <v>4.4916</v>
      </c>
      <c r="F661" s="24">
        <v>4.46</v>
      </c>
      <c r="G661" s="83">
        <f t="shared" si="85"/>
        <v>94.903672772136275</v>
      </c>
      <c r="H661" s="84">
        <f t="shared" si="88"/>
        <v>100.76778917884718</v>
      </c>
      <c r="I661" s="84">
        <f t="shared" si="86"/>
        <v>89.140237892175406</v>
      </c>
      <c r="J661" s="84">
        <f t="shared" si="87"/>
        <v>395216613.34470344</v>
      </c>
      <c r="L661" s="19">
        <f t="shared" si="90"/>
        <v>2.0000000000000462E-2</v>
      </c>
      <c r="M661" s="19">
        <f t="shared" si="91"/>
        <v>4.9999999999999822E-2</v>
      </c>
      <c r="N661" s="19">
        <f t="shared" si="91"/>
        <v>7.0000000000000284E-2</v>
      </c>
      <c r="O661" s="19">
        <f t="shared" si="91"/>
        <v>4.3899999999999828E-2</v>
      </c>
      <c r="P661" s="19">
        <f t="shared" si="89"/>
        <v>8.0000000000000071E-2</v>
      </c>
      <c r="R661" s="19"/>
      <c r="S661" s="19"/>
      <c r="T661" s="19"/>
      <c r="U661" s="19"/>
      <c r="V661" s="19"/>
    </row>
    <row r="662" spans="1:22" x14ac:dyDescent="0.2">
      <c r="A662" s="8">
        <v>45160</v>
      </c>
      <c r="B662" s="24">
        <v>5.39</v>
      </c>
      <c r="C662" s="24">
        <v>5.0199999999999996</v>
      </c>
      <c r="D662" s="24">
        <v>4.75</v>
      </c>
      <c r="E662" s="24">
        <v>4.5008999999999997</v>
      </c>
      <c r="F662" s="24">
        <v>4.49</v>
      </c>
      <c r="G662" s="83">
        <f t="shared" si="85"/>
        <v>94.885662776354494</v>
      </c>
      <c r="H662" s="84">
        <f t="shared" si="88"/>
        <v>100.63162681485721</v>
      </c>
      <c r="I662" s="84">
        <f t="shared" si="86"/>
        <v>89.017401655501331</v>
      </c>
      <c r="J662" s="84">
        <f t="shared" si="87"/>
        <v>394893491.95242852</v>
      </c>
      <c r="L662" s="19">
        <f t="shared" si="90"/>
        <v>1.9999999999999574E-2</v>
      </c>
      <c r="M662" s="19">
        <f t="shared" si="91"/>
        <v>4.9999999999999822E-2</v>
      </c>
      <c r="N662" s="19">
        <f t="shared" si="91"/>
        <v>4.9999999999999822E-2</v>
      </c>
      <c r="O662" s="19">
        <f t="shared" si="91"/>
        <v>9.2999999999996419E-3</v>
      </c>
      <c r="P662" s="19">
        <f t="shared" si="89"/>
        <v>3.0000000000000249E-2</v>
      </c>
      <c r="R662" s="19"/>
      <c r="S662" s="19"/>
      <c r="T662" s="19"/>
      <c r="U662" s="19"/>
      <c r="V662" s="19"/>
    </row>
    <row r="663" spans="1:22" x14ac:dyDescent="0.2">
      <c r="A663" s="8">
        <v>45161</v>
      </c>
      <c r="B663" s="24">
        <v>5.35</v>
      </c>
      <c r="C663" s="24">
        <v>4.95</v>
      </c>
      <c r="D663" s="24">
        <v>4.6399999999999997</v>
      </c>
      <c r="E663" s="24">
        <v>4.4728000000000003</v>
      </c>
      <c r="F663" s="24">
        <v>4.3600000000000003</v>
      </c>
      <c r="G663" s="83">
        <f t="shared" si="85"/>
        <v>94.921689606074978</v>
      </c>
      <c r="H663" s="84">
        <f t="shared" si="88"/>
        <v>100.92788067945055</v>
      </c>
      <c r="I663" s="84">
        <f t="shared" si="86"/>
        <v>89.539154551721097</v>
      </c>
      <c r="J663" s="84">
        <f t="shared" si="87"/>
        <v>396608176.39985847</v>
      </c>
      <c r="L663" s="19">
        <f t="shared" si="90"/>
        <v>-4.0000000000000036E-2</v>
      </c>
      <c r="M663" s="19">
        <f t="shared" si="91"/>
        <v>-6.9999999999999396E-2</v>
      </c>
      <c r="N663" s="19">
        <f t="shared" si="91"/>
        <v>-0.11000000000000032</v>
      </c>
      <c r="O663" s="19">
        <f t="shared" si="91"/>
        <v>-2.8099999999999348E-2</v>
      </c>
      <c r="P663" s="19">
        <f t="shared" si="89"/>
        <v>-0.12999999999999989</v>
      </c>
      <c r="R663" s="19"/>
      <c r="S663" s="19"/>
      <c r="T663" s="19"/>
      <c r="U663" s="19"/>
      <c r="V663" s="19"/>
    </row>
    <row r="664" spans="1:22" x14ac:dyDescent="0.2">
      <c r="A664" s="8">
        <v>45162</v>
      </c>
      <c r="B664" s="24">
        <v>5.39</v>
      </c>
      <c r="C664" s="24">
        <v>4.9800000000000004</v>
      </c>
      <c r="D664" s="24">
        <v>4.6900000000000004</v>
      </c>
      <c r="E664" s="24">
        <v>4.5260999999999996</v>
      </c>
      <c r="F664" s="24">
        <v>4.3899999999999997</v>
      </c>
      <c r="G664" s="83">
        <f t="shared" si="85"/>
        <v>94.885662776354494</v>
      </c>
      <c r="H664" s="84">
        <f t="shared" si="88"/>
        <v>100.79224266078968</v>
      </c>
      <c r="I664" s="84">
        <f t="shared" si="86"/>
        <v>89.413139949533885</v>
      </c>
      <c r="J664" s="84">
        <f t="shared" si="87"/>
        <v>396235521.35965997</v>
      </c>
      <c r="L664" s="19">
        <f t="shared" si="90"/>
        <v>4.0000000000000036E-2</v>
      </c>
      <c r="M664" s="19">
        <f t="shared" si="91"/>
        <v>3.0000000000000249E-2</v>
      </c>
      <c r="N664" s="19">
        <f t="shared" si="91"/>
        <v>5.0000000000000711E-2</v>
      </c>
      <c r="O664" s="19">
        <f t="shared" si="91"/>
        <v>5.3299999999999237E-2</v>
      </c>
      <c r="P664" s="19">
        <f t="shared" si="89"/>
        <v>2.9999999999999361E-2</v>
      </c>
      <c r="R664" s="19"/>
      <c r="S664" s="19"/>
      <c r="T664" s="19"/>
      <c r="U664" s="19"/>
      <c r="V664" s="19"/>
    </row>
    <row r="665" spans="1:22" x14ac:dyDescent="0.2">
      <c r="A665" s="8">
        <v>45163</v>
      </c>
      <c r="B665" s="24">
        <v>5.44</v>
      </c>
      <c r="C665" s="24">
        <v>5.03</v>
      </c>
      <c r="D665" s="24">
        <v>4.72</v>
      </c>
      <c r="E665" s="24">
        <v>4.5712000000000002</v>
      </c>
      <c r="F665" s="24">
        <v>4.4400000000000004</v>
      </c>
      <c r="G665" s="83">
        <f t="shared" si="85"/>
        <v>94.840667678300449</v>
      </c>
      <c r="H665" s="84">
        <f t="shared" si="88"/>
        <v>100.70704906367199</v>
      </c>
      <c r="I665" s="84">
        <f t="shared" si="86"/>
        <v>89.209354617561473</v>
      </c>
      <c r="J665" s="84">
        <f t="shared" si="87"/>
        <v>395458180.23133886</v>
      </c>
      <c r="L665" s="19">
        <f t="shared" si="90"/>
        <v>5.0000000000000711E-2</v>
      </c>
      <c r="M665" s="19">
        <f t="shared" si="91"/>
        <v>4.9999999999999822E-2</v>
      </c>
      <c r="N665" s="19">
        <f t="shared" si="91"/>
        <v>2.9999999999999361E-2</v>
      </c>
      <c r="O665" s="19">
        <f t="shared" si="91"/>
        <v>4.5100000000000584E-2</v>
      </c>
      <c r="P665" s="19">
        <f t="shared" si="89"/>
        <v>5.0000000000000711E-2</v>
      </c>
      <c r="R665" s="19"/>
      <c r="S665" s="19"/>
      <c r="T665" s="19"/>
      <c r="U665" s="19"/>
      <c r="V665" s="19"/>
    </row>
    <row r="666" spans="1:22" x14ac:dyDescent="0.2">
      <c r="A666" s="8">
        <v>45166</v>
      </c>
      <c r="B666" s="24">
        <v>5.44</v>
      </c>
      <c r="C666" s="24">
        <v>4.9800000000000004</v>
      </c>
      <c r="D666" s="24">
        <v>4.6900000000000004</v>
      </c>
      <c r="E666" s="24">
        <v>4.4701000000000004</v>
      </c>
      <c r="F666" s="24">
        <v>4.38</v>
      </c>
      <c r="G666" s="83">
        <f t="shared" si="85"/>
        <v>94.840667678300449</v>
      </c>
      <c r="H666" s="84">
        <f t="shared" si="88"/>
        <v>100.78999290588698</v>
      </c>
      <c r="I666" s="84">
        <f t="shared" si="86"/>
        <v>89.455257624725363</v>
      </c>
      <c r="J666" s="84">
        <f t="shared" si="87"/>
        <v>396317376.49667192</v>
      </c>
      <c r="L666" s="19">
        <f t="shared" si="90"/>
        <v>0</v>
      </c>
      <c r="M666" s="19">
        <f t="shared" si="91"/>
        <v>-4.9999999999999822E-2</v>
      </c>
      <c r="N666" s="19">
        <f t="shared" si="91"/>
        <v>-2.9999999999999361E-2</v>
      </c>
      <c r="O666" s="19">
        <f t="shared" si="91"/>
        <v>-0.10109999999999975</v>
      </c>
      <c r="P666" s="19">
        <f t="shared" si="89"/>
        <v>-6.0000000000000497E-2</v>
      </c>
      <c r="R666" s="19"/>
      <c r="S666" s="19"/>
      <c r="T666" s="19"/>
      <c r="U666" s="19"/>
      <c r="V666" s="19"/>
    </row>
    <row r="667" spans="1:22" x14ac:dyDescent="0.2">
      <c r="A667" s="8">
        <v>45167</v>
      </c>
      <c r="B667" s="24">
        <v>5.37</v>
      </c>
      <c r="C667" s="24">
        <v>4.87</v>
      </c>
      <c r="D667" s="24">
        <v>4.5599999999999996</v>
      </c>
      <c r="E667" s="24">
        <v>4.4837999999999996</v>
      </c>
      <c r="F667" s="24">
        <v>4.26</v>
      </c>
      <c r="G667" s="83">
        <f t="shared" si="85"/>
        <v>94.903672772136275</v>
      </c>
      <c r="H667" s="84">
        <f t="shared" si="88"/>
        <v>101.14441896338199</v>
      </c>
      <c r="I667" s="84">
        <f t="shared" si="86"/>
        <v>89.940795527720624</v>
      </c>
      <c r="J667" s="84">
        <f t="shared" si="87"/>
        <v>397853899.21008205</v>
      </c>
      <c r="L667" s="19">
        <f t="shared" si="90"/>
        <v>-7.0000000000000284E-2</v>
      </c>
      <c r="M667" s="19">
        <f t="shared" si="91"/>
        <v>-0.11000000000000032</v>
      </c>
      <c r="N667" s="19">
        <f t="shared" si="91"/>
        <v>-0.13000000000000078</v>
      </c>
      <c r="O667" s="19">
        <f t="shared" si="91"/>
        <v>1.3699999999999157E-2</v>
      </c>
      <c r="P667" s="19">
        <f t="shared" si="89"/>
        <v>-0.12000000000000011</v>
      </c>
      <c r="R667" s="19"/>
      <c r="S667" s="19"/>
      <c r="T667" s="19"/>
      <c r="U667" s="19"/>
      <c r="V667" s="19"/>
    </row>
    <row r="668" spans="1:22" x14ac:dyDescent="0.2">
      <c r="A668" s="8">
        <v>45168</v>
      </c>
      <c r="B668" s="24">
        <v>5.39</v>
      </c>
      <c r="C668" s="24">
        <v>4.9000000000000004</v>
      </c>
      <c r="D668" s="24">
        <v>4.57</v>
      </c>
      <c r="E668" s="24">
        <v>4.516</v>
      </c>
      <c r="F668" s="24">
        <v>4.2699999999999996</v>
      </c>
      <c r="G668" s="83">
        <f t="shared" si="85"/>
        <v>94.885662776354494</v>
      </c>
      <c r="H668" s="84">
        <f t="shared" si="88"/>
        <v>101.11456935318077</v>
      </c>
      <c r="I668" s="84">
        <f t="shared" si="86"/>
        <v>89.897131015659483</v>
      </c>
      <c r="J668" s="84">
        <f t="shared" si="87"/>
        <v>397687995.58557576</v>
      </c>
      <c r="L668" s="19">
        <f t="shared" si="90"/>
        <v>1.9999999999999574E-2</v>
      </c>
      <c r="M668" s="19">
        <f t="shared" si="91"/>
        <v>3.0000000000000249E-2</v>
      </c>
      <c r="N668" s="19">
        <f t="shared" si="91"/>
        <v>1.0000000000000675E-2</v>
      </c>
      <c r="O668" s="19">
        <f t="shared" si="91"/>
        <v>3.220000000000045E-2</v>
      </c>
      <c r="P668" s="19">
        <f t="shared" si="89"/>
        <v>9.9999999999997868E-3</v>
      </c>
      <c r="R668" s="19"/>
      <c r="S668" s="19"/>
      <c r="T668" s="19"/>
      <c r="U668" s="19"/>
      <c r="V668" s="19"/>
    </row>
    <row r="669" spans="1:22" x14ac:dyDescent="0.2">
      <c r="A669" s="8">
        <v>45169</v>
      </c>
      <c r="B669" s="24">
        <v>5.37</v>
      </c>
      <c r="C669" s="24">
        <v>4.8499999999999996</v>
      </c>
      <c r="D669" s="24">
        <v>4.54</v>
      </c>
      <c r="E669" s="24">
        <v>4.4941000000000004</v>
      </c>
      <c r="F669" s="24">
        <v>4.2300000000000004</v>
      </c>
      <c r="G669" s="83">
        <f t="shared" si="85"/>
        <v>94.903672772136275</v>
      </c>
      <c r="H669" s="84">
        <f t="shared" si="88"/>
        <v>101.19888194603138</v>
      </c>
      <c r="I669" s="84">
        <f t="shared" si="86"/>
        <v>90.061055162785806</v>
      </c>
      <c r="J669" s="84">
        <f t="shared" si="87"/>
        <v>398253243.27636874</v>
      </c>
      <c r="L669" s="19">
        <f t="shared" si="90"/>
        <v>-1.9999999999999574E-2</v>
      </c>
      <c r="M669" s="19">
        <f t="shared" si="91"/>
        <v>-5.0000000000000711E-2</v>
      </c>
      <c r="N669" s="19">
        <f t="shared" si="91"/>
        <v>-3.0000000000000249E-2</v>
      </c>
      <c r="O669" s="19">
        <f t="shared" si="91"/>
        <v>-2.1899999999999586E-2</v>
      </c>
      <c r="P669" s="19">
        <f t="shared" si="89"/>
        <v>-3.9999999999999147E-2</v>
      </c>
      <c r="R669" s="19"/>
      <c r="S669" s="19"/>
      <c r="T669" s="19"/>
      <c r="U669" s="19"/>
      <c r="V669" s="19"/>
    </row>
    <row r="670" spans="1:22" x14ac:dyDescent="0.2">
      <c r="A670" s="8">
        <v>45170</v>
      </c>
      <c r="B670" s="24">
        <v>5.36</v>
      </c>
      <c r="C670" s="24">
        <v>4.87</v>
      </c>
      <c r="D670" s="24">
        <v>4.57</v>
      </c>
      <c r="E670" s="24">
        <v>4.4050000000000002</v>
      </c>
      <c r="F670" s="24">
        <v>4.29</v>
      </c>
      <c r="G670" s="83">
        <f t="shared" si="85"/>
        <v>94.912680334092627</v>
      </c>
      <c r="H670" s="84">
        <f t="shared" si="88"/>
        <v>101.11852027762619</v>
      </c>
      <c r="I670" s="84">
        <f t="shared" si="86"/>
        <v>89.826528568762811</v>
      </c>
      <c r="J670" s="84">
        <f t="shared" si="87"/>
        <v>397453694.52679718</v>
      </c>
      <c r="L670" s="19">
        <f t="shared" si="90"/>
        <v>-9.9999999999997868E-3</v>
      </c>
      <c r="M670" s="19">
        <f t="shared" si="91"/>
        <v>2.0000000000000462E-2</v>
      </c>
      <c r="N670" s="19">
        <f t="shared" si="91"/>
        <v>3.0000000000000249E-2</v>
      </c>
      <c r="O670" s="19">
        <f t="shared" si="91"/>
        <v>-8.9100000000000179E-2</v>
      </c>
      <c r="P670" s="19">
        <f t="shared" si="89"/>
        <v>5.9999999999999609E-2</v>
      </c>
      <c r="R670" s="19"/>
      <c r="S670" s="19"/>
      <c r="T670" s="19"/>
      <c r="U670" s="19"/>
      <c r="V670" s="19"/>
    </row>
    <row r="671" spans="1:22" x14ac:dyDescent="0.2">
      <c r="A671" s="8">
        <v>45174</v>
      </c>
      <c r="B671" s="24">
        <v>5.42</v>
      </c>
      <c r="C671" s="24">
        <v>4.9400000000000004</v>
      </c>
      <c r="D671" s="24">
        <v>4.6500000000000004</v>
      </c>
      <c r="E671" s="24">
        <v>4.3932000000000002</v>
      </c>
      <c r="F671" s="24">
        <v>4.37</v>
      </c>
      <c r="G671" s="83">
        <f t="shared" si="85"/>
        <v>94.858660595712379</v>
      </c>
      <c r="H671" s="84">
        <f t="shared" si="88"/>
        <v>100.89932584354059</v>
      </c>
      <c r="I671" s="84">
        <f t="shared" si="86"/>
        <v>89.503398502866659</v>
      </c>
      <c r="J671" s="84">
        <f t="shared" si="87"/>
        <v>396381926.43758047</v>
      </c>
      <c r="L671" s="19">
        <f t="shared" si="90"/>
        <v>5.9999999999999609E-2</v>
      </c>
      <c r="M671" s="19">
        <f t="shared" si="91"/>
        <v>7.0000000000000284E-2</v>
      </c>
      <c r="N671" s="19">
        <f t="shared" si="91"/>
        <v>8.0000000000000071E-2</v>
      </c>
      <c r="O671" s="19">
        <f t="shared" si="91"/>
        <v>-1.1800000000000033E-2</v>
      </c>
      <c r="P671" s="19">
        <f t="shared" si="89"/>
        <v>8.0000000000000071E-2</v>
      </c>
      <c r="R671" s="19"/>
      <c r="S671" s="19"/>
      <c r="T671" s="19"/>
      <c r="U671" s="19"/>
      <c r="V671" s="19"/>
    </row>
    <row r="672" spans="1:22" x14ac:dyDescent="0.2">
      <c r="A672" s="8">
        <v>45175</v>
      </c>
      <c r="B672" s="24">
        <v>5.44</v>
      </c>
      <c r="C672" s="24">
        <v>5.01</v>
      </c>
      <c r="D672" s="24">
        <v>4.7300000000000004</v>
      </c>
      <c r="E672" s="24">
        <v>4.3638000000000003</v>
      </c>
      <c r="F672" s="24">
        <v>4.4400000000000004</v>
      </c>
      <c r="G672" s="83">
        <f t="shared" si="85"/>
        <v>94.840667678300449</v>
      </c>
      <c r="H672" s="84">
        <f t="shared" si="88"/>
        <v>100.68258734508251</v>
      </c>
      <c r="I672" s="84">
        <f t="shared" si="86"/>
        <v>89.222881522905595</v>
      </c>
      <c r="J672" s="84">
        <f t="shared" si="87"/>
        <v>395548980.43059951</v>
      </c>
      <c r="L672" s="19">
        <f t="shared" si="90"/>
        <v>2.0000000000000462E-2</v>
      </c>
      <c r="M672" s="19">
        <f t="shared" si="91"/>
        <v>6.9999999999999396E-2</v>
      </c>
      <c r="N672" s="19">
        <f t="shared" si="91"/>
        <v>8.0000000000000071E-2</v>
      </c>
      <c r="O672" s="19">
        <f t="shared" si="91"/>
        <v>-2.9399999999999871E-2</v>
      </c>
      <c r="P672" s="19">
        <f t="shared" si="89"/>
        <v>7.0000000000000284E-2</v>
      </c>
      <c r="R672" s="19"/>
      <c r="S672" s="19"/>
      <c r="T672" s="19"/>
      <c r="U672" s="19"/>
      <c r="V672" s="19"/>
    </row>
    <row r="673" spans="1:22" x14ac:dyDescent="0.2">
      <c r="A673" s="8">
        <v>45176</v>
      </c>
      <c r="B673" s="24">
        <v>5.4</v>
      </c>
      <c r="C673" s="24">
        <v>4.9400000000000004</v>
      </c>
      <c r="D673" s="24">
        <v>4.66</v>
      </c>
      <c r="E673" s="24">
        <v>4.3956</v>
      </c>
      <c r="F673" s="24">
        <v>4.38</v>
      </c>
      <c r="G673" s="83">
        <f t="shared" si="85"/>
        <v>94.876660341555976</v>
      </c>
      <c r="H673" s="84">
        <f t="shared" si="88"/>
        <v>100.87396728758475</v>
      </c>
      <c r="I673" s="84">
        <f t="shared" si="86"/>
        <v>89.463658547955532</v>
      </c>
      <c r="J673" s="84">
        <f t="shared" si="87"/>
        <v>396297003.94355696</v>
      </c>
      <c r="L673" s="19">
        <f t="shared" si="90"/>
        <v>-4.0000000000000036E-2</v>
      </c>
      <c r="M673" s="19">
        <f t="shared" si="91"/>
        <v>-6.9999999999999396E-2</v>
      </c>
      <c r="N673" s="19">
        <f t="shared" si="91"/>
        <v>-7.0000000000000284E-2</v>
      </c>
      <c r="O673" s="19">
        <f t="shared" si="91"/>
        <v>3.1799999999999606E-2</v>
      </c>
      <c r="P673" s="19">
        <f t="shared" si="89"/>
        <v>-6.0000000000000497E-2</v>
      </c>
      <c r="R673" s="19"/>
      <c r="S673" s="19"/>
      <c r="T673" s="19"/>
      <c r="U673" s="19"/>
      <c r="V673" s="19"/>
    </row>
    <row r="674" spans="1:22" x14ac:dyDescent="0.2">
      <c r="A674" s="8">
        <v>45177</v>
      </c>
      <c r="B674" s="24">
        <v>5.42</v>
      </c>
      <c r="C674" s="24">
        <v>4.9800000000000004</v>
      </c>
      <c r="D674" s="24">
        <v>4.68</v>
      </c>
      <c r="E674" s="66">
        <v>4.43</v>
      </c>
      <c r="F674" s="24">
        <v>4.3899999999999997</v>
      </c>
      <c r="G674" s="83">
        <f t="shared" si="85"/>
        <v>94.858660595712379</v>
      </c>
      <c r="H674" s="84">
        <f t="shared" si="88"/>
        <v>100.81712100787793</v>
      </c>
      <c r="I674" s="84">
        <f t="shared" si="86"/>
        <v>89.419275229004697</v>
      </c>
      <c r="J674" s="84">
        <f t="shared" si="87"/>
        <v>396168740.59562665</v>
      </c>
      <c r="L674" s="19">
        <f t="shared" si="90"/>
        <v>1.9999999999999574E-2</v>
      </c>
      <c r="M674" s="19">
        <f t="shared" si="91"/>
        <v>4.0000000000000036E-2</v>
      </c>
      <c r="N674" s="19">
        <f t="shared" si="91"/>
        <v>1.9999999999999574E-2</v>
      </c>
      <c r="O674" s="19">
        <f t="shared" si="91"/>
        <v>3.4399999999999764E-2</v>
      </c>
      <c r="P674" s="19">
        <f t="shared" si="89"/>
        <v>9.9999999999997868E-3</v>
      </c>
      <c r="R674" s="19"/>
      <c r="S674" s="19"/>
      <c r="T674" s="19"/>
      <c r="U674" s="19"/>
      <c r="V674" s="19"/>
    </row>
    <row r="675" spans="1:22" x14ac:dyDescent="0.2">
      <c r="A675" s="8">
        <v>45180</v>
      </c>
      <c r="B675" s="24">
        <v>5.4</v>
      </c>
      <c r="C675" s="24">
        <v>4.97</v>
      </c>
      <c r="D675" s="24">
        <v>4.6399999999999997</v>
      </c>
      <c r="E675" s="24">
        <v>4.4645999999999999</v>
      </c>
      <c r="F675" s="24">
        <v>4.4000000000000004</v>
      </c>
      <c r="G675" s="83">
        <f t="shared" si="85"/>
        <v>94.876660341555976</v>
      </c>
      <c r="H675" s="84">
        <f t="shared" si="88"/>
        <v>100.92389956500487</v>
      </c>
      <c r="I675" s="84">
        <f t="shared" si="86"/>
        <v>89.380354864471613</v>
      </c>
      <c r="J675" s="84">
        <f t="shared" si="87"/>
        <v>395888890.79349113</v>
      </c>
      <c r="L675" s="19">
        <f t="shared" si="90"/>
        <v>-1.9999999999999574E-2</v>
      </c>
      <c r="M675" s="19">
        <f t="shared" si="91"/>
        <v>-1.0000000000000675E-2</v>
      </c>
      <c r="N675" s="19">
        <f t="shared" si="91"/>
        <v>-4.0000000000000036E-2</v>
      </c>
      <c r="O675" s="19">
        <f t="shared" si="91"/>
        <v>3.4600000000000186E-2</v>
      </c>
      <c r="P675" s="19">
        <f t="shared" si="89"/>
        <v>1.0000000000000675E-2</v>
      </c>
      <c r="R675" s="19"/>
      <c r="S675" s="19"/>
      <c r="T675" s="19"/>
      <c r="U675" s="19"/>
      <c r="V675" s="19"/>
    </row>
    <row r="676" spans="1:22" x14ac:dyDescent="0.2">
      <c r="A676" s="8">
        <v>45181</v>
      </c>
      <c r="B676" s="24">
        <v>5.42</v>
      </c>
      <c r="C676" s="24">
        <v>4.9800000000000004</v>
      </c>
      <c r="D676" s="24">
        <v>4.66</v>
      </c>
      <c r="E676" s="24">
        <v>4.5395000000000003</v>
      </c>
      <c r="F676" s="24">
        <v>4.41</v>
      </c>
      <c r="G676" s="83">
        <f t="shared" si="85"/>
        <v>94.858660595712379</v>
      </c>
      <c r="H676" s="84">
        <f t="shared" si="88"/>
        <v>100.86960799766472</v>
      </c>
      <c r="I676" s="84">
        <f t="shared" si="86"/>
        <v>89.334463773505931</v>
      </c>
      <c r="J676" s="84">
        <f t="shared" si="87"/>
        <v>395750764.2889514</v>
      </c>
      <c r="L676" s="19">
        <f t="shared" si="90"/>
        <v>1.9999999999999574E-2</v>
      </c>
      <c r="M676" s="19">
        <f t="shared" si="91"/>
        <v>1.0000000000000675E-2</v>
      </c>
      <c r="N676" s="19">
        <f t="shared" si="91"/>
        <v>2.0000000000000462E-2</v>
      </c>
      <c r="O676" s="19">
        <f t="shared" si="91"/>
        <v>7.4900000000000411E-2</v>
      </c>
      <c r="P676" s="19">
        <f t="shared" si="89"/>
        <v>9.9999999999997868E-3</v>
      </c>
      <c r="R676" s="19"/>
      <c r="S676" s="19"/>
      <c r="T676" s="19"/>
      <c r="U676" s="19"/>
      <c r="V676" s="19"/>
    </row>
    <row r="677" spans="1:22" x14ac:dyDescent="0.2">
      <c r="A677" s="8">
        <v>45182</v>
      </c>
      <c r="B677" s="24">
        <v>5.42</v>
      </c>
      <c r="C677" s="24">
        <v>4.96</v>
      </c>
      <c r="D677" s="24">
        <v>4.6399999999999997</v>
      </c>
      <c r="E677" s="24">
        <v>4.4953000000000003</v>
      </c>
      <c r="F677" s="24">
        <v>4.3899999999999997</v>
      </c>
      <c r="G677" s="83">
        <f t="shared" si="85"/>
        <v>94.858660595712379</v>
      </c>
      <c r="H677" s="84">
        <f t="shared" si="88"/>
        <v>100.92386427972896</v>
      </c>
      <c r="I677" s="84">
        <f t="shared" si="86"/>
        <v>89.417767654825809</v>
      </c>
      <c r="J677" s="84">
        <f t="shared" si="87"/>
        <v>396002595.3911345</v>
      </c>
      <c r="L677" s="19">
        <f t="shared" si="90"/>
        <v>0</v>
      </c>
      <c r="M677" s="19">
        <f t="shared" si="91"/>
        <v>-2.0000000000000462E-2</v>
      </c>
      <c r="N677" s="19">
        <f t="shared" si="91"/>
        <v>-2.0000000000000462E-2</v>
      </c>
      <c r="O677" s="19">
        <f t="shared" si="91"/>
        <v>-4.4200000000000017E-2</v>
      </c>
      <c r="P677" s="19">
        <f t="shared" si="89"/>
        <v>-2.0000000000000462E-2</v>
      </c>
      <c r="R677" s="19"/>
      <c r="S677" s="19"/>
      <c r="T677" s="19"/>
      <c r="U677" s="19"/>
      <c r="V677" s="19"/>
    </row>
    <row r="678" spans="1:22" x14ac:dyDescent="0.2">
      <c r="A678" s="8">
        <v>45183</v>
      </c>
      <c r="B678" s="24">
        <v>5.42</v>
      </c>
      <c r="C678" s="24">
        <v>5</v>
      </c>
      <c r="D678" s="24">
        <v>4.68</v>
      </c>
      <c r="E678" s="24">
        <v>4.4920999999999998</v>
      </c>
      <c r="F678" s="24">
        <v>4.42</v>
      </c>
      <c r="G678" s="83">
        <f t="shared" si="85"/>
        <v>94.858660595712379</v>
      </c>
      <c r="H678" s="84">
        <f t="shared" si="88"/>
        <v>100.81539283893399</v>
      </c>
      <c r="I678" s="84">
        <f t="shared" si="86"/>
        <v>89.296458992094159</v>
      </c>
      <c r="J678" s="84">
        <f t="shared" si="87"/>
        <v>395680067.90140045</v>
      </c>
      <c r="L678" s="19">
        <f t="shared" si="90"/>
        <v>0</v>
      </c>
      <c r="M678" s="19">
        <f t="shared" si="91"/>
        <v>4.0000000000000036E-2</v>
      </c>
      <c r="N678" s="19">
        <f t="shared" si="91"/>
        <v>4.0000000000000036E-2</v>
      </c>
      <c r="O678" s="19">
        <f t="shared" si="91"/>
        <v>-3.2000000000005357E-3</v>
      </c>
      <c r="P678" s="19">
        <f t="shared" si="89"/>
        <v>3.0000000000000249E-2</v>
      </c>
      <c r="R678" s="19"/>
      <c r="S678" s="19"/>
      <c r="T678" s="19"/>
      <c r="U678" s="19"/>
      <c r="V678" s="19"/>
    </row>
    <row r="679" spans="1:22" x14ac:dyDescent="0.2">
      <c r="A679" s="8">
        <v>45184</v>
      </c>
      <c r="B679" s="24">
        <v>5.43</v>
      </c>
      <c r="C679" s="24">
        <v>5.0199999999999996</v>
      </c>
      <c r="D679" s="24">
        <v>4.72</v>
      </c>
      <c r="E679" s="24">
        <v>4.5019</v>
      </c>
      <c r="F679" s="24">
        <v>4.45</v>
      </c>
      <c r="G679" s="83">
        <f t="shared" si="85"/>
        <v>94.849663283695335</v>
      </c>
      <c r="H679" s="84">
        <f t="shared" si="88"/>
        <v>100.70836206481103</v>
      </c>
      <c r="I679" s="84">
        <f t="shared" si="86"/>
        <v>89.175034254108667</v>
      </c>
      <c r="J679" s="84">
        <f t="shared" si="87"/>
        <v>395336920.4866088</v>
      </c>
      <c r="L679" s="19">
        <f t="shared" si="90"/>
        <v>9.9999999999997868E-3</v>
      </c>
      <c r="M679" s="19">
        <f t="shared" si="91"/>
        <v>1.9999999999999574E-2</v>
      </c>
      <c r="N679" s="19">
        <f t="shared" si="91"/>
        <v>4.0000000000000036E-2</v>
      </c>
      <c r="O679" s="19">
        <f t="shared" si="91"/>
        <v>9.800000000000253E-3</v>
      </c>
      <c r="P679" s="19">
        <f t="shared" si="89"/>
        <v>3.0000000000000249E-2</v>
      </c>
      <c r="R679" s="19"/>
      <c r="S679" s="19"/>
      <c r="T679" s="19"/>
      <c r="U679" s="19"/>
      <c r="V679" s="19"/>
    </row>
    <row r="680" spans="1:22" x14ac:dyDescent="0.2">
      <c r="A680" s="8">
        <v>45187</v>
      </c>
      <c r="B680" s="24">
        <v>5.44</v>
      </c>
      <c r="C680" s="24">
        <v>5.05</v>
      </c>
      <c r="D680" s="24">
        <v>4.74</v>
      </c>
      <c r="E680" s="24">
        <v>4.5061</v>
      </c>
      <c r="F680" s="24">
        <v>4.46</v>
      </c>
      <c r="G680" s="83">
        <f t="shared" si="85"/>
        <v>94.840667678300449</v>
      </c>
      <c r="H680" s="84">
        <f t="shared" si="88"/>
        <v>100.65295654787069</v>
      </c>
      <c r="I680" s="84">
        <f t="shared" si="86"/>
        <v>89.133287715842968</v>
      </c>
      <c r="J680" s="84">
        <f t="shared" si="87"/>
        <v>395235051.39816672</v>
      </c>
      <c r="L680" s="19">
        <f t="shared" si="90"/>
        <v>1.0000000000000675E-2</v>
      </c>
      <c r="M680" s="19">
        <f t="shared" si="91"/>
        <v>3.0000000000000249E-2</v>
      </c>
      <c r="N680" s="19">
        <f t="shared" si="91"/>
        <v>2.0000000000000462E-2</v>
      </c>
      <c r="O680" s="19">
        <f t="shared" si="91"/>
        <v>4.1999999999999815E-3</v>
      </c>
      <c r="P680" s="19">
        <f t="shared" si="89"/>
        <v>9.9999999999997868E-3</v>
      </c>
      <c r="R680" s="19"/>
      <c r="S680" s="19"/>
      <c r="T680" s="19"/>
      <c r="U680" s="19"/>
      <c r="V680" s="19"/>
    </row>
    <row r="681" spans="1:22" x14ac:dyDescent="0.2">
      <c r="A681" s="8">
        <v>45188</v>
      </c>
      <c r="B681" s="24">
        <v>5.45</v>
      </c>
      <c r="C681" s="24">
        <v>5.08</v>
      </c>
      <c r="D681" s="24">
        <v>4.79</v>
      </c>
      <c r="E681" s="24">
        <v>4.4909999999999997</v>
      </c>
      <c r="F681" s="24">
        <v>4.51</v>
      </c>
      <c r="G681" s="83">
        <f t="shared" si="85"/>
        <v>94.831673779042205</v>
      </c>
      <c r="H681" s="84">
        <f t="shared" si="88"/>
        <v>100.51917795207595</v>
      </c>
      <c r="I681" s="84">
        <f t="shared" si="86"/>
        <v>88.9345700363763</v>
      </c>
      <c r="J681" s="84">
        <f t="shared" si="87"/>
        <v>394622860.77547562</v>
      </c>
      <c r="L681" s="19">
        <f t="shared" si="90"/>
        <v>9.9999999999997868E-3</v>
      </c>
      <c r="M681" s="19">
        <f t="shared" si="91"/>
        <v>3.0000000000000249E-2</v>
      </c>
      <c r="N681" s="19">
        <f t="shared" si="91"/>
        <v>4.9999999999999822E-2</v>
      </c>
      <c r="O681" s="19">
        <f t="shared" si="91"/>
        <v>-1.5100000000000335E-2</v>
      </c>
      <c r="P681" s="19">
        <f t="shared" si="89"/>
        <v>4.9999999999999822E-2</v>
      </c>
      <c r="R681" s="19"/>
      <c r="S681" s="19"/>
      <c r="T681" s="19"/>
      <c r="U681" s="19"/>
      <c r="V681" s="19"/>
    </row>
    <row r="682" spans="1:22" x14ac:dyDescent="0.2">
      <c r="A682" s="8">
        <v>45189</v>
      </c>
      <c r="B682" s="24">
        <v>5.47</v>
      </c>
      <c r="C682" s="24">
        <v>5.12</v>
      </c>
      <c r="D682" s="24">
        <v>4.82</v>
      </c>
      <c r="E682" s="24">
        <v>4.5103999999999997</v>
      </c>
      <c r="F682" s="24">
        <v>4.5199999999999996</v>
      </c>
      <c r="G682" s="83">
        <f t="shared" si="85"/>
        <v>94.813691096994404</v>
      </c>
      <c r="H682" s="84">
        <f t="shared" si="88"/>
        <v>100.43650770321707</v>
      </c>
      <c r="I682" s="84">
        <f t="shared" si="86"/>
        <v>88.890965933453003</v>
      </c>
      <c r="J682" s="84">
        <f t="shared" si="87"/>
        <v>394536484.37297523</v>
      </c>
      <c r="L682" s="19">
        <f t="shared" si="90"/>
        <v>1.9999999999999574E-2</v>
      </c>
      <c r="M682" s="19">
        <f t="shared" si="91"/>
        <v>4.0000000000000036E-2</v>
      </c>
      <c r="N682" s="19">
        <f t="shared" si="91"/>
        <v>3.0000000000000249E-2</v>
      </c>
      <c r="O682" s="19">
        <f t="shared" si="91"/>
        <v>1.9400000000000084E-2</v>
      </c>
      <c r="P682" s="19">
        <f t="shared" si="89"/>
        <v>9.9999999999997868E-3</v>
      </c>
      <c r="R682" s="19"/>
      <c r="S682" s="19"/>
      <c r="T682" s="19"/>
      <c r="U682" s="19"/>
      <c r="V682" s="19"/>
    </row>
    <row r="683" spans="1:22" x14ac:dyDescent="0.2">
      <c r="A683" s="8">
        <v>45190</v>
      </c>
      <c r="B683" s="24">
        <v>5.46</v>
      </c>
      <c r="C683" s="24">
        <v>5.12</v>
      </c>
      <c r="D683" s="24">
        <v>4.8499999999999996</v>
      </c>
      <c r="E683" s="24">
        <v>4.5575000000000001</v>
      </c>
      <c r="F683" s="24">
        <v>4.6100000000000003</v>
      </c>
      <c r="G683" s="83">
        <f t="shared" si="85"/>
        <v>94.822681585435234</v>
      </c>
      <c r="H683" s="84">
        <f t="shared" si="88"/>
        <v>100.35872122727693</v>
      </c>
      <c r="I683" s="84">
        <f t="shared" si="86"/>
        <v>88.535484762542765</v>
      </c>
      <c r="J683" s="84">
        <f t="shared" si="87"/>
        <v>393249220.38012612</v>
      </c>
      <c r="L683" s="19">
        <f t="shared" si="90"/>
        <v>-9.9999999999997868E-3</v>
      </c>
      <c r="M683" s="19">
        <f t="shared" si="91"/>
        <v>0</v>
      </c>
      <c r="N683" s="19">
        <f t="shared" si="91"/>
        <v>2.9999999999999361E-2</v>
      </c>
      <c r="O683" s="19">
        <f t="shared" si="91"/>
        <v>4.7100000000000364E-2</v>
      </c>
      <c r="P683" s="19">
        <f t="shared" si="89"/>
        <v>9.0000000000000746E-2</v>
      </c>
      <c r="R683" s="19"/>
      <c r="S683" s="19"/>
      <c r="T683" s="19"/>
      <c r="U683" s="19"/>
      <c r="V683" s="19"/>
    </row>
    <row r="684" spans="1:22" x14ac:dyDescent="0.2">
      <c r="A684" s="8">
        <v>45191</v>
      </c>
      <c r="B684" s="24">
        <v>5.46</v>
      </c>
      <c r="C684" s="24">
        <v>5.0999999999999996</v>
      </c>
      <c r="D684" s="24">
        <v>4.8</v>
      </c>
      <c r="E684" s="24">
        <v>4.5747999999999998</v>
      </c>
      <c r="F684" s="24">
        <v>4.57</v>
      </c>
      <c r="G684" s="83">
        <f t="shared" si="85"/>
        <v>94.822681585435234</v>
      </c>
      <c r="H684" s="84">
        <f t="shared" si="88"/>
        <v>100.49088659749168</v>
      </c>
      <c r="I684" s="84">
        <f t="shared" si="86"/>
        <v>88.693394930084821</v>
      </c>
      <c r="J684" s="84">
        <f t="shared" si="87"/>
        <v>393682612.99497223</v>
      </c>
      <c r="L684" s="19">
        <f t="shared" si="90"/>
        <v>0</v>
      </c>
      <c r="M684" s="19">
        <f t="shared" si="91"/>
        <v>-2.0000000000000462E-2</v>
      </c>
      <c r="N684" s="19">
        <f t="shared" si="91"/>
        <v>-4.9999999999999822E-2</v>
      </c>
      <c r="O684" s="19">
        <f t="shared" si="91"/>
        <v>1.7299999999999649E-2</v>
      </c>
      <c r="P684" s="19">
        <f t="shared" si="89"/>
        <v>-4.0000000000000036E-2</v>
      </c>
      <c r="R684" s="19"/>
      <c r="S684" s="19"/>
      <c r="T684" s="19"/>
      <c r="U684" s="19"/>
      <c r="V684" s="19"/>
    </row>
    <row r="685" spans="1:22" x14ac:dyDescent="0.2">
      <c r="A685" s="8">
        <v>45194</v>
      </c>
      <c r="B685" s="24">
        <v>5.45</v>
      </c>
      <c r="C685" s="24">
        <v>5.09</v>
      </c>
      <c r="D685" s="24">
        <v>4.83</v>
      </c>
      <c r="E685" s="24">
        <v>4.6139000000000001</v>
      </c>
      <c r="F685" s="24">
        <v>4.62</v>
      </c>
      <c r="G685" s="83">
        <f t="shared" si="85"/>
        <v>94.831673779042205</v>
      </c>
      <c r="H685" s="84">
        <f t="shared" si="88"/>
        <v>100.41390197326038</v>
      </c>
      <c r="I685" s="84">
        <f t="shared" si="86"/>
        <v>88.495180450775194</v>
      </c>
      <c r="J685" s="84">
        <f t="shared" si="87"/>
        <v>393023216.40129459</v>
      </c>
      <c r="L685" s="19">
        <f t="shared" si="90"/>
        <v>-9.9999999999997868E-3</v>
      </c>
      <c r="M685" s="19">
        <f t="shared" si="91"/>
        <v>-9.9999999999997868E-3</v>
      </c>
      <c r="N685" s="19">
        <f t="shared" si="91"/>
        <v>3.0000000000000249E-2</v>
      </c>
      <c r="O685" s="19">
        <f t="shared" si="91"/>
        <v>3.9100000000000357E-2</v>
      </c>
      <c r="P685" s="19">
        <f t="shared" si="89"/>
        <v>4.9999999999999822E-2</v>
      </c>
      <c r="R685" s="19"/>
      <c r="S685" s="19"/>
      <c r="T685" s="19"/>
      <c r="U685" s="19"/>
      <c r="V685" s="19"/>
    </row>
    <row r="686" spans="1:22" x14ac:dyDescent="0.2">
      <c r="A686" s="8">
        <v>45195</v>
      </c>
      <c r="B686" s="24">
        <v>5.45</v>
      </c>
      <c r="C686" s="24">
        <v>5.04</v>
      </c>
      <c r="D686" s="24">
        <v>4.84</v>
      </c>
      <c r="E686" s="24">
        <v>4.6242000000000001</v>
      </c>
      <c r="F686" s="24">
        <v>4.62</v>
      </c>
      <c r="G686" s="83">
        <f t="shared" si="85"/>
        <v>94.831673779042205</v>
      </c>
      <c r="H686" s="84">
        <f t="shared" si="88"/>
        <v>100.39213448510756</v>
      </c>
      <c r="I686" s="84">
        <f t="shared" si="86"/>
        <v>88.495750719028607</v>
      </c>
      <c r="J686" s="84">
        <f t="shared" si="87"/>
        <v>393058148.70653749</v>
      </c>
      <c r="L686" s="19">
        <f t="shared" si="90"/>
        <v>0</v>
      </c>
      <c r="M686" s="19">
        <f t="shared" si="91"/>
        <v>-4.9999999999999822E-2</v>
      </c>
      <c r="N686" s="19">
        <f t="shared" si="91"/>
        <v>9.9999999999997868E-3</v>
      </c>
      <c r="O686" s="19">
        <f t="shared" si="91"/>
        <v>1.0299999999999976E-2</v>
      </c>
      <c r="P686" s="19">
        <f t="shared" si="89"/>
        <v>0</v>
      </c>
      <c r="R686" s="19"/>
      <c r="S686" s="19"/>
      <c r="T686" s="19"/>
      <c r="U686" s="19"/>
      <c r="V686" s="19"/>
    </row>
    <row r="687" spans="1:22" x14ac:dyDescent="0.2">
      <c r="A687" s="8">
        <v>45196</v>
      </c>
      <c r="B687" s="24">
        <v>5.49</v>
      </c>
      <c r="C687" s="24">
        <v>5.0999999999999996</v>
      </c>
      <c r="D687" s="24">
        <v>4.8899999999999997</v>
      </c>
      <c r="E687" s="24">
        <v>4.6914999999999996</v>
      </c>
      <c r="F687" s="24">
        <v>4.67</v>
      </c>
      <c r="G687" s="83">
        <f t="shared" si="85"/>
        <v>94.795715233671444</v>
      </c>
      <c r="H687" s="84">
        <f t="shared" si="88"/>
        <v>100.25491968270535</v>
      </c>
      <c r="I687" s="84">
        <f t="shared" si="86"/>
        <v>88.292002559096801</v>
      </c>
      <c r="J687" s="84">
        <f t="shared" si="87"/>
        <v>392377061.17967206</v>
      </c>
      <c r="L687" s="19">
        <f t="shared" si="90"/>
        <v>4.0000000000000036E-2</v>
      </c>
      <c r="M687" s="19">
        <f t="shared" si="91"/>
        <v>5.9999999999999609E-2</v>
      </c>
      <c r="N687" s="19">
        <f t="shared" si="91"/>
        <v>4.9999999999999822E-2</v>
      </c>
      <c r="O687" s="19">
        <f t="shared" si="91"/>
        <v>6.7299999999999471E-2</v>
      </c>
      <c r="P687" s="19">
        <f t="shared" si="89"/>
        <v>4.9999999999999822E-2</v>
      </c>
      <c r="R687" s="19"/>
      <c r="S687" s="19"/>
      <c r="T687" s="19"/>
      <c r="U687" s="19"/>
      <c r="V687" s="19"/>
    </row>
    <row r="688" spans="1:22" x14ac:dyDescent="0.2">
      <c r="A688" s="8">
        <v>45197</v>
      </c>
      <c r="B688" s="24">
        <v>5.46</v>
      </c>
      <c r="C688" s="24">
        <v>5.04</v>
      </c>
      <c r="D688" s="24">
        <v>4.83</v>
      </c>
      <c r="E688" s="24">
        <v>4.6746999999999996</v>
      </c>
      <c r="F688" s="24">
        <v>4.62</v>
      </c>
      <c r="G688" s="83">
        <f t="shared" si="85"/>
        <v>94.822681585435234</v>
      </c>
      <c r="H688" s="84">
        <f t="shared" si="88"/>
        <v>100.41776354063271</v>
      </c>
      <c r="I688" s="84">
        <f t="shared" si="86"/>
        <v>88.492848791269907</v>
      </c>
      <c r="J688" s="84">
        <f t="shared" si="87"/>
        <v>392990113.02500105</v>
      </c>
      <c r="L688" s="19">
        <f t="shared" si="90"/>
        <v>-3.0000000000000249E-2</v>
      </c>
      <c r="M688" s="19">
        <f t="shared" si="91"/>
        <v>-5.9999999999999609E-2</v>
      </c>
      <c r="N688" s="19">
        <f t="shared" si="91"/>
        <v>-5.9999999999999609E-2</v>
      </c>
      <c r="O688" s="19">
        <f t="shared" si="91"/>
        <v>-1.6799999999999926E-2</v>
      </c>
      <c r="P688" s="19">
        <f t="shared" si="89"/>
        <v>-4.9999999999999822E-2</v>
      </c>
      <c r="R688" s="19"/>
      <c r="S688" s="19"/>
      <c r="T688" s="19"/>
      <c r="U688" s="19"/>
      <c r="V688" s="19"/>
    </row>
    <row r="689" spans="1:22" x14ac:dyDescent="0.2">
      <c r="A689" s="8">
        <v>45198</v>
      </c>
      <c r="B689" s="24">
        <v>5.46</v>
      </c>
      <c r="C689" s="24">
        <v>5.03</v>
      </c>
      <c r="D689" s="24">
        <v>4.8</v>
      </c>
      <c r="E689" s="24">
        <v>4.7118000000000002</v>
      </c>
      <c r="F689" s="24">
        <v>4.5999999999999996</v>
      </c>
      <c r="G689" s="83">
        <f t="shared" si="85"/>
        <v>94.822681585435234</v>
      </c>
      <c r="H689" s="84">
        <f t="shared" si="88"/>
        <v>100.49692224602155</v>
      </c>
      <c r="I689" s="84">
        <f t="shared" si="86"/>
        <v>88.570158054673755</v>
      </c>
      <c r="J689" s="84">
        <f t="shared" si="87"/>
        <v>393180612.0205332</v>
      </c>
      <c r="L689" s="19">
        <f t="shared" si="90"/>
        <v>0</v>
      </c>
      <c r="M689" s="19">
        <f t="shared" si="91"/>
        <v>-9.9999999999997868E-3</v>
      </c>
      <c r="N689" s="19">
        <f t="shared" si="91"/>
        <v>-3.0000000000000249E-2</v>
      </c>
      <c r="O689" s="19">
        <f t="shared" si="91"/>
        <v>3.7100000000000577E-2</v>
      </c>
      <c r="P689" s="19">
        <f t="shared" si="89"/>
        <v>-2.0000000000000462E-2</v>
      </c>
      <c r="R689" s="19"/>
      <c r="S689" s="19"/>
      <c r="T689" s="19"/>
      <c r="U689" s="19"/>
      <c r="V689" s="19"/>
    </row>
    <row r="690" spans="1:22" x14ac:dyDescent="0.2">
      <c r="A690" s="8">
        <v>45201</v>
      </c>
      <c r="B690" s="24">
        <v>5.49</v>
      </c>
      <c r="C690" s="24">
        <v>5.12</v>
      </c>
      <c r="D690" s="24">
        <v>4.88</v>
      </c>
      <c r="E690" s="24">
        <v>4.7232000000000003</v>
      </c>
      <c r="F690" s="24">
        <v>4.72</v>
      </c>
      <c r="G690" s="83">
        <f t="shared" si="85"/>
        <v>94.795715233671444</v>
      </c>
      <c r="H690" s="84">
        <f t="shared" si="88"/>
        <v>100.27922639859737</v>
      </c>
      <c r="I690" s="84">
        <f t="shared" si="86"/>
        <v>88.096159122719328</v>
      </c>
      <c r="J690" s="84">
        <f t="shared" si="87"/>
        <v>391557227.36032414</v>
      </c>
      <c r="L690" s="19">
        <f t="shared" si="90"/>
        <v>3.0000000000000249E-2</v>
      </c>
      <c r="M690" s="19">
        <f t="shared" si="91"/>
        <v>8.9999999999999858E-2</v>
      </c>
      <c r="N690" s="19">
        <f t="shared" si="91"/>
        <v>8.0000000000000071E-2</v>
      </c>
      <c r="O690" s="19">
        <f t="shared" si="91"/>
        <v>1.1400000000000077E-2</v>
      </c>
      <c r="P690" s="19">
        <f t="shared" si="89"/>
        <v>0.12000000000000011</v>
      </c>
      <c r="R690" s="19"/>
      <c r="S690" s="19"/>
      <c r="T690" s="19"/>
      <c r="U690" s="19"/>
      <c r="V690" s="19"/>
    </row>
    <row r="691" spans="1:22" x14ac:dyDescent="0.2">
      <c r="A691" s="8">
        <v>45202</v>
      </c>
      <c r="B691" s="24">
        <v>5.49</v>
      </c>
      <c r="C691" s="24">
        <v>5.15</v>
      </c>
      <c r="D691" s="24">
        <v>4.95</v>
      </c>
      <c r="E691" s="24">
        <v>4.7709000000000001</v>
      </c>
      <c r="F691" s="24">
        <v>4.8</v>
      </c>
      <c r="G691" s="83">
        <f t="shared" si="85"/>
        <v>94.795715233671444</v>
      </c>
      <c r="H691" s="84">
        <f t="shared" si="88"/>
        <v>100.09465029237731</v>
      </c>
      <c r="I691" s="84">
        <f t="shared" si="86"/>
        <v>87.77996853004916</v>
      </c>
      <c r="J691" s="84">
        <f t="shared" si="87"/>
        <v>390569329.14897358</v>
      </c>
      <c r="L691" s="19">
        <f t="shared" si="90"/>
        <v>0</v>
      </c>
      <c r="M691" s="19">
        <f t="shared" si="91"/>
        <v>3.0000000000000249E-2</v>
      </c>
      <c r="N691" s="19">
        <f t="shared" si="91"/>
        <v>7.0000000000000284E-2</v>
      </c>
      <c r="O691" s="19">
        <f t="shared" si="91"/>
        <v>4.7699999999999854E-2</v>
      </c>
      <c r="P691" s="19">
        <f t="shared" si="89"/>
        <v>8.0000000000000071E-2</v>
      </c>
      <c r="R691" s="19"/>
      <c r="S691" s="19"/>
      <c r="T691" s="19"/>
      <c r="U691" s="19"/>
      <c r="V691" s="19"/>
    </row>
    <row r="692" spans="1:22" x14ac:dyDescent="0.2">
      <c r="A692" s="8">
        <v>45203</v>
      </c>
      <c r="B692" s="24">
        <v>5.42</v>
      </c>
      <c r="C692" s="24">
        <v>5.05</v>
      </c>
      <c r="D692" s="24">
        <v>4.8499999999999996</v>
      </c>
      <c r="E692" s="24">
        <v>4.7382999999999997</v>
      </c>
      <c r="F692" s="24">
        <v>4.72</v>
      </c>
      <c r="G692" s="83">
        <f t="shared" si="85"/>
        <v>94.858660595712379</v>
      </c>
      <c r="H692" s="84">
        <f t="shared" si="88"/>
        <v>100.36655238082372</v>
      </c>
      <c r="I692" s="84">
        <f t="shared" si="86"/>
        <v>88.100360687117401</v>
      </c>
      <c r="J692" s="84">
        <f t="shared" si="87"/>
        <v>391568935.36865878</v>
      </c>
      <c r="L692" s="19">
        <f t="shared" si="90"/>
        <v>-7.0000000000000284E-2</v>
      </c>
      <c r="M692" s="19">
        <f t="shared" si="91"/>
        <v>-0.10000000000000053</v>
      </c>
      <c r="N692" s="19">
        <f t="shared" si="91"/>
        <v>-0.10000000000000053</v>
      </c>
      <c r="O692" s="19">
        <f t="shared" si="91"/>
        <v>-3.2600000000000406E-2</v>
      </c>
      <c r="P692" s="19">
        <f t="shared" si="89"/>
        <v>-8.0000000000000071E-2</v>
      </c>
      <c r="R692" s="19"/>
      <c r="S692" s="19"/>
      <c r="T692" s="19"/>
      <c r="U692" s="19"/>
      <c r="V692" s="19"/>
    </row>
    <row r="693" spans="1:22" x14ac:dyDescent="0.2">
      <c r="A693" s="8">
        <v>45204</v>
      </c>
      <c r="B693" s="24">
        <v>5.39</v>
      </c>
      <c r="C693" s="24">
        <v>5.03</v>
      </c>
      <c r="D693" s="24">
        <v>4.82</v>
      </c>
      <c r="E693" s="24">
        <v>4.7183999999999999</v>
      </c>
      <c r="F693" s="24">
        <v>4.68</v>
      </c>
      <c r="G693" s="83">
        <f t="shared" si="85"/>
        <v>94.885662776354494</v>
      </c>
      <c r="H693" s="84">
        <f t="shared" si="88"/>
        <v>100.44786419246383</v>
      </c>
      <c r="I693" s="84">
        <f t="shared" si="86"/>
        <v>88.259208755184957</v>
      </c>
      <c r="J693" s="84">
        <f t="shared" si="87"/>
        <v>392136364.28475308</v>
      </c>
      <c r="L693" s="19">
        <f t="shared" si="90"/>
        <v>-3.0000000000000249E-2</v>
      </c>
      <c r="M693" s="19">
        <f t="shared" si="91"/>
        <v>-1.9999999999999574E-2</v>
      </c>
      <c r="N693" s="19">
        <f t="shared" si="91"/>
        <v>-2.9999999999999361E-2</v>
      </c>
      <c r="O693" s="19">
        <f t="shared" si="91"/>
        <v>-1.9899999999999807E-2</v>
      </c>
      <c r="P693" s="19">
        <f t="shared" si="89"/>
        <v>-4.0000000000000036E-2</v>
      </c>
      <c r="R693" s="19"/>
      <c r="S693" s="19"/>
      <c r="T693" s="19"/>
      <c r="U693" s="19"/>
      <c r="V693" s="19"/>
    </row>
    <row r="694" spans="1:22" x14ac:dyDescent="0.2">
      <c r="A694" s="8">
        <v>45205</v>
      </c>
      <c r="B694" s="24">
        <v>5.43</v>
      </c>
      <c r="C694" s="24">
        <v>5.08</v>
      </c>
      <c r="D694" s="24">
        <v>4.87</v>
      </c>
      <c r="E694" s="24">
        <v>4.7803000000000004</v>
      </c>
      <c r="F694" s="24">
        <v>4.75</v>
      </c>
      <c r="G694" s="83">
        <f t="shared" si="85"/>
        <v>94.849663283695335</v>
      </c>
      <c r="H694" s="84">
        <f t="shared" si="88"/>
        <v>100.31140819976601</v>
      </c>
      <c r="I694" s="84">
        <f t="shared" si="86"/>
        <v>87.97957527842496</v>
      </c>
      <c r="J694" s="84">
        <f t="shared" si="87"/>
        <v>391150515.38144153</v>
      </c>
      <c r="L694" s="19">
        <f t="shared" si="90"/>
        <v>4.0000000000000036E-2</v>
      </c>
      <c r="M694" s="19">
        <f t="shared" si="91"/>
        <v>4.9999999999999822E-2</v>
      </c>
      <c r="N694" s="19">
        <f t="shared" si="91"/>
        <v>4.9999999999999822E-2</v>
      </c>
      <c r="O694" s="19">
        <f t="shared" si="91"/>
        <v>6.190000000000051E-2</v>
      </c>
      <c r="P694" s="19">
        <f t="shared" si="89"/>
        <v>7.0000000000000284E-2</v>
      </c>
      <c r="R694" s="19"/>
      <c r="S694" s="19"/>
      <c r="T694" s="19"/>
      <c r="U694" s="19"/>
      <c r="V694" s="19"/>
    </row>
    <row r="695" spans="1:22" x14ac:dyDescent="0.2">
      <c r="A695" s="8">
        <v>45209</v>
      </c>
      <c r="B695" s="24">
        <v>5.37</v>
      </c>
      <c r="C695" s="24">
        <v>4.96</v>
      </c>
      <c r="D695" s="24">
        <v>4.74</v>
      </c>
      <c r="E695" s="24">
        <v>4.8550000000000004</v>
      </c>
      <c r="F695" s="24">
        <v>4.62</v>
      </c>
      <c r="G695" s="83">
        <f t="shared" si="85"/>
        <v>94.903672772136275</v>
      </c>
      <c r="H695" s="84">
        <f t="shared" si="88"/>
        <v>100.66388023326196</v>
      </c>
      <c r="I695" s="84">
        <f t="shared" si="86"/>
        <v>88.490283036980685</v>
      </c>
      <c r="J695" s="84">
        <f t="shared" si="87"/>
        <v>392772657.34230232</v>
      </c>
      <c r="L695" s="19">
        <f t="shared" si="90"/>
        <v>-5.9999999999999609E-2</v>
      </c>
      <c r="M695" s="19">
        <f t="shared" si="91"/>
        <v>-0.12000000000000011</v>
      </c>
      <c r="N695" s="19">
        <f t="shared" si="91"/>
        <v>-0.12999999999999989</v>
      </c>
      <c r="O695" s="19">
        <f t="shared" si="91"/>
        <v>7.4699999999999989E-2</v>
      </c>
      <c r="P695" s="19">
        <f t="shared" si="89"/>
        <v>-0.12999999999999989</v>
      </c>
      <c r="R695" s="19"/>
      <c r="S695" s="19"/>
      <c r="T695" s="19"/>
      <c r="U695" s="19"/>
      <c r="V695" s="19"/>
    </row>
    <row r="696" spans="1:22" x14ac:dyDescent="0.2">
      <c r="A696" s="8">
        <v>45210</v>
      </c>
      <c r="B696" s="24">
        <v>5.38</v>
      </c>
      <c r="C696" s="24">
        <v>4.99</v>
      </c>
      <c r="D696" s="24">
        <v>4.7300000000000004</v>
      </c>
      <c r="E696" s="24">
        <v>4.7953000000000001</v>
      </c>
      <c r="F696" s="24">
        <v>4.59</v>
      </c>
      <c r="G696" s="83">
        <f t="shared" si="85"/>
        <v>94.8946669197191</v>
      </c>
      <c r="H696" s="84">
        <f t="shared" si="88"/>
        <v>100.68701498238185</v>
      </c>
      <c r="I696" s="84">
        <f t="shared" si="86"/>
        <v>88.610119894549342</v>
      </c>
      <c r="J696" s="84">
        <f t="shared" si="87"/>
        <v>393199290.94406277</v>
      </c>
      <c r="L696" s="19">
        <f t="shared" si="90"/>
        <v>9.9999999999997868E-3</v>
      </c>
      <c r="M696" s="19">
        <f t="shared" si="91"/>
        <v>3.0000000000000249E-2</v>
      </c>
      <c r="N696" s="19">
        <f t="shared" si="91"/>
        <v>-9.9999999999997868E-3</v>
      </c>
      <c r="O696" s="19">
        <f t="shared" si="91"/>
        <v>-5.9700000000000308E-2</v>
      </c>
      <c r="P696" s="19">
        <f t="shared" si="89"/>
        <v>-3.0000000000000249E-2</v>
      </c>
      <c r="R696" s="19"/>
      <c r="S696" s="19"/>
      <c r="T696" s="19"/>
      <c r="U696" s="19"/>
      <c r="V696" s="19"/>
    </row>
    <row r="697" spans="1:22" x14ac:dyDescent="0.2">
      <c r="A697" s="8">
        <v>45211</v>
      </c>
      <c r="B697" s="24">
        <v>5.43</v>
      </c>
      <c r="C697" s="24">
        <v>5.0599999999999996</v>
      </c>
      <c r="D697" s="24">
        <v>4.82</v>
      </c>
      <c r="E697" s="24">
        <v>4.7595000000000001</v>
      </c>
      <c r="F697" s="24">
        <v>4.6900000000000004</v>
      </c>
      <c r="G697" s="83">
        <f t="shared" si="85"/>
        <v>94.849663283695335</v>
      </c>
      <c r="H697" s="84">
        <f t="shared" si="88"/>
        <v>100.44347603402083</v>
      </c>
      <c r="I697" s="84">
        <f t="shared" si="86"/>
        <v>88.216095729689599</v>
      </c>
      <c r="J697" s="84">
        <f t="shared" si="87"/>
        <v>391898495.43511784</v>
      </c>
      <c r="L697" s="19">
        <f t="shared" si="90"/>
        <v>4.9999999999999822E-2</v>
      </c>
      <c r="M697" s="19">
        <f t="shared" si="91"/>
        <v>6.9999999999999396E-2</v>
      </c>
      <c r="N697" s="19">
        <f t="shared" si="91"/>
        <v>8.9999999999999858E-2</v>
      </c>
      <c r="O697" s="19">
        <f t="shared" si="91"/>
        <v>-3.5800000000000054E-2</v>
      </c>
      <c r="P697" s="19">
        <f t="shared" si="89"/>
        <v>0.10000000000000053</v>
      </c>
      <c r="R697" s="19"/>
      <c r="S697" s="19"/>
      <c r="T697" s="19"/>
      <c r="U697" s="19"/>
      <c r="V697" s="19"/>
    </row>
    <row r="698" spans="1:22" x14ac:dyDescent="0.2">
      <c r="A698" s="8">
        <v>45212</v>
      </c>
      <c r="B698" s="24">
        <v>5.41</v>
      </c>
      <c r="C698" s="24">
        <v>5.04</v>
      </c>
      <c r="D698" s="24">
        <v>4.8</v>
      </c>
      <c r="E698" s="24">
        <v>4.7850000000000001</v>
      </c>
      <c r="F698" s="24">
        <v>4.6500000000000004</v>
      </c>
      <c r="G698" s="83">
        <f t="shared" si="85"/>
        <v>94.867659614837294</v>
      </c>
      <c r="H698" s="84">
        <f t="shared" si="88"/>
        <v>100.49830817315123</v>
      </c>
      <c r="I698" s="84">
        <f t="shared" si="86"/>
        <v>88.371654727009386</v>
      </c>
      <c r="J698" s="84">
        <f t="shared" si="87"/>
        <v>392474475.87798524</v>
      </c>
      <c r="L698" s="19">
        <f t="shared" si="90"/>
        <v>-1.9999999999999574E-2</v>
      </c>
      <c r="M698" s="19">
        <f t="shared" si="91"/>
        <v>-1.9999999999999574E-2</v>
      </c>
      <c r="N698" s="19">
        <f t="shared" si="91"/>
        <v>-2.0000000000000462E-2</v>
      </c>
      <c r="O698" s="19">
        <f t="shared" si="91"/>
        <v>2.5500000000000078E-2</v>
      </c>
      <c r="P698" s="19">
        <f t="shared" si="89"/>
        <v>-4.0000000000000036E-2</v>
      </c>
      <c r="R698" s="19"/>
      <c r="S698" s="19"/>
      <c r="T698" s="19"/>
      <c r="U698" s="19"/>
      <c r="V698" s="19"/>
    </row>
    <row r="699" spans="1:22" x14ac:dyDescent="0.2">
      <c r="A699" s="8">
        <v>45215</v>
      </c>
      <c r="B699" s="24">
        <v>5.42</v>
      </c>
      <c r="C699" s="24">
        <v>5.09</v>
      </c>
      <c r="D699" s="24">
        <v>4.87</v>
      </c>
      <c r="E699" s="66">
        <v>4.75</v>
      </c>
      <c r="F699" s="24">
        <v>4.72</v>
      </c>
      <c r="G699" s="83">
        <f t="shared" si="85"/>
        <v>94.858660595712379</v>
      </c>
      <c r="H699" s="84">
        <f t="shared" si="88"/>
        <v>100.31099632226373</v>
      </c>
      <c r="I699" s="84">
        <f t="shared" si="86"/>
        <v>88.097246400354379</v>
      </c>
      <c r="J699" s="84">
        <f t="shared" si="87"/>
        <v>391639812.30944669</v>
      </c>
      <c r="L699" s="19">
        <f t="shared" si="90"/>
        <v>9.9999999999997868E-3</v>
      </c>
      <c r="M699" s="19">
        <f t="shared" si="91"/>
        <v>4.9999999999999822E-2</v>
      </c>
      <c r="N699" s="19">
        <f t="shared" si="91"/>
        <v>7.0000000000000284E-2</v>
      </c>
      <c r="O699" s="19">
        <f t="shared" si="91"/>
        <v>-3.5000000000000142E-2</v>
      </c>
      <c r="P699" s="19">
        <f t="shared" si="89"/>
        <v>6.9999999999999396E-2</v>
      </c>
      <c r="R699" s="19"/>
      <c r="S699" s="19"/>
      <c r="T699" s="19"/>
      <c r="U699" s="19"/>
      <c r="V699" s="19"/>
    </row>
    <row r="700" spans="1:22" x14ac:dyDescent="0.2">
      <c r="A700" s="8">
        <v>45216</v>
      </c>
      <c r="B700" s="24">
        <v>5.48</v>
      </c>
      <c r="C700" s="24">
        <v>5.19</v>
      </c>
      <c r="D700" s="24">
        <v>5.01</v>
      </c>
      <c r="E700" s="24">
        <v>4.6963999999999997</v>
      </c>
      <c r="F700" s="24">
        <v>4.8600000000000003</v>
      </c>
      <c r="G700" s="83">
        <f t="shared" si="85"/>
        <v>94.804702313234742</v>
      </c>
      <c r="H700" s="84">
        <f t="shared" si="88"/>
        <v>99.936051688957846</v>
      </c>
      <c r="I700" s="84">
        <f t="shared" si="86"/>
        <v>87.549965490530212</v>
      </c>
      <c r="J700" s="84">
        <f t="shared" si="87"/>
        <v>389905189.05515355</v>
      </c>
      <c r="L700" s="19">
        <f t="shared" si="90"/>
        <v>6.0000000000000497E-2</v>
      </c>
      <c r="M700" s="19">
        <f t="shared" si="91"/>
        <v>0.10000000000000053</v>
      </c>
      <c r="N700" s="19">
        <f t="shared" si="91"/>
        <v>0.13999999999999968</v>
      </c>
      <c r="O700" s="19">
        <f t="shared" si="91"/>
        <v>-5.3600000000000314E-2</v>
      </c>
      <c r="P700" s="19">
        <f t="shared" si="89"/>
        <v>0.14000000000000057</v>
      </c>
      <c r="R700" s="19"/>
      <c r="S700" s="19"/>
      <c r="T700" s="19"/>
      <c r="U700" s="19"/>
      <c r="V700" s="19"/>
    </row>
    <row r="701" spans="1:22" x14ac:dyDescent="0.2">
      <c r="A701" s="8">
        <v>45217</v>
      </c>
      <c r="B701" s="24">
        <v>5.47</v>
      </c>
      <c r="C701" s="24">
        <v>5.19</v>
      </c>
      <c r="D701" s="24">
        <v>5.03</v>
      </c>
      <c r="E701" s="24">
        <v>4.649</v>
      </c>
      <c r="F701" s="24">
        <v>4.92</v>
      </c>
      <c r="G701" s="83">
        <f t="shared" si="85"/>
        <v>94.813691096994404</v>
      </c>
      <c r="H701" s="84">
        <f t="shared" si="88"/>
        <v>99.884710341589994</v>
      </c>
      <c r="I701" s="84">
        <f t="shared" si="86"/>
        <v>87.32239403800061</v>
      </c>
      <c r="J701" s="84">
        <f t="shared" si="87"/>
        <v>389089892.83360624</v>
      </c>
      <c r="L701" s="19">
        <f t="shared" si="90"/>
        <v>-1.0000000000000675E-2</v>
      </c>
      <c r="M701" s="19">
        <f t="shared" si="91"/>
        <v>0</v>
      </c>
      <c r="N701" s="19">
        <f t="shared" si="91"/>
        <v>2.0000000000000462E-2</v>
      </c>
      <c r="O701" s="19">
        <f t="shared" si="91"/>
        <v>-4.7399999999999665E-2</v>
      </c>
      <c r="P701" s="19">
        <f t="shared" si="89"/>
        <v>5.9999999999999609E-2</v>
      </c>
      <c r="R701" s="19"/>
      <c r="S701" s="19"/>
      <c r="T701" s="19"/>
      <c r="U701" s="19"/>
      <c r="V701" s="19"/>
    </row>
    <row r="702" spans="1:22" x14ac:dyDescent="0.2">
      <c r="A702" s="8">
        <v>45218</v>
      </c>
      <c r="B702" s="24">
        <v>5.44</v>
      </c>
      <c r="C702" s="24">
        <v>5.14</v>
      </c>
      <c r="D702" s="24">
        <v>5.01</v>
      </c>
      <c r="E702" s="24">
        <v>4.7271000000000001</v>
      </c>
      <c r="F702" s="24">
        <v>4.95</v>
      </c>
      <c r="G702" s="83">
        <f t="shared" si="85"/>
        <v>94.840667678300449</v>
      </c>
      <c r="H702" s="84">
        <f t="shared" si="88"/>
        <v>99.942148847630705</v>
      </c>
      <c r="I702" s="84">
        <f t="shared" si="86"/>
        <v>87.206074812336823</v>
      </c>
      <c r="J702" s="84">
        <f t="shared" si="87"/>
        <v>388592411.3345021</v>
      </c>
      <c r="L702" s="19">
        <f t="shared" si="90"/>
        <v>-2.9999999999999361E-2</v>
      </c>
      <c r="M702" s="19">
        <f t="shared" si="91"/>
        <v>-5.0000000000000711E-2</v>
      </c>
      <c r="N702" s="19">
        <f t="shared" si="91"/>
        <v>-2.0000000000000462E-2</v>
      </c>
      <c r="O702" s="19">
        <f t="shared" si="91"/>
        <v>7.8100000000000058E-2</v>
      </c>
      <c r="P702" s="19">
        <f t="shared" si="89"/>
        <v>3.0000000000000249E-2</v>
      </c>
      <c r="R702" s="19"/>
      <c r="S702" s="19"/>
      <c r="T702" s="19"/>
      <c r="U702" s="19"/>
      <c r="V702" s="19"/>
    </row>
    <row r="703" spans="1:22" x14ac:dyDescent="0.2">
      <c r="A703" s="8">
        <v>45219</v>
      </c>
      <c r="B703" s="24">
        <v>5.41</v>
      </c>
      <c r="C703" s="24">
        <v>5.07</v>
      </c>
      <c r="D703" s="24">
        <v>4.93</v>
      </c>
      <c r="E703" s="24">
        <v>4.7042000000000002</v>
      </c>
      <c r="F703" s="24">
        <v>4.8600000000000003</v>
      </c>
      <c r="G703" s="83">
        <f t="shared" si="85"/>
        <v>94.867659614837294</v>
      </c>
      <c r="H703" s="84">
        <f t="shared" si="88"/>
        <v>100.15708543637776</v>
      </c>
      <c r="I703" s="84">
        <f t="shared" si="86"/>
        <v>87.558813228850923</v>
      </c>
      <c r="J703" s="84">
        <f t="shared" si="87"/>
        <v>389734943.9905116</v>
      </c>
      <c r="L703" s="19">
        <f t="shared" si="90"/>
        <v>-3.0000000000000249E-2</v>
      </c>
      <c r="M703" s="19">
        <f t="shared" si="91"/>
        <v>-6.9999999999999396E-2</v>
      </c>
      <c r="N703" s="19">
        <f t="shared" si="91"/>
        <v>-8.0000000000000071E-2</v>
      </c>
      <c r="O703" s="19">
        <f t="shared" si="91"/>
        <v>-2.289999999999992E-2</v>
      </c>
      <c r="P703" s="19">
        <f t="shared" si="89"/>
        <v>-8.9999999999999858E-2</v>
      </c>
      <c r="R703" s="19"/>
      <c r="S703" s="19"/>
      <c r="T703" s="19"/>
      <c r="U703" s="19"/>
      <c r="V703" s="19"/>
    </row>
    <row r="704" spans="1:22" x14ac:dyDescent="0.2">
      <c r="A704" s="8">
        <v>45222</v>
      </c>
      <c r="B704" s="24">
        <v>5.42</v>
      </c>
      <c r="C704" s="24">
        <v>5.05</v>
      </c>
      <c r="D704" s="24">
        <v>4.8899999999999997</v>
      </c>
      <c r="E704" s="24">
        <v>4.7496</v>
      </c>
      <c r="F704" s="24">
        <v>4.8099999999999996</v>
      </c>
      <c r="G704" s="83">
        <f t="shared" si="85"/>
        <v>94.858660595712379</v>
      </c>
      <c r="H704" s="84">
        <f t="shared" si="88"/>
        <v>100.26237689709146</v>
      </c>
      <c r="I704" s="84">
        <f t="shared" si="86"/>
        <v>87.750510365582699</v>
      </c>
      <c r="J704" s="84">
        <f t="shared" si="87"/>
        <v>390325797.3081184</v>
      </c>
      <c r="L704" s="19">
        <f t="shared" si="90"/>
        <v>9.9999999999997868E-3</v>
      </c>
      <c r="M704" s="19">
        <f t="shared" si="91"/>
        <v>-2.0000000000000462E-2</v>
      </c>
      <c r="N704" s="19">
        <f t="shared" si="91"/>
        <v>-4.0000000000000036E-2</v>
      </c>
      <c r="O704" s="19">
        <f t="shared" si="91"/>
        <v>4.5399999999999885E-2</v>
      </c>
      <c r="P704" s="19">
        <f t="shared" si="89"/>
        <v>-5.0000000000000711E-2</v>
      </c>
      <c r="R704" s="19"/>
      <c r="S704" s="19"/>
      <c r="T704" s="19"/>
      <c r="U704" s="19"/>
      <c r="V704" s="19"/>
    </row>
    <row r="705" spans="1:22" x14ac:dyDescent="0.2">
      <c r="A705" s="8">
        <v>45223</v>
      </c>
      <c r="B705" s="24">
        <v>5.41</v>
      </c>
      <c r="C705" s="24">
        <v>5.0199999999999996</v>
      </c>
      <c r="D705" s="24">
        <v>4.91</v>
      </c>
      <c r="E705" s="24">
        <v>4.8594999999999997</v>
      </c>
      <c r="F705" s="24">
        <v>4.82</v>
      </c>
      <c r="G705" s="83">
        <f t="shared" si="85"/>
        <v>94.867659614837294</v>
      </c>
      <c r="H705" s="84">
        <f t="shared" si="88"/>
        <v>100.21338759406831</v>
      </c>
      <c r="I705" s="84">
        <f t="shared" si="86"/>
        <v>87.705319861215187</v>
      </c>
      <c r="J705" s="84">
        <f t="shared" si="87"/>
        <v>390236517.28343284</v>
      </c>
      <c r="L705" s="19">
        <f t="shared" si="90"/>
        <v>-9.9999999999997868E-3</v>
      </c>
      <c r="M705" s="19">
        <f t="shared" si="91"/>
        <v>-3.0000000000000249E-2</v>
      </c>
      <c r="N705" s="19">
        <f t="shared" si="91"/>
        <v>2.0000000000000462E-2</v>
      </c>
      <c r="O705" s="19">
        <f t="shared" si="91"/>
        <v>0.10989999999999966</v>
      </c>
      <c r="P705" s="19">
        <f t="shared" si="89"/>
        <v>1.0000000000000675E-2</v>
      </c>
      <c r="R705" s="19"/>
      <c r="S705" s="19"/>
      <c r="T705" s="19"/>
      <c r="U705" s="19"/>
      <c r="V705" s="19"/>
    </row>
    <row r="706" spans="1:22" x14ac:dyDescent="0.2">
      <c r="A706" s="8">
        <v>45224</v>
      </c>
      <c r="B706" s="24">
        <v>5.43</v>
      </c>
      <c r="C706" s="24">
        <v>5.08</v>
      </c>
      <c r="D706" s="24">
        <v>4.9800000000000004</v>
      </c>
      <c r="E706" s="24">
        <v>4.9105999999999996</v>
      </c>
      <c r="F706" s="24">
        <v>4.8899999999999997</v>
      </c>
      <c r="G706" s="83">
        <f t="shared" ref="G706:G769" si="92">100/((1+B706/100)^1)</f>
        <v>94.849663283695335</v>
      </c>
      <c r="H706" s="84">
        <f t="shared" si="88"/>
        <v>100.0255255984611</v>
      </c>
      <c r="I706" s="84">
        <f t="shared" ref="I706:I769" si="93">SUM(2/(1+B706/100)^1, 2/(1+C706/100)^2, 2/(1+D706/100)^3, 2/(1+E706/100)^4, 102/(1+F706/100)^5)</f>
        <v>87.427589316114208</v>
      </c>
      <c r="J706" s="84">
        <f t="shared" ref="J706:J769" si="94">G706*2000000+H706*-1500000+I706*4000000</f>
        <v>389371395.43415582</v>
      </c>
      <c r="L706" s="19">
        <f t="shared" si="90"/>
        <v>1.9999999999999574E-2</v>
      </c>
      <c r="M706" s="19">
        <f t="shared" si="91"/>
        <v>6.0000000000000497E-2</v>
      </c>
      <c r="N706" s="19">
        <f t="shared" si="91"/>
        <v>7.0000000000000284E-2</v>
      </c>
      <c r="O706" s="19">
        <f t="shared" si="91"/>
        <v>5.1099999999999923E-2</v>
      </c>
      <c r="P706" s="19">
        <f t="shared" si="89"/>
        <v>6.9999999999999396E-2</v>
      </c>
      <c r="R706" s="19"/>
      <c r="S706" s="19"/>
      <c r="T706" s="19"/>
      <c r="U706" s="19"/>
      <c r="V706" s="19"/>
    </row>
    <row r="707" spans="1:22" x14ac:dyDescent="0.2">
      <c r="A707" s="8">
        <v>45225</v>
      </c>
      <c r="B707" s="24">
        <v>5.39</v>
      </c>
      <c r="C707" s="24">
        <v>5.0199999999999996</v>
      </c>
      <c r="D707" s="24">
        <v>4.8899999999999997</v>
      </c>
      <c r="E707" s="24">
        <v>4.9375</v>
      </c>
      <c r="F707" s="24">
        <v>4.79</v>
      </c>
      <c r="G707" s="83">
        <f t="shared" si="92"/>
        <v>94.885662776354494</v>
      </c>
      <c r="H707" s="84">
        <f t="shared" ref="H707:H770" si="95">SUM(5/(1+B707/100)^1, 5/(1+C707/100)^2, 105/(1+D707/100)^3)</f>
        <v>100.26631592923867</v>
      </c>
      <c r="I707" s="84">
        <f t="shared" si="93"/>
        <v>87.817209504086307</v>
      </c>
      <c r="J707" s="84">
        <f t="shared" si="94"/>
        <v>390640689.67519617</v>
      </c>
      <c r="L707" s="19">
        <f t="shared" si="90"/>
        <v>-4.0000000000000036E-2</v>
      </c>
      <c r="M707" s="19">
        <f t="shared" si="91"/>
        <v>-6.0000000000000497E-2</v>
      </c>
      <c r="N707" s="19">
        <f t="shared" si="91"/>
        <v>-9.0000000000000746E-2</v>
      </c>
      <c r="O707" s="19">
        <f t="shared" si="91"/>
        <v>2.6900000000000368E-2</v>
      </c>
      <c r="P707" s="19">
        <f t="shared" si="89"/>
        <v>-9.9999999999999645E-2</v>
      </c>
      <c r="R707" s="19"/>
      <c r="S707" s="19"/>
      <c r="T707" s="19"/>
      <c r="U707" s="19"/>
      <c r="V707" s="19"/>
    </row>
    <row r="708" spans="1:22" x14ac:dyDescent="0.2">
      <c r="A708" s="8">
        <v>45226</v>
      </c>
      <c r="B708" s="24">
        <v>5.39</v>
      </c>
      <c r="C708" s="24">
        <v>4.99</v>
      </c>
      <c r="D708" s="24">
        <v>4.84</v>
      </c>
      <c r="E708" s="24">
        <v>4.8851000000000004</v>
      </c>
      <c r="F708" s="24">
        <v>4.76</v>
      </c>
      <c r="G708" s="83">
        <f t="shared" si="92"/>
        <v>94.885662776354494</v>
      </c>
      <c r="H708" s="84">
        <f t="shared" si="95"/>
        <v>100.39915127290338</v>
      </c>
      <c r="I708" s="84">
        <f t="shared" si="93"/>
        <v>87.93967521144495</v>
      </c>
      <c r="J708" s="84">
        <f t="shared" si="94"/>
        <v>390931299.48913372</v>
      </c>
      <c r="L708" s="19">
        <f t="shared" si="90"/>
        <v>0</v>
      </c>
      <c r="M708" s="19">
        <f t="shared" si="91"/>
        <v>-2.9999999999999361E-2</v>
      </c>
      <c r="N708" s="19">
        <f t="shared" si="91"/>
        <v>-4.9999999999999822E-2</v>
      </c>
      <c r="O708" s="19">
        <f t="shared" si="91"/>
        <v>-5.2399999999999558E-2</v>
      </c>
      <c r="P708" s="19">
        <f t="shared" si="91"/>
        <v>-3.0000000000000249E-2</v>
      </c>
      <c r="R708" s="19"/>
      <c r="S708" s="19"/>
      <c r="T708" s="19"/>
      <c r="U708" s="19"/>
      <c r="V708" s="19"/>
    </row>
    <row r="709" spans="1:22" x14ac:dyDescent="0.2">
      <c r="A709" s="8">
        <v>45229</v>
      </c>
      <c r="B709" s="24">
        <v>5.41</v>
      </c>
      <c r="C709" s="24">
        <v>5.03</v>
      </c>
      <c r="D709" s="24">
        <v>4.87</v>
      </c>
      <c r="E709" s="24">
        <v>4.8331</v>
      </c>
      <c r="F709" s="24">
        <v>4.8</v>
      </c>
      <c r="G709" s="83">
        <f t="shared" si="92"/>
        <v>94.867659614837294</v>
      </c>
      <c r="H709" s="84">
        <f t="shared" si="95"/>
        <v>100.31662042461306</v>
      </c>
      <c r="I709" s="84">
        <f t="shared" si="93"/>
        <v>87.785569941887914</v>
      </c>
      <c r="J709" s="84">
        <f t="shared" si="94"/>
        <v>390402668.36030662</v>
      </c>
      <c r="L709" s="19">
        <f t="shared" ref="L709:L772" si="96">B709-B708</f>
        <v>2.0000000000000462E-2</v>
      </c>
      <c r="M709" s="19">
        <f t="shared" ref="M709:P772" si="97">C709-C708</f>
        <v>4.0000000000000036E-2</v>
      </c>
      <c r="N709" s="19">
        <f t="shared" si="97"/>
        <v>3.0000000000000249E-2</v>
      </c>
      <c r="O709" s="19">
        <f t="shared" si="97"/>
        <v>-5.200000000000049E-2</v>
      </c>
      <c r="P709" s="19">
        <f t="shared" si="97"/>
        <v>4.0000000000000036E-2</v>
      </c>
      <c r="R709" s="19"/>
      <c r="S709" s="19"/>
      <c r="T709" s="19"/>
      <c r="U709" s="19"/>
      <c r="V709" s="19"/>
    </row>
    <row r="710" spans="1:22" x14ac:dyDescent="0.2">
      <c r="A710" s="8">
        <v>45230</v>
      </c>
      <c r="B710" s="24">
        <v>5.44</v>
      </c>
      <c r="C710" s="24">
        <v>5.07</v>
      </c>
      <c r="D710" s="24">
        <v>4.9000000000000004</v>
      </c>
      <c r="E710" s="24">
        <v>4.8262</v>
      </c>
      <c r="F710" s="24">
        <v>4.82</v>
      </c>
      <c r="G710" s="83">
        <f t="shared" si="92"/>
        <v>94.840667678300449</v>
      </c>
      <c r="H710" s="84">
        <f t="shared" si="95"/>
        <v>100.23373348600452</v>
      </c>
      <c r="I710" s="84">
        <f t="shared" si="93"/>
        <v>87.70565298287903</v>
      </c>
      <c r="J710" s="84">
        <f t="shared" si="94"/>
        <v>390153347.05911022</v>
      </c>
      <c r="L710" s="19">
        <f t="shared" si="96"/>
        <v>3.0000000000000249E-2</v>
      </c>
      <c r="M710" s="19">
        <f t="shared" si="97"/>
        <v>4.0000000000000036E-2</v>
      </c>
      <c r="N710" s="19">
        <f t="shared" si="97"/>
        <v>3.0000000000000249E-2</v>
      </c>
      <c r="O710" s="19">
        <f t="shared" si="97"/>
        <v>-6.8999999999999062E-3</v>
      </c>
      <c r="P710" s="19">
        <f t="shared" si="97"/>
        <v>2.0000000000000462E-2</v>
      </c>
      <c r="R710" s="19"/>
      <c r="S710" s="19"/>
      <c r="T710" s="19"/>
      <c r="U710" s="19"/>
      <c r="V710" s="19"/>
    </row>
    <row r="711" spans="1:22" x14ac:dyDescent="0.2">
      <c r="A711" s="8">
        <v>45231</v>
      </c>
      <c r="B711" s="24">
        <v>5.37</v>
      </c>
      <c r="C711" s="24">
        <v>4.95</v>
      </c>
      <c r="D711" s="24">
        <v>4.76</v>
      </c>
      <c r="E711" s="24">
        <v>4.8906999999999998</v>
      </c>
      <c r="F711" s="24">
        <v>4.67</v>
      </c>
      <c r="G711" s="83">
        <f t="shared" si="92"/>
        <v>94.903672772136275</v>
      </c>
      <c r="H711" s="84">
        <f t="shared" si="95"/>
        <v>100.61241835120587</v>
      </c>
      <c r="I711" s="84">
        <f t="shared" si="93"/>
        <v>88.293189803857473</v>
      </c>
      <c r="J711" s="84">
        <f t="shared" si="94"/>
        <v>392061477.23289365</v>
      </c>
      <c r="L711" s="19">
        <f t="shared" si="96"/>
        <v>-7.0000000000000284E-2</v>
      </c>
      <c r="M711" s="19">
        <f t="shared" si="97"/>
        <v>-0.12000000000000011</v>
      </c>
      <c r="N711" s="19">
        <f t="shared" si="97"/>
        <v>-0.14000000000000057</v>
      </c>
      <c r="O711" s="19">
        <f t="shared" si="97"/>
        <v>6.449999999999978E-2</v>
      </c>
      <c r="P711" s="19">
        <f t="shared" si="97"/>
        <v>-0.15000000000000036</v>
      </c>
      <c r="R711" s="19"/>
      <c r="S711" s="19"/>
      <c r="T711" s="19"/>
      <c r="U711" s="19"/>
      <c r="V711" s="19"/>
    </row>
    <row r="712" spans="1:22" x14ac:dyDescent="0.2">
      <c r="A712" s="8">
        <v>45232</v>
      </c>
      <c r="B712" s="24">
        <v>5.38</v>
      </c>
      <c r="C712" s="24">
        <v>4.9800000000000004</v>
      </c>
      <c r="D712" s="24">
        <v>4.78</v>
      </c>
      <c r="E712" s="24">
        <v>4.8354999999999997</v>
      </c>
      <c r="F712" s="24">
        <v>4.6500000000000004</v>
      </c>
      <c r="G712" s="83">
        <f t="shared" si="92"/>
        <v>94.8946669197191</v>
      </c>
      <c r="H712" s="84">
        <f t="shared" si="95"/>
        <v>100.55708706532725</v>
      </c>
      <c r="I712" s="84">
        <f t="shared" si="93"/>
        <v>88.372068467618021</v>
      </c>
      <c r="J712" s="84">
        <f t="shared" si="94"/>
        <v>392441977.1119194</v>
      </c>
      <c r="L712" s="19">
        <f t="shared" si="96"/>
        <v>9.9999999999997868E-3</v>
      </c>
      <c r="M712" s="19">
        <f t="shared" si="97"/>
        <v>3.0000000000000249E-2</v>
      </c>
      <c r="N712" s="19">
        <f t="shared" si="97"/>
        <v>2.0000000000000462E-2</v>
      </c>
      <c r="O712" s="19">
        <f t="shared" si="97"/>
        <v>-5.5200000000000138E-2</v>
      </c>
      <c r="P712" s="19">
        <f t="shared" si="97"/>
        <v>-1.9999999999999574E-2</v>
      </c>
      <c r="R712" s="19"/>
      <c r="S712" s="19"/>
      <c r="T712" s="19"/>
      <c r="U712" s="19"/>
      <c r="V712" s="19"/>
    </row>
    <row r="713" spans="1:22" x14ac:dyDescent="0.2">
      <c r="A713" s="8">
        <v>45233</v>
      </c>
      <c r="B713" s="24">
        <v>5.29</v>
      </c>
      <c r="C713" s="24">
        <v>4.83</v>
      </c>
      <c r="D713" s="24">
        <v>4.62</v>
      </c>
      <c r="E713" s="24">
        <v>4.7957999999999998</v>
      </c>
      <c r="F713" s="24">
        <v>4.49</v>
      </c>
      <c r="G713" s="83">
        <f t="shared" si="92"/>
        <v>94.975781175800179</v>
      </c>
      <c r="H713" s="84">
        <f t="shared" si="95"/>
        <v>100.99355126215558</v>
      </c>
      <c r="I713" s="84">
        <f t="shared" si="93"/>
        <v>89.013480156782421</v>
      </c>
      <c r="J713" s="84">
        <f t="shared" si="94"/>
        <v>394515156.08549666</v>
      </c>
      <c r="L713" s="19">
        <f t="shared" si="96"/>
        <v>-8.9999999999999858E-2</v>
      </c>
      <c r="M713" s="19">
        <f t="shared" si="97"/>
        <v>-0.15000000000000036</v>
      </c>
      <c r="N713" s="19">
        <f t="shared" si="97"/>
        <v>-0.16000000000000014</v>
      </c>
      <c r="O713" s="19">
        <f t="shared" si="97"/>
        <v>-3.9699999999999847E-2</v>
      </c>
      <c r="P713" s="19">
        <f t="shared" si="97"/>
        <v>-0.16000000000000014</v>
      </c>
      <c r="R713" s="19"/>
      <c r="S713" s="19"/>
      <c r="T713" s="19"/>
      <c r="U713" s="19"/>
      <c r="V713" s="19"/>
    </row>
    <row r="714" spans="1:22" x14ac:dyDescent="0.2">
      <c r="A714" s="8">
        <v>45236</v>
      </c>
      <c r="B714" s="24">
        <v>5.33</v>
      </c>
      <c r="C714" s="24">
        <v>4.93</v>
      </c>
      <c r="D714" s="24">
        <v>4.72</v>
      </c>
      <c r="E714" s="24">
        <v>4.8102999999999998</v>
      </c>
      <c r="F714" s="24">
        <v>4.5999999999999996</v>
      </c>
      <c r="G714" s="83">
        <f t="shared" si="92"/>
        <v>94.939713282065895</v>
      </c>
      <c r="H714" s="84">
        <f t="shared" si="95"/>
        <v>100.72064466186285</v>
      </c>
      <c r="I714" s="84">
        <f t="shared" si="93"/>
        <v>88.573696373069509</v>
      </c>
      <c r="J714" s="84">
        <f t="shared" si="94"/>
        <v>393093245.06361556</v>
      </c>
      <c r="L714" s="19">
        <f t="shared" si="96"/>
        <v>4.0000000000000036E-2</v>
      </c>
      <c r="M714" s="19">
        <f t="shared" si="97"/>
        <v>9.9999999999999645E-2</v>
      </c>
      <c r="N714" s="19">
        <f t="shared" si="97"/>
        <v>9.9999999999999645E-2</v>
      </c>
      <c r="O714" s="19">
        <f t="shared" si="97"/>
        <v>1.4499999999999957E-2</v>
      </c>
      <c r="P714" s="19">
        <f t="shared" si="97"/>
        <v>0.10999999999999943</v>
      </c>
      <c r="R714" s="19"/>
      <c r="S714" s="19"/>
      <c r="T714" s="19"/>
      <c r="U714" s="19"/>
      <c r="V714" s="19"/>
    </row>
    <row r="715" spans="1:22" x14ac:dyDescent="0.2">
      <c r="A715" s="8">
        <v>45237</v>
      </c>
      <c r="B715" s="24">
        <v>5.33</v>
      </c>
      <c r="C715" s="24">
        <v>4.91</v>
      </c>
      <c r="D715" s="24">
        <v>4.6399999999999997</v>
      </c>
      <c r="E715" s="24">
        <v>4.8238000000000003</v>
      </c>
      <c r="F715" s="24">
        <v>4.53</v>
      </c>
      <c r="G715" s="83">
        <f t="shared" si="92"/>
        <v>94.939713282065895</v>
      </c>
      <c r="H715" s="84">
        <f t="shared" si="95"/>
        <v>100.9322441338211</v>
      </c>
      <c r="I715" s="84">
        <f t="shared" si="93"/>
        <v>88.850651003541202</v>
      </c>
      <c r="J715" s="84">
        <f t="shared" si="94"/>
        <v>393883664.37756491</v>
      </c>
      <c r="L715" s="19">
        <f t="shared" si="96"/>
        <v>0</v>
      </c>
      <c r="M715" s="19">
        <f t="shared" si="97"/>
        <v>-1.9999999999999574E-2</v>
      </c>
      <c r="N715" s="19">
        <f t="shared" si="97"/>
        <v>-8.0000000000000071E-2</v>
      </c>
      <c r="O715" s="19">
        <f t="shared" si="97"/>
        <v>1.3500000000000512E-2</v>
      </c>
      <c r="P715" s="19">
        <f t="shared" si="97"/>
        <v>-6.9999999999999396E-2</v>
      </c>
      <c r="R715" s="19"/>
      <c r="S715" s="19"/>
      <c r="T715" s="19"/>
      <c r="U715" s="19"/>
      <c r="V715" s="19"/>
    </row>
    <row r="716" spans="1:22" x14ac:dyDescent="0.2">
      <c r="A716" s="8">
        <v>45238</v>
      </c>
      <c r="B716" s="24">
        <v>5.34</v>
      </c>
      <c r="C716" s="24">
        <v>4.93</v>
      </c>
      <c r="D716" s="24">
        <v>4.6500000000000004</v>
      </c>
      <c r="E716" s="24">
        <v>4.7229999999999999</v>
      </c>
      <c r="F716" s="24">
        <v>4.51</v>
      </c>
      <c r="G716" s="83">
        <f t="shared" si="92"/>
        <v>94.93070058857036</v>
      </c>
      <c r="H716" s="84">
        <f t="shared" si="95"/>
        <v>100.90379328704407</v>
      </c>
      <c r="I716" s="84">
        <f t="shared" si="93"/>
        <v>88.933900215264842</v>
      </c>
      <c r="J716" s="84">
        <f t="shared" si="94"/>
        <v>394241312.10763395</v>
      </c>
      <c r="L716" s="19">
        <f t="shared" si="96"/>
        <v>9.9999999999997868E-3</v>
      </c>
      <c r="M716" s="19">
        <f t="shared" si="97"/>
        <v>1.9999999999999574E-2</v>
      </c>
      <c r="N716" s="19">
        <f t="shared" si="97"/>
        <v>1.0000000000000675E-2</v>
      </c>
      <c r="O716" s="19">
        <f t="shared" si="97"/>
        <v>-0.10080000000000044</v>
      </c>
      <c r="P716" s="19">
        <f t="shared" si="97"/>
        <v>-2.0000000000000462E-2</v>
      </c>
      <c r="R716" s="19"/>
      <c r="S716" s="19"/>
      <c r="T716" s="19"/>
      <c r="U716" s="19"/>
      <c r="V716" s="19"/>
    </row>
    <row r="717" spans="1:22" x14ac:dyDescent="0.2">
      <c r="A717" s="8">
        <v>45239</v>
      </c>
      <c r="B717" s="24">
        <v>5.39</v>
      </c>
      <c r="C717" s="24">
        <v>5.03</v>
      </c>
      <c r="D717" s="24">
        <v>4.7699999999999996</v>
      </c>
      <c r="E717" s="24">
        <v>4.6753999999999998</v>
      </c>
      <c r="F717" s="24">
        <v>4.6500000000000004</v>
      </c>
      <c r="G717" s="83">
        <f t="shared" si="92"/>
        <v>94.885662776354494</v>
      </c>
      <c r="H717" s="84">
        <f t="shared" si="95"/>
        <v>100.57845673956689</v>
      </c>
      <c r="I717" s="84">
        <f t="shared" si="93"/>
        <v>88.380811949890315</v>
      </c>
      <c r="J717" s="84">
        <f t="shared" si="94"/>
        <v>392426888.24291992</v>
      </c>
      <c r="L717" s="19">
        <f t="shared" si="96"/>
        <v>4.9999999999999822E-2</v>
      </c>
      <c r="M717" s="19">
        <f t="shared" si="97"/>
        <v>0.10000000000000053</v>
      </c>
      <c r="N717" s="19">
        <f t="shared" si="97"/>
        <v>0.11999999999999922</v>
      </c>
      <c r="O717" s="19">
        <f t="shared" si="97"/>
        <v>-4.7600000000000087E-2</v>
      </c>
      <c r="P717" s="19">
        <f t="shared" si="97"/>
        <v>0.14000000000000057</v>
      </c>
      <c r="R717" s="19"/>
      <c r="S717" s="19"/>
      <c r="T717" s="19"/>
      <c r="U717" s="19"/>
      <c r="V717" s="19"/>
    </row>
    <row r="718" spans="1:22" x14ac:dyDescent="0.2">
      <c r="A718" s="8">
        <v>45240</v>
      </c>
      <c r="B718" s="24">
        <v>5.38</v>
      </c>
      <c r="C718" s="24">
        <v>5.04</v>
      </c>
      <c r="D718" s="24">
        <v>4.8</v>
      </c>
      <c r="E718" s="24">
        <v>4.5541</v>
      </c>
      <c r="F718" s="24">
        <v>4.6500000000000004</v>
      </c>
      <c r="G718" s="83">
        <f t="shared" si="92"/>
        <v>94.8946669197191</v>
      </c>
      <c r="H718" s="84">
        <f t="shared" si="95"/>
        <v>100.49965853839532</v>
      </c>
      <c r="I718" s="84">
        <f t="shared" si="93"/>
        <v>88.386898171687292</v>
      </c>
      <c r="J718" s="84">
        <f t="shared" si="94"/>
        <v>392587438.71859437</v>
      </c>
      <c r="L718" s="19">
        <f t="shared" si="96"/>
        <v>-9.9999999999997868E-3</v>
      </c>
      <c r="M718" s="19">
        <f t="shared" si="97"/>
        <v>9.9999999999997868E-3</v>
      </c>
      <c r="N718" s="19">
        <f t="shared" si="97"/>
        <v>3.0000000000000249E-2</v>
      </c>
      <c r="O718" s="19">
        <f t="shared" si="97"/>
        <v>-0.12129999999999974</v>
      </c>
      <c r="P718" s="19">
        <f t="shared" si="97"/>
        <v>0</v>
      </c>
      <c r="R718" s="19"/>
      <c r="S718" s="19"/>
      <c r="T718" s="19"/>
      <c r="U718" s="19"/>
      <c r="V718" s="19"/>
    </row>
    <row r="719" spans="1:22" x14ac:dyDescent="0.2">
      <c r="A719" s="8">
        <v>45243</v>
      </c>
      <c r="B719" s="24">
        <v>5.37</v>
      </c>
      <c r="C719" s="24">
        <v>5.0199999999999996</v>
      </c>
      <c r="D719" s="24">
        <v>4.8</v>
      </c>
      <c r="E719" s="24">
        <v>4.6096000000000004</v>
      </c>
      <c r="F719" s="24">
        <v>4.66</v>
      </c>
      <c r="G719" s="83">
        <f t="shared" si="92"/>
        <v>94.903672772136275</v>
      </c>
      <c r="H719" s="84">
        <f t="shared" si="95"/>
        <v>100.50183502622589</v>
      </c>
      <c r="I719" s="84">
        <f t="shared" si="93"/>
        <v>88.34540384704799</v>
      </c>
      <c r="J719" s="84">
        <f t="shared" si="94"/>
        <v>392436208.39312565</v>
      </c>
      <c r="L719" s="19">
        <f t="shared" si="96"/>
        <v>-9.9999999999997868E-3</v>
      </c>
      <c r="M719" s="19">
        <f t="shared" si="97"/>
        <v>-2.0000000000000462E-2</v>
      </c>
      <c r="N719" s="19">
        <f t="shared" si="97"/>
        <v>0</v>
      </c>
      <c r="O719" s="19">
        <f t="shared" si="97"/>
        <v>5.5500000000000327E-2</v>
      </c>
      <c r="P719" s="19">
        <f t="shared" si="97"/>
        <v>9.9999999999997868E-3</v>
      </c>
      <c r="R719" s="19"/>
      <c r="S719" s="19"/>
      <c r="T719" s="19"/>
      <c r="U719" s="19"/>
      <c r="V719" s="19"/>
    </row>
    <row r="720" spans="1:22" x14ac:dyDescent="0.2">
      <c r="A720" s="8">
        <v>45244</v>
      </c>
      <c r="B720" s="24">
        <v>5.24</v>
      </c>
      <c r="C720" s="24">
        <v>4.8</v>
      </c>
      <c r="D720" s="24">
        <v>4.5599999999999996</v>
      </c>
      <c r="E720" s="24">
        <v>4.5744999999999996</v>
      </c>
      <c r="F720" s="24">
        <v>4.42</v>
      </c>
      <c r="G720" s="83">
        <f t="shared" si="92"/>
        <v>95.020904599011786</v>
      </c>
      <c r="H720" s="84">
        <f t="shared" si="95"/>
        <v>101.1563560157381</v>
      </c>
      <c r="I720" s="84">
        <f t="shared" si="93"/>
        <v>89.307363021787026</v>
      </c>
      <c r="J720" s="84">
        <f t="shared" si="94"/>
        <v>395536727.26156455</v>
      </c>
      <c r="L720" s="19">
        <f t="shared" si="96"/>
        <v>-0.12999999999999989</v>
      </c>
      <c r="M720" s="19">
        <f t="shared" si="97"/>
        <v>-0.21999999999999975</v>
      </c>
      <c r="N720" s="19">
        <f t="shared" si="97"/>
        <v>-0.24000000000000021</v>
      </c>
      <c r="O720" s="19">
        <f t="shared" si="97"/>
        <v>-3.5100000000000797E-2</v>
      </c>
      <c r="P720" s="19">
        <f t="shared" si="97"/>
        <v>-0.24000000000000021</v>
      </c>
      <c r="R720" s="19"/>
      <c r="S720" s="19"/>
      <c r="T720" s="19"/>
      <c r="U720" s="19"/>
      <c r="V720" s="19"/>
    </row>
    <row r="721" spans="1:22" x14ac:dyDescent="0.2">
      <c r="A721" s="8">
        <v>45245</v>
      </c>
      <c r="B721" s="24">
        <v>5.27</v>
      </c>
      <c r="C721" s="24">
        <v>4.9000000000000004</v>
      </c>
      <c r="D721" s="24">
        <v>4.68</v>
      </c>
      <c r="E721" s="24">
        <v>4.5570000000000004</v>
      </c>
      <c r="F721" s="24">
        <v>4.5199999999999996</v>
      </c>
      <c r="G721" s="83">
        <f t="shared" si="92"/>
        <v>94.993825401348914</v>
      </c>
      <c r="H721" s="84">
        <f t="shared" si="95"/>
        <v>100.83080181142745</v>
      </c>
      <c r="I721" s="84">
        <f t="shared" si="93"/>
        <v>88.906158437341347</v>
      </c>
      <c r="J721" s="84">
        <f t="shared" si="94"/>
        <v>394366081.83492208</v>
      </c>
      <c r="L721" s="19">
        <f t="shared" si="96"/>
        <v>2.9999999999999361E-2</v>
      </c>
      <c r="M721" s="19">
        <f t="shared" si="97"/>
        <v>0.10000000000000053</v>
      </c>
      <c r="N721" s="19">
        <f t="shared" si="97"/>
        <v>0.12000000000000011</v>
      </c>
      <c r="O721" s="19">
        <f t="shared" si="97"/>
        <v>-1.7499999999999183E-2</v>
      </c>
      <c r="P721" s="19">
        <f t="shared" si="97"/>
        <v>9.9999999999999645E-2</v>
      </c>
      <c r="R721" s="19"/>
      <c r="S721" s="19"/>
      <c r="T721" s="19"/>
      <c r="U721" s="19"/>
      <c r="V721" s="19"/>
    </row>
    <row r="722" spans="1:22" x14ac:dyDescent="0.2">
      <c r="A722" s="8">
        <v>45246</v>
      </c>
      <c r="B722" s="24">
        <v>5.23</v>
      </c>
      <c r="C722" s="24">
        <v>4.83</v>
      </c>
      <c r="D722" s="24">
        <v>4.59</v>
      </c>
      <c r="E722" s="24">
        <v>4.6558000000000002</v>
      </c>
      <c r="F722" s="24">
        <v>4.43</v>
      </c>
      <c r="G722" s="83">
        <f t="shared" si="92"/>
        <v>95.029934429345246</v>
      </c>
      <c r="H722" s="84">
        <f t="shared" si="95"/>
        <v>101.07518528282867</v>
      </c>
      <c r="I722" s="84">
        <f t="shared" si="93"/>
        <v>89.260474193652826</v>
      </c>
      <c r="J722" s="84">
        <f t="shared" si="94"/>
        <v>395488987.70905876</v>
      </c>
      <c r="L722" s="19">
        <f t="shared" si="96"/>
        <v>-3.9999999999999147E-2</v>
      </c>
      <c r="M722" s="19">
        <f t="shared" si="97"/>
        <v>-7.0000000000000284E-2</v>
      </c>
      <c r="N722" s="19">
        <f t="shared" si="97"/>
        <v>-8.9999999999999858E-2</v>
      </c>
      <c r="O722" s="19">
        <f t="shared" si="97"/>
        <v>9.8799999999999777E-2</v>
      </c>
      <c r="P722" s="19">
        <f t="shared" si="97"/>
        <v>-8.9999999999999858E-2</v>
      </c>
      <c r="R722" s="19"/>
      <c r="S722" s="19"/>
      <c r="T722" s="19"/>
      <c r="U722" s="19"/>
      <c r="V722" s="19"/>
    </row>
    <row r="723" spans="1:22" x14ac:dyDescent="0.2">
      <c r="A723" s="8">
        <v>45247</v>
      </c>
      <c r="B723" s="24">
        <v>5.24</v>
      </c>
      <c r="C723" s="24">
        <v>4.88</v>
      </c>
      <c r="D723" s="24">
        <v>4.6399999999999997</v>
      </c>
      <c r="E723" s="24">
        <v>4.6828000000000003</v>
      </c>
      <c r="F723" s="24">
        <v>4.45</v>
      </c>
      <c r="G723" s="83">
        <f t="shared" si="92"/>
        <v>95.020904599011786</v>
      </c>
      <c r="H723" s="84">
        <f t="shared" si="95"/>
        <v>100.93890300268372</v>
      </c>
      <c r="I723" s="84">
        <f t="shared" si="93"/>
        <v>89.175739038940208</v>
      </c>
      <c r="J723" s="84">
        <f t="shared" si="94"/>
        <v>395336410.8497588</v>
      </c>
      <c r="L723" s="19">
        <f t="shared" si="96"/>
        <v>9.9999999999997868E-3</v>
      </c>
      <c r="M723" s="19">
        <f t="shared" si="97"/>
        <v>4.9999999999999822E-2</v>
      </c>
      <c r="N723" s="19">
        <f t="shared" si="97"/>
        <v>4.9999999999999822E-2</v>
      </c>
      <c r="O723" s="19">
        <f t="shared" si="97"/>
        <v>2.7000000000000135E-2</v>
      </c>
      <c r="P723" s="19">
        <f t="shared" si="97"/>
        <v>2.0000000000000462E-2</v>
      </c>
      <c r="R723" s="19"/>
      <c r="S723" s="19"/>
      <c r="T723" s="19"/>
      <c r="U723" s="19"/>
      <c r="V723" s="19"/>
    </row>
    <row r="724" spans="1:22" x14ac:dyDescent="0.2">
      <c r="A724" s="8">
        <v>45250</v>
      </c>
      <c r="B724" s="24">
        <v>5.25</v>
      </c>
      <c r="C724" s="24">
        <v>4.8899999999999997</v>
      </c>
      <c r="D724" s="24">
        <v>4.62</v>
      </c>
      <c r="E724" s="24">
        <v>4.6943000000000001</v>
      </c>
      <c r="F724" s="24">
        <v>4.4400000000000004</v>
      </c>
      <c r="G724" s="83">
        <f t="shared" si="92"/>
        <v>95.011876484560574</v>
      </c>
      <c r="H724" s="84">
        <f t="shared" si="95"/>
        <v>100.99015221363946</v>
      </c>
      <c r="I724" s="84">
        <f t="shared" si="93"/>
        <v>89.214768038036439</v>
      </c>
      <c r="J724" s="84">
        <f t="shared" si="94"/>
        <v>395397596.80080771</v>
      </c>
      <c r="L724" s="19">
        <f t="shared" si="96"/>
        <v>9.9999999999997868E-3</v>
      </c>
      <c r="M724" s="19">
        <f t="shared" si="97"/>
        <v>9.9999999999997868E-3</v>
      </c>
      <c r="N724" s="19">
        <f t="shared" si="97"/>
        <v>-1.9999999999999574E-2</v>
      </c>
      <c r="O724" s="19">
        <f t="shared" si="97"/>
        <v>1.1499999999999844E-2</v>
      </c>
      <c r="P724" s="19">
        <f t="shared" si="97"/>
        <v>-9.9999999999997868E-3</v>
      </c>
      <c r="R724" s="19"/>
      <c r="S724" s="19"/>
      <c r="T724" s="19"/>
      <c r="U724" s="19"/>
      <c r="V724" s="19"/>
    </row>
    <row r="725" spans="1:22" x14ac:dyDescent="0.2">
      <c r="A725" s="8">
        <v>45251</v>
      </c>
      <c r="B725" s="24">
        <v>5.24</v>
      </c>
      <c r="C725" s="24">
        <v>4.8600000000000003</v>
      </c>
      <c r="D725" s="24">
        <v>4.5999999999999996</v>
      </c>
      <c r="E725" s="24">
        <v>4.5114000000000001</v>
      </c>
      <c r="F725" s="24">
        <v>4.41</v>
      </c>
      <c r="G725" s="83">
        <f t="shared" si="92"/>
        <v>95.020904599011786</v>
      </c>
      <c r="H725" s="84">
        <f t="shared" si="95"/>
        <v>101.0458119207029</v>
      </c>
      <c r="I725" s="84">
        <f t="shared" si="93"/>
        <v>89.346670130227309</v>
      </c>
      <c r="J725" s="84">
        <f t="shared" si="94"/>
        <v>395859771.83787847</v>
      </c>
      <c r="L725" s="19">
        <f t="shared" si="96"/>
        <v>-9.9999999999997868E-3</v>
      </c>
      <c r="M725" s="19">
        <f t="shared" si="97"/>
        <v>-2.9999999999999361E-2</v>
      </c>
      <c r="N725" s="19">
        <f t="shared" si="97"/>
        <v>-2.0000000000000462E-2</v>
      </c>
      <c r="O725" s="19">
        <f t="shared" si="97"/>
        <v>-0.18290000000000006</v>
      </c>
      <c r="P725" s="19">
        <f t="shared" si="97"/>
        <v>-3.0000000000000249E-2</v>
      </c>
      <c r="R725" s="19"/>
      <c r="S725" s="19"/>
      <c r="T725" s="19"/>
      <c r="U725" s="19"/>
      <c r="V725" s="19"/>
    </row>
    <row r="726" spans="1:22" x14ac:dyDescent="0.2">
      <c r="A726" s="8">
        <v>45252</v>
      </c>
      <c r="B726" s="24">
        <v>5.26</v>
      </c>
      <c r="C726" s="24">
        <v>4.8899999999999997</v>
      </c>
      <c r="D726" s="24">
        <v>4.62</v>
      </c>
      <c r="E726" s="24">
        <v>4.5464000000000002</v>
      </c>
      <c r="F726" s="24">
        <v>4.4400000000000004</v>
      </c>
      <c r="G726" s="83">
        <f t="shared" si="92"/>
        <v>95.002850085502573</v>
      </c>
      <c r="H726" s="84">
        <f t="shared" si="95"/>
        <v>100.98970089368656</v>
      </c>
      <c r="I726" s="84">
        <f t="shared" si="93"/>
        <v>89.224027649356984</v>
      </c>
      <c r="J726" s="84">
        <f t="shared" si="94"/>
        <v>395417259.42790329</v>
      </c>
      <c r="L726" s="19">
        <f t="shared" si="96"/>
        <v>1.9999999999999574E-2</v>
      </c>
      <c r="M726" s="19">
        <f t="shared" si="97"/>
        <v>2.9999999999999361E-2</v>
      </c>
      <c r="N726" s="19">
        <f t="shared" si="97"/>
        <v>2.0000000000000462E-2</v>
      </c>
      <c r="O726" s="19">
        <f t="shared" si="97"/>
        <v>3.5000000000000142E-2</v>
      </c>
      <c r="P726" s="19">
        <f t="shared" si="97"/>
        <v>3.0000000000000249E-2</v>
      </c>
      <c r="R726" s="19"/>
      <c r="S726" s="19"/>
      <c r="T726" s="19"/>
      <c r="U726" s="19"/>
      <c r="V726" s="19"/>
    </row>
    <row r="727" spans="1:22" x14ac:dyDescent="0.2">
      <c r="A727" s="8">
        <v>45254</v>
      </c>
      <c r="B727" s="24">
        <v>5.27</v>
      </c>
      <c r="C727" s="24">
        <v>4.92</v>
      </c>
      <c r="D727" s="24">
        <v>4.67</v>
      </c>
      <c r="E727" s="24">
        <v>4.4898999999999996</v>
      </c>
      <c r="F727" s="24">
        <v>4.49</v>
      </c>
      <c r="G727" s="83">
        <f t="shared" si="92"/>
        <v>94.993825401348914</v>
      </c>
      <c r="H727" s="84">
        <f t="shared" si="95"/>
        <v>100.85530816635136</v>
      </c>
      <c r="I727" s="84">
        <f t="shared" si="93"/>
        <v>89.027722439222586</v>
      </c>
      <c r="J727" s="84">
        <f t="shared" si="94"/>
        <v>394815578.31006116</v>
      </c>
      <c r="L727" s="19">
        <f t="shared" si="96"/>
        <v>9.9999999999997868E-3</v>
      </c>
      <c r="M727" s="19">
        <f t="shared" si="97"/>
        <v>3.0000000000000249E-2</v>
      </c>
      <c r="N727" s="19">
        <f t="shared" si="97"/>
        <v>4.9999999999999822E-2</v>
      </c>
      <c r="O727" s="19">
        <f t="shared" si="97"/>
        <v>-5.6500000000000661E-2</v>
      </c>
      <c r="P727" s="19">
        <f t="shared" si="97"/>
        <v>4.9999999999999822E-2</v>
      </c>
      <c r="R727" s="19"/>
      <c r="S727" s="19"/>
      <c r="T727" s="19"/>
      <c r="U727" s="19"/>
      <c r="V727" s="19"/>
    </row>
    <row r="728" spans="1:22" x14ac:dyDescent="0.2">
      <c r="A728" s="8">
        <v>45257</v>
      </c>
      <c r="B728" s="24">
        <v>5.24</v>
      </c>
      <c r="C728" s="24">
        <v>4.84</v>
      </c>
      <c r="D728" s="24">
        <v>4.5999999999999996</v>
      </c>
      <c r="E728" s="24">
        <v>4.49</v>
      </c>
      <c r="F728" s="24">
        <v>4.38</v>
      </c>
      <c r="G728" s="83">
        <f t="shared" si="92"/>
        <v>95.020904599011786</v>
      </c>
      <c r="H728" s="84">
        <f t="shared" si="95"/>
        <v>101.04754702145948</v>
      </c>
      <c r="I728" s="84">
        <f t="shared" si="93"/>
        <v>89.466936784575779</v>
      </c>
      <c r="J728" s="84">
        <f t="shared" si="94"/>
        <v>396338235.80413747</v>
      </c>
      <c r="L728" s="19">
        <f t="shared" si="96"/>
        <v>-2.9999999999999361E-2</v>
      </c>
      <c r="M728" s="19">
        <f t="shared" si="97"/>
        <v>-8.0000000000000071E-2</v>
      </c>
      <c r="N728" s="19">
        <f t="shared" si="97"/>
        <v>-7.0000000000000284E-2</v>
      </c>
      <c r="O728" s="19">
        <f t="shared" si="97"/>
        <v>1.0000000000065512E-4</v>
      </c>
      <c r="P728" s="19">
        <f t="shared" si="97"/>
        <v>-0.11000000000000032</v>
      </c>
      <c r="R728" s="19"/>
      <c r="S728" s="19"/>
      <c r="T728" s="19"/>
      <c r="U728" s="19"/>
      <c r="V728" s="19"/>
    </row>
    <row r="729" spans="1:22" x14ac:dyDescent="0.2">
      <c r="A729" s="8">
        <v>45258</v>
      </c>
      <c r="B729" s="24">
        <v>5.21</v>
      </c>
      <c r="C729" s="24">
        <v>4.7300000000000004</v>
      </c>
      <c r="D729" s="24">
        <v>4.49</v>
      </c>
      <c r="E729" s="24">
        <v>4.4852999999999996</v>
      </c>
      <c r="F729" s="24">
        <v>4.29</v>
      </c>
      <c r="G729" s="83">
        <f t="shared" si="92"/>
        <v>95.047999239616004</v>
      </c>
      <c r="H729" s="84">
        <f t="shared" si="95"/>
        <v>101.34852440572108</v>
      </c>
      <c r="I729" s="84">
        <f t="shared" si="93"/>
        <v>89.832952168500313</v>
      </c>
      <c r="J729" s="84">
        <f t="shared" si="94"/>
        <v>397405020.54465163</v>
      </c>
      <c r="L729" s="19">
        <f t="shared" si="96"/>
        <v>-3.0000000000000249E-2</v>
      </c>
      <c r="M729" s="19">
        <f t="shared" si="97"/>
        <v>-0.10999999999999943</v>
      </c>
      <c r="N729" s="19">
        <f t="shared" si="97"/>
        <v>-0.10999999999999943</v>
      </c>
      <c r="O729" s="19">
        <f t="shared" si="97"/>
        <v>-4.7000000000005926E-3</v>
      </c>
      <c r="P729" s="19">
        <f t="shared" si="97"/>
        <v>-8.9999999999999858E-2</v>
      </c>
      <c r="R729" s="19"/>
      <c r="S729" s="19"/>
      <c r="T729" s="19"/>
      <c r="U729" s="19"/>
      <c r="V729" s="19"/>
    </row>
    <row r="730" spans="1:22" x14ac:dyDescent="0.2">
      <c r="A730" s="8">
        <v>45259</v>
      </c>
      <c r="B730" s="24">
        <v>5.12</v>
      </c>
      <c r="C730" s="24">
        <v>4.6399999999999997</v>
      </c>
      <c r="D730" s="24">
        <v>4.4000000000000004</v>
      </c>
      <c r="E730" s="24">
        <v>4.4694000000000003</v>
      </c>
      <c r="F730" s="24">
        <v>4.22</v>
      </c>
      <c r="G730" s="83">
        <f t="shared" si="92"/>
        <v>95.129375951293767</v>
      </c>
      <c r="H730" s="84">
        <f t="shared" si="95"/>
        <v>101.59867161163947</v>
      </c>
      <c r="I730" s="84">
        <f t="shared" si="93"/>
        <v>90.121304427675</v>
      </c>
      <c r="J730" s="84">
        <f t="shared" si="94"/>
        <v>398345962.19582832</v>
      </c>
      <c r="L730" s="19">
        <f t="shared" si="96"/>
        <v>-8.9999999999999858E-2</v>
      </c>
      <c r="M730" s="19">
        <f t="shared" si="97"/>
        <v>-9.0000000000000746E-2</v>
      </c>
      <c r="N730" s="19">
        <f t="shared" si="97"/>
        <v>-8.9999999999999858E-2</v>
      </c>
      <c r="O730" s="19">
        <f t="shared" si="97"/>
        <v>-1.5899999999999359E-2</v>
      </c>
      <c r="P730" s="19">
        <f t="shared" si="97"/>
        <v>-7.0000000000000284E-2</v>
      </c>
      <c r="R730" s="19"/>
      <c r="S730" s="19"/>
      <c r="T730" s="19"/>
      <c r="U730" s="19"/>
      <c r="V730" s="19"/>
    </row>
    <row r="731" spans="1:22" x14ac:dyDescent="0.2">
      <c r="A731" s="8">
        <v>45260</v>
      </c>
      <c r="B731" s="24">
        <v>5.16</v>
      </c>
      <c r="C731" s="24">
        <v>4.7300000000000004</v>
      </c>
      <c r="D731" s="24">
        <v>4.4800000000000004</v>
      </c>
      <c r="E731" s="24">
        <v>4.4813000000000001</v>
      </c>
      <c r="F731" s="24">
        <v>4.3099999999999996</v>
      </c>
      <c r="G731" s="83">
        <f t="shared" si="92"/>
        <v>95.093191327500946</v>
      </c>
      <c r="H731" s="84">
        <f t="shared" si="95"/>
        <v>101.37721386440907</v>
      </c>
      <c r="I731" s="84">
        <f t="shared" si="93"/>
        <v>89.75538556946259</v>
      </c>
      <c r="J731" s="84">
        <f t="shared" si="94"/>
        <v>397142104.13623857</v>
      </c>
      <c r="L731" s="19">
        <f t="shared" si="96"/>
        <v>4.0000000000000036E-2</v>
      </c>
      <c r="M731" s="19">
        <f t="shared" si="97"/>
        <v>9.0000000000000746E-2</v>
      </c>
      <c r="N731" s="19">
        <f t="shared" si="97"/>
        <v>8.0000000000000071E-2</v>
      </c>
      <c r="O731" s="19">
        <f t="shared" si="97"/>
        <v>1.18999999999998E-2</v>
      </c>
      <c r="P731" s="19">
        <f t="shared" si="97"/>
        <v>8.9999999999999858E-2</v>
      </c>
      <c r="R731" s="19"/>
      <c r="S731" s="19"/>
      <c r="T731" s="19"/>
      <c r="U731" s="19"/>
      <c r="V731" s="19"/>
    </row>
    <row r="732" spans="1:22" x14ac:dyDescent="0.2">
      <c r="A732" s="8">
        <v>45261</v>
      </c>
      <c r="B732" s="24">
        <v>5.05</v>
      </c>
      <c r="C732" s="24">
        <v>4.5599999999999996</v>
      </c>
      <c r="D732" s="24">
        <v>4.3099999999999996</v>
      </c>
      <c r="E732" s="24">
        <v>4.5380000000000003</v>
      </c>
      <c r="F732" s="24">
        <v>4.1399999999999997</v>
      </c>
      <c r="G732" s="83">
        <f t="shared" si="92"/>
        <v>95.192765349833408</v>
      </c>
      <c r="H732" s="84">
        <f t="shared" si="95"/>
        <v>101.84788771861044</v>
      </c>
      <c r="I732" s="84">
        <f t="shared" si="93"/>
        <v>90.444639055784478</v>
      </c>
      <c r="J732" s="84">
        <f t="shared" si="94"/>
        <v>399392255.34488904</v>
      </c>
      <c r="L732" s="19">
        <f t="shared" si="96"/>
        <v>-0.11000000000000032</v>
      </c>
      <c r="M732" s="19">
        <f t="shared" si="97"/>
        <v>-0.17000000000000082</v>
      </c>
      <c r="N732" s="19">
        <f t="shared" si="97"/>
        <v>-0.17000000000000082</v>
      </c>
      <c r="O732" s="19">
        <f t="shared" si="97"/>
        <v>5.6700000000000195E-2</v>
      </c>
      <c r="P732" s="19">
        <f t="shared" si="97"/>
        <v>-0.16999999999999993</v>
      </c>
      <c r="R732" s="19"/>
      <c r="S732" s="19"/>
      <c r="T732" s="19"/>
      <c r="U732" s="19"/>
      <c r="V732" s="19"/>
    </row>
    <row r="733" spans="1:22" x14ac:dyDescent="0.2">
      <c r="A733" s="8">
        <v>45264</v>
      </c>
      <c r="B733" s="24">
        <v>5.0999999999999996</v>
      </c>
      <c r="C733" s="24">
        <v>4.6399999999999997</v>
      </c>
      <c r="D733" s="24">
        <v>4.4000000000000004</v>
      </c>
      <c r="E733" s="24">
        <v>4.4782000000000002</v>
      </c>
      <c r="F733" s="24">
        <v>4.2300000000000004</v>
      </c>
      <c r="G733" s="83">
        <f t="shared" si="92"/>
        <v>95.147478591817318</v>
      </c>
      <c r="H733" s="84">
        <f t="shared" si="95"/>
        <v>101.59957674366566</v>
      </c>
      <c r="I733" s="84">
        <f t="shared" si="93"/>
        <v>90.081314069176628</v>
      </c>
      <c r="J733" s="84">
        <f t="shared" si="94"/>
        <v>398220848.34484267</v>
      </c>
      <c r="L733" s="19">
        <f t="shared" si="96"/>
        <v>4.9999999999999822E-2</v>
      </c>
      <c r="M733" s="19">
        <f t="shared" si="97"/>
        <v>8.0000000000000071E-2</v>
      </c>
      <c r="N733" s="19">
        <f t="shared" si="97"/>
        <v>9.0000000000000746E-2</v>
      </c>
      <c r="O733" s="19">
        <f t="shared" si="97"/>
        <v>-5.9800000000000075E-2</v>
      </c>
      <c r="P733" s="19">
        <f t="shared" si="97"/>
        <v>9.0000000000000746E-2</v>
      </c>
      <c r="R733" s="19"/>
      <c r="S733" s="19"/>
      <c r="T733" s="19"/>
      <c r="U733" s="19"/>
      <c r="V733" s="19"/>
    </row>
    <row r="734" spans="1:22" x14ac:dyDescent="0.2">
      <c r="A734" s="8">
        <v>45265</v>
      </c>
      <c r="B734" s="24">
        <v>5.0599999999999996</v>
      </c>
      <c r="C734" s="24">
        <v>4.57</v>
      </c>
      <c r="D734" s="24">
        <v>4.33</v>
      </c>
      <c r="E734" s="24">
        <v>4.3987999999999996</v>
      </c>
      <c r="F734" s="24">
        <v>4.1399999999999997</v>
      </c>
      <c r="G734" s="83">
        <f t="shared" si="92"/>
        <v>95.183704549781083</v>
      </c>
      <c r="H734" s="84">
        <f t="shared" si="95"/>
        <v>101.79336508424701</v>
      </c>
      <c r="I734" s="84">
        <f t="shared" si="93"/>
        <v>90.452044375640668</v>
      </c>
      <c r="J734" s="84">
        <f t="shared" si="94"/>
        <v>399485538.97575426</v>
      </c>
      <c r="L734" s="19">
        <f t="shared" si="96"/>
        <v>-4.0000000000000036E-2</v>
      </c>
      <c r="M734" s="19">
        <f t="shared" si="97"/>
        <v>-6.9999999999999396E-2</v>
      </c>
      <c r="N734" s="19">
        <f t="shared" si="97"/>
        <v>-7.0000000000000284E-2</v>
      </c>
      <c r="O734" s="19">
        <f t="shared" si="97"/>
        <v>-7.9400000000000581E-2</v>
      </c>
      <c r="P734" s="19">
        <f t="shared" si="97"/>
        <v>-9.0000000000000746E-2</v>
      </c>
      <c r="R734" s="19"/>
      <c r="S734" s="19"/>
      <c r="T734" s="19"/>
      <c r="U734" s="19"/>
      <c r="V734" s="19"/>
    </row>
    <row r="735" spans="1:22" x14ac:dyDescent="0.2">
      <c r="A735" s="8">
        <v>45266</v>
      </c>
      <c r="B735" s="24">
        <v>5.07</v>
      </c>
      <c r="C735" s="24">
        <v>4.5999999999999996</v>
      </c>
      <c r="D735" s="24">
        <v>4.33</v>
      </c>
      <c r="E735" s="24">
        <v>4.3156999999999996</v>
      </c>
      <c r="F735" s="24">
        <v>4.12</v>
      </c>
      <c r="G735" s="83">
        <f t="shared" si="92"/>
        <v>95.174645474445612</v>
      </c>
      <c r="H735" s="84">
        <f t="shared" si="95"/>
        <v>101.79028964513272</v>
      </c>
      <c r="I735" s="84">
        <f t="shared" si="93"/>
        <v>90.536195617806484</v>
      </c>
      <c r="J735" s="84">
        <f t="shared" si="94"/>
        <v>399808638.95241809</v>
      </c>
      <c r="L735" s="19">
        <f t="shared" si="96"/>
        <v>1.0000000000000675E-2</v>
      </c>
      <c r="M735" s="19">
        <f t="shared" si="97"/>
        <v>2.9999999999999361E-2</v>
      </c>
      <c r="N735" s="19">
        <f t="shared" si="97"/>
        <v>0</v>
      </c>
      <c r="O735" s="19">
        <f t="shared" si="97"/>
        <v>-8.3099999999999952E-2</v>
      </c>
      <c r="P735" s="19">
        <f t="shared" si="97"/>
        <v>-1.9999999999999574E-2</v>
      </c>
      <c r="R735" s="19"/>
      <c r="S735" s="19"/>
      <c r="T735" s="19"/>
      <c r="U735" s="19"/>
      <c r="V735" s="19"/>
    </row>
    <row r="736" spans="1:22" x14ac:dyDescent="0.2">
      <c r="A736" s="8">
        <v>45267</v>
      </c>
      <c r="B736" s="24">
        <v>5.05</v>
      </c>
      <c r="C736" s="24">
        <v>4.58</v>
      </c>
      <c r="D736" s="24">
        <v>4.3099999999999996</v>
      </c>
      <c r="E736" s="24">
        <v>4.3600000000000003</v>
      </c>
      <c r="F736" s="24">
        <v>4.1100000000000003</v>
      </c>
      <c r="G736" s="83">
        <f t="shared" si="92"/>
        <v>95.192765349833408</v>
      </c>
      <c r="H736" s="84">
        <f t="shared" si="95"/>
        <v>101.84613864261483</v>
      </c>
      <c r="I736" s="84">
        <f t="shared" si="93"/>
        <v>90.575444085327675</v>
      </c>
      <c r="J736" s="84">
        <f t="shared" si="94"/>
        <v>399918099.07705522</v>
      </c>
      <c r="L736" s="19">
        <f t="shared" si="96"/>
        <v>-2.0000000000000462E-2</v>
      </c>
      <c r="M736" s="19">
        <f t="shared" si="97"/>
        <v>-1.9999999999999574E-2</v>
      </c>
      <c r="N736" s="19">
        <f t="shared" si="97"/>
        <v>-2.0000000000000462E-2</v>
      </c>
      <c r="O736" s="19">
        <f t="shared" si="97"/>
        <v>4.4300000000000672E-2</v>
      </c>
      <c r="P736" s="19">
        <f t="shared" si="97"/>
        <v>-9.9999999999997868E-3</v>
      </c>
      <c r="R736" s="19"/>
      <c r="S736" s="19"/>
      <c r="T736" s="19"/>
      <c r="U736" s="19"/>
      <c r="V736" s="19"/>
    </row>
    <row r="737" spans="1:22" x14ac:dyDescent="0.2">
      <c r="A737" s="8">
        <v>45268</v>
      </c>
      <c r="B737" s="24">
        <v>5.13</v>
      </c>
      <c r="C737" s="24">
        <v>4.71</v>
      </c>
      <c r="D737" s="24">
        <v>4.45</v>
      </c>
      <c r="E737" s="24">
        <v>4.2359999999999998</v>
      </c>
      <c r="F737" s="24">
        <v>4.24</v>
      </c>
      <c r="G737" s="83">
        <f t="shared" si="92"/>
        <v>95.12032721392562</v>
      </c>
      <c r="H737" s="84">
        <f t="shared" si="95"/>
        <v>101.45966253505333</v>
      </c>
      <c r="I737" s="84">
        <f t="shared" si="93"/>
        <v>90.051698039383325</v>
      </c>
      <c r="J737" s="84">
        <f t="shared" si="94"/>
        <v>398257952.78280449</v>
      </c>
      <c r="L737" s="19">
        <f t="shared" si="96"/>
        <v>8.0000000000000071E-2</v>
      </c>
      <c r="M737" s="19">
        <f t="shared" si="97"/>
        <v>0.12999999999999989</v>
      </c>
      <c r="N737" s="19">
        <f t="shared" si="97"/>
        <v>0.14000000000000057</v>
      </c>
      <c r="O737" s="19">
        <f t="shared" si="97"/>
        <v>-0.12400000000000055</v>
      </c>
      <c r="P737" s="19">
        <f t="shared" si="97"/>
        <v>0.12999999999999989</v>
      </c>
      <c r="R737" s="19"/>
      <c r="S737" s="19"/>
      <c r="T737" s="19"/>
      <c r="U737" s="19"/>
      <c r="V737" s="19"/>
    </row>
    <row r="738" spans="1:22" x14ac:dyDescent="0.2">
      <c r="A738" s="8">
        <v>45271</v>
      </c>
      <c r="B738" s="24">
        <v>5.14</v>
      </c>
      <c r="C738" s="24">
        <v>4.71</v>
      </c>
      <c r="D738" s="24">
        <v>4.42</v>
      </c>
      <c r="E738" s="24">
        <v>4.2702</v>
      </c>
      <c r="F738" s="24">
        <v>4.25</v>
      </c>
      <c r="G738" s="83">
        <f t="shared" si="92"/>
        <v>95.111280197831476</v>
      </c>
      <c r="H738" s="84">
        <f t="shared" si="95"/>
        <v>101.53865170587687</v>
      </c>
      <c r="I738" s="84">
        <f t="shared" si="93"/>
        <v>90.011067644212631</v>
      </c>
      <c r="J738" s="84">
        <f t="shared" si="94"/>
        <v>397958853.4136982</v>
      </c>
      <c r="L738" s="19">
        <f t="shared" si="96"/>
        <v>9.9999999999997868E-3</v>
      </c>
      <c r="M738" s="19">
        <f t="shared" si="97"/>
        <v>0</v>
      </c>
      <c r="N738" s="19">
        <f t="shared" si="97"/>
        <v>-3.0000000000000249E-2</v>
      </c>
      <c r="O738" s="19">
        <f t="shared" si="97"/>
        <v>3.420000000000023E-2</v>
      </c>
      <c r="P738" s="19">
        <f t="shared" si="97"/>
        <v>9.9999999999997868E-3</v>
      </c>
      <c r="R738" s="19"/>
      <c r="S738" s="19"/>
      <c r="T738" s="19"/>
      <c r="U738" s="19"/>
      <c r="V738" s="19"/>
    </row>
    <row r="739" spans="1:22" x14ac:dyDescent="0.2">
      <c r="A739" s="8">
        <v>45272</v>
      </c>
      <c r="B739" s="24">
        <v>5.14</v>
      </c>
      <c r="C739" s="24">
        <v>4.7300000000000004</v>
      </c>
      <c r="D739" s="24">
        <v>4.42</v>
      </c>
      <c r="E739" s="24">
        <v>4.2055999999999996</v>
      </c>
      <c r="F739" s="24">
        <v>4.2300000000000004</v>
      </c>
      <c r="G739" s="83">
        <f t="shared" si="92"/>
        <v>95.111280197831476</v>
      </c>
      <c r="H739" s="84">
        <f t="shared" si="95"/>
        <v>101.5369101352034</v>
      </c>
      <c r="I739" s="84">
        <f t="shared" si="93"/>
        <v>90.09407536505725</v>
      </c>
      <c r="J739" s="84">
        <f t="shared" si="94"/>
        <v>398293496.65308684</v>
      </c>
      <c r="L739" s="19">
        <f t="shared" si="96"/>
        <v>0</v>
      </c>
      <c r="M739" s="19">
        <f t="shared" si="97"/>
        <v>2.0000000000000462E-2</v>
      </c>
      <c r="N739" s="19">
        <f t="shared" si="97"/>
        <v>0</v>
      </c>
      <c r="O739" s="19">
        <f t="shared" si="97"/>
        <v>-6.4600000000000435E-2</v>
      </c>
      <c r="P739" s="19">
        <f t="shared" si="97"/>
        <v>-1.9999999999999574E-2</v>
      </c>
      <c r="R739" s="19"/>
      <c r="S739" s="19"/>
      <c r="T739" s="19"/>
      <c r="U739" s="19"/>
      <c r="V739" s="19"/>
    </row>
    <row r="740" spans="1:22" x14ac:dyDescent="0.2">
      <c r="A740" s="8">
        <v>45273</v>
      </c>
      <c r="B740" s="24">
        <v>4.9400000000000004</v>
      </c>
      <c r="C740" s="24">
        <v>4.46</v>
      </c>
      <c r="D740" s="24">
        <v>4.18</v>
      </c>
      <c r="E740" s="24">
        <v>4.1725000000000003</v>
      </c>
      <c r="F740" s="24">
        <v>4</v>
      </c>
      <c r="G740" s="83">
        <f t="shared" si="92"/>
        <v>95.29254812273679</v>
      </c>
      <c r="H740" s="84">
        <f t="shared" si="95"/>
        <v>102.2084009370212</v>
      </c>
      <c r="I740" s="84">
        <f t="shared" si="93"/>
        <v>91.042383997047025</v>
      </c>
      <c r="J740" s="84">
        <f t="shared" si="94"/>
        <v>401442030.82812989</v>
      </c>
      <c r="L740" s="19">
        <f t="shared" si="96"/>
        <v>-0.19999999999999929</v>
      </c>
      <c r="M740" s="19">
        <f t="shared" si="97"/>
        <v>-0.27000000000000046</v>
      </c>
      <c r="N740" s="19">
        <f t="shared" si="97"/>
        <v>-0.24000000000000021</v>
      </c>
      <c r="O740" s="19">
        <f t="shared" si="97"/>
        <v>-3.3099999999999241E-2</v>
      </c>
      <c r="P740" s="19">
        <f t="shared" si="97"/>
        <v>-0.23000000000000043</v>
      </c>
      <c r="R740" s="19"/>
      <c r="S740" s="19"/>
      <c r="T740" s="19"/>
      <c r="U740" s="19"/>
      <c r="V740" s="19"/>
    </row>
    <row r="741" spans="1:22" x14ac:dyDescent="0.2">
      <c r="A741" s="8">
        <v>45274</v>
      </c>
      <c r="B741" s="24">
        <v>4.9000000000000004</v>
      </c>
      <c r="C741" s="24">
        <v>4.37</v>
      </c>
      <c r="D741" s="24">
        <v>4.09</v>
      </c>
      <c r="E741" s="24">
        <v>4.1607000000000003</v>
      </c>
      <c r="F741" s="24">
        <v>3.9</v>
      </c>
      <c r="G741" s="83">
        <f t="shared" si="92"/>
        <v>95.328884652049581</v>
      </c>
      <c r="H741" s="84">
        <f t="shared" si="95"/>
        <v>102.45920663501654</v>
      </c>
      <c r="I741" s="84">
        <f t="shared" si="93"/>
        <v>91.455860573056441</v>
      </c>
      <c r="J741" s="84">
        <f t="shared" si="94"/>
        <v>402792401.64380014</v>
      </c>
      <c r="L741" s="19">
        <f t="shared" si="96"/>
        <v>-4.0000000000000036E-2</v>
      </c>
      <c r="M741" s="19">
        <f t="shared" si="97"/>
        <v>-8.9999999999999858E-2</v>
      </c>
      <c r="N741" s="19">
        <f t="shared" si="97"/>
        <v>-8.9999999999999858E-2</v>
      </c>
      <c r="O741" s="19">
        <f t="shared" si="97"/>
        <v>-1.1800000000000033E-2</v>
      </c>
      <c r="P741" s="19">
        <f t="shared" si="97"/>
        <v>-0.10000000000000009</v>
      </c>
      <c r="R741" s="19"/>
      <c r="S741" s="19"/>
      <c r="T741" s="19"/>
      <c r="U741" s="19"/>
      <c r="V741" s="19"/>
    </row>
    <row r="742" spans="1:22" x14ac:dyDescent="0.2">
      <c r="A742" s="8">
        <v>45275</v>
      </c>
      <c r="B742" s="24">
        <v>4.95</v>
      </c>
      <c r="C742" s="24">
        <v>4.4400000000000004</v>
      </c>
      <c r="D742" s="24">
        <v>4.13</v>
      </c>
      <c r="E742" s="24">
        <v>4.2492999999999999</v>
      </c>
      <c r="F742" s="24">
        <v>3.91</v>
      </c>
      <c r="G742" s="83">
        <f t="shared" si="92"/>
        <v>95.283468318246776</v>
      </c>
      <c r="H742" s="84">
        <f t="shared" si="95"/>
        <v>102.34353411370923</v>
      </c>
      <c r="I742" s="84">
        <f t="shared" si="93"/>
        <v>91.404152635601463</v>
      </c>
      <c r="J742" s="84">
        <f t="shared" si="94"/>
        <v>402668246.00833559</v>
      </c>
      <c r="L742" s="19">
        <f t="shared" si="96"/>
        <v>4.9999999999999822E-2</v>
      </c>
      <c r="M742" s="19">
        <f t="shared" si="97"/>
        <v>7.0000000000000284E-2</v>
      </c>
      <c r="N742" s="19">
        <f t="shared" si="97"/>
        <v>4.0000000000000036E-2</v>
      </c>
      <c r="O742" s="19">
        <f t="shared" si="97"/>
        <v>8.8599999999999568E-2</v>
      </c>
      <c r="P742" s="19">
        <f t="shared" si="97"/>
        <v>1.0000000000000231E-2</v>
      </c>
      <c r="R742" s="19"/>
      <c r="S742" s="19"/>
      <c r="T742" s="19"/>
      <c r="U742" s="19"/>
      <c r="V742" s="19"/>
    </row>
    <row r="743" spans="1:22" x14ac:dyDescent="0.2">
      <c r="A743" s="8">
        <v>45278</v>
      </c>
      <c r="B743" s="24">
        <v>4.95</v>
      </c>
      <c r="C743" s="24">
        <v>4.43</v>
      </c>
      <c r="D743" s="24">
        <v>4.1500000000000004</v>
      </c>
      <c r="E743" s="24">
        <v>4.2747000000000002</v>
      </c>
      <c r="F743" s="24">
        <v>3.94</v>
      </c>
      <c r="G743" s="83">
        <f t="shared" si="92"/>
        <v>95.283468318246776</v>
      </c>
      <c r="H743" s="84">
        <f t="shared" si="95"/>
        <v>102.29084838449108</v>
      </c>
      <c r="I743" s="84">
        <f t="shared" si="93"/>
        <v>91.28039160566999</v>
      </c>
      <c r="J743" s="84">
        <f t="shared" si="94"/>
        <v>402252230.4824369</v>
      </c>
      <c r="L743" s="19">
        <f t="shared" si="96"/>
        <v>0</v>
      </c>
      <c r="M743" s="19">
        <f t="shared" si="97"/>
        <v>-1.0000000000000675E-2</v>
      </c>
      <c r="N743" s="19">
        <f t="shared" si="97"/>
        <v>2.0000000000000462E-2</v>
      </c>
      <c r="O743" s="19">
        <f t="shared" si="97"/>
        <v>2.5400000000000311E-2</v>
      </c>
      <c r="P743" s="19">
        <f t="shared" si="97"/>
        <v>2.9999999999999805E-2</v>
      </c>
      <c r="R743" s="19"/>
      <c r="S743" s="19"/>
      <c r="T743" s="19"/>
      <c r="U743" s="19"/>
      <c r="V743" s="19"/>
    </row>
    <row r="744" spans="1:22" x14ac:dyDescent="0.2">
      <c r="A744" s="8">
        <v>45279</v>
      </c>
      <c r="B744" s="24">
        <v>4.93</v>
      </c>
      <c r="C744" s="24">
        <v>4.41</v>
      </c>
      <c r="D744" s="24">
        <v>4.1500000000000004</v>
      </c>
      <c r="E744" s="24">
        <v>4.2657999999999996</v>
      </c>
      <c r="F744" s="24">
        <v>3.94</v>
      </c>
      <c r="G744" s="83">
        <f t="shared" si="92"/>
        <v>95.301629657867153</v>
      </c>
      <c r="H744" s="84">
        <f t="shared" si="95"/>
        <v>102.29351307597759</v>
      </c>
      <c r="I744" s="84">
        <f t="shared" si="93"/>
        <v>91.282035149749987</v>
      </c>
      <c r="J744" s="84">
        <f t="shared" si="94"/>
        <v>402291130.3007679</v>
      </c>
      <c r="L744" s="19">
        <f t="shared" si="96"/>
        <v>-2.0000000000000462E-2</v>
      </c>
      <c r="M744" s="19">
        <f t="shared" si="97"/>
        <v>-1.9999999999999574E-2</v>
      </c>
      <c r="N744" s="19">
        <f t="shared" si="97"/>
        <v>0</v>
      </c>
      <c r="O744" s="19">
        <f t="shared" si="97"/>
        <v>-8.9000000000005741E-3</v>
      </c>
      <c r="P744" s="19">
        <f t="shared" si="97"/>
        <v>0</v>
      </c>
      <c r="R744" s="19"/>
      <c r="S744" s="19"/>
      <c r="T744" s="19"/>
      <c r="U744" s="19"/>
      <c r="V744" s="19"/>
    </row>
    <row r="745" spans="1:22" x14ac:dyDescent="0.2">
      <c r="A745" s="8">
        <v>45280</v>
      </c>
      <c r="B745" s="24">
        <v>4.88</v>
      </c>
      <c r="C745" s="24">
        <v>4.34</v>
      </c>
      <c r="D745" s="24">
        <v>4.0599999999999996</v>
      </c>
      <c r="E745" s="24">
        <v>4.0960999999999999</v>
      </c>
      <c r="F745" s="24">
        <v>3.86</v>
      </c>
      <c r="G745" s="83">
        <f t="shared" si="92"/>
        <v>95.347063310450039</v>
      </c>
      <c r="H745" s="84">
        <f t="shared" si="95"/>
        <v>102.54330183631363</v>
      </c>
      <c r="I745" s="84">
        <f t="shared" si="93"/>
        <v>91.625380799716581</v>
      </c>
      <c r="J745" s="84">
        <f t="shared" si="94"/>
        <v>403380697.06529593</v>
      </c>
      <c r="L745" s="19">
        <f t="shared" si="96"/>
        <v>-4.9999999999999822E-2</v>
      </c>
      <c r="M745" s="19">
        <f t="shared" si="97"/>
        <v>-7.0000000000000284E-2</v>
      </c>
      <c r="N745" s="19">
        <f t="shared" si="97"/>
        <v>-9.0000000000000746E-2</v>
      </c>
      <c r="O745" s="19">
        <f t="shared" si="97"/>
        <v>-0.16969999999999974</v>
      </c>
      <c r="P745" s="19">
        <f t="shared" si="97"/>
        <v>-8.0000000000000071E-2</v>
      </c>
      <c r="R745" s="19"/>
      <c r="S745" s="19"/>
      <c r="T745" s="19"/>
      <c r="U745" s="19"/>
      <c r="V745" s="19"/>
    </row>
    <row r="746" spans="1:22" x14ac:dyDescent="0.2">
      <c r="A746" s="8">
        <v>45281</v>
      </c>
      <c r="B746" s="24">
        <v>4.84</v>
      </c>
      <c r="C746" s="24">
        <v>4.33</v>
      </c>
      <c r="D746" s="24">
        <v>4.0599999999999996</v>
      </c>
      <c r="E746" s="24">
        <v>3.9725999999999999</v>
      </c>
      <c r="F746" s="24">
        <v>3.87</v>
      </c>
      <c r="G746" s="83">
        <f t="shared" si="92"/>
        <v>95.383441434566961</v>
      </c>
      <c r="H746" s="84">
        <f t="shared" si="95"/>
        <v>102.54600120314883</v>
      </c>
      <c r="I746" s="84">
        <f t="shared" si="93"/>
        <v>91.593946408352863</v>
      </c>
      <c r="J746" s="84">
        <f t="shared" si="94"/>
        <v>403323666.69782209</v>
      </c>
      <c r="L746" s="19">
        <f t="shared" si="96"/>
        <v>-4.0000000000000036E-2</v>
      </c>
      <c r="M746" s="19">
        <f t="shared" si="97"/>
        <v>-9.9999999999997868E-3</v>
      </c>
      <c r="N746" s="19">
        <f t="shared" si="97"/>
        <v>0</v>
      </c>
      <c r="O746" s="19">
        <f t="shared" si="97"/>
        <v>-0.12349999999999994</v>
      </c>
      <c r="P746" s="19">
        <f t="shared" si="97"/>
        <v>1.0000000000000231E-2</v>
      </c>
      <c r="R746" s="19"/>
      <c r="S746" s="19"/>
      <c r="T746" s="19"/>
      <c r="U746" s="19"/>
      <c r="V746" s="19"/>
    </row>
    <row r="747" spans="1:22" x14ac:dyDescent="0.2">
      <c r="A747" s="8">
        <v>45282</v>
      </c>
      <c r="B747" s="24">
        <v>4.82</v>
      </c>
      <c r="C747" s="24">
        <v>4.3099999999999996</v>
      </c>
      <c r="D747" s="24">
        <v>4.04</v>
      </c>
      <c r="E747" s="24">
        <v>3.9598</v>
      </c>
      <c r="F747" s="24">
        <v>3.87</v>
      </c>
      <c r="G747" s="83">
        <f t="shared" si="92"/>
        <v>95.401640908223627</v>
      </c>
      <c r="H747" s="84">
        <f t="shared" si="95"/>
        <v>102.60242208505301</v>
      </c>
      <c r="I747" s="84">
        <f t="shared" si="93"/>
        <v>91.596881887421716</v>
      </c>
      <c r="J747" s="84">
        <f t="shared" si="94"/>
        <v>403287176.2385546</v>
      </c>
      <c r="L747" s="19">
        <f t="shared" si="96"/>
        <v>-1.9999999999999574E-2</v>
      </c>
      <c r="M747" s="19">
        <f t="shared" si="97"/>
        <v>-2.0000000000000462E-2</v>
      </c>
      <c r="N747" s="19">
        <f t="shared" si="97"/>
        <v>-1.9999999999999574E-2</v>
      </c>
      <c r="O747" s="19">
        <f t="shared" si="97"/>
        <v>-1.2799999999999923E-2</v>
      </c>
      <c r="P747" s="19">
        <f t="shared" si="97"/>
        <v>0</v>
      </c>
      <c r="R747" s="19"/>
      <c r="S747" s="19"/>
      <c r="T747" s="19"/>
      <c r="U747" s="19"/>
      <c r="V747" s="19"/>
    </row>
    <row r="748" spans="1:22" x14ac:dyDescent="0.2">
      <c r="A748" s="8">
        <v>45286</v>
      </c>
      <c r="B748" s="24">
        <v>4.83</v>
      </c>
      <c r="C748" s="24">
        <v>4.26</v>
      </c>
      <c r="D748" s="24">
        <v>4.05</v>
      </c>
      <c r="E748" s="24">
        <v>3.9771000000000001</v>
      </c>
      <c r="F748" s="24">
        <v>3.89</v>
      </c>
      <c r="G748" s="83">
        <f t="shared" si="92"/>
        <v>95.392540303348284</v>
      </c>
      <c r="H748" s="84">
        <f t="shared" si="95"/>
        <v>102.57949591427625</v>
      </c>
      <c r="I748" s="84">
        <f t="shared" si="93"/>
        <v>91.515639629571893</v>
      </c>
      <c r="J748" s="84">
        <f t="shared" si="94"/>
        <v>402978395.25356984</v>
      </c>
      <c r="L748" s="19">
        <f t="shared" si="96"/>
        <v>9.9999999999997868E-3</v>
      </c>
      <c r="M748" s="19">
        <f t="shared" si="97"/>
        <v>-4.9999999999999822E-2</v>
      </c>
      <c r="N748" s="19">
        <f t="shared" si="97"/>
        <v>9.9999999999997868E-3</v>
      </c>
      <c r="O748" s="19">
        <f t="shared" si="97"/>
        <v>1.7300000000000093E-2</v>
      </c>
      <c r="P748" s="19">
        <f t="shared" si="97"/>
        <v>2.0000000000000018E-2</v>
      </c>
      <c r="R748" s="19"/>
      <c r="S748" s="19"/>
      <c r="T748" s="19"/>
      <c r="U748" s="19"/>
      <c r="V748" s="19"/>
    </row>
    <row r="749" spans="1:22" x14ac:dyDescent="0.2">
      <c r="A749" s="8">
        <v>45287</v>
      </c>
      <c r="B749" s="24">
        <v>4.79</v>
      </c>
      <c r="C749" s="24">
        <v>4.2</v>
      </c>
      <c r="D749" s="24">
        <v>3.97</v>
      </c>
      <c r="E749" s="24">
        <v>3.9699</v>
      </c>
      <c r="F749" s="24">
        <v>3.78</v>
      </c>
      <c r="G749" s="83">
        <f t="shared" si="92"/>
        <v>95.428953144383996</v>
      </c>
      <c r="H749" s="84">
        <f t="shared" si="95"/>
        <v>102.80194323437348</v>
      </c>
      <c r="I749" s="84">
        <f t="shared" si="93"/>
        <v>91.970674273964818</v>
      </c>
      <c r="J749" s="84">
        <f t="shared" si="94"/>
        <v>404537688.53306705</v>
      </c>
      <c r="L749" s="19">
        <f t="shared" si="96"/>
        <v>-4.0000000000000036E-2</v>
      </c>
      <c r="M749" s="19">
        <f t="shared" si="97"/>
        <v>-5.9999999999999609E-2</v>
      </c>
      <c r="N749" s="19">
        <f t="shared" si="97"/>
        <v>-7.9999999999999627E-2</v>
      </c>
      <c r="O749" s="19">
        <f t="shared" si="97"/>
        <v>-7.2000000000000952E-3</v>
      </c>
      <c r="P749" s="19">
        <f t="shared" si="97"/>
        <v>-0.11000000000000032</v>
      </c>
      <c r="R749" s="19"/>
      <c r="S749" s="19"/>
      <c r="T749" s="19"/>
      <c r="U749" s="19"/>
      <c r="V749" s="19"/>
    </row>
    <row r="750" spans="1:22" x14ac:dyDescent="0.2">
      <c r="A750" s="8">
        <v>45288</v>
      </c>
      <c r="B750" s="24">
        <v>4.82</v>
      </c>
      <c r="C750" s="24">
        <v>4.26</v>
      </c>
      <c r="D750" s="24">
        <v>4.0199999999999996</v>
      </c>
      <c r="E750" s="24">
        <v>3.9068000000000001</v>
      </c>
      <c r="F750" s="24">
        <v>3.83</v>
      </c>
      <c r="G750" s="83">
        <f t="shared" si="92"/>
        <v>95.401640908223627</v>
      </c>
      <c r="H750" s="84">
        <f t="shared" si="95"/>
        <v>102.66062129663338</v>
      </c>
      <c r="I750" s="84">
        <f t="shared" si="93"/>
        <v>91.765792579120088</v>
      </c>
      <c r="J750" s="84">
        <f t="shared" si="94"/>
        <v>403875520.18797755</v>
      </c>
      <c r="L750" s="19">
        <f t="shared" si="96"/>
        <v>3.0000000000000249E-2</v>
      </c>
      <c r="M750" s="19">
        <f t="shared" si="97"/>
        <v>5.9999999999999609E-2</v>
      </c>
      <c r="N750" s="19">
        <f t="shared" si="97"/>
        <v>4.9999999999999378E-2</v>
      </c>
      <c r="O750" s="19">
        <f t="shared" si="97"/>
        <v>-6.3099999999999934E-2</v>
      </c>
      <c r="P750" s="19">
        <f t="shared" si="97"/>
        <v>5.0000000000000266E-2</v>
      </c>
      <c r="R750" s="19"/>
      <c r="S750" s="19"/>
      <c r="T750" s="19"/>
      <c r="U750" s="19"/>
      <c r="V750" s="19"/>
    </row>
    <row r="751" spans="1:22" x14ac:dyDescent="0.2">
      <c r="A751" s="8">
        <v>45289</v>
      </c>
      <c r="B751" s="24">
        <v>4.79</v>
      </c>
      <c r="C751" s="24">
        <v>4.2300000000000004</v>
      </c>
      <c r="D751" s="24">
        <v>4.01</v>
      </c>
      <c r="E751" s="24">
        <v>3.8975</v>
      </c>
      <c r="F751" s="24">
        <v>3.84</v>
      </c>
      <c r="G751" s="83">
        <f t="shared" si="92"/>
        <v>95.428953144383996</v>
      </c>
      <c r="H751" s="84">
        <f t="shared" si="95"/>
        <v>102.69154594105447</v>
      </c>
      <c r="I751" s="84">
        <f t="shared" si="93"/>
        <v>91.727833237363853</v>
      </c>
      <c r="J751" s="84">
        <f t="shared" si="94"/>
        <v>403731920.32664174</v>
      </c>
      <c r="L751" s="19">
        <f t="shared" si="96"/>
        <v>-3.0000000000000249E-2</v>
      </c>
      <c r="M751" s="19">
        <f t="shared" si="97"/>
        <v>-2.9999999999999361E-2</v>
      </c>
      <c r="N751" s="19">
        <f t="shared" si="97"/>
        <v>-9.9999999999997868E-3</v>
      </c>
      <c r="O751" s="19">
        <f t="shared" si="97"/>
        <v>-9.300000000000086E-3</v>
      </c>
      <c r="P751" s="19">
        <f t="shared" si="97"/>
        <v>9.9999999999997868E-3</v>
      </c>
      <c r="R751" s="19"/>
      <c r="S751" s="19"/>
      <c r="T751" s="19"/>
      <c r="U751" s="19"/>
      <c r="V751" s="19"/>
    </row>
    <row r="752" spans="1:22" x14ac:dyDescent="0.2">
      <c r="A752" s="8">
        <v>45293</v>
      </c>
      <c r="B752" s="24">
        <v>4.8</v>
      </c>
      <c r="C752" s="24">
        <v>4.33</v>
      </c>
      <c r="D752" s="24">
        <v>4.09</v>
      </c>
      <c r="E752" s="24">
        <v>3.8883999999999999</v>
      </c>
      <c r="F752" s="24">
        <v>3.93</v>
      </c>
      <c r="G752" s="83">
        <f t="shared" si="92"/>
        <v>95.419847328244273</v>
      </c>
      <c r="H752" s="84">
        <f t="shared" si="95"/>
        <v>102.46727509304156</v>
      </c>
      <c r="I752" s="84">
        <f t="shared" si="93"/>
        <v>91.355459047642853</v>
      </c>
      <c r="J752" s="84">
        <f t="shared" si="94"/>
        <v>402560618.2074976</v>
      </c>
      <c r="L752" s="19">
        <f t="shared" si="96"/>
        <v>9.9999999999997868E-3</v>
      </c>
      <c r="M752" s="19">
        <f t="shared" si="97"/>
        <v>9.9999999999999645E-2</v>
      </c>
      <c r="N752" s="19">
        <f t="shared" si="97"/>
        <v>8.0000000000000071E-2</v>
      </c>
      <c r="O752" s="19">
        <f t="shared" si="97"/>
        <v>-9.100000000000108E-3</v>
      </c>
      <c r="P752" s="19">
        <f t="shared" si="97"/>
        <v>9.0000000000000302E-2</v>
      </c>
      <c r="R752" s="19"/>
      <c r="S752" s="19"/>
      <c r="T752" s="19"/>
      <c r="U752" s="19"/>
      <c r="V752" s="19"/>
    </row>
    <row r="753" spans="1:22" x14ac:dyDescent="0.2">
      <c r="A753" s="8">
        <v>45294</v>
      </c>
      <c r="B753" s="24">
        <v>4.8099999999999996</v>
      </c>
      <c r="C753" s="24">
        <v>4.33</v>
      </c>
      <c r="D753" s="24">
        <v>4.07</v>
      </c>
      <c r="E753" s="24">
        <v>3.8872</v>
      </c>
      <c r="F753" s="24">
        <v>3.9</v>
      </c>
      <c r="G753" s="83">
        <f t="shared" si="92"/>
        <v>95.410743249689915</v>
      </c>
      <c r="H753" s="84">
        <f t="shared" si="95"/>
        <v>102.52050717246127</v>
      </c>
      <c r="I753" s="84">
        <f t="shared" si="93"/>
        <v>91.477891716959931</v>
      </c>
      <c r="J753" s="84">
        <f t="shared" si="94"/>
        <v>402952292.60852766</v>
      </c>
      <c r="L753" s="19">
        <f t="shared" si="96"/>
        <v>9.9999999999997868E-3</v>
      </c>
      <c r="M753" s="19">
        <f t="shared" si="97"/>
        <v>0</v>
      </c>
      <c r="N753" s="19">
        <f t="shared" si="97"/>
        <v>-1.9999999999999574E-2</v>
      </c>
      <c r="O753" s="19">
        <f t="shared" si="97"/>
        <v>-1.1999999999998678E-3</v>
      </c>
      <c r="P753" s="19">
        <f t="shared" si="97"/>
        <v>-3.0000000000000249E-2</v>
      </c>
      <c r="R753" s="19"/>
      <c r="S753" s="19"/>
      <c r="T753" s="19"/>
      <c r="U753" s="19"/>
      <c r="V753" s="19"/>
    </row>
    <row r="754" spans="1:22" x14ac:dyDescent="0.2">
      <c r="A754" s="8">
        <v>45295</v>
      </c>
      <c r="B754" s="24">
        <v>4.8499999999999996</v>
      </c>
      <c r="C754" s="24">
        <v>4.38</v>
      </c>
      <c r="D754" s="24">
        <v>4.1399999999999997</v>
      </c>
      <c r="E754" s="24">
        <v>3.8128000000000002</v>
      </c>
      <c r="F754" s="24">
        <v>3.97</v>
      </c>
      <c r="G754" s="83">
        <f t="shared" si="92"/>
        <v>95.374344301382934</v>
      </c>
      <c r="H754" s="84">
        <f t="shared" si="95"/>
        <v>102.32656232653069</v>
      </c>
      <c r="I754" s="84">
        <f t="shared" si="93"/>
        <v>91.193552795864477</v>
      </c>
      <c r="J754" s="84">
        <f t="shared" si="94"/>
        <v>402033056.29642773</v>
      </c>
      <c r="L754" s="19">
        <f t="shared" si="96"/>
        <v>4.0000000000000036E-2</v>
      </c>
      <c r="M754" s="19">
        <f t="shared" si="97"/>
        <v>4.9999999999999822E-2</v>
      </c>
      <c r="N754" s="19">
        <f t="shared" si="97"/>
        <v>6.9999999999999396E-2</v>
      </c>
      <c r="O754" s="19">
        <f t="shared" si="97"/>
        <v>-7.43999999999998E-2</v>
      </c>
      <c r="P754" s="19">
        <f t="shared" si="97"/>
        <v>7.0000000000000284E-2</v>
      </c>
      <c r="R754" s="19"/>
      <c r="S754" s="19"/>
      <c r="T754" s="19"/>
      <c r="U754" s="19"/>
      <c r="V754" s="19"/>
    </row>
    <row r="755" spans="1:22" x14ac:dyDescent="0.2">
      <c r="A755" s="8">
        <v>45296</v>
      </c>
      <c r="B755" s="24">
        <v>4.84</v>
      </c>
      <c r="C755" s="24">
        <v>4.4000000000000004</v>
      </c>
      <c r="D755" s="24">
        <v>4.17</v>
      </c>
      <c r="E755" s="24">
        <v>3.8330000000000002</v>
      </c>
      <c r="F755" s="24">
        <v>4.0199999999999996</v>
      </c>
      <c r="G755" s="83">
        <f t="shared" si="92"/>
        <v>95.383441434566961</v>
      </c>
      <c r="H755" s="84">
        <f t="shared" si="95"/>
        <v>102.24495982029462</v>
      </c>
      <c r="I755" s="84">
        <f t="shared" si="93"/>
        <v>90.988573943215613</v>
      </c>
      <c r="J755" s="84">
        <f t="shared" si="94"/>
        <v>401353738.91155446</v>
      </c>
      <c r="L755" s="19">
        <f t="shared" si="96"/>
        <v>-9.9999999999997868E-3</v>
      </c>
      <c r="M755" s="19">
        <f t="shared" si="97"/>
        <v>2.0000000000000462E-2</v>
      </c>
      <c r="N755" s="19">
        <f t="shared" si="97"/>
        <v>3.0000000000000249E-2</v>
      </c>
      <c r="O755" s="19">
        <f t="shared" si="97"/>
        <v>2.0199999999999996E-2</v>
      </c>
      <c r="P755" s="19">
        <f t="shared" si="97"/>
        <v>4.9999999999999378E-2</v>
      </c>
      <c r="R755" s="19"/>
      <c r="S755" s="19"/>
      <c r="T755" s="19"/>
      <c r="U755" s="19"/>
      <c r="V755" s="19"/>
    </row>
    <row r="756" spans="1:22" x14ac:dyDescent="0.2">
      <c r="A756" s="8">
        <v>45299</v>
      </c>
      <c r="B756" s="24">
        <v>4.82</v>
      </c>
      <c r="C756" s="24">
        <v>4.3600000000000003</v>
      </c>
      <c r="D756" s="24">
        <v>4.1100000000000003</v>
      </c>
      <c r="E756" s="24">
        <v>3.8395000000000001</v>
      </c>
      <c r="F756" s="24">
        <v>3.97</v>
      </c>
      <c r="G756" s="83">
        <f t="shared" si="92"/>
        <v>95.401640908223627</v>
      </c>
      <c r="H756" s="84">
        <f t="shared" si="95"/>
        <v>102.41007811240419</v>
      </c>
      <c r="I756" s="84">
        <f t="shared" si="93"/>
        <v>91.194563276377252</v>
      </c>
      <c r="J756" s="84">
        <f t="shared" si="94"/>
        <v>401966417.75334996</v>
      </c>
      <c r="L756" s="19">
        <f t="shared" si="96"/>
        <v>-1.9999999999999574E-2</v>
      </c>
      <c r="M756" s="19">
        <f t="shared" si="97"/>
        <v>-4.0000000000000036E-2</v>
      </c>
      <c r="N756" s="19">
        <f t="shared" si="97"/>
        <v>-5.9999999999999609E-2</v>
      </c>
      <c r="O756" s="19">
        <f t="shared" si="97"/>
        <v>6.4999999999999503E-3</v>
      </c>
      <c r="P756" s="19">
        <f t="shared" si="97"/>
        <v>-4.9999999999999378E-2</v>
      </c>
      <c r="R756" s="19"/>
      <c r="S756" s="19"/>
      <c r="T756" s="19"/>
      <c r="U756" s="19"/>
      <c r="V756" s="19"/>
    </row>
    <row r="757" spans="1:22" x14ac:dyDescent="0.2">
      <c r="A757" s="8">
        <v>45300</v>
      </c>
      <c r="B757" s="24">
        <v>4.82</v>
      </c>
      <c r="C757" s="24">
        <v>4.3600000000000003</v>
      </c>
      <c r="D757" s="24">
        <v>4.09</v>
      </c>
      <c r="E757" s="24">
        <v>3.8967999999999998</v>
      </c>
      <c r="F757" s="24">
        <v>3.97</v>
      </c>
      <c r="G757" s="83">
        <f t="shared" si="92"/>
        <v>95.401640908223627</v>
      </c>
      <c r="H757" s="84">
        <f t="shared" si="95"/>
        <v>102.46372414940052</v>
      </c>
      <c r="I757" s="84">
        <f t="shared" si="93"/>
        <v>91.191793415926412</v>
      </c>
      <c r="J757" s="84">
        <f t="shared" si="94"/>
        <v>401874869.25605214</v>
      </c>
      <c r="L757" s="19">
        <f t="shared" si="96"/>
        <v>0</v>
      </c>
      <c r="M757" s="19">
        <f t="shared" si="97"/>
        <v>0</v>
      </c>
      <c r="N757" s="19">
        <f t="shared" si="97"/>
        <v>-2.0000000000000462E-2</v>
      </c>
      <c r="O757" s="19">
        <f t="shared" si="97"/>
        <v>5.7299999999999685E-2</v>
      </c>
      <c r="P757" s="19">
        <f t="shared" si="97"/>
        <v>0</v>
      </c>
      <c r="R757" s="19"/>
      <c r="S757" s="19"/>
      <c r="T757" s="19"/>
      <c r="U757" s="19"/>
      <c r="V757" s="19"/>
    </row>
    <row r="758" spans="1:22" x14ac:dyDescent="0.2">
      <c r="A758" s="8">
        <v>45301</v>
      </c>
      <c r="B758" s="24">
        <v>4.82</v>
      </c>
      <c r="C758" s="24">
        <v>4.37</v>
      </c>
      <c r="D758" s="24">
        <v>4.0999999999999996</v>
      </c>
      <c r="E758" s="24">
        <v>3.8898999999999999</v>
      </c>
      <c r="F758" s="24">
        <v>3.99</v>
      </c>
      <c r="G758" s="83">
        <f t="shared" si="92"/>
        <v>95.401640908223627</v>
      </c>
      <c r="H758" s="84">
        <f t="shared" si="95"/>
        <v>102.43601627600944</v>
      </c>
      <c r="I758" s="84">
        <f t="shared" si="93"/>
        <v>91.110681396334016</v>
      </c>
      <c r="J758" s="84">
        <f t="shared" si="94"/>
        <v>401591982.98776919</v>
      </c>
      <c r="L758" s="19">
        <f t="shared" si="96"/>
        <v>0</v>
      </c>
      <c r="M758" s="19">
        <f t="shared" si="97"/>
        <v>9.9999999999997868E-3</v>
      </c>
      <c r="N758" s="19">
        <f t="shared" si="97"/>
        <v>9.9999999999997868E-3</v>
      </c>
      <c r="O758" s="19">
        <f t="shared" si="97"/>
        <v>-6.8999999999999062E-3</v>
      </c>
      <c r="P758" s="19">
        <f t="shared" si="97"/>
        <v>2.0000000000000018E-2</v>
      </c>
      <c r="R758" s="19"/>
      <c r="S758" s="19"/>
      <c r="T758" s="19"/>
      <c r="U758" s="19"/>
      <c r="V758" s="19"/>
    </row>
    <row r="759" spans="1:22" x14ac:dyDescent="0.2">
      <c r="A759" s="8">
        <v>45302</v>
      </c>
      <c r="B759" s="24">
        <v>4.75</v>
      </c>
      <c r="C759" s="24">
        <v>4.26</v>
      </c>
      <c r="D759" s="24">
        <v>4.0199999999999996</v>
      </c>
      <c r="E759" s="24">
        <v>3.9418000000000002</v>
      </c>
      <c r="F759" s="24">
        <v>3.9</v>
      </c>
      <c r="G759" s="83">
        <f t="shared" si="92"/>
        <v>95.465393794749389</v>
      </c>
      <c r="H759" s="84">
        <f t="shared" si="95"/>
        <v>102.66380894095967</v>
      </c>
      <c r="I759" s="84">
        <f t="shared" si="93"/>
        <v>91.48040786221641</v>
      </c>
      <c r="J759" s="84">
        <f t="shared" si="94"/>
        <v>402856705.62692493</v>
      </c>
      <c r="L759" s="19">
        <f t="shared" si="96"/>
        <v>-7.0000000000000284E-2</v>
      </c>
      <c r="M759" s="19">
        <f t="shared" si="97"/>
        <v>-0.11000000000000032</v>
      </c>
      <c r="N759" s="19">
        <f t="shared" si="97"/>
        <v>-8.0000000000000071E-2</v>
      </c>
      <c r="O759" s="19">
        <f t="shared" si="97"/>
        <v>5.1900000000000279E-2</v>
      </c>
      <c r="P759" s="19">
        <f t="shared" si="97"/>
        <v>-9.0000000000000302E-2</v>
      </c>
      <c r="R759" s="19"/>
      <c r="S759" s="19"/>
      <c r="T759" s="19"/>
      <c r="U759" s="19"/>
      <c r="V759" s="19"/>
    </row>
    <row r="760" spans="1:22" x14ac:dyDescent="0.2">
      <c r="A760" s="8">
        <v>45303</v>
      </c>
      <c r="B760" s="24">
        <v>4.6500000000000004</v>
      </c>
      <c r="C760" s="24">
        <v>4.1399999999999997</v>
      </c>
      <c r="D760" s="24">
        <v>3.92</v>
      </c>
      <c r="E760" s="24">
        <v>3.9813999999999998</v>
      </c>
      <c r="F760" s="24">
        <v>3.84</v>
      </c>
      <c r="G760" s="83">
        <f t="shared" si="92"/>
        <v>95.556617295747728</v>
      </c>
      <c r="H760" s="84">
        <f t="shared" si="95"/>
        <v>102.94855121002526</v>
      </c>
      <c r="I760" s="84">
        <f t="shared" si="93"/>
        <v>91.732659187598017</v>
      </c>
      <c r="J760" s="84">
        <f t="shared" si="94"/>
        <v>403621044.52684963</v>
      </c>
      <c r="L760" s="19">
        <f t="shared" si="96"/>
        <v>-9.9999999999999645E-2</v>
      </c>
      <c r="M760" s="19">
        <f t="shared" si="97"/>
        <v>-0.12000000000000011</v>
      </c>
      <c r="N760" s="19">
        <f t="shared" si="97"/>
        <v>-9.9999999999999645E-2</v>
      </c>
      <c r="O760" s="19">
        <f t="shared" si="97"/>
        <v>3.9599999999999635E-2</v>
      </c>
      <c r="P760" s="19">
        <f t="shared" si="97"/>
        <v>-6.0000000000000053E-2</v>
      </c>
      <c r="R760" s="19"/>
      <c r="S760" s="19"/>
      <c r="T760" s="19"/>
      <c r="U760" s="19"/>
      <c r="V760" s="19"/>
    </row>
    <row r="761" spans="1:22" x14ac:dyDescent="0.2">
      <c r="A761" s="8">
        <v>45307</v>
      </c>
      <c r="B761" s="24">
        <v>4.7</v>
      </c>
      <c r="C761" s="24">
        <v>4.22</v>
      </c>
      <c r="D761" s="24">
        <v>4.0199999999999996</v>
      </c>
      <c r="E761" s="24">
        <v>3.9535999999999998</v>
      </c>
      <c r="F761" s="24">
        <v>3.95</v>
      </c>
      <c r="G761" s="83">
        <f t="shared" si="92"/>
        <v>95.510983763132771</v>
      </c>
      <c r="H761" s="84">
        <f t="shared" si="95"/>
        <v>102.66961991990053</v>
      </c>
      <c r="I761" s="84">
        <f t="shared" si="93"/>
        <v>91.279549903749057</v>
      </c>
      <c r="J761" s="84">
        <f t="shared" si="94"/>
        <v>402135737.26141101</v>
      </c>
      <c r="L761" s="19">
        <f t="shared" si="96"/>
        <v>4.9999999999999822E-2</v>
      </c>
      <c r="M761" s="19">
        <f t="shared" si="97"/>
        <v>8.0000000000000071E-2</v>
      </c>
      <c r="N761" s="19">
        <f t="shared" si="97"/>
        <v>9.9999999999999645E-2</v>
      </c>
      <c r="O761" s="19">
        <f t="shared" si="97"/>
        <v>-2.7800000000000047E-2</v>
      </c>
      <c r="P761" s="19">
        <f t="shared" si="97"/>
        <v>0.11000000000000032</v>
      </c>
      <c r="R761" s="19"/>
      <c r="S761" s="19"/>
      <c r="T761" s="19"/>
      <c r="U761" s="19"/>
      <c r="V761" s="19"/>
    </row>
    <row r="762" spans="1:22" x14ac:dyDescent="0.2">
      <c r="A762" s="8">
        <v>45308</v>
      </c>
      <c r="B762" s="24">
        <v>4.8</v>
      </c>
      <c r="C762" s="24">
        <v>4.34</v>
      </c>
      <c r="D762" s="24">
        <v>4.12</v>
      </c>
      <c r="E762" s="24">
        <v>3.9506999999999999</v>
      </c>
      <c r="F762" s="24">
        <v>4.0199999999999996</v>
      </c>
      <c r="G762" s="83">
        <f t="shared" si="92"/>
        <v>95.419847328244273</v>
      </c>
      <c r="H762" s="84">
        <f t="shared" si="95"/>
        <v>102.38594103192166</v>
      </c>
      <c r="I762" s="84">
        <f t="shared" si="93"/>
        <v>90.986183558609667</v>
      </c>
      <c r="J762" s="84">
        <f t="shared" si="94"/>
        <v>401205517.3430447</v>
      </c>
      <c r="L762" s="19">
        <f t="shared" si="96"/>
        <v>9.9999999999999645E-2</v>
      </c>
      <c r="M762" s="19">
        <f t="shared" si="97"/>
        <v>0.12000000000000011</v>
      </c>
      <c r="N762" s="19">
        <f t="shared" si="97"/>
        <v>0.10000000000000053</v>
      </c>
      <c r="O762" s="19">
        <f t="shared" si="97"/>
        <v>-2.8999999999999027E-3</v>
      </c>
      <c r="P762" s="19">
        <f t="shared" si="97"/>
        <v>6.9999999999999396E-2</v>
      </c>
      <c r="R762" s="19"/>
      <c r="S762" s="19"/>
      <c r="T762" s="19"/>
      <c r="U762" s="19"/>
      <c r="V762" s="19"/>
    </row>
    <row r="763" spans="1:22" x14ac:dyDescent="0.2">
      <c r="A763" s="8">
        <v>45309</v>
      </c>
      <c r="B763" s="24">
        <v>4.8</v>
      </c>
      <c r="C763" s="24">
        <v>4.34</v>
      </c>
      <c r="D763" s="24">
        <v>4.13</v>
      </c>
      <c r="E763" s="24">
        <v>3.9573999999999998</v>
      </c>
      <c r="F763" s="24">
        <v>4.04</v>
      </c>
      <c r="G763" s="83">
        <f t="shared" si="92"/>
        <v>95.419847328244273</v>
      </c>
      <c r="H763" s="84">
        <f t="shared" si="95"/>
        <v>102.35914376516774</v>
      </c>
      <c r="I763" s="84">
        <f t="shared" si="93"/>
        <v>90.904758900344191</v>
      </c>
      <c r="J763" s="84">
        <f t="shared" si="94"/>
        <v>400920014.61011368</v>
      </c>
      <c r="L763" s="19">
        <f t="shared" si="96"/>
        <v>0</v>
      </c>
      <c r="M763" s="19">
        <f t="shared" si="97"/>
        <v>0</v>
      </c>
      <c r="N763" s="19">
        <f t="shared" si="97"/>
        <v>9.9999999999997868E-3</v>
      </c>
      <c r="O763" s="19">
        <f t="shared" si="97"/>
        <v>6.6999999999999282E-3</v>
      </c>
      <c r="P763" s="19">
        <f t="shared" si="97"/>
        <v>2.0000000000000462E-2</v>
      </c>
      <c r="R763" s="19"/>
      <c r="S763" s="19"/>
      <c r="T763" s="19"/>
      <c r="U763" s="19"/>
      <c r="V763" s="19"/>
    </row>
    <row r="764" spans="1:22" x14ac:dyDescent="0.2">
      <c r="A764" s="8">
        <v>45310</v>
      </c>
      <c r="B764" s="24">
        <v>4.84</v>
      </c>
      <c r="C764" s="24">
        <v>4.3899999999999997</v>
      </c>
      <c r="D764" s="24">
        <v>4.18</v>
      </c>
      <c r="E764" s="24">
        <v>3.8959000000000001</v>
      </c>
      <c r="F764" s="24">
        <v>4.08</v>
      </c>
      <c r="G764" s="83">
        <f t="shared" si="92"/>
        <v>95.383441434566961</v>
      </c>
      <c r="H764" s="84">
        <f t="shared" si="95"/>
        <v>102.21909290654401</v>
      </c>
      <c r="I764" s="84">
        <f t="shared" si="93"/>
        <v>90.743113124674252</v>
      </c>
      <c r="J764" s="84">
        <f t="shared" si="94"/>
        <v>400410696.00801492</v>
      </c>
      <c r="L764" s="19">
        <f t="shared" si="96"/>
        <v>4.0000000000000036E-2</v>
      </c>
      <c r="M764" s="19">
        <f t="shared" si="97"/>
        <v>4.9999999999999822E-2</v>
      </c>
      <c r="N764" s="19">
        <f t="shared" si="97"/>
        <v>4.9999999999999822E-2</v>
      </c>
      <c r="O764" s="19">
        <f t="shared" si="97"/>
        <v>-6.1499999999999666E-2</v>
      </c>
      <c r="P764" s="19">
        <f t="shared" si="97"/>
        <v>4.0000000000000036E-2</v>
      </c>
      <c r="R764" s="19"/>
      <c r="S764" s="19"/>
      <c r="T764" s="19"/>
      <c r="U764" s="19"/>
      <c r="V764" s="19"/>
    </row>
    <row r="765" spans="1:22" x14ac:dyDescent="0.2">
      <c r="A765" s="8">
        <v>45313</v>
      </c>
      <c r="B765" s="24">
        <v>4.83</v>
      </c>
      <c r="C765" s="24">
        <v>4.37</v>
      </c>
      <c r="D765" s="24">
        <v>4.1399999999999997</v>
      </c>
      <c r="E765" s="24">
        <v>3.8134000000000001</v>
      </c>
      <c r="F765" s="24">
        <v>4.03</v>
      </c>
      <c r="G765" s="83">
        <f t="shared" si="92"/>
        <v>95.392540303348284</v>
      </c>
      <c r="H765" s="84">
        <f t="shared" si="95"/>
        <v>102.32835157538008</v>
      </c>
      <c r="I765" s="84">
        <f t="shared" si="93"/>
        <v>90.952392300744435</v>
      </c>
      <c r="J765" s="84">
        <f t="shared" si="94"/>
        <v>401102122.44660413</v>
      </c>
      <c r="L765" s="19">
        <f t="shared" si="96"/>
        <v>-9.9999999999997868E-3</v>
      </c>
      <c r="M765" s="19">
        <f t="shared" si="97"/>
        <v>-1.9999999999999574E-2</v>
      </c>
      <c r="N765" s="19">
        <f t="shared" si="97"/>
        <v>-4.0000000000000036E-2</v>
      </c>
      <c r="O765" s="19">
        <f t="shared" si="97"/>
        <v>-8.2500000000000018E-2</v>
      </c>
      <c r="P765" s="19">
        <f t="shared" si="97"/>
        <v>-4.9999999999999822E-2</v>
      </c>
      <c r="R765" s="19"/>
      <c r="S765" s="19"/>
      <c r="T765" s="19"/>
      <c r="U765" s="19"/>
      <c r="V765" s="19"/>
    </row>
    <row r="766" spans="1:22" x14ac:dyDescent="0.2">
      <c r="A766" s="8">
        <v>45314</v>
      </c>
      <c r="B766" s="24">
        <v>4.8099999999999996</v>
      </c>
      <c r="C766" s="24">
        <v>4.3099999999999996</v>
      </c>
      <c r="D766" s="24">
        <v>4.16</v>
      </c>
      <c r="E766" s="24">
        <v>3.8752</v>
      </c>
      <c r="F766" s="24">
        <v>4.0599999999999996</v>
      </c>
      <c r="G766" s="83">
        <f t="shared" si="92"/>
        <v>95.410743249689915</v>
      </c>
      <c r="H766" s="84">
        <f t="shared" si="95"/>
        <v>102.28100063362325</v>
      </c>
      <c r="I766" s="84">
        <f t="shared" si="93"/>
        <v>90.829150435519679</v>
      </c>
      <c r="J766" s="84">
        <f t="shared" si="94"/>
        <v>400716587.29102373</v>
      </c>
      <c r="L766" s="19">
        <f t="shared" si="96"/>
        <v>-2.0000000000000462E-2</v>
      </c>
      <c r="M766" s="19">
        <f t="shared" si="97"/>
        <v>-6.0000000000000497E-2</v>
      </c>
      <c r="N766" s="19">
        <f t="shared" si="97"/>
        <v>2.0000000000000462E-2</v>
      </c>
      <c r="O766" s="19">
        <f t="shared" si="97"/>
        <v>6.1799999999999855E-2</v>
      </c>
      <c r="P766" s="19">
        <f t="shared" si="97"/>
        <v>2.9999999999999361E-2</v>
      </c>
      <c r="R766" s="19"/>
      <c r="S766" s="19"/>
      <c r="T766" s="19"/>
      <c r="U766" s="19"/>
      <c r="V766" s="19"/>
    </row>
    <row r="767" spans="1:22" x14ac:dyDescent="0.2">
      <c r="A767" s="8">
        <v>45315</v>
      </c>
      <c r="B767" s="24">
        <v>4.83</v>
      </c>
      <c r="C767" s="24">
        <v>4.34</v>
      </c>
      <c r="D767" s="24">
        <v>4.1900000000000004</v>
      </c>
      <c r="E767" s="24">
        <v>3.9474999999999998</v>
      </c>
      <c r="F767" s="24">
        <v>4.0599999999999996</v>
      </c>
      <c r="G767" s="83">
        <f t="shared" si="92"/>
        <v>95.392540303348284</v>
      </c>
      <c r="H767" s="84">
        <f t="shared" si="95"/>
        <v>102.19721076832352</v>
      </c>
      <c r="I767" s="84">
        <f t="shared" si="93"/>
        <v>90.821426842213071</v>
      </c>
      <c r="J767" s="84">
        <f t="shared" si="94"/>
        <v>400774971.82306355</v>
      </c>
      <c r="L767" s="19">
        <f t="shared" si="96"/>
        <v>2.0000000000000462E-2</v>
      </c>
      <c r="M767" s="19">
        <f t="shared" si="97"/>
        <v>3.0000000000000249E-2</v>
      </c>
      <c r="N767" s="19">
        <f t="shared" si="97"/>
        <v>3.0000000000000249E-2</v>
      </c>
      <c r="O767" s="19">
        <f t="shared" si="97"/>
        <v>7.2299999999999809E-2</v>
      </c>
      <c r="P767" s="19">
        <f t="shared" si="97"/>
        <v>0</v>
      </c>
      <c r="R767" s="19"/>
      <c r="S767" s="19"/>
      <c r="T767" s="19"/>
      <c r="U767" s="19"/>
      <c r="V767" s="19"/>
    </row>
    <row r="768" spans="1:22" x14ac:dyDescent="0.2">
      <c r="A768" s="8">
        <v>45316</v>
      </c>
      <c r="B768" s="24">
        <v>4.76</v>
      </c>
      <c r="C768" s="24">
        <v>4.28</v>
      </c>
      <c r="D768" s="24">
        <v>4.12</v>
      </c>
      <c r="E768" s="24">
        <v>3.9773999999999998</v>
      </c>
      <c r="F768" s="24">
        <v>4.01</v>
      </c>
      <c r="G768" s="83">
        <f t="shared" si="92"/>
        <v>95.456281023291325</v>
      </c>
      <c r="H768" s="84">
        <f t="shared" si="95"/>
        <v>102.39304928057429</v>
      </c>
      <c r="I768" s="84">
        <f t="shared" si="93"/>
        <v>91.027539362932472</v>
      </c>
      <c r="J768" s="84">
        <f t="shared" si="94"/>
        <v>401433145.57745111</v>
      </c>
      <c r="L768" s="19">
        <f t="shared" si="96"/>
        <v>-7.0000000000000284E-2</v>
      </c>
      <c r="M768" s="19">
        <f t="shared" si="97"/>
        <v>-5.9999999999999609E-2</v>
      </c>
      <c r="N768" s="19">
        <f t="shared" si="97"/>
        <v>-7.0000000000000284E-2</v>
      </c>
      <c r="O768" s="19">
        <f t="shared" si="97"/>
        <v>2.9900000000000038E-2</v>
      </c>
      <c r="P768" s="19">
        <f t="shared" si="97"/>
        <v>-4.9999999999999822E-2</v>
      </c>
      <c r="R768" s="19"/>
      <c r="S768" s="19"/>
      <c r="T768" s="19"/>
      <c r="U768" s="19"/>
      <c r="V768" s="19"/>
    </row>
    <row r="769" spans="1:22" x14ac:dyDescent="0.2">
      <c r="A769" s="8">
        <v>45317</v>
      </c>
      <c r="B769" s="24">
        <v>4.78</v>
      </c>
      <c r="C769" s="24">
        <v>4.34</v>
      </c>
      <c r="D769" s="24">
        <v>4.1500000000000004</v>
      </c>
      <c r="E769" s="24">
        <v>4.0098000000000003</v>
      </c>
      <c r="F769" s="24">
        <v>4.04</v>
      </c>
      <c r="G769" s="83">
        <f t="shared" si="92"/>
        <v>95.438060698606591</v>
      </c>
      <c r="H769" s="84">
        <f t="shared" si="95"/>
        <v>102.3064907706287</v>
      </c>
      <c r="I769" s="84">
        <f t="shared" si="93"/>
        <v>90.90065467003221</v>
      </c>
      <c r="J769" s="84">
        <f t="shared" si="94"/>
        <v>401019003.921399</v>
      </c>
      <c r="L769" s="19">
        <f t="shared" si="96"/>
        <v>2.0000000000000462E-2</v>
      </c>
      <c r="M769" s="19">
        <f t="shared" si="97"/>
        <v>5.9999999999999609E-2</v>
      </c>
      <c r="N769" s="19">
        <f t="shared" si="97"/>
        <v>3.0000000000000249E-2</v>
      </c>
      <c r="O769" s="19">
        <f t="shared" si="97"/>
        <v>3.2400000000000428E-2</v>
      </c>
      <c r="P769" s="19">
        <f t="shared" si="97"/>
        <v>3.0000000000000249E-2</v>
      </c>
      <c r="R769" s="19"/>
      <c r="S769" s="19"/>
      <c r="T769" s="19"/>
      <c r="U769" s="19"/>
      <c r="V769" s="19"/>
    </row>
    <row r="770" spans="1:22" x14ac:dyDescent="0.2">
      <c r="A770" s="8">
        <v>45320</v>
      </c>
      <c r="B770" s="24">
        <v>4.76</v>
      </c>
      <c r="C770" s="24">
        <v>4.29</v>
      </c>
      <c r="D770" s="24">
        <v>4.0999999999999996</v>
      </c>
      <c r="E770" s="24">
        <v>3.9863</v>
      </c>
      <c r="F770" s="24">
        <v>3.97</v>
      </c>
      <c r="G770" s="83">
        <f t="shared" ref="G770:G833" si="98">100/((1+B770/100)^1)</f>
        <v>95.456281023291325</v>
      </c>
      <c r="H770" s="84">
        <f t="shared" si="95"/>
        <v>102.44579298158772</v>
      </c>
      <c r="I770" s="84">
        <f t="shared" ref="I770:I833" si="99">SUM(2/(1+B770/100)^1, 2/(1+C770/100)^2, 2/(1+D770/100)^3, 2/(1+E770/100)^4, 102/(1+F770/100)^5)</f>
        <v>91.188939635847149</v>
      </c>
      <c r="J770" s="84">
        <f t="shared" ref="J770:J833" si="100">G770*2000000+H770*-1500000+I770*4000000</f>
        <v>401999631.11758971</v>
      </c>
      <c r="L770" s="19">
        <f t="shared" si="96"/>
        <v>-2.0000000000000462E-2</v>
      </c>
      <c r="M770" s="19">
        <f t="shared" si="97"/>
        <v>-4.9999999999999822E-2</v>
      </c>
      <c r="N770" s="19">
        <f t="shared" si="97"/>
        <v>-5.0000000000000711E-2</v>
      </c>
      <c r="O770" s="19">
        <f t="shared" si="97"/>
        <v>-2.3500000000000298E-2</v>
      </c>
      <c r="P770" s="19">
        <f t="shared" si="97"/>
        <v>-6.999999999999984E-2</v>
      </c>
      <c r="R770" s="19"/>
      <c r="S770" s="19"/>
      <c r="T770" s="19"/>
      <c r="U770" s="19"/>
      <c r="V770" s="19"/>
    </row>
    <row r="771" spans="1:22" x14ac:dyDescent="0.2">
      <c r="A771" s="8">
        <v>45321</v>
      </c>
      <c r="B771" s="24">
        <v>4.8</v>
      </c>
      <c r="C771" s="24">
        <v>4.3600000000000003</v>
      </c>
      <c r="D771" s="24">
        <v>4.1399999999999997</v>
      </c>
      <c r="E771" s="24">
        <v>3.9982000000000002</v>
      </c>
      <c r="F771" s="24">
        <v>4</v>
      </c>
      <c r="G771" s="83">
        <f t="shared" si="98"/>
        <v>95.419847328244273</v>
      </c>
      <c r="H771" s="84">
        <f t="shared" ref="H771:H834" si="101">SUM(5/(1+B771/100)^1, 5/(1+C771/100)^2, 105/(1+D771/100)^3)</f>
        <v>102.33059662820015</v>
      </c>
      <c r="I771" s="84">
        <f t="shared" si="99"/>
        <v>91.061897273864489</v>
      </c>
      <c r="J771" s="84">
        <f t="shared" si="100"/>
        <v>401591388.80964625</v>
      </c>
      <c r="L771" s="19">
        <f t="shared" si="96"/>
        <v>4.0000000000000036E-2</v>
      </c>
      <c r="M771" s="19">
        <f t="shared" si="97"/>
        <v>7.0000000000000284E-2</v>
      </c>
      <c r="N771" s="19">
        <f t="shared" si="97"/>
        <v>4.0000000000000036E-2</v>
      </c>
      <c r="O771" s="19">
        <f t="shared" si="97"/>
        <v>1.1900000000000244E-2</v>
      </c>
      <c r="P771" s="19">
        <f t="shared" si="97"/>
        <v>2.9999999999999805E-2</v>
      </c>
      <c r="R771" s="19"/>
      <c r="S771" s="19"/>
      <c r="T771" s="19"/>
      <c r="U771" s="19"/>
      <c r="V771" s="19"/>
    </row>
    <row r="772" spans="1:22" x14ac:dyDescent="0.2">
      <c r="A772" s="8">
        <v>45322</v>
      </c>
      <c r="B772" s="24">
        <v>4.7300000000000004</v>
      </c>
      <c r="C772" s="24">
        <v>4.2699999999999996</v>
      </c>
      <c r="D772" s="24">
        <v>4.05</v>
      </c>
      <c r="E772" s="24">
        <v>4.0279999999999996</v>
      </c>
      <c r="F772" s="24">
        <v>3.91</v>
      </c>
      <c r="G772" s="83">
        <f t="shared" si="98"/>
        <v>95.483624558388243</v>
      </c>
      <c r="H772" s="84">
        <f t="shared" si="101"/>
        <v>102.58316789187346</v>
      </c>
      <c r="I772" s="84">
        <f t="shared" si="99"/>
        <v>91.432683216971526</v>
      </c>
      <c r="J772" s="84">
        <f t="shared" si="100"/>
        <v>402823230.14685243</v>
      </c>
      <c r="L772" s="19">
        <f t="shared" si="96"/>
        <v>-6.9999999999999396E-2</v>
      </c>
      <c r="M772" s="19">
        <f t="shared" si="97"/>
        <v>-9.0000000000000746E-2</v>
      </c>
      <c r="N772" s="19">
        <f t="shared" si="97"/>
        <v>-8.9999999999999858E-2</v>
      </c>
      <c r="O772" s="19">
        <f t="shared" si="97"/>
        <v>2.9799999999999383E-2</v>
      </c>
      <c r="P772" s="19">
        <f t="shared" ref="P772:P835" si="102">F772-F771</f>
        <v>-8.9999999999999858E-2</v>
      </c>
      <c r="R772" s="19"/>
      <c r="S772" s="19"/>
      <c r="T772" s="19"/>
      <c r="U772" s="19"/>
      <c r="V772" s="19"/>
    </row>
    <row r="773" spans="1:22" x14ac:dyDescent="0.2">
      <c r="A773" s="8">
        <v>45323</v>
      </c>
      <c r="B773" s="24">
        <v>4.68</v>
      </c>
      <c r="C773" s="24">
        <v>4.2</v>
      </c>
      <c r="D773" s="24">
        <v>3.96</v>
      </c>
      <c r="E773" s="24">
        <v>3.9882</v>
      </c>
      <c r="F773" s="24">
        <v>3.8</v>
      </c>
      <c r="G773" s="83">
        <f t="shared" si="98"/>
        <v>95.529231944975166</v>
      </c>
      <c r="H773" s="84">
        <f t="shared" si="101"/>
        <v>102.83391978413057</v>
      </c>
      <c r="I773" s="84">
        <f t="shared" si="99"/>
        <v>91.890393236556449</v>
      </c>
      <c r="J773" s="84">
        <f t="shared" si="100"/>
        <v>404369157.1599803</v>
      </c>
      <c r="L773" s="19">
        <f t="shared" ref="L773:L836" si="103">B773-B772</f>
        <v>-5.0000000000000711E-2</v>
      </c>
      <c r="M773" s="19">
        <f t="shared" ref="M773:P836" si="104">C773-C772</f>
        <v>-6.9999999999999396E-2</v>
      </c>
      <c r="N773" s="19">
        <f t="shared" si="104"/>
        <v>-8.9999999999999858E-2</v>
      </c>
      <c r="O773" s="19">
        <f t="shared" si="104"/>
        <v>-3.9799999999999613E-2</v>
      </c>
      <c r="P773" s="19">
        <f t="shared" si="102"/>
        <v>-0.11000000000000032</v>
      </c>
      <c r="R773" s="19"/>
      <c r="S773" s="19"/>
      <c r="T773" s="19"/>
      <c r="U773" s="19"/>
      <c r="V773" s="19"/>
    </row>
    <row r="774" spans="1:22" x14ac:dyDescent="0.2">
      <c r="A774" s="8">
        <v>45324</v>
      </c>
      <c r="B774" s="24">
        <v>4.8099999999999996</v>
      </c>
      <c r="C774" s="24">
        <v>4.3600000000000003</v>
      </c>
      <c r="D774" s="24">
        <v>4.1399999999999997</v>
      </c>
      <c r="E774" s="24">
        <v>4.0021000000000004</v>
      </c>
      <c r="F774" s="24">
        <v>3.99</v>
      </c>
      <c r="G774" s="83">
        <f t="shared" si="98"/>
        <v>95.410743249689915</v>
      </c>
      <c r="H774" s="84">
        <f t="shared" si="101"/>
        <v>102.33014142427244</v>
      </c>
      <c r="I774" s="84">
        <f t="shared" si="99"/>
        <v>91.101776423048818</v>
      </c>
      <c r="J774" s="84">
        <f t="shared" si="100"/>
        <v>401733380.05516648</v>
      </c>
      <c r="L774" s="19">
        <f t="shared" si="103"/>
        <v>0.12999999999999989</v>
      </c>
      <c r="M774" s="19">
        <f t="shared" si="104"/>
        <v>0.16000000000000014</v>
      </c>
      <c r="N774" s="19">
        <f t="shared" si="104"/>
        <v>0.17999999999999972</v>
      </c>
      <c r="O774" s="19">
        <f t="shared" si="104"/>
        <v>1.3900000000000468E-2</v>
      </c>
      <c r="P774" s="19">
        <f t="shared" si="102"/>
        <v>0.19000000000000039</v>
      </c>
      <c r="R774" s="19"/>
      <c r="S774" s="19"/>
      <c r="T774" s="19"/>
      <c r="U774" s="19"/>
      <c r="V774" s="19"/>
    </row>
    <row r="775" spans="1:22" x14ac:dyDescent="0.2">
      <c r="A775" s="8">
        <v>45327</v>
      </c>
      <c r="B775" s="24">
        <v>4.87</v>
      </c>
      <c r="C775" s="24">
        <v>4.46</v>
      </c>
      <c r="D775" s="24">
        <v>4.2699999999999996</v>
      </c>
      <c r="E775" s="24">
        <v>3.9456000000000002</v>
      </c>
      <c r="F775" s="24">
        <v>4.13</v>
      </c>
      <c r="G775" s="83">
        <f t="shared" si="98"/>
        <v>95.356155239820737</v>
      </c>
      <c r="H775" s="84">
        <f t="shared" si="101"/>
        <v>101.97133000859489</v>
      </c>
      <c r="I775" s="84">
        <f t="shared" si="99"/>
        <v>90.531938022031085</v>
      </c>
      <c r="J775" s="84">
        <f t="shared" si="100"/>
        <v>399883067.55487347</v>
      </c>
      <c r="L775" s="19">
        <f t="shared" si="103"/>
        <v>6.0000000000000497E-2</v>
      </c>
      <c r="M775" s="19">
        <f t="shared" si="104"/>
        <v>9.9999999999999645E-2</v>
      </c>
      <c r="N775" s="19">
        <f t="shared" si="104"/>
        <v>0.12999999999999989</v>
      </c>
      <c r="O775" s="19">
        <f t="shared" si="104"/>
        <v>-5.6500000000000217E-2</v>
      </c>
      <c r="P775" s="19">
        <f t="shared" si="102"/>
        <v>0.13999999999999968</v>
      </c>
      <c r="R775" s="19"/>
      <c r="S775" s="19"/>
      <c r="T775" s="19"/>
      <c r="U775" s="19"/>
      <c r="V775" s="19"/>
    </row>
    <row r="776" spans="1:22" x14ac:dyDescent="0.2">
      <c r="A776" s="8">
        <v>45328</v>
      </c>
      <c r="B776" s="24">
        <v>4.82</v>
      </c>
      <c r="C776" s="24">
        <v>4.3899999999999997</v>
      </c>
      <c r="D776" s="24">
        <v>4.1399999999999997</v>
      </c>
      <c r="E776" s="24">
        <v>3.9550999999999998</v>
      </c>
      <c r="F776" s="24">
        <v>4.03</v>
      </c>
      <c r="G776" s="83">
        <f t="shared" si="98"/>
        <v>95.401640908223627</v>
      </c>
      <c r="H776" s="84">
        <f t="shared" si="101"/>
        <v>102.32704796084884</v>
      </c>
      <c r="I776" s="84">
        <f t="shared" si="99"/>
        <v>90.94250144363977</v>
      </c>
      <c r="J776" s="84">
        <f t="shared" si="100"/>
        <v>401082715.64973307</v>
      </c>
      <c r="L776" s="19">
        <f t="shared" si="103"/>
        <v>-4.9999999999999822E-2</v>
      </c>
      <c r="M776" s="19">
        <f t="shared" si="104"/>
        <v>-7.0000000000000284E-2</v>
      </c>
      <c r="N776" s="19">
        <f t="shared" si="104"/>
        <v>-0.12999999999999989</v>
      </c>
      <c r="O776" s="19">
        <f t="shared" si="104"/>
        <v>9.4999999999996199E-3</v>
      </c>
      <c r="P776" s="19">
        <f t="shared" si="102"/>
        <v>-9.9999999999999645E-2</v>
      </c>
      <c r="R776" s="19"/>
      <c r="S776" s="19"/>
      <c r="T776" s="19"/>
      <c r="U776" s="19"/>
      <c r="V776" s="19"/>
    </row>
    <row r="777" spans="1:22" x14ac:dyDescent="0.2">
      <c r="A777" s="8">
        <v>45329</v>
      </c>
      <c r="B777" s="24">
        <v>4.83</v>
      </c>
      <c r="C777" s="24">
        <v>4.41</v>
      </c>
      <c r="D777" s="24">
        <v>4.16</v>
      </c>
      <c r="E777" s="24">
        <v>3.8879000000000001</v>
      </c>
      <c r="F777" s="24">
        <v>4.0599999999999996</v>
      </c>
      <c r="G777" s="83">
        <f t="shared" si="98"/>
        <v>95.392540303348284</v>
      </c>
      <c r="H777" s="84">
        <f t="shared" si="101"/>
        <v>102.27129220207057</v>
      </c>
      <c r="I777" s="84">
        <f t="shared" si="99"/>
        <v>90.824427213122377</v>
      </c>
      <c r="J777" s="84">
        <f t="shared" si="100"/>
        <v>400675851.15608025</v>
      </c>
      <c r="L777" s="19">
        <f t="shared" si="103"/>
        <v>9.9999999999997868E-3</v>
      </c>
      <c r="M777" s="19">
        <f t="shared" si="104"/>
        <v>2.0000000000000462E-2</v>
      </c>
      <c r="N777" s="19">
        <f t="shared" si="104"/>
        <v>2.0000000000000462E-2</v>
      </c>
      <c r="O777" s="19">
        <f t="shared" si="104"/>
        <v>-6.7199999999999704E-2</v>
      </c>
      <c r="P777" s="19">
        <f t="shared" si="102"/>
        <v>2.9999999999999361E-2</v>
      </c>
      <c r="R777" s="19"/>
      <c r="S777" s="19"/>
      <c r="T777" s="19"/>
      <c r="U777" s="19"/>
      <c r="V777" s="19"/>
    </row>
    <row r="778" spans="1:22" x14ac:dyDescent="0.2">
      <c r="A778" s="8">
        <v>45330</v>
      </c>
      <c r="B778" s="24">
        <v>4.83</v>
      </c>
      <c r="C778" s="24">
        <v>4.46</v>
      </c>
      <c r="D778" s="24">
        <v>4.22</v>
      </c>
      <c r="E778" s="24">
        <v>3.7879</v>
      </c>
      <c r="F778" s="24">
        <v>4.12</v>
      </c>
      <c r="G778" s="83">
        <f t="shared" si="98"/>
        <v>95.392540303348284</v>
      </c>
      <c r="H778" s="84">
        <f t="shared" si="101"/>
        <v>102.10651973946388</v>
      </c>
      <c r="I778" s="84">
        <f t="shared" si="99"/>
        <v>90.585658852832722</v>
      </c>
      <c r="J778" s="84">
        <f t="shared" si="100"/>
        <v>399967936.4088316</v>
      </c>
      <c r="L778" s="19">
        <f t="shared" si="103"/>
        <v>0</v>
      </c>
      <c r="M778" s="19">
        <f t="shared" si="104"/>
        <v>4.9999999999999822E-2</v>
      </c>
      <c r="N778" s="19">
        <f t="shared" si="104"/>
        <v>5.9999999999999609E-2</v>
      </c>
      <c r="O778" s="19">
        <f t="shared" si="104"/>
        <v>-0.10000000000000009</v>
      </c>
      <c r="P778" s="19">
        <f t="shared" si="102"/>
        <v>6.0000000000000497E-2</v>
      </c>
      <c r="R778" s="19"/>
      <c r="S778" s="19"/>
      <c r="T778" s="19"/>
      <c r="U778" s="19"/>
      <c r="V778" s="19"/>
    </row>
    <row r="779" spans="1:22" x14ac:dyDescent="0.2">
      <c r="A779" s="8">
        <v>45331</v>
      </c>
      <c r="B779" s="24">
        <v>4.8600000000000003</v>
      </c>
      <c r="C779" s="24">
        <v>4.4800000000000004</v>
      </c>
      <c r="D779" s="24">
        <v>4.25</v>
      </c>
      <c r="E779" s="24">
        <v>3.9196</v>
      </c>
      <c r="F779" s="24">
        <v>4.1399999999999997</v>
      </c>
      <c r="G779" s="83">
        <f t="shared" si="98"/>
        <v>95.365248903299644</v>
      </c>
      <c r="H779" s="84">
        <f t="shared" si="101"/>
        <v>102.02334807631647</v>
      </c>
      <c r="I779" s="84">
        <f t="shared" si="99"/>
        <v>90.494155443467804</v>
      </c>
      <c r="J779" s="84">
        <f t="shared" si="100"/>
        <v>399672097.46599579</v>
      </c>
      <c r="L779" s="19">
        <f t="shared" si="103"/>
        <v>3.0000000000000249E-2</v>
      </c>
      <c r="M779" s="19">
        <f t="shared" si="104"/>
        <v>2.0000000000000462E-2</v>
      </c>
      <c r="N779" s="19">
        <f t="shared" si="104"/>
        <v>3.0000000000000249E-2</v>
      </c>
      <c r="O779" s="19">
        <f t="shared" si="104"/>
        <v>0.13169999999999993</v>
      </c>
      <c r="P779" s="19">
        <f t="shared" si="102"/>
        <v>1.9999999999999574E-2</v>
      </c>
      <c r="R779" s="19"/>
      <c r="S779" s="19"/>
      <c r="T779" s="19"/>
      <c r="U779" s="19"/>
      <c r="V779" s="19"/>
    </row>
    <row r="780" spans="1:22" x14ac:dyDescent="0.2">
      <c r="A780" s="8">
        <v>45334</v>
      </c>
      <c r="B780" s="24">
        <v>4.87</v>
      </c>
      <c r="C780" s="24">
        <v>4.46</v>
      </c>
      <c r="D780" s="24">
        <v>4.25</v>
      </c>
      <c r="E780" s="24">
        <v>4.0468000000000002</v>
      </c>
      <c r="F780" s="24">
        <v>4.13</v>
      </c>
      <c r="G780" s="83">
        <f t="shared" si="98"/>
        <v>95.356155239820737</v>
      </c>
      <c r="H780" s="84">
        <f t="shared" si="101"/>
        <v>102.02464749666026</v>
      </c>
      <c r="I780" s="84">
        <f t="shared" si="99"/>
        <v>90.526298047671261</v>
      </c>
      <c r="J780" s="84">
        <f t="shared" si="100"/>
        <v>399780531.42533612</v>
      </c>
      <c r="L780" s="19">
        <f t="shared" si="103"/>
        <v>9.9999999999997868E-3</v>
      </c>
      <c r="M780" s="19">
        <f t="shared" si="104"/>
        <v>-2.0000000000000462E-2</v>
      </c>
      <c r="N780" s="19">
        <f t="shared" si="104"/>
        <v>0</v>
      </c>
      <c r="O780" s="19">
        <f t="shared" si="104"/>
        <v>0.1272000000000002</v>
      </c>
      <c r="P780" s="19">
        <f t="shared" si="102"/>
        <v>-9.9999999999997868E-3</v>
      </c>
      <c r="R780" s="19"/>
      <c r="S780" s="19"/>
      <c r="T780" s="19"/>
      <c r="U780" s="19"/>
      <c r="V780" s="19"/>
    </row>
    <row r="781" spans="1:22" x14ac:dyDescent="0.2">
      <c r="A781" s="8">
        <v>45335</v>
      </c>
      <c r="B781" s="24">
        <v>4.99</v>
      </c>
      <c r="C781" s="24">
        <v>4.6399999999999997</v>
      </c>
      <c r="D781" s="24">
        <v>4.4400000000000004</v>
      </c>
      <c r="E781" s="24">
        <v>4.0103999999999997</v>
      </c>
      <c r="F781" s="24">
        <v>4.3099999999999996</v>
      </c>
      <c r="G781" s="83">
        <f t="shared" si="98"/>
        <v>95.247166396799685</v>
      </c>
      <c r="H781" s="84">
        <f t="shared" si="101"/>
        <v>101.49857822321954</v>
      </c>
      <c r="I781" s="84">
        <f t="shared" si="99"/>
        <v>89.79421969474663</v>
      </c>
      <c r="J781" s="84">
        <f t="shared" si="100"/>
        <v>397423344.23775661</v>
      </c>
      <c r="L781" s="19">
        <f t="shared" si="103"/>
        <v>0.12000000000000011</v>
      </c>
      <c r="M781" s="19">
        <f t="shared" si="104"/>
        <v>0.17999999999999972</v>
      </c>
      <c r="N781" s="19">
        <f t="shared" si="104"/>
        <v>0.19000000000000039</v>
      </c>
      <c r="O781" s="19">
        <f t="shared" si="104"/>
        <v>-3.6400000000000432E-2</v>
      </c>
      <c r="P781" s="19">
        <f t="shared" si="102"/>
        <v>0.17999999999999972</v>
      </c>
      <c r="R781" s="19"/>
      <c r="S781" s="19"/>
      <c r="T781" s="19"/>
      <c r="U781" s="19"/>
      <c r="V781" s="19"/>
    </row>
    <row r="782" spans="1:22" x14ac:dyDescent="0.2">
      <c r="A782" s="8">
        <v>45336</v>
      </c>
      <c r="B782" s="24">
        <v>4.9400000000000004</v>
      </c>
      <c r="C782" s="24">
        <v>4.5599999999999996</v>
      </c>
      <c r="D782" s="24">
        <v>4.38</v>
      </c>
      <c r="E782" s="24">
        <v>4.0167000000000002</v>
      </c>
      <c r="F782" s="24">
        <v>4.25</v>
      </c>
      <c r="G782" s="83">
        <f t="shared" si="98"/>
        <v>95.29254812273679</v>
      </c>
      <c r="H782" s="84">
        <f t="shared" si="101"/>
        <v>101.66687290037342</v>
      </c>
      <c r="I782" s="84">
        <f t="shared" si="99"/>
        <v>90.038505053368624</v>
      </c>
      <c r="J782" s="84">
        <f t="shared" si="100"/>
        <v>398238807.10838795</v>
      </c>
      <c r="L782" s="19">
        <f t="shared" si="103"/>
        <v>-4.9999999999999822E-2</v>
      </c>
      <c r="M782" s="19">
        <f t="shared" si="104"/>
        <v>-8.0000000000000071E-2</v>
      </c>
      <c r="N782" s="19">
        <f t="shared" si="104"/>
        <v>-6.0000000000000497E-2</v>
      </c>
      <c r="O782" s="19">
        <f t="shared" si="104"/>
        <v>6.3000000000004164E-3</v>
      </c>
      <c r="P782" s="19">
        <f t="shared" si="102"/>
        <v>-5.9999999999999609E-2</v>
      </c>
      <c r="R782" s="19"/>
      <c r="S782" s="19"/>
      <c r="T782" s="19"/>
      <c r="U782" s="19"/>
      <c r="V782" s="19"/>
    </row>
    <row r="783" spans="1:22" x14ac:dyDescent="0.2">
      <c r="A783" s="8">
        <v>45337</v>
      </c>
      <c r="B783" s="24">
        <v>4.93</v>
      </c>
      <c r="C783" s="24">
        <v>4.5599999999999996</v>
      </c>
      <c r="D783" s="24">
        <v>4.3600000000000003</v>
      </c>
      <c r="E783" s="24">
        <v>4.0659999999999998</v>
      </c>
      <c r="F783" s="24">
        <v>4.22</v>
      </c>
      <c r="G783" s="83">
        <f t="shared" si="98"/>
        <v>95.301629657867153</v>
      </c>
      <c r="H783" s="84">
        <f t="shared" si="101"/>
        <v>101.720420045981</v>
      </c>
      <c r="I783" s="84">
        <f t="shared" si="99"/>
        <v>90.155754392440599</v>
      </c>
      <c r="J783" s="84">
        <f t="shared" si="100"/>
        <v>398645646.81652522</v>
      </c>
      <c r="L783" s="19">
        <f t="shared" si="103"/>
        <v>-1.0000000000000675E-2</v>
      </c>
      <c r="M783" s="19">
        <f t="shared" si="104"/>
        <v>0</v>
      </c>
      <c r="N783" s="19">
        <f t="shared" si="104"/>
        <v>-1.9999999999999574E-2</v>
      </c>
      <c r="O783" s="19">
        <f t="shared" si="104"/>
        <v>4.9299999999999677E-2</v>
      </c>
      <c r="P783" s="19">
        <f t="shared" si="102"/>
        <v>-3.0000000000000249E-2</v>
      </c>
      <c r="R783" s="19"/>
      <c r="S783" s="19"/>
      <c r="T783" s="19"/>
      <c r="U783" s="19"/>
      <c r="V783" s="19"/>
    </row>
    <row r="784" spans="1:22" x14ac:dyDescent="0.2">
      <c r="A784" s="8">
        <v>45338</v>
      </c>
      <c r="B784" s="24">
        <v>4.9800000000000004</v>
      </c>
      <c r="C784" s="24">
        <v>4.6399999999999997</v>
      </c>
      <c r="D784" s="24">
        <v>4.43</v>
      </c>
      <c r="E784" s="24">
        <v>4.0928000000000004</v>
      </c>
      <c r="F784" s="24">
        <v>4.29</v>
      </c>
      <c r="G784" s="83">
        <f t="shared" si="98"/>
        <v>95.256239283673068</v>
      </c>
      <c r="H784" s="84">
        <f t="shared" si="101"/>
        <v>101.52551237315403</v>
      </c>
      <c r="I784" s="84">
        <f t="shared" si="99"/>
        <v>89.868731672729325</v>
      </c>
      <c r="J784" s="84">
        <f t="shared" si="100"/>
        <v>397699136.6985324</v>
      </c>
      <c r="L784" s="19">
        <f t="shared" si="103"/>
        <v>5.0000000000000711E-2</v>
      </c>
      <c r="M784" s="19">
        <f t="shared" si="104"/>
        <v>8.0000000000000071E-2</v>
      </c>
      <c r="N784" s="19">
        <f t="shared" si="104"/>
        <v>6.9999999999999396E-2</v>
      </c>
      <c r="O784" s="19">
        <f t="shared" si="104"/>
        <v>2.6800000000000601E-2</v>
      </c>
      <c r="P784" s="19">
        <f t="shared" si="102"/>
        <v>7.0000000000000284E-2</v>
      </c>
      <c r="R784" s="19"/>
      <c r="S784" s="19"/>
      <c r="T784" s="19"/>
      <c r="U784" s="19"/>
      <c r="V784" s="19"/>
    </row>
    <row r="785" spans="1:22" x14ac:dyDescent="0.2">
      <c r="A785" s="8">
        <v>45342</v>
      </c>
      <c r="B785" s="24">
        <v>4.97</v>
      </c>
      <c r="C785" s="24">
        <v>4.59</v>
      </c>
      <c r="D785" s="24">
        <v>4.38</v>
      </c>
      <c r="E785" s="24">
        <v>4.0918999999999999</v>
      </c>
      <c r="F785" s="24">
        <v>4.25</v>
      </c>
      <c r="G785" s="83">
        <f t="shared" si="98"/>
        <v>95.265313899209289</v>
      </c>
      <c r="H785" s="84">
        <f t="shared" si="101"/>
        <v>101.6628879514509</v>
      </c>
      <c r="I785" s="84">
        <f t="shared" si="99"/>
        <v>90.031979245465749</v>
      </c>
      <c r="J785" s="84">
        <f t="shared" si="100"/>
        <v>398164212.85310525</v>
      </c>
      <c r="L785" s="19">
        <f t="shared" si="103"/>
        <v>-1.0000000000000675E-2</v>
      </c>
      <c r="M785" s="19">
        <f t="shared" si="104"/>
        <v>-4.9999999999999822E-2</v>
      </c>
      <c r="N785" s="19">
        <f t="shared" si="104"/>
        <v>-4.9999999999999822E-2</v>
      </c>
      <c r="O785" s="19">
        <f t="shared" si="104"/>
        <v>-9.0000000000056701E-4</v>
      </c>
      <c r="P785" s="19">
        <f t="shared" si="102"/>
        <v>-4.0000000000000036E-2</v>
      </c>
      <c r="R785" s="19"/>
      <c r="S785" s="19"/>
      <c r="T785" s="19"/>
      <c r="U785" s="19"/>
      <c r="V785" s="19"/>
    </row>
    <row r="786" spans="1:22" x14ac:dyDescent="0.2">
      <c r="A786" s="8">
        <v>45343</v>
      </c>
      <c r="B786" s="24">
        <v>4.9800000000000004</v>
      </c>
      <c r="C786" s="24">
        <v>4.6399999999999997</v>
      </c>
      <c r="D786" s="24">
        <v>4.43</v>
      </c>
      <c r="E786" s="24">
        <v>4.2317</v>
      </c>
      <c r="F786" s="24">
        <v>4.3</v>
      </c>
      <c r="G786" s="83">
        <f t="shared" si="98"/>
        <v>95.256239283673068</v>
      </c>
      <c r="H786" s="84">
        <f t="shared" si="101"/>
        <v>101.52551237315403</v>
      </c>
      <c r="I786" s="84">
        <f t="shared" si="99"/>
        <v>89.820042487355025</v>
      </c>
      <c r="J786" s="84">
        <f t="shared" si="100"/>
        <v>397504379.95703518</v>
      </c>
      <c r="L786" s="19">
        <f t="shared" si="103"/>
        <v>1.0000000000000675E-2</v>
      </c>
      <c r="M786" s="19">
        <f t="shared" si="104"/>
        <v>4.9999999999999822E-2</v>
      </c>
      <c r="N786" s="19">
        <f t="shared" si="104"/>
        <v>4.9999999999999822E-2</v>
      </c>
      <c r="O786" s="19">
        <f t="shared" si="104"/>
        <v>0.13980000000000015</v>
      </c>
      <c r="P786" s="19">
        <f t="shared" si="102"/>
        <v>4.9999999999999822E-2</v>
      </c>
      <c r="R786" s="19"/>
      <c r="S786" s="19"/>
      <c r="T786" s="19"/>
      <c r="U786" s="19"/>
      <c r="V786" s="19"/>
    </row>
    <row r="787" spans="1:22" x14ac:dyDescent="0.2">
      <c r="A787" s="8">
        <v>45344</v>
      </c>
      <c r="B787" s="24">
        <v>5.0199999999999996</v>
      </c>
      <c r="C787" s="24">
        <v>4.6900000000000004</v>
      </c>
      <c r="D787" s="24">
        <v>4.49</v>
      </c>
      <c r="E787" s="24">
        <v>4.2172000000000001</v>
      </c>
      <c r="F787" s="24">
        <v>4.33</v>
      </c>
      <c r="G787" s="83">
        <f t="shared" si="98"/>
        <v>95.219958103218431</v>
      </c>
      <c r="H787" s="84">
        <f t="shared" si="101"/>
        <v>101.36060648847359</v>
      </c>
      <c r="I787" s="84">
        <f t="shared" si="99"/>
        <v>89.696748517554013</v>
      </c>
      <c r="J787" s="84">
        <f t="shared" si="100"/>
        <v>397186000.54394257</v>
      </c>
      <c r="L787" s="19">
        <f t="shared" si="103"/>
        <v>3.9999999999999147E-2</v>
      </c>
      <c r="M787" s="19">
        <f t="shared" si="104"/>
        <v>5.0000000000000711E-2</v>
      </c>
      <c r="N787" s="19">
        <f t="shared" si="104"/>
        <v>6.0000000000000497E-2</v>
      </c>
      <c r="O787" s="19">
        <f t="shared" si="104"/>
        <v>-1.4499999999999957E-2</v>
      </c>
      <c r="P787" s="19">
        <f t="shared" si="102"/>
        <v>3.0000000000000249E-2</v>
      </c>
      <c r="R787" s="19"/>
      <c r="S787" s="19"/>
      <c r="T787" s="19"/>
      <c r="U787" s="19"/>
      <c r="V787" s="19"/>
    </row>
    <row r="788" spans="1:22" x14ac:dyDescent="0.2">
      <c r="A788" s="8">
        <v>45345</v>
      </c>
      <c r="B788" s="24">
        <v>5</v>
      </c>
      <c r="C788" s="24">
        <v>4.67</v>
      </c>
      <c r="D788" s="24">
        <v>4.45</v>
      </c>
      <c r="E788" s="24">
        <v>4.1961000000000004</v>
      </c>
      <c r="F788" s="24">
        <v>4.28</v>
      </c>
      <c r="G788" s="83">
        <f t="shared" si="98"/>
        <v>95.238095238095241</v>
      </c>
      <c r="H788" s="84">
        <f t="shared" si="101"/>
        <v>101.4690370730481</v>
      </c>
      <c r="I788" s="84">
        <f t="shared" si="99"/>
        <v>89.899217502002585</v>
      </c>
      <c r="J788" s="84">
        <f t="shared" si="100"/>
        <v>397869504.87462866</v>
      </c>
      <c r="L788" s="19">
        <f t="shared" si="103"/>
        <v>-1.9999999999999574E-2</v>
      </c>
      <c r="M788" s="19">
        <f t="shared" si="104"/>
        <v>-2.0000000000000462E-2</v>
      </c>
      <c r="N788" s="19">
        <f t="shared" si="104"/>
        <v>-4.0000000000000036E-2</v>
      </c>
      <c r="O788" s="19">
        <f t="shared" si="104"/>
        <v>-2.1099999999999675E-2</v>
      </c>
      <c r="P788" s="19">
        <f t="shared" si="102"/>
        <v>-4.9999999999999822E-2</v>
      </c>
      <c r="R788" s="19"/>
      <c r="S788" s="19"/>
      <c r="T788" s="19"/>
      <c r="U788" s="19"/>
      <c r="V788" s="19"/>
    </row>
    <row r="789" spans="1:22" x14ac:dyDescent="0.2">
      <c r="A789" s="8">
        <v>45348</v>
      </c>
      <c r="B789" s="24">
        <v>5.03</v>
      </c>
      <c r="C789" s="24">
        <v>4.6900000000000004</v>
      </c>
      <c r="D789" s="24">
        <v>4.4800000000000004</v>
      </c>
      <c r="E789" s="24">
        <v>4.2466999999999997</v>
      </c>
      <c r="F789" s="24">
        <v>4.29</v>
      </c>
      <c r="G789" s="83">
        <f t="shared" si="98"/>
        <v>95.210892126059221</v>
      </c>
      <c r="H789" s="84">
        <f t="shared" si="101"/>
        <v>101.38658304390938</v>
      </c>
      <c r="I789" s="84">
        <f t="shared" si="99"/>
        <v>89.85352297894535</v>
      </c>
      <c r="J789" s="84">
        <f t="shared" si="100"/>
        <v>397756001.60203576</v>
      </c>
      <c r="L789" s="19">
        <f t="shared" si="103"/>
        <v>3.0000000000000249E-2</v>
      </c>
      <c r="M789" s="19">
        <f t="shared" si="104"/>
        <v>2.0000000000000462E-2</v>
      </c>
      <c r="N789" s="19">
        <f t="shared" si="104"/>
        <v>3.0000000000000249E-2</v>
      </c>
      <c r="O789" s="19">
        <f t="shared" si="104"/>
        <v>5.0599999999999312E-2</v>
      </c>
      <c r="P789" s="19">
        <f t="shared" si="102"/>
        <v>9.9999999999997868E-3</v>
      </c>
      <c r="R789" s="19"/>
      <c r="S789" s="19"/>
      <c r="T789" s="19"/>
      <c r="U789" s="19"/>
      <c r="V789" s="19"/>
    </row>
    <row r="790" spans="1:22" x14ac:dyDescent="0.2">
      <c r="A790" s="8">
        <v>45349</v>
      </c>
      <c r="B790" s="24">
        <v>5.03</v>
      </c>
      <c r="C790" s="24">
        <v>4.7</v>
      </c>
      <c r="D790" s="24">
        <v>4.5</v>
      </c>
      <c r="E790" s="24">
        <v>4.2291999999999996</v>
      </c>
      <c r="F790" s="24">
        <v>4.32</v>
      </c>
      <c r="G790" s="83">
        <f t="shared" si="98"/>
        <v>95.210892126059221</v>
      </c>
      <c r="H790" s="84">
        <f t="shared" si="101"/>
        <v>101.33286204176915</v>
      </c>
      <c r="I790" s="84">
        <f t="shared" si="99"/>
        <v>89.734493264689263</v>
      </c>
      <c r="J790" s="84">
        <f t="shared" si="100"/>
        <v>397360464.24822176</v>
      </c>
      <c r="L790" s="19">
        <f t="shared" si="103"/>
        <v>0</v>
      </c>
      <c r="M790" s="19">
        <f t="shared" si="104"/>
        <v>9.9999999999997868E-3</v>
      </c>
      <c r="N790" s="19">
        <f t="shared" si="104"/>
        <v>1.9999999999999574E-2</v>
      </c>
      <c r="O790" s="19">
        <f t="shared" si="104"/>
        <v>-1.7500000000000071E-2</v>
      </c>
      <c r="P790" s="19">
        <f t="shared" si="102"/>
        <v>3.0000000000000249E-2</v>
      </c>
      <c r="R790" s="19"/>
      <c r="S790" s="19"/>
      <c r="T790" s="19"/>
      <c r="U790" s="19"/>
      <c r="V790" s="19"/>
    </row>
    <row r="791" spans="1:22" x14ac:dyDescent="0.2">
      <c r="A791" s="8">
        <v>45350</v>
      </c>
      <c r="B791" s="24">
        <v>5</v>
      </c>
      <c r="C791" s="24">
        <v>4.6399999999999997</v>
      </c>
      <c r="D791" s="24">
        <v>4.4400000000000004</v>
      </c>
      <c r="E791" s="24">
        <v>4.2602000000000002</v>
      </c>
      <c r="F791" s="24">
        <v>4.26</v>
      </c>
      <c r="G791" s="83">
        <f t="shared" si="98"/>
        <v>95.238095238095241</v>
      </c>
      <c r="H791" s="84">
        <f t="shared" si="101"/>
        <v>101.49812466528431</v>
      </c>
      <c r="I791" s="84">
        <f t="shared" si="99"/>
        <v>89.975967404617251</v>
      </c>
      <c r="J791" s="84">
        <f t="shared" si="100"/>
        <v>398132873.09673297</v>
      </c>
      <c r="L791" s="19">
        <f t="shared" si="103"/>
        <v>-3.0000000000000249E-2</v>
      </c>
      <c r="M791" s="19">
        <f t="shared" si="104"/>
        <v>-6.0000000000000497E-2</v>
      </c>
      <c r="N791" s="19">
        <f t="shared" si="104"/>
        <v>-5.9999999999999609E-2</v>
      </c>
      <c r="O791" s="19">
        <f t="shared" si="104"/>
        <v>3.1000000000000583E-2</v>
      </c>
      <c r="P791" s="19">
        <f t="shared" si="102"/>
        <v>-6.0000000000000497E-2</v>
      </c>
      <c r="R791" s="19"/>
      <c r="S791" s="19"/>
      <c r="T791" s="19"/>
      <c r="U791" s="19"/>
      <c r="V791" s="19"/>
    </row>
    <row r="792" spans="1:22" x14ac:dyDescent="0.2">
      <c r="A792" s="8">
        <v>45351</v>
      </c>
      <c r="B792" s="24">
        <v>5.01</v>
      </c>
      <c r="C792" s="24">
        <v>4.6399999999999997</v>
      </c>
      <c r="D792" s="24">
        <v>4.43</v>
      </c>
      <c r="E792" s="24">
        <v>4.2953000000000001</v>
      </c>
      <c r="F792" s="24">
        <v>4.26</v>
      </c>
      <c r="G792" s="83">
        <f t="shared" si="98"/>
        <v>95.229025807065995</v>
      </c>
      <c r="H792" s="84">
        <f t="shared" si="101"/>
        <v>101.52415169932367</v>
      </c>
      <c r="I792" s="84">
        <f t="shared" si="99"/>
        <v>89.974013008731959</v>
      </c>
      <c r="J792" s="84">
        <f t="shared" si="100"/>
        <v>398067876.10007429</v>
      </c>
      <c r="L792" s="19">
        <f t="shared" si="103"/>
        <v>9.9999999999997868E-3</v>
      </c>
      <c r="M792" s="19">
        <f t="shared" si="104"/>
        <v>0</v>
      </c>
      <c r="N792" s="19">
        <f t="shared" si="104"/>
        <v>-1.0000000000000675E-2</v>
      </c>
      <c r="O792" s="19">
        <f t="shared" si="104"/>
        <v>3.5099999999999909E-2</v>
      </c>
      <c r="P792" s="19">
        <f t="shared" si="102"/>
        <v>0</v>
      </c>
      <c r="R792" s="19"/>
      <c r="S792" s="19"/>
      <c r="T792" s="19"/>
      <c r="U792" s="19"/>
      <c r="V792" s="19"/>
    </row>
    <row r="793" spans="1:22" x14ac:dyDescent="0.2">
      <c r="A793" s="8">
        <v>45352</v>
      </c>
      <c r="B793" s="24">
        <v>4.9400000000000004</v>
      </c>
      <c r="C793" s="24">
        <v>4.54</v>
      </c>
      <c r="D793" s="24">
        <v>4.32</v>
      </c>
      <c r="E793" s="24">
        <v>4.2663000000000002</v>
      </c>
      <c r="F793" s="24">
        <v>4.17</v>
      </c>
      <c r="G793" s="83">
        <f t="shared" si="98"/>
        <v>95.29254812273679</v>
      </c>
      <c r="H793" s="84">
        <f t="shared" si="101"/>
        <v>101.82802437255221</v>
      </c>
      <c r="I793" s="84">
        <f t="shared" si="99"/>
        <v>90.344509671729696</v>
      </c>
      <c r="J793" s="84">
        <f t="shared" si="100"/>
        <v>399221098.37356406</v>
      </c>
      <c r="L793" s="19">
        <f t="shared" si="103"/>
        <v>-6.9999999999999396E-2</v>
      </c>
      <c r="M793" s="19">
        <f t="shared" si="104"/>
        <v>-9.9999999999999645E-2</v>
      </c>
      <c r="N793" s="19">
        <f t="shared" si="104"/>
        <v>-0.10999999999999943</v>
      </c>
      <c r="O793" s="19">
        <f t="shared" si="104"/>
        <v>-2.8999999999999915E-2</v>
      </c>
      <c r="P793" s="19">
        <f t="shared" si="102"/>
        <v>-8.9999999999999858E-2</v>
      </c>
      <c r="R793" s="19"/>
      <c r="S793" s="19"/>
      <c r="T793" s="19"/>
      <c r="U793" s="19"/>
      <c r="V793" s="19"/>
    </row>
    <row r="794" spans="1:22" x14ac:dyDescent="0.2">
      <c r="A794" s="8">
        <v>45355</v>
      </c>
      <c r="B794" s="24">
        <v>4.9800000000000004</v>
      </c>
      <c r="C794" s="24">
        <v>4.6100000000000003</v>
      </c>
      <c r="D794" s="24">
        <v>4.3899999999999997</v>
      </c>
      <c r="E794" s="24">
        <v>4.2847999999999997</v>
      </c>
      <c r="F794" s="24">
        <v>4.21</v>
      </c>
      <c r="G794" s="83">
        <f t="shared" si="98"/>
        <v>95.256239283673068</v>
      </c>
      <c r="H794" s="84">
        <f t="shared" si="101"/>
        <v>101.63415537090408</v>
      </c>
      <c r="I794" s="84">
        <f t="shared" si="99"/>
        <v>90.177124915205368</v>
      </c>
      <c r="J794" s="84">
        <f t="shared" si="100"/>
        <v>398769745.17181146</v>
      </c>
      <c r="L794" s="19">
        <f t="shared" si="103"/>
        <v>4.0000000000000036E-2</v>
      </c>
      <c r="M794" s="19">
        <f t="shared" si="104"/>
        <v>7.0000000000000284E-2</v>
      </c>
      <c r="N794" s="19">
        <f t="shared" si="104"/>
        <v>6.9999999999999396E-2</v>
      </c>
      <c r="O794" s="19">
        <f t="shared" si="104"/>
        <v>1.8499999999999517E-2</v>
      </c>
      <c r="P794" s="19">
        <f t="shared" si="102"/>
        <v>4.0000000000000036E-2</v>
      </c>
      <c r="R794" s="19"/>
      <c r="S794" s="19"/>
      <c r="T794" s="19"/>
      <c r="U794" s="19"/>
      <c r="V794" s="19"/>
    </row>
    <row r="795" spans="1:22" x14ac:dyDescent="0.2">
      <c r="A795" s="8">
        <v>45356</v>
      </c>
      <c r="B795" s="24">
        <v>4.9400000000000004</v>
      </c>
      <c r="C795" s="24">
        <v>4.54</v>
      </c>
      <c r="D795" s="24">
        <v>4.32</v>
      </c>
      <c r="E795" s="24">
        <v>4.3045999999999998</v>
      </c>
      <c r="F795" s="24">
        <v>4.13</v>
      </c>
      <c r="G795" s="83">
        <f t="shared" si="98"/>
        <v>95.29254812273679</v>
      </c>
      <c r="H795" s="84">
        <f t="shared" si="101"/>
        <v>101.82802437255221</v>
      </c>
      <c r="I795" s="84">
        <f t="shared" si="99"/>
        <v>90.50186157660805</v>
      </c>
      <c r="J795" s="84">
        <f t="shared" si="100"/>
        <v>399850505.99307746</v>
      </c>
      <c r="L795" s="19">
        <f t="shared" si="103"/>
        <v>-4.0000000000000036E-2</v>
      </c>
      <c r="M795" s="19">
        <f t="shared" si="104"/>
        <v>-7.0000000000000284E-2</v>
      </c>
      <c r="N795" s="19">
        <f t="shared" si="104"/>
        <v>-6.9999999999999396E-2</v>
      </c>
      <c r="O795" s="19">
        <f t="shared" si="104"/>
        <v>1.980000000000004E-2</v>
      </c>
      <c r="P795" s="19">
        <f t="shared" si="102"/>
        <v>-8.0000000000000071E-2</v>
      </c>
      <c r="R795" s="19"/>
      <c r="S795" s="19"/>
      <c r="T795" s="19"/>
      <c r="U795" s="19"/>
      <c r="V795" s="19"/>
    </row>
    <row r="796" spans="1:22" x14ac:dyDescent="0.2">
      <c r="A796" s="8">
        <v>45357</v>
      </c>
      <c r="B796" s="24">
        <v>4.95</v>
      </c>
      <c r="C796" s="24">
        <v>4.55</v>
      </c>
      <c r="D796" s="24">
        <v>4.32</v>
      </c>
      <c r="E796" s="24">
        <v>4.2725999999999997</v>
      </c>
      <c r="F796" s="24">
        <v>4.12</v>
      </c>
      <c r="G796" s="83">
        <f t="shared" si="98"/>
        <v>95.283468318246776</v>
      </c>
      <c r="H796" s="84">
        <f t="shared" si="101"/>
        <v>101.82669521680317</v>
      </c>
      <c r="I796" s="84">
        <f t="shared" si="99"/>
        <v>90.543421686327676</v>
      </c>
      <c r="J796" s="84">
        <f t="shared" si="100"/>
        <v>400000580.5565995</v>
      </c>
      <c r="L796" s="19">
        <f t="shared" si="103"/>
        <v>9.9999999999997868E-3</v>
      </c>
      <c r="M796" s="19">
        <f t="shared" si="104"/>
        <v>9.9999999999997868E-3</v>
      </c>
      <c r="N796" s="19">
        <f t="shared" si="104"/>
        <v>0</v>
      </c>
      <c r="O796" s="19">
        <f t="shared" si="104"/>
        <v>-3.2000000000000028E-2</v>
      </c>
      <c r="P796" s="19">
        <f t="shared" si="102"/>
        <v>-9.9999999999997868E-3</v>
      </c>
      <c r="R796" s="19"/>
      <c r="S796" s="19"/>
      <c r="T796" s="19"/>
      <c r="U796" s="19"/>
      <c r="V796" s="19"/>
    </row>
    <row r="797" spans="1:22" x14ac:dyDescent="0.2">
      <c r="A797" s="8">
        <v>45358</v>
      </c>
      <c r="B797" s="24">
        <v>4.93</v>
      </c>
      <c r="C797" s="24">
        <v>4.5</v>
      </c>
      <c r="D797" s="24">
        <v>4.28</v>
      </c>
      <c r="E797" s="24">
        <v>4.2576000000000001</v>
      </c>
      <c r="F797" s="24">
        <v>4.07</v>
      </c>
      <c r="G797" s="83">
        <f t="shared" si="98"/>
        <v>95.301629657867153</v>
      </c>
      <c r="H797" s="84">
        <f t="shared" si="101"/>
        <v>101.9384531222602</v>
      </c>
      <c r="I797" s="84">
        <f t="shared" si="99"/>
        <v>90.748967382397339</v>
      </c>
      <c r="J797" s="84">
        <f t="shared" si="100"/>
        <v>400691449.16193336</v>
      </c>
      <c r="L797" s="19">
        <f t="shared" si="103"/>
        <v>-2.0000000000000462E-2</v>
      </c>
      <c r="M797" s="19">
        <f t="shared" si="104"/>
        <v>-4.9999999999999822E-2</v>
      </c>
      <c r="N797" s="19">
        <f t="shared" si="104"/>
        <v>-4.0000000000000036E-2</v>
      </c>
      <c r="O797" s="19">
        <f t="shared" si="104"/>
        <v>-1.499999999999968E-2</v>
      </c>
      <c r="P797" s="19">
        <f t="shared" si="102"/>
        <v>-4.9999999999999822E-2</v>
      </c>
      <c r="R797" s="19"/>
      <c r="S797" s="19"/>
      <c r="T797" s="19"/>
      <c r="U797" s="19"/>
      <c r="V797" s="19"/>
    </row>
    <row r="798" spans="1:22" x14ac:dyDescent="0.2">
      <c r="A798" s="8">
        <v>45359</v>
      </c>
      <c r="B798" s="24">
        <v>4.92</v>
      </c>
      <c r="C798" s="24">
        <v>4.4800000000000004</v>
      </c>
      <c r="D798" s="24">
        <v>4.25</v>
      </c>
      <c r="E798" s="24">
        <v>4.1826999999999996</v>
      </c>
      <c r="F798" s="24">
        <v>4.0599999999999996</v>
      </c>
      <c r="G798" s="83">
        <f t="shared" si="98"/>
        <v>95.310712924132687</v>
      </c>
      <c r="H798" s="84">
        <f t="shared" si="101"/>
        <v>102.02062127735812</v>
      </c>
      <c r="I798" s="84">
        <f t="shared" si="99"/>
        <v>90.796401767921637</v>
      </c>
      <c r="J798" s="84">
        <f t="shared" si="100"/>
        <v>400776101.00391477</v>
      </c>
      <c r="L798" s="19">
        <f t="shared" si="103"/>
        <v>-9.9999999999997868E-3</v>
      </c>
      <c r="M798" s="19">
        <f t="shared" si="104"/>
        <v>-1.9999999999999574E-2</v>
      </c>
      <c r="N798" s="19">
        <f t="shared" si="104"/>
        <v>-3.0000000000000249E-2</v>
      </c>
      <c r="O798" s="19">
        <f t="shared" si="104"/>
        <v>-7.4900000000000411E-2</v>
      </c>
      <c r="P798" s="19">
        <f t="shared" si="102"/>
        <v>-1.0000000000000675E-2</v>
      </c>
      <c r="R798" s="19"/>
      <c r="S798" s="19"/>
      <c r="T798" s="19"/>
      <c r="U798" s="19"/>
      <c r="V798" s="19"/>
    </row>
    <row r="799" spans="1:22" x14ac:dyDescent="0.2">
      <c r="A799" s="8">
        <v>45362</v>
      </c>
      <c r="B799" s="24">
        <v>4.95</v>
      </c>
      <c r="C799" s="24">
        <v>4.51</v>
      </c>
      <c r="D799" s="24">
        <v>4.26</v>
      </c>
      <c r="E799" s="24">
        <v>4.2081</v>
      </c>
      <c r="F799" s="24">
        <v>4.08</v>
      </c>
      <c r="G799" s="83">
        <f t="shared" si="98"/>
        <v>95.283468318246776</v>
      </c>
      <c r="H799" s="84">
        <f t="shared" si="101"/>
        <v>101.98996592182513</v>
      </c>
      <c r="I799" s="84">
        <f t="shared" si="99"/>
        <v>90.712355428082105</v>
      </c>
      <c r="J799" s="84">
        <f t="shared" si="100"/>
        <v>400431409.4660843</v>
      </c>
      <c r="L799" s="19">
        <f t="shared" si="103"/>
        <v>3.0000000000000249E-2</v>
      </c>
      <c r="M799" s="19">
        <f t="shared" si="104"/>
        <v>2.9999999999999361E-2</v>
      </c>
      <c r="N799" s="19">
        <f t="shared" si="104"/>
        <v>9.9999999999997868E-3</v>
      </c>
      <c r="O799" s="19">
        <f t="shared" si="104"/>
        <v>2.5400000000000311E-2</v>
      </c>
      <c r="P799" s="19">
        <f t="shared" si="102"/>
        <v>2.0000000000000462E-2</v>
      </c>
      <c r="R799" s="19"/>
      <c r="S799" s="19"/>
      <c r="T799" s="19"/>
      <c r="U799" s="19"/>
      <c r="V799" s="19"/>
    </row>
    <row r="800" spans="1:22" x14ac:dyDescent="0.2">
      <c r="A800" s="8">
        <v>45363</v>
      </c>
      <c r="B800" s="24">
        <v>5</v>
      </c>
      <c r="C800" s="24">
        <v>4.58</v>
      </c>
      <c r="D800" s="24">
        <v>4.33</v>
      </c>
      <c r="E800" s="24">
        <v>4.1520000000000001</v>
      </c>
      <c r="F800" s="24">
        <v>4.1500000000000004</v>
      </c>
      <c r="G800" s="83">
        <f t="shared" si="98"/>
        <v>95.238095238095241</v>
      </c>
      <c r="H800" s="84">
        <f t="shared" si="101"/>
        <v>101.79521020611266</v>
      </c>
      <c r="I800" s="84">
        <f t="shared" si="99"/>
        <v>90.428826989938869</v>
      </c>
      <c r="J800" s="84">
        <f t="shared" si="100"/>
        <v>399498683.12677693</v>
      </c>
      <c r="L800" s="19">
        <f t="shared" si="103"/>
        <v>4.9999999999999822E-2</v>
      </c>
      <c r="M800" s="19">
        <f t="shared" si="104"/>
        <v>7.0000000000000284E-2</v>
      </c>
      <c r="N800" s="19">
        <f t="shared" si="104"/>
        <v>7.0000000000000284E-2</v>
      </c>
      <c r="O800" s="19">
        <f t="shared" si="104"/>
        <v>-5.6099999999999817E-2</v>
      </c>
      <c r="P800" s="19">
        <f t="shared" si="102"/>
        <v>7.0000000000000284E-2</v>
      </c>
      <c r="R800" s="19"/>
      <c r="S800" s="19"/>
      <c r="T800" s="19"/>
      <c r="U800" s="19"/>
      <c r="V800" s="19"/>
    </row>
    <row r="801" spans="1:22" x14ac:dyDescent="0.2">
      <c r="A801" s="8">
        <v>45364</v>
      </c>
      <c r="B801" s="24">
        <v>5.01</v>
      </c>
      <c r="C801" s="24">
        <v>4.6100000000000003</v>
      </c>
      <c r="D801" s="24">
        <v>4.37</v>
      </c>
      <c r="E801" s="24">
        <v>4.1325000000000003</v>
      </c>
      <c r="F801" s="24">
        <v>4.1900000000000004</v>
      </c>
      <c r="G801" s="83">
        <f t="shared" si="98"/>
        <v>95.229025807065995</v>
      </c>
      <c r="H801" s="84">
        <f t="shared" si="101"/>
        <v>101.68586742277846</v>
      </c>
      <c r="I801" s="84">
        <f t="shared" si="99"/>
        <v>90.267194262275908</v>
      </c>
      <c r="J801" s="84">
        <f t="shared" si="100"/>
        <v>398998027.52906787</v>
      </c>
      <c r="L801" s="19">
        <f t="shared" si="103"/>
        <v>9.9999999999997868E-3</v>
      </c>
      <c r="M801" s="19">
        <f t="shared" si="104"/>
        <v>3.0000000000000249E-2</v>
      </c>
      <c r="N801" s="19">
        <f t="shared" si="104"/>
        <v>4.0000000000000036E-2</v>
      </c>
      <c r="O801" s="19">
        <f t="shared" si="104"/>
        <v>-1.9499999999999851E-2</v>
      </c>
      <c r="P801" s="19">
        <f t="shared" si="102"/>
        <v>4.0000000000000036E-2</v>
      </c>
      <c r="R801" s="19"/>
      <c r="S801" s="19"/>
      <c r="T801" s="19"/>
      <c r="U801" s="19"/>
      <c r="V801" s="19"/>
    </row>
    <row r="802" spans="1:22" x14ac:dyDescent="0.2">
      <c r="A802" s="8">
        <v>45365</v>
      </c>
      <c r="B802" s="24">
        <v>5.04</v>
      </c>
      <c r="C802" s="24">
        <v>4.68</v>
      </c>
      <c r="D802" s="24">
        <v>4.46</v>
      </c>
      <c r="E802" s="24">
        <v>4.0983999999999998</v>
      </c>
      <c r="F802" s="24">
        <v>4.29</v>
      </c>
      <c r="G802" s="83">
        <f t="shared" si="98"/>
        <v>95.201827875095205</v>
      </c>
      <c r="H802" s="84">
        <f t="shared" si="101"/>
        <v>101.43989156550914</v>
      </c>
      <c r="I802" s="84">
        <f t="shared" si="99"/>
        <v>89.864368662364257</v>
      </c>
      <c r="J802" s="84">
        <f t="shared" si="100"/>
        <v>397701293.05138373</v>
      </c>
      <c r="L802" s="19">
        <f t="shared" si="103"/>
        <v>3.0000000000000249E-2</v>
      </c>
      <c r="M802" s="19">
        <f t="shared" si="104"/>
        <v>6.9999999999999396E-2</v>
      </c>
      <c r="N802" s="19">
        <f t="shared" si="104"/>
        <v>8.9999999999999858E-2</v>
      </c>
      <c r="O802" s="19">
        <f t="shared" si="104"/>
        <v>-3.4100000000000463E-2</v>
      </c>
      <c r="P802" s="19">
        <f t="shared" si="102"/>
        <v>9.9999999999999645E-2</v>
      </c>
      <c r="R802" s="19"/>
      <c r="S802" s="19"/>
      <c r="T802" s="19"/>
      <c r="U802" s="19"/>
      <c r="V802" s="19"/>
    </row>
    <row r="803" spans="1:22" x14ac:dyDescent="0.2">
      <c r="A803" s="8">
        <v>45366</v>
      </c>
      <c r="B803" s="24">
        <v>5.05</v>
      </c>
      <c r="C803" s="24">
        <v>4.72</v>
      </c>
      <c r="D803" s="24">
        <v>4.51</v>
      </c>
      <c r="E803" s="24">
        <v>4.0804</v>
      </c>
      <c r="F803" s="24">
        <v>4.33</v>
      </c>
      <c r="G803" s="83">
        <f t="shared" si="98"/>
        <v>95.192765349833408</v>
      </c>
      <c r="H803" s="84">
        <f t="shared" si="101"/>
        <v>101.30380400557922</v>
      </c>
      <c r="I803" s="84">
        <f t="shared" si="99"/>
        <v>89.703084112000838</v>
      </c>
      <c r="J803" s="84">
        <f t="shared" si="100"/>
        <v>397242161.1393013</v>
      </c>
      <c r="L803" s="19">
        <f t="shared" si="103"/>
        <v>9.9999999999997868E-3</v>
      </c>
      <c r="M803" s="19">
        <f t="shared" si="104"/>
        <v>4.0000000000000036E-2</v>
      </c>
      <c r="N803" s="19">
        <f t="shared" si="104"/>
        <v>4.9999999999999822E-2</v>
      </c>
      <c r="O803" s="19">
        <f t="shared" si="104"/>
        <v>-1.7999999999999794E-2</v>
      </c>
      <c r="P803" s="19">
        <f t="shared" si="102"/>
        <v>4.0000000000000036E-2</v>
      </c>
      <c r="R803" s="19"/>
      <c r="S803" s="19"/>
      <c r="T803" s="19"/>
      <c r="U803" s="19"/>
      <c r="V803" s="19"/>
    </row>
    <row r="804" spans="1:22" x14ac:dyDescent="0.2">
      <c r="A804" s="8">
        <v>45369</v>
      </c>
      <c r="B804" s="24">
        <v>5.0599999999999996</v>
      </c>
      <c r="C804" s="24">
        <v>4.7300000000000004</v>
      </c>
      <c r="D804" s="24">
        <v>4.5199999999999996</v>
      </c>
      <c r="E804" s="24">
        <v>4.0936000000000003</v>
      </c>
      <c r="F804" s="24">
        <v>4.3600000000000003</v>
      </c>
      <c r="G804" s="83">
        <f t="shared" si="98"/>
        <v>95.183704549781083</v>
      </c>
      <c r="H804" s="84">
        <f t="shared" si="101"/>
        <v>101.27608078332969</v>
      </c>
      <c r="I804" s="84">
        <f t="shared" si="99"/>
        <v>89.582648347872009</v>
      </c>
      <c r="J804" s="84">
        <f t="shared" si="100"/>
        <v>396783881.31605566</v>
      </c>
      <c r="L804" s="19">
        <f t="shared" si="103"/>
        <v>9.9999999999997868E-3</v>
      </c>
      <c r="M804" s="19">
        <f t="shared" si="104"/>
        <v>1.0000000000000675E-2</v>
      </c>
      <c r="N804" s="19">
        <f t="shared" si="104"/>
        <v>9.9999999999997868E-3</v>
      </c>
      <c r="O804" s="19">
        <f t="shared" si="104"/>
        <v>1.3200000000000323E-2</v>
      </c>
      <c r="P804" s="19">
        <f t="shared" si="102"/>
        <v>3.0000000000000249E-2</v>
      </c>
      <c r="R804" s="19"/>
      <c r="S804" s="19"/>
      <c r="T804" s="19"/>
      <c r="U804" s="19"/>
      <c r="V804" s="19"/>
    </row>
    <row r="805" spans="1:22" x14ac:dyDescent="0.2">
      <c r="A805" s="8">
        <v>45370</v>
      </c>
      <c r="B805" s="24">
        <v>5.0599999999999996</v>
      </c>
      <c r="C805" s="24">
        <v>4.68</v>
      </c>
      <c r="D805" s="24">
        <v>4.47</v>
      </c>
      <c r="E805" s="24">
        <v>4.1532</v>
      </c>
      <c r="F805" s="24">
        <v>4.3099999999999996</v>
      </c>
      <c r="G805" s="83">
        <f t="shared" si="98"/>
        <v>95.183704549781083</v>
      </c>
      <c r="H805" s="84">
        <f t="shared" si="101"/>
        <v>101.41253529897608</v>
      </c>
      <c r="I805" s="84">
        <f t="shared" si="99"/>
        <v>89.780689912887283</v>
      </c>
      <c r="J805" s="84">
        <f t="shared" si="100"/>
        <v>397371365.80264723</v>
      </c>
      <c r="L805" s="19">
        <f t="shared" si="103"/>
        <v>0</v>
      </c>
      <c r="M805" s="19">
        <f t="shared" si="104"/>
        <v>-5.0000000000000711E-2</v>
      </c>
      <c r="N805" s="19">
        <f t="shared" si="104"/>
        <v>-4.9999999999999822E-2</v>
      </c>
      <c r="O805" s="19">
        <f t="shared" si="104"/>
        <v>5.9599999999999653E-2</v>
      </c>
      <c r="P805" s="19">
        <f t="shared" si="102"/>
        <v>-5.0000000000000711E-2</v>
      </c>
      <c r="R805" s="19"/>
      <c r="S805" s="19"/>
      <c r="T805" s="19"/>
      <c r="U805" s="19"/>
      <c r="V805" s="19"/>
    </row>
    <row r="806" spans="1:22" x14ac:dyDescent="0.2">
      <c r="A806" s="8">
        <v>45371</v>
      </c>
      <c r="B806" s="24">
        <v>5.01</v>
      </c>
      <c r="C806" s="24">
        <v>4.59</v>
      </c>
      <c r="D806" s="24">
        <v>4.41</v>
      </c>
      <c r="E806" s="24">
        <v>4.1890000000000001</v>
      </c>
      <c r="F806" s="24">
        <v>4.25</v>
      </c>
      <c r="G806" s="83">
        <f t="shared" si="98"/>
        <v>95.229025807065995</v>
      </c>
      <c r="H806" s="84">
        <f t="shared" si="101"/>
        <v>101.58151019992611</v>
      </c>
      <c r="I806" s="84">
        <f t="shared" si="99"/>
        <v>90.023396192799552</v>
      </c>
      <c r="J806" s="84">
        <f t="shared" si="100"/>
        <v>398179371.08544099</v>
      </c>
      <c r="L806" s="19">
        <f t="shared" si="103"/>
        <v>-4.9999999999999822E-2</v>
      </c>
      <c r="M806" s="19">
        <f t="shared" si="104"/>
        <v>-8.9999999999999858E-2</v>
      </c>
      <c r="N806" s="19">
        <f t="shared" si="104"/>
        <v>-5.9999999999999609E-2</v>
      </c>
      <c r="O806" s="19">
        <f t="shared" si="104"/>
        <v>3.5800000000000054E-2</v>
      </c>
      <c r="P806" s="19">
        <f t="shared" si="102"/>
        <v>-5.9999999999999609E-2</v>
      </c>
      <c r="R806" s="19"/>
      <c r="S806" s="19"/>
      <c r="T806" s="19"/>
      <c r="U806" s="19"/>
      <c r="V806" s="19"/>
    </row>
    <row r="807" spans="1:22" x14ac:dyDescent="0.2">
      <c r="A807" s="8">
        <v>45372</v>
      </c>
      <c r="B807" s="24">
        <v>5.01</v>
      </c>
      <c r="C807" s="24">
        <v>4.62</v>
      </c>
      <c r="D807" s="24">
        <v>4.42</v>
      </c>
      <c r="E807" s="24">
        <v>4.2717999999999998</v>
      </c>
      <c r="F807" s="24">
        <v>4.26</v>
      </c>
      <c r="G807" s="83">
        <f t="shared" si="98"/>
        <v>95.229025807065995</v>
      </c>
      <c r="H807" s="84">
        <f t="shared" si="101"/>
        <v>101.55238841843182</v>
      </c>
      <c r="I807" s="84">
        <f t="shared" si="99"/>
        <v>89.976740349486832</v>
      </c>
      <c r="J807" s="84">
        <f t="shared" si="100"/>
        <v>398036430.3844316</v>
      </c>
      <c r="L807" s="19">
        <f t="shared" si="103"/>
        <v>0</v>
      </c>
      <c r="M807" s="19">
        <f t="shared" si="104"/>
        <v>3.0000000000000249E-2</v>
      </c>
      <c r="N807" s="19">
        <f t="shared" si="104"/>
        <v>9.9999999999997868E-3</v>
      </c>
      <c r="O807" s="19">
        <f t="shared" si="104"/>
        <v>8.2799999999999763E-2</v>
      </c>
      <c r="P807" s="19">
        <f t="shared" si="102"/>
        <v>9.9999999999997868E-3</v>
      </c>
      <c r="R807" s="19"/>
      <c r="S807" s="19"/>
      <c r="T807" s="19"/>
      <c r="U807" s="19"/>
      <c r="V807" s="19"/>
    </row>
    <row r="808" spans="1:22" x14ac:dyDescent="0.2">
      <c r="A808" s="8">
        <v>45373</v>
      </c>
      <c r="B808" s="24">
        <v>4.9800000000000004</v>
      </c>
      <c r="C808" s="24">
        <v>4.59</v>
      </c>
      <c r="D808" s="24">
        <v>4.3600000000000003</v>
      </c>
      <c r="E808" s="24">
        <v>4.3110999999999997</v>
      </c>
      <c r="F808" s="24">
        <v>4.2</v>
      </c>
      <c r="G808" s="83">
        <f t="shared" si="98"/>
        <v>95.256239283673068</v>
      </c>
      <c r="H808" s="84">
        <f t="shared" si="101"/>
        <v>101.71552728952516</v>
      </c>
      <c r="I808" s="84">
        <f t="shared" si="99"/>
        <v>90.217468440204328</v>
      </c>
      <c r="J808" s="84">
        <f t="shared" si="100"/>
        <v>398809061.39387572</v>
      </c>
      <c r="L808" s="19">
        <f t="shared" si="103"/>
        <v>-2.9999999999999361E-2</v>
      </c>
      <c r="M808" s="19">
        <f t="shared" si="104"/>
        <v>-3.0000000000000249E-2</v>
      </c>
      <c r="N808" s="19">
        <f t="shared" si="104"/>
        <v>-5.9999999999999609E-2</v>
      </c>
      <c r="O808" s="19">
        <f t="shared" si="104"/>
        <v>3.9299999999999891E-2</v>
      </c>
      <c r="P808" s="19">
        <f t="shared" si="102"/>
        <v>-5.9999999999999609E-2</v>
      </c>
      <c r="R808" s="19"/>
      <c r="S808" s="19"/>
      <c r="T808" s="19"/>
      <c r="U808" s="19"/>
      <c r="V808" s="19"/>
    </row>
    <row r="809" spans="1:22" x14ac:dyDescent="0.2">
      <c r="A809" s="8">
        <v>45376</v>
      </c>
      <c r="B809" s="24">
        <v>5</v>
      </c>
      <c r="C809" s="24">
        <v>4.54</v>
      </c>
      <c r="D809" s="24">
        <v>4.3899999999999997</v>
      </c>
      <c r="E809" s="24">
        <v>4.3395999999999999</v>
      </c>
      <c r="F809" s="24">
        <v>4.2300000000000004</v>
      </c>
      <c r="G809" s="83">
        <f t="shared" si="98"/>
        <v>95.238095238095241</v>
      </c>
      <c r="H809" s="84">
        <f t="shared" si="101"/>
        <v>101.63936905781894</v>
      </c>
      <c r="I809" s="84">
        <f t="shared" si="99"/>
        <v>90.096064195052094</v>
      </c>
      <c r="J809" s="84">
        <f t="shared" si="100"/>
        <v>398401393.66967046</v>
      </c>
      <c r="L809" s="19">
        <f t="shared" si="103"/>
        <v>1.9999999999999574E-2</v>
      </c>
      <c r="M809" s="19">
        <f t="shared" si="104"/>
        <v>-4.9999999999999822E-2</v>
      </c>
      <c r="N809" s="19">
        <f t="shared" si="104"/>
        <v>2.9999999999999361E-2</v>
      </c>
      <c r="O809" s="19">
        <f t="shared" si="104"/>
        <v>2.8500000000000192E-2</v>
      </c>
      <c r="P809" s="19">
        <f t="shared" si="102"/>
        <v>3.0000000000000249E-2</v>
      </c>
      <c r="R809" s="19"/>
      <c r="S809" s="19"/>
      <c r="T809" s="19"/>
      <c r="U809" s="19"/>
      <c r="V809" s="19"/>
    </row>
    <row r="810" spans="1:22" x14ac:dyDescent="0.2">
      <c r="A810" s="8">
        <v>45377</v>
      </c>
      <c r="B810" s="24">
        <v>5</v>
      </c>
      <c r="C810" s="24">
        <v>4.5599999999999996</v>
      </c>
      <c r="D810" s="24">
        <v>4.38</v>
      </c>
      <c r="E810" s="24">
        <v>4.3144999999999998</v>
      </c>
      <c r="F810" s="24">
        <v>4.22</v>
      </c>
      <c r="G810" s="83">
        <f t="shared" si="98"/>
        <v>95.238095238095241</v>
      </c>
      <c r="H810" s="84">
        <f t="shared" si="101"/>
        <v>101.66415025614134</v>
      </c>
      <c r="I810" s="84">
        <f t="shared" si="99"/>
        <v>90.137281019957967</v>
      </c>
      <c r="J810" s="84">
        <f t="shared" si="100"/>
        <v>398529089.17181039</v>
      </c>
      <c r="L810" s="19">
        <f t="shared" si="103"/>
        <v>0</v>
      </c>
      <c r="M810" s="19">
        <f t="shared" si="104"/>
        <v>1.9999999999999574E-2</v>
      </c>
      <c r="N810" s="19">
        <f t="shared" si="104"/>
        <v>-9.9999999999997868E-3</v>
      </c>
      <c r="O810" s="19">
        <f t="shared" si="104"/>
        <v>-2.5100000000000122E-2</v>
      </c>
      <c r="P810" s="19">
        <f t="shared" si="102"/>
        <v>-1.0000000000000675E-2</v>
      </c>
      <c r="R810" s="19"/>
      <c r="S810" s="19"/>
      <c r="T810" s="19"/>
      <c r="U810" s="19"/>
      <c r="V810" s="19"/>
    </row>
    <row r="811" spans="1:22" x14ac:dyDescent="0.2">
      <c r="A811" s="8">
        <v>45378</v>
      </c>
      <c r="B811" s="24">
        <v>4.99</v>
      </c>
      <c r="C811" s="24">
        <v>4.54</v>
      </c>
      <c r="D811" s="24">
        <v>4.3600000000000003</v>
      </c>
      <c r="E811" s="24">
        <v>4.2610000000000001</v>
      </c>
      <c r="F811" s="24">
        <v>4.18</v>
      </c>
      <c r="G811" s="83">
        <f t="shared" si="98"/>
        <v>95.247166396799685</v>
      </c>
      <c r="H811" s="84">
        <f t="shared" si="101"/>
        <v>101.71944696288917</v>
      </c>
      <c r="I811" s="84">
        <f t="shared" si="99"/>
        <v>90.302019738518283</v>
      </c>
      <c r="J811" s="84">
        <f t="shared" si="100"/>
        <v>399123241.30333877</v>
      </c>
      <c r="L811" s="19">
        <f t="shared" si="103"/>
        <v>-9.9999999999997868E-3</v>
      </c>
      <c r="M811" s="19">
        <f t="shared" si="104"/>
        <v>-1.9999999999999574E-2</v>
      </c>
      <c r="N811" s="19">
        <f t="shared" si="104"/>
        <v>-1.9999999999999574E-2</v>
      </c>
      <c r="O811" s="19">
        <f t="shared" si="104"/>
        <v>-5.3499999999999659E-2</v>
      </c>
      <c r="P811" s="19">
        <f t="shared" si="102"/>
        <v>-4.0000000000000036E-2</v>
      </c>
      <c r="R811" s="19"/>
      <c r="S811" s="19"/>
      <c r="T811" s="19"/>
      <c r="U811" s="19"/>
      <c r="V811" s="19"/>
    </row>
    <row r="812" spans="1:22" x14ac:dyDescent="0.2">
      <c r="A812" s="8">
        <v>45379</v>
      </c>
      <c r="B812" s="24">
        <v>5.03</v>
      </c>
      <c r="C812" s="24">
        <v>4.59</v>
      </c>
      <c r="D812" s="24">
        <v>4.4000000000000004</v>
      </c>
      <c r="E812" s="24">
        <v>4.26</v>
      </c>
      <c r="F812" s="24">
        <v>4.21</v>
      </c>
      <c r="G812" s="83">
        <f t="shared" si="98"/>
        <v>95.210892126059221</v>
      </c>
      <c r="H812" s="84">
        <f t="shared" si="101"/>
        <v>101.60711447049258</v>
      </c>
      <c r="I812" s="84">
        <f t="shared" si="99"/>
        <v>90.178021350910484</v>
      </c>
      <c r="J812" s="84">
        <f t="shared" si="100"/>
        <v>398723197.95002151</v>
      </c>
      <c r="L812" s="19">
        <f t="shared" si="103"/>
        <v>4.0000000000000036E-2</v>
      </c>
      <c r="M812" s="19">
        <f t="shared" si="104"/>
        <v>4.9999999999999822E-2</v>
      </c>
      <c r="N812" s="19">
        <f t="shared" si="104"/>
        <v>4.0000000000000036E-2</v>
      </c>
      <c r="O812" s="19">
        <f t="shared" si="104"/>
        <v>-1.000000000000334E-3</v>
      </c>
      <c r="P812" s="19">
        <f t="shared" si="102"/>
        <v>3.0000000000000249E-2</v>
      </c>
      <c r="R812" s="19"/>
      <c r="S812" s="19"/>
      <c r="T812" s="19"/>
      <c r="U812" s="19"/>
      <c r="V812" s="19"/>
    </row>
    <row r="813" spans="1:22" x14ac:dyDescent="0.2">
      <c r="A813" s="8">
        <v>45383</v>
      </c>
      <c r="B813" s="24">
        <v>5.0599999999999996</v>
      </c>
      <c r="C813" s="24">
        <v>4.72</v>
      </c>
      <c r="D813" s="24">
        <v>4.51</v>
      </c>
      <c r="E813" s="24">
        <v>4.2141999999999999</v>
      </c>
      <c r="F813" s="24">
        <v>4.34</v>
      </c>
      <c r="G813" s="83">
        <f t="shared" si="98"/>
        <v>95.183704549781083</v>
      </c>
      <c r="H813" s="84">
        <f t="shared" si="101"/>
        <v>101.30335096557661</v>
      </c>
      <c r="I813" s="84">
        <f t="shared" si="99"/>
        <v>89.654631253593053</v>
      </c>
      <c r="J813" s="84">
        <f t="shared" si="100"/>
        <v>397030907.66556948</v>
      </c>
      <c r="L813" s="19">
        <f t="shared" si="103"/>
        <v>2.9999999999999361E-2</v>
      </c>
      <c r="M813" s="19">
        <f t="shared" si="104"/>
        <v>0.12999999999999989</v>
      </c>
      <c r="N813" s="19">
        <f t="shared" si="104"/>
        <v>0.10999999999999943</v>
      </c>
      <c r="O813" s="19">
        <f t="shared" si="104"/>
        <v>-4.5799999999999841E-2</v>
      </c>
      <c r="P813" s="19">
        <f t="shared" si="102"/>
        <v>0.12999999999999989</v>
      </c>
      <c r="R813" s="19"/>
      <c r="S813" s="19"/>
      <c r="T813" s="19"/>
      <c r="U813" s="19"/>
      <c r="V813" s="19"/>
    </row>
    <row r="814" spans="1:22" x14ac:dyDescent="0.2">
      <c r="A814" s="8">
        <v>45384</v>
      </c>
      <c r="B814" s="24">
        <v>5.05</v>
      </c>
      <c r="C814" s="24">
        <v>4.7</v>
      </c>
      <c r="D814" s="24">
        <v>4.51</v>
      </c>
      <c r="E814" s="24">
        <v>4.2282000000000002</v>
      </c>
      <c r="F814" s="24">
        <v>4.3499999999999996</v>
      </c>
      <c r="G814" s="83">
        <f t="shared" si="98"/>
        <v>95.192765349833408</v>
      </c>
      <c r="H814" s="84">
        <f t="shared" si="101"/>
        <v>101.30554607527009</v>
      </c>
      <c r="I814" s="84">
        <f t="shared" si="99"/>
        <v>89.615085437761621</v>
      </c>
      <c r="J814" s="84">
        <f t="shared" si="100"/>
        <v>396887553.33780813</v>
      </c>
      <c r="L814" s="19">
        <f t="shared" si="103"/>
        <v>-9.9999999999997868E-3</v>
      </c>
      <c r="M814" s="19">
        <f t="shared" si="104"/>
        <v>-1.9999999999999574E-2</v>
      </c>
      <c r="N814" s="19">
        <f t="shared" si="104"/>
        <v>0</v>
      </c>
      <c r="O814" s="19">
        <f t="shared" si="104"/>
        <v>1.4000000000000234E-2</v>
      </c>
      <c r="P814" s="19">
        <f t="shared" si="102"/>
        <v>9.9999999999997868E-3</v>
      </c>
      <c r="R814" s="19"/>
      <c r="S814" s="19"/>
      <c r="T814" s="19"/>
      <c r="U814" s="19"/>
      <c r="V814" s="19"/>
    </row>
    <row r="815" spans="1:22" x14ac:dyDescent="0.2">
      <c r="A815" s="8">
        <v>45385</v>
      </c>
      <c r="B815" s="24">
        <v>5.03</v>
      </c>
      <c r="C815" s="24">
        <v>4.68</v>
      </c>
      <c r="D815" s="24">
        <v>4.4800000000000004</v>
      </c>
      <c r="E815" s="24">
        <v>4.2282000000000002</v>
      </c>
      <c r="F815" s="24">
        <v>4.34</v>
      </c>
      <c r="G815" s="83">
        <f t="shared" si="98"/>
        <v>95.210892126059221</v>
      </c>
      <c r="H815" s="84">
        <f t="shared" si="101"/>
        <v>101.38745470293179</v>
      </c>
      <c r="I815" s="84">
        <f t="shared" si="99"/>
        <v>89.657167928999471</v>
      </c>
      <c r="J815" s="84">
        <f t="shared" si="100"/>
        <v>396969273.91371864</v>
      </c>
      <c r="L815" s="19">
        <f t="shared" si="103"/>
        <v>-1.9999999999999574E-2</v>
      </c>
      <c r="M815" s="19">
        <f t="shared" si="104"/>
        <v>-2.0000000000000462E-2</v>
      </c>
      <c r="N815" s="19">
        <f t="shared" si="104"/>
        <v>-2.9999999999999361E-2</v>
      </c>
      <c r="O815" s="19">
        <f t="shared" si="104"/>
        <v>0</v>
      </c>
      <c r="P815" s="19">
        <f t="shared" si="102"/>
        <v>-9.9999999999997868E-3</v>
      </c>
      <c r="R815" s="19"/>
      <c r="S815" s="19"/>
      <c r="T815" s="19"/>
      <c r="U815" s="19"/>
      <c r="V815" s="19"/>
    </row>
    <row r="816" spans="1:22" x14ac:dyDescent="0.2">
      <c r="A816" s="8">
        <v>45386</v>
      </c>
      <c r="B816" s="24">
        <v>5</v>
      </c>
      <c r="C816" s="24">
        <v>4.6500000000000004</v>
      </c>
      <c r="D816" s="24">
        <v>4.46</v>
      </c>
      <c r="E816" s="24">
        <v>4.1993</v>
      </c>
      <c r="F816" s="24">
        <v>4.3</v>
      </c>
      <c r="G816" s="83">
        <f t="shared" si="98"/>
        <v>95.238095238095241</v>
      </c>
      <c r="H816" s="84">
        <f t="shared" si="101"/>
        <v>101.44432141016371</v>
      </c>
      <c r="I816" s="84">
        <f t="shared" si="99"/>
        <v>89.81992644977197</v>
      </c>
      <c r="J816" s="84">
        <f t="shared" si="100"/>
        <v>397589414.16003281</v>
      </c>
      <c r="L816" s="19">
        <f t="shared" si="103"/>
        <v>-3.0000000000000249E-2</v>
      </c>
      <c r="M816" s="19">
        <f t="shared" si="104"/>
        <v>-2.9999999999999361E-2</v>
      </c>
      <c r="N816" s="19">
        <f t="shared" si="104"/>
        <v>-2.0000000000000462E-2</v>
      </c>
      <c r="O816" s="19">
        <f t="shared" si="104"/>
        <v>-2.8900000000000148E-2</v>
      </c>
      <c r="P816" s="19">
        <f t="shared" si="102"/>
        <v>-4.0000000000000036E-2</v>
      </c>
      <c r="R816" s="19"/>
      <c r="S816" s="19"/>
      <c r="T816" s="19"/>
      <c r="U816" s="19"/>
      <c r="V816" s="19"/>
    </row>
    <row r="817" spans="1:22" x14ac:dyDescent="0.2">
      <c r="A817" s="8">
        <v>45387</v>
      </c>
      <c r="B817" s="24">
        <v>5.05</v>
      </c>
      <c r="C817" s="24">
        <v>4.7300000000000004</v>
      </c>
      <c r="D817" s="24">
        <v>4.54</v>
      </c>
      <c r="E817" s="24">
        <v>4.2164000000000001</v>
      </c>
      <c r="F817" s="24">
        <v>4.38</v>
      </c>
      <c r="G817" s="83">
        <f t="shared" si="98"/>
        <v>95.192765349833408</v>
      </c>
      <c r="H817" s="84">
        <f t="shared" si="101"/>
        <v>101.22376507886048</v>
      </c>
      <c r="I817" s="84">
        <f t="shared" si="99"/>
        <v>89.49489716851113</v>
      </c>
      <c r="J817" s="84">
        <f t="shared" si="100"/>
        <v>396529471.75542068</v>
      </c>
      <c r="L817" s="19">
        <f t="shared" si="103"/>
        <v>4.9999999999999822E-2</v>
      </c>
      <c r="M817" s="19">
        <f t="shared" si="104"/>
        <v>8.0000000000000071E-2</v>
      </c>
      <c r="N817" s="19">
        <f t="shared" si="104"/>
        <v>8.0000000000000071E-2</v>
      </c>
      <c r="O817" s="19">
        <f t="shared" si="104"/>
        <v>1.7100000000000115E-2</v>
      </c>
      <c r="P817" s="19">
        <f t="shared" si="102"/>
        <v>8.0000000000000071E-2</v>
      </c>
      <c r="R817" s="19"/>
      <c r="S817" s="19"/>
      <c r="T817" s="19"/>
      <c r="U817" s="19"/>
      <c r="V817" s="19"/>
    </row>
    <row r="818" spans="1:22" x14ac:dyDescent="0.2">
      <c r="A818" s="8">
        <v>45390</v>
      </c>
      <c r="B818" s="24">
        <v>5.07</v>
      </c>
      <c r="C818" s="24">
        <v>4.78</v>
      </c>
      <c r="D818" s="24">
        <v>4.5999999999999996</v>
      </c>
      <c r="E818" s="24">
        <v>4.3066000000000004</v>
      </c>
      <c r="F818" s="24">
        <v>4.43</v>
      </c>
      <c r="G818" s="83">
        <f t="shared" si="98"/>
        <v>95.174645474445612</v>
      </c>
      <c r="H818" s="84">
        <f t="shared" si="101"/>
        <v>101.06044533023591</v>
      </c>
      <c r="I818" s="84">
        <f t="shared" si="99"/>
        <v>89.287042201500711</v>
      </c>
      <c r="J818" s="84">
        <f t="shared" si="100"/>
        <v>395906791.7595402</v>
      </c>
      <c r="L818" s="19">
        <f t="shared" si="103"/>
        <v>2.0000000000000462E-2</v>
      </c>
      <c r="M818" s="19">
        <f t="shared" si="104"/>
        <v>4.9999999999999822E-2</v>
      </c>
      <c r="N818" s="19">
        <f t="shared" si="104"/>
        <v>5.9999999999999609E-2</v>
      </c>
      <c r="O818" s="19">
        <f t="shared" si="104"/>
        <v>9.020000000000028E-2</v>
      </c>
      <c r="P818" s="19">
        <f t="shared" si="102"/>
        <v>4.9999999999999822E-2</v>
      </c>
      <c r="R818" s="19"/>
      <c r="S818" s="19"/>
      <c r="T818" s="19"/>
      <c r="U818" s="19"/>
      <c r="V818" s="19"/>
    </row>
    <row r="819" spans="1:22" x14ac:dyDescent="0.2">
      <c r="A819" s="8">
        <v>45391</v>
      </c>
      <c r="B819" s="24">
        <v>5.03</v>
      </c>
      <c r="C819" s="24">
        <v>4.74</v>
      </c>
      <c r="D819" s="24">
        <v>4.5199999999999996</v>
      </c>
      <c r="E819" s="24">
        <v>4.3339999999999996</v>
      </c>
      <c r="F819" s="24">
        <v>4.37</v>
      </c>
      <c r="G819" s="83">
        <f t="shared" si="98"/>
        <v>95.210892126059221</v>
      </c>
      <c r="H819" s="84">
        <f t="shared" si="101"/>
        <v>101.27656975090315</v>
      </c>
      <c r="I819" s="84">
        <f t="shared" si="99"/>
        <v>89.52773039404822</v>
      </c>
      <c r="J819" s="84">
        <f t="shared" si="100"/>
        <v>396617851.20195657</v>
      </c>
      <c r="L819" s="19">
        <f t="shared" si="103"/>
        <v>-4.0000000000000036E-2</v>
      </c>
      <c r="M819" s="19">
        <f t="shared" si="104"/>
        <v>-4.0000000000000036E-2</v>
      </c>
      <c r="N819" s="19">
        <f t="shared" si="104"/>
        <v>-8.0000000000000071E-2</v>
      </c>
      <c r="O819" s="19">
        <f t="shared" si="104"/>
        <v>2.7399999999999203E-2</v>
      </c>
      <c r="P819" s="19">
        <f t="shared" si="102"/>
        <v>-5.9999999999999609E-2</v>
      </c>
      <c r="R819" s="19"/>
      <c r="S819" s="19"/>
      <c r="T819" s="19"/>
      <c r="U819" s="19"/>
      <c r="V819" s="19"/>
    </row>
    <row r="820" spans="1:22" x14ac:dyDescent="0.2">
      <c r="A820" s="8">
        <v>45392</v>
      </c>
      <c r="B820" s="24">
        <v>5.19</v>
      </c>
      <c r="C820" s="24">
        <v>4.97</v>
      </c>
      <c r="D820" s="24">
        <v>4.7699999999999996</v>
      </c>
      <c r="E820" s="24">
        <v>4.3288000000000002</v>
      </c>
      <c r="F820" s="24">
        <v>4.6100000000000003</v>
      </c>
      <c r="G820" s="83">
        <f t="shared" si="98"/>
        <v>95.066070919288904</v>
      </c>
      <c r="H820" s="84">
        <f t="shared" si="101"/>
        <v>100.592660173151</v>
      </c>
      <c r="I820" s="84">
        <f t="shared" si="99"/>
        <v>88.564228341843716</v>
      </c>
      <c r="J820" s="84">
        <f t="shared" si="100"/>
        <v>393500064.94622612</v>
      </c>
      <c r="L820" s="19">
        <f t="shared" si="103"/>
        <v>0.16000000000000014</v>
      </c>
      <c r="M820" s="19">
        <f t="shared" si="104"/>
        <v>0.22999999999999954</v>
      </c>
      <c r="N820" s="19">
        <f t="shared" si="104"/>
        <v>0.25</v>
      </c>
      <c r="O820" s="19">
        <f t="shared" si="104"/>
        <v>-5.1999999999994273E-3</v>
      </c>
      <c r="P820" s="19">
        <f t="shared" si="102"/>
        <v>0.24000000000000021</v>
      </c>
      <c r="R820" s="19"/>
      <c r="S820" s="19"/>
      <c r="T820" s="19"/>
      <c r="U820" s="19"/>
      <c r="V820" s="19"/>
    </row>
    <row r="821" spans="1:22" x14ac:dyDescent="0.2">
      <c r="A821" s="8">
        <v>45393</v>
      </c>
      <c r="B821" s="24">
        <v>5.17</v>
      </c>
      <c r="C821" s="24">
        <v>4.93</v>
      </c>
      <c r="D821" s="24">
        <v>4.7699999999999996</v>
      </c>
      <c r="E821" s="24">
        <v>4.2980999999999998</v>
      </c>
      <c r="F821" s="24">
        <v>4.6100000000000003</v>
      </c>
      <c r="G821" s="83">
        <f t="shared" si="98"/>
        <v>95.084149472282959</v>
      </c>
      <c r="H821" s="84">
        <f t="shared" si="101"/>
        <v>100.5970243923659</v>
      </c>
      <c r="I821" s="84">
        <f t="shared" si="99"/>
        <v>88.567962535335454</v>
      </c>
      <c r="J821" s="84">
        <f t="shared" si="100"/>
        <v>393544612.49735892</v>
      </c>
      <c r="L821" s="19">
        <f t="shared" si="103"/>
        <v>-2.0000000000000462E-2</v>
      </c>
      <c r="M821" s="19">
        <f t="shared" si="104"/>
        <v>-4.0000000000000036E-2</v>
      </c>
      <c r="N821" s="19">
        <f t="shared" si="104"/>
        <v>0</v>
      </c>
      <c r="O821" s="19">
        <f t="shared" si="104"/>
        <v>-3.0700000000000394E-2</v>
      </c>
      <c r="P821" s="19">
        <f t="shared" si="102"/>
        <v>0</v>
      </c>
      <c r="R821" s="19"/>
      <c r="S821" s="19"/>
      <c r="T821" s="19"/>
      <c r="U821" s="19"/>
      <c r="V821" s="19"/>
    </row>
    <row r="822" spans="1:22" x14ac:dyDescent="0.2">
      <c r="A822" s="8">
        <v>45394</v>
      </c>
      <c r="B822" s="24">
        <v>5.13</v>
      </c>
      <c r="C822" s="24">
        <v>4.88</v>
      </c>
      <c r="D822" s="24">
        <v>4.7</v>
      </c>
      <c r="E822" s="24">
        <v>4.3569000000000004</v>
      </c>
      <c r="F822" s="24">
        <v>4.54</v>
      </c>
      <c r="G822" s="83">
        <f t="shared" si="98"/>
        <v>95.12032721392562</v>
      </c>
      <c r="H822" s="84">
        <f t="shared" si="101"/>
        <v>100.7864131257427</v>
      </c>
      <c r="I822" s="84">
        <f t="shared" si="99"/>
        <v>88.843064328160466</v>
      </c>
      <c r="J822" s="84">
        <f t="shared" si="100"/>
        <v>394433292.05187905</v>
      </c>
      <c r="L822" s="19">
        <f t="shared" si="103"/>
        <v>-4.0000000000000036E-2</v>
      </c>
      <c r="M822" s="19">
        <f t="shared" si="104"/>
        <v>-4.9999999999999822E-2</v>
      </c>
      <c r="N822" s="19">
        <f t="shared" si="104"/>
        <v>-6.9999999999999396E-2</v>
      </c>
      <c r="O822" s="19">
        <f t="shared" si="104"/>
        <v>5.880000000000063E-2</v>
      </c>
      <c r="P822" s="19">
        <f t="shared" si="102"/>
        <v>-7.0000000000000284E-2</v>
      </c>
      <c r="R822" s="19"/>
      <c r="S822" s="19"/>
      <c r="T822" s="19"/>
      <c r="U822" s="19"/>
      <c r="V822" s="19"/>
    </row>
    <row r="823" spans="1:22" x14ac:dyDescent="0.2">
      <c r="A823" s="8">
        <v>45397</v>
      </c>
      <c r="B823" s="24">
        <v>5.16</v>
      </c>
      <c r="C823" s="24">
        <v>4.93</v>
      </c>
      <c r="D823" s="24">
        <v>4.78</v>
      </c>
      <c r="E823" s="24">
        <v>4.4019000000000004</v>
      </c>
      <c r="F823" s="24">
        <v>4.6500000000000004</v>
      </c>
      <c r="G823" s="83">
        <f t="shared" si="98"/>
        <v>95.093191327500946</v>
      </c>
      <c r="H823" s="84">
        <f t="shared" si="101"/>
        <v>100.57133803220478</v>
      </c>
      <c r="I823" s="84">
        <f t="shared" si="99"/>
        <v>88.40544731864756</v>
      </c>
      <c r="J823" s="84">
        <f t="shared" si="100"/>
        <v>392951164.88128495</v>
      </c>
      <c r="L823" s="19">
        <f t="shared" si="103"/>
        <v>3.0000000000000249E-2</v>
      </c>
      <c r="M823" s="19">
        <f t="shared" si="104"/>
        <v>4.9999999999999822E-2</v>
      </c>
      <c r="N823" s="19">
        <f t="shared" si="104"/>
        <v>8.0000000000000071E-2</v>
      </c>
      <c r="O823" s="19">
        <f t="shared" si="104"/>
        <v>4.4999999999999929E-2</v>
      </c>
      <c r="P823" s="19">
        <f t="shared" si="102"/>
        <v>0.11000000000000032</v>
      </c>
      <c r="R823" s="19"/>
      <c r="S823" s="19"/>
      <c r="T823" s="19"/>
      <c r="U823" s="19"/>
      <c r="V823" s="19"/>
    </row>
    <row r="824" spans="1:22" x14ac:dyDescent="0.2">
      <c r="A824" s="8">
        <v>45398</v>
      </c>
      <c r="B824" s="24">
        <v>5.18</v>
      </c>
      <c r="C824" s="24">
        <v>4.97</v>
      </c>
      <c r="D824" s="24">
        <v>4.83</v>
      </c>
      <c r="E824" s="24">
        <v>4.3712999999999997</v>
      </c>
      <c r="F824" s="24">
        <v>4.6900000000000004</v>
      </c>
      <c r="G824" s="83">
        <f t="shared" si="98"/>
        <v>95.075109336375732</v>
      </c>
      <c r="H824" s="84">
        <f t="shared" si="101"/>
        <v>100.43643092895755</v>
      </c>
      <c r="I824" s="84">
        <f t="shared" si="99"/>
        <v>88.248059720487987</v>
      </c>
      <c r="J824" s="84">
        <f t="shared" si="100"/>
        <v>392487811.16126704</v>
      </c>
      <c r="L824" s="19">
        <f t="shared" si="103"/>
        <v>1.9999999999999574E-2</v>
      </c>
      <c r="M824" s="19">
        <f t="shared" si="104"/>
        <v>4.0000000000000036E-2</v>
      </c>
      <c r="N824" s="19">
        <f t="shared" si="104"/>
        <v>4.9999999999999822E-2</v>
      </c>
      <c r="O824" s="19">
        <f t="shared" si="104"/>
        <v>-3.0600000000000627E-2</v>
      </c>
      <c r="P824" s="19">
        <f t="shared" si="102"/>
        <v>4.0000000000000036E-2</v>
      </c>
      <c r="R824" s="19"/>
      <c r="S824" s="19"/>
      <c r="T824" s="19"/>
      <c r="U824" s="19"/>
      <c r="V824" s="19"/>
    </row>
    <row r="825" spans="1:22" x14ac:dyDescent="0.2">
      <c r="A825" s="8">
        <v>45399</v>
      </c>
      <c r="B825" s="24">
        <v>5.16</v>
      </c>
      <c r="C825" s="24">
        <v>4.93</v>
      </c>
      <c r="D825" s="24">
        <v>4.7699999999999996</v>
      </c>
      <c r="E825" s="24">
        <v>4.5437000000000003</v>
      </c>
      <c r="F825" s="24">
        <v>4.62</v>
      </c>
      <c r="G825" s="83">
        <f t="shared" si="98"/>
        <v>95.093191327500946</v>
      </c>
      <c r="H825" s="84">
        <f t="shared" si="101"/>
        <v>100.5974764851268</v>
      </c>
      <c r="I825" s="84">
        <f t="shared" si="99"/>
        <v>88.513411807362715</v>
      </c>
      <c r="J825" s="84">
        <f t="shared" si="100"/>
        <v>393343815.15676254</v>
      </c>
      <c r="L825" s="19">
        <f t="shared" si="103"/>
        <v>-1.9999999999999574E-2</v>
      </c>
      <c r="M825" s="19">
        <f t="shared" si="104"/>
        <v>-4.0000000000000036E-2</v>
      </c>
      <c r="N825" s="19">
        <f t="shared" si="104"/>
        <v>-6.0000000000000497E-2</v>
      </c>
      <c r="O825" s="19">
        <f t="shared" si="104"/>
        <v>0.17240000000000055</v>
      </c>
      <c r="P825" s="19">
        <f t="shared" si="102"/>
        <v>-7.0000000000000284E-2</v>
      </c>
      <c r="R825" s="19"/>
      <c r="S825" s="19"/>
      <c r="T825" s="19"/>
      <c r="U825" s="19"/>
      <c r="V825" s="19"/>
    </row>
    <row r="826" spans="1:22" x14ac:dyDescent="0.2">
      <c r="A826" s="8">
        <v>45400</v>
      </c>
      <c r="B826" s="24">
        <v>5.18</v>
      </c>
      <c r="C826" s="24">
        <v>4.9800000000000004</v>
      </c>
      <c r="D826" s="24">
        <v>4.83</v>
      </c>
      <c r="E826" s="24">
        <v>4.5749000000000004</v>
      </c>
      <c r="F826" s="24">
        <v>4.68</v>
      </c>
      <c r="G826" s="83">
        <f t="shared" si="98"/>
        <v>95.075109336375732</v>
      </c>
      <c r="H826" s="84">
        <f t="shared" si="101"/>
        <v>100.43556647403429</v>
      </c>
      <c r="I826" s="84">
        <f t="shared" si="99"/>
        <v>88.273375980460102</v>
      </c>
      <c r="J826" s="84">
        <f t="shared" si="100"/>
        <v>392590372.88354045</v>
      </c>
      <c r="L826" s="19">
        <f t="shared" si="103"/>
        <v>1.9999999999999574E-2</v>
      </c>
      <c r="M826" s="19">
        <f t="shared" si="104"/>
        <v>5.0000000000000711E-2</v>
      </c>
      <c r="N826" s="19">
        <f t="shared" si="104"/>
        <v>6.0000000000000497E-2</v>
      </c>
      <c r="O826" s="19">
        <f t="shared" si="104"/>
        <v>3.1200000000000117E-2</v>
      </c>
      <c r="P826" s="19">
        <f t="shared" si="102"/>
        <v>5.9999999999999609E-2</v>
      </c>
      <c r="R826" s="19"/>
      <c r="S826" s="19"/>
      <c r="T826" s="19"/>
      <c r="U826" s="19"/>
      <c r="V826" s="19"/>
    </row>
    <row r="827" spans="1:22" x14ac:dyDescent="0.2">
      <c r="A827" s="8">
        <v>45401</v>
      </c>
      <c r="B827" s="24">
        <v>5.17</v>
      </c>
      <c r="C827" s="24">
        <v>4.97</v>
      </c>
      <c r="D827" s="24">
        <v>4.8099999999999996</v>
      </c>
      <c r="E827" s="24">
        <v>4.5345000000000004</v>
      </c>
      <c r="F827" s="24">
        <v>4.66</v>
      </c>
      <c r="G827" s="83">
        <f t="shared" si="98"/>
        <v>95.084149472282959</v>
      </c>
      <c r="H827" s="84">
        <f t="shared" si="101"/>
        <v>100.48907012913006</v>
      </c>
      <c r="I827" s="84">
        <f t="shared" si="99"/>
        <v>88.355048540908783</v>
      </c>
      <c r="J827" s="84">
        <f t="shared" si="100"/>
        <v>392854887.91450596</v>
      </c>
      <c r="L827" s="19">
        <f t="shared" si="103"/>
        <v>-9.9999999999997868E-3</v>
      </c>
      <c r="M827" s="19">
        <f t="shared" si="104"/>
        <v>-1.0000000000000675E-2</v>
      </c>
      <c r="N827" s="19">
        <f t="shared" si="104"/>
        <v>-2.0000000000000462E-2</v>
      </c>
      <c r="O827" s="19">
        <f t="shared" si="104"/>
        <v>-4.0399999999999991E-2</v>
      </c>
      <c r="P827" s="19">
        <f t="shared" si="102"/>
        <v>-1.9999999999999574E-2</v>
      </c>
      <c r="R827" s="19"/>
      <c r="S827" s="19"/>
      <c r="T827" s="19"/>
      <c r="U827" s="19"/>
      <c r="V827" s="19"/>
    </row>
    <row r="828" spans="1:22" x14ac:dyDescent="0.2">
      <c r="A828" s="8">
        <v>45404</v>
      </c>
      <c r="B828" s="24">
        <v>5.16</v>
      </c>
      <c r="C828" s="24">
        <v>4.97</v>
      </c>
      <c r="D828" s="24">
        <v>4.8099999999999996</v>
      </c>
      <c r="E828" s="24">
        <v>4.5993000000000004</v>
      </c>
      <c r="F828" s="24">
        <v>4.66</v>
      </c>
      <c r="G828" s="83">
        <f t="shared" si="98"/>
        <v>95.093191327500946</v>
      </c>
      <c r="H828" s="84">
        <f t="shared" si="101"/>
        <v>100.48952222189095</v>
      </c>
      <c r="I828" s="84">
        <f t="shared" si="99"/>
        <v>88.351082759942656</v>
      </c>
      <c r="J828" s="84">
        <f t="shared" si="100"/>
        <v>392856430.36193609</v>
      </c>
      <c r="L828" s="19">
        <f t="shared" si="103"/>
        <v>-9.9999999999997868E-3</v>
      </c>
      <c r="M828" s="19">
        <f t="shared" si="104"/>
        <v>0</v>
      </c>
      <c r="N828" s="19">
        <f t="shared" si="104"/>
        <v>0</v>
      </c>
      <c r="O828" s="19">
        <f t="shared" si="104"/>
        <v>6.4799999999999969E-2</v>
      </c>
      <c r="P828" s="19">
        <f t="shared" si="102"/>
        <v>0</v>
      </c>
      <c r="R828" s="19"/>
      <c r="S828" s="19"/>
      <c r="T828" s="19"/>
      <c r="U828" s="19"/>
      <c r="V828" s="19"/>
    </row>
    <row r="829" spans="1:22" x14ac:dyDescent="0.2">
      <c r="A829" s="8">
        <v>45405</v>
      </c>
      <c r="B829" s="24">
        <v>5.14</v>
      </c>
      <c r="C829" s="24">
        <v>4.8600000000000003</v>
      </c>
      <c r="D829" s="24">
        <v>4.76</v>
      </c>
      <c r="E829" s="24">
        <v>4.6462000000000003</v>
      </c>
      <c r="F829" s="24">
        <v>4.63</v>
      </c>
      <c r="G829" s="83">
        <f t="shared" si="98"/>
        <v>95.111280197831476</v>
      </c>
      <c r="H829" s="84">
        <f t="shared" si="101"/>
        <v>100.63059440430762</v>
      </c>
      <c r="I829" s="84">
        <f t="shared" si="99"/>
        <v>88.471264588428994</v>
      </c>
      <c r="J829" s="84">
        <f t="shared" si="100"/>
        <v>393161727.14291751</v>
      </c>
      <c r="L829" s="19">
        <f t="shared" si="103"/>
        <v>-2.0000000000000462E-2</v>
      </c>
      <c r="M829" s="19">
        <f t="shared" si="104"/>
        <v>-0.10999999999999943</v>
      </c>
      <c r="N829" s="19">
        <f t="shared" si="104"/>
        <v>-4.9999999999999822E-2</v>
      </c>
      <c r="O829" s="19">
        <f t="shared" si="104"/>
        <v>4.6899999999999942E-2</v>
      </c>
      <c r="P829" s="19">
        <f t="shared" si="102"/>
        <v>-3.0000000000000249E-2</v>
      </c>
      <c r="R829" s="19"/>
      <c r="S829" s="19"/>
      <c r="T829" s="19"/>
      <c r="U829" s="19"/>
      <c r="V829" s="19"/>
    </row>
    <row r="830" spans="1:22" s="70" customFormat="1" x14ac:dyDescent="0.2">
      <c r="A830" s="68">
        <v>45406</v>
      </c>
      <c r="B830" s="69">
        <v>5.17</v>
      </c>
      <c r="C830" s="69">
        <v>4.8899999999999997</v>
      </c>
      <c r="D830" s="69">
        <v>4.78</v>
      </c>
      <c r="E830" s="69">
        <v>4.6241000000000003</v>
      </c>
      <c r="F830" s="69">
        <v>4.6399999999999997</v>
      </c>
      <c r="G830" s="85">
        <f t="shared" si="98"/>
        <v>95.084149472282959</v>
      </c>
      <c r="H830" s="84">
        <f t="shared" si="101"/>
        <v>100.57435019053008</v>
      </c>
      <c r="I830" s="86">
        <f t="shared" si="99"/>
        <v>88.431234818355719</v>
      </c>
      <c r="J830" s="86">
        <f t="shared" si="100"/>
        <v>393031712.9321937</v>
      </c>
      <c r="L830" s="71">
        <f t="shared" si="103"/>
        <v>3.0000000000000249E-2</v>
      </c>
      <c r="M830" s="71">
        <f t="shared" si="104"/>
        <v>2.9999999999999361E-2</v>
      </c>
      <c r="N830" s="71">
        <f t="shared" si="104"/>
        <v>2.0000000000000462E-2</v>
      </c>
      <c r="O830" s="71">
        <f t="shared" si="104"/>
        <v>-2.2100000000000009E-2</v>
      </c>
      <c r="P830" s="71">
        <f t="shared" si="102"/>
        <v>9.9999999999997868E-3</v>
      </c>
      <c r="R830" s="19"/>
      <c r="S830" s="19"/>
      <c r="T830" s="19"/>
      <c r="U830" s="19"/>
      <c r="V830" s="19"/>
    </row>
    <row r="831" spans="1:22" x14ac:dyDescent="0.2">
      <c r="A831" s="8">
        <v>45407</v>
      </c>
      <c r="B831" s="24">
        <v>5.21</v>
      </c>
      <c r="C831" s="24">
        <v>4.96</v>
      </c>
      <c r="D831" s="24">
        <v>4.8499999999999996</v>
      </c>
      <c r="E831" s="24">
        <v>4.6772999999999998</v>
      </c>
      <c r="F831" s="24">
        <v>4.7</v>
      </c>
      <c r="G831" s="83">
        <f t="shared" si="98"/>
        <v>95.047999239616004</v>
      </c>
      <c r="H831" s="84">
        <f t="shared" si="101"/>
        <v>100.38379274371837</v>
      </c>
      <c r="I831" s="84">
        <f t="shared" si="99"/>
        <v>88.188521667166953</v>
      </c>
      <c r="J831" s="84">
        <f t="shared" si="100"/>
        <v>392274396.03232229</v>
      </c>
      <c r="L831" s="19">
        <f t="shared" si="103"/>
        <v>4.0000000000000036E-2</v>
      </c>
      <c r="M831" s="19">
        <f t="shared" si="104"/>
        <v>7.0000000000000284E-2</v>
      </c>
      <c r="N831" s="19">
        <f t="shared" si="104"/>
        <v>6.9999999999999396E-2</v>
      </c>
      <c r="O831" s="19">
        <f t="shared" si="104"/>
        <v>5.319999999999947E-2</v>
      </c>
      <c r="P831" s="19">
        <f t="shared" si="102"/>
        <v>6.0000000000000497E-2</v>
      </c>
      <c r="R831" s="19"/>
      <c r="S831" s="19"/>
      <c r="T831" s="19"/>
      <c r="U831" s="19"/>
      <c r="V831" s="19"/>
    </row>
    <row r="832" spans="1:22" x14ac:dyDescent="0.2">
      <c r="A832" s="8">
        <v>45408</v>
      </c>
      <c r="B832" s="24">
        <v>5.21</v>
      </c>
      <c r="C832" s="24">
        <v>4.96</v>
      </c>
      <c r="D832" s="24">
        <v>4.84</v>
      </c>
      <c r="E832" s="24">
        <v>4.6741000000000001</v>
      </c>
      <c r="F832" s="24">
        <v>4.68</v>
      </c>
      <c r="G832" s="83">
        <f t="shared" si="98"/>
        <v>95.047999239616004</v>
      </c>
      <c r="H832" s="84">
        <f t="shared" si="101"/>
        <v>100.40986146093033</v>
      </c>
      <c r="I832" s="84">
        <f t="shared" si="99"/>
        <v>88.266698246269058</v>
      </c>
      <c r="J832" s="84">
        <f t="shared" si="100"/>
        <v>392547999.27291274</v>
      </c>
      <c r="L832" s="19">
        <f t="shared" si="103"/>
        <v>0</v>
      </c>
      <c r="M832" s="19">
        <f t="shared" si="104"/>
        <v>0</v>
      </c>
      <c r="N832" s="19">
        <f t="shared" si="104"/>
        <v>-9.9999999999997868E-3</v>
      </c>
      <c r="O832" s="19">
        <f t="shared" si="104"/>
        <v>-3.1999999999996476E-3</v>
      </c>
      <c r="P832" s="19">
        <f t="shared" si="102"/>
        <v>-2.0000000000000462E-2</v>
      </c>
      <c r="R832" s="19"/>
      <c r="S832" s="19"/>
      <c r="T832" s="19"/>
      <c r="U832" s="19"/>
      <c r="V832" s="19"/>
    </row>
    <row r="833" spans="1:22" x14ac:dyDescent="0.2">
      <c r="A833" s="8">
        <v>45411</v>
      </c>
      <c r="B833" s="24">
        <v>5.2</v>
      </c>
      <c r="C833" s="24">
        <v>4.97</v>
      </c>
      <c r="D833" s="24">
        <v>4.8</v>
      </c>
      <c r="E833" s="24">
        <v>4.6448999999999998</v>
      </c>
      <c r="F833" s="24">
        <v>4.6500000000000004</v>
      </c>
      <c r="G833" s="83">
        <f t="shared" si="98"/>
        <v>95.057034220532316</v>
      </c>
      <c r="H833" s="84">
        <f t="shared" si="101"/>
        <v>100.5138229042138</v>
      </c>
      <c r="I833" s="84">
        <f t="shared" si="99"/>
        <v>88.386762579579283</v>
      </c>
      <c r="J833" s="84">
        <f t="shared" si="100"/>
        <v>392890384.40306103</v>
      </c>
      <c r="L833" s="19">
        <f t="shared" si="103"/>
        <v>-9.9999999999997868E-3</v>
      </c>
      <c r="M833" s="19">
        <f t="shared" si="104"/>
        <v>9.9999999999997868E-3</v>
      </c>
      <c r="N833" s="19">
        <f t="shared" si="104"/>
        <v>-4.0000000000000036E-2</v>
      </c>
      <c r="O833" s="19">
        <f t="shared" si="104"/>
        <v>-2.9200000000000337E-2</v>
      </c>
      <c r="P833" s="19">
        <f t="shared" si="102"/>
        <v>-2.9999999999999361E-2</v>
      </c>
      <c r="R833" s="19"/>
      <c r="S833" s="19"/>
      <c r="T833" s="19"/>
      <c r="U833" s="19"/>
      <c r="V833" s="19"/>
    </row>
    <row r="834" spans="1:22" x14ac:dyDescent="0.2">
      <c r="A834" s="8">
        <v>45412</v>
      </c>
      <c r="B834" s="24">
        <v>5.25</v>
      </c>
      <c r="C834" s="24">
        <v>5.04</v>
      </c>
      <c r="D834" s="24">
        <v>4.87</v>
      </c>
      <c r="E834" s="24">
        <v>4.6913</v>
      </c>
      <c r="F834" s="24">
        <v>4.72</v>
      </c>
      <c r="G834" s="83">
        <f t="shared" ref="G834:G897" si="105">100/((1+B834/100)^1)</f>
        <v>95.011876484560574</v>
      </c>
      <c r="H834" s="84">
        <f t="shared" si="101"/>
        <v>100.32296829375881</v>
      </c>
      <c r="I834" s="84">
        <f t="shared" ref="I834:I897" si="106">SUM(2/(1+B834/100)^1, 2/(1+C834/100)^2, 2/(1+D834/100)^3, 2/(1+E834/100)^4, 102/(1+F834/100)^5)</f>
        <v>88.105763967683743</v>
      </c>
      <c r="J834" s="84">
        <f t="shared" ref="J834:J897" si="107">G834*2000000+H834*-1500000+I834*4000000</f>
        <v>391962356.39921796</v>
      </c>
      <c r="L834" s="19">
        <f t="shared" si="103"/>
        <v>4.9999999999999822E-2</v>
      </c>
      <c r="M834" s="19">
        <f>C834-C833</f>
        <v>7.0000000000000284E-2</v>
      </c>
      <c r="N834" s="19">
        <f t="shared" si="104"/>
        <v>7.0000000000000284E-2</v>
      </c>
      <c r="O834" s="19">
        <f t="shared" si="104"/>
        <v>4.6400000000000219E-2</v>
      </c>
      <c r="P834" s="19">
        <f t="shared" si="102"/>
        <v>6.9999999999999396E-2</v>
      </c>
      <c r="R834" s="19"/>
      <c r="S834" s="19"/>
      <c r="T834" s="19"/>
      <c r="U834" s="19"/>
      <c r="V834" s="19"/>
    </row>
    <row r="835" spans="1:22" x14ac:dyDescent="0.2">
      <c r="A835" s="8">
        <v>45413</v>
      </c>
      <c r="B835" s="24">
        <v>5.21</v>
      </c>
      <c r="C835" s="24">
        <v>4.96</v>
      </c>
      <c r="D835" s="24">
        <v>4.79</v>
      </c>
      <c r="E835" s="24">
        <v>4.6430999999999996</v>
      </c>
      <c r="F835" s="24">
        <v>4.6399999999999997</v>
      </c>
      <c r="G835" s="83">
        <f t="shared" si="105"/>
        <v>95.047999239616004</v>
      </c>
      <c r="H835" s="84">
        <f t="shared" ref="H835:H898" si="108">SUM(5/(1+B835/100)^1, 5/(1+C835/100)^2, 105/(1+D835/100)^3)</f>
        <v>100.54035436184826</v>
      </c>
      <c r="I835" s="84">
        <f t="shared" si="106"/>
        <v>88.426378233633528</v>
      </c>
      <c r="J835" s="84">
        <f t="shared" si="107"/>
        <v>392990979.87099373</v>
      </c>
      <c r="L835" s="19">
        <f t="shared" si="103"/>
        <v>-4.0000000000000036E-2</v>
      </c>
      <c r="M835" s="19">
        <f t="shared" si="104"/>
        <v>-8.0000000000000071E-2</v>
      </c>
      <c r="N835" s="19">
        <f t="shared" si="104"/>
        <v>-8.0000000000000071E-2</v>
      </c>
      <c r="O835" s="19">
        <f t="shared" si="104"/>
        <v>-4.8200000000000465E-2</v>
      </c>
      <c r="P835" s="19">
        <f t="shared" si="102"/>
        <v>-8.0000000000000071E-2</v>
      </c>
      <c r="R835" s="19"/>
      <c r="S835" s="19"/>
      <c r="T835" s="19"/>
      <c r="U835" s="19"/>
      <c r="V835" s="19"/>
    </row>
    <row r="836" spans="1:22" x14ac:dyDescent="0.2">
      <c r="A836" s="8">
        <v>45414</v>
      </c>
      <c r="B836" s="24">
        <v>5.16</v>
      </c>
      <c r="C836" s="24">
        <v>4.87</v>
      </c>
      <c r="D836" s="24">
        <v>4.71</v>
      </c>
      <c r="E836" s="24">
        <v>4.5838000000000001</v>
      </c>
      <c r="F836" s="24">
        <v>4.57</v>
      </c>
      <c r="G836" s="83">
        <f t="shared" si="105"/>
        <v>95.093191327500946</v>
      </c>
      <c r="H836" s="84">
        <f t="shared" si="108"/>
        <v>100.75971483954514</v>
      </c>
      <c r="I836" s="84">
        <f t="shared" si="106"/>
        <v>88.710664582657216</v>
      </c>
      <c r="J836" s="84">
        <f t="shared" si="107"/>
        <v>393889468.72631305</v>
      </c>
      <c r="L836" s="19">
        <f t="shared" si="103"/>
        <v>-4.9999999999999822E-2</v>
      </c>
      <c r="M836" s="19">
        <f t="shared" si="104"/>
        <v>-8.9999999999999858E-2</v>
      </c>
      <c r="N836" s="19">
        <f t="shared" si="104"/>
        <v>-8.0000000000000071E-2</v>
      </c>
      <c r="O836" s="19">
        <f t="shared" si="104"/>
        <v>-5.9299999999999464E-2</v>
      </c>
      <c r="P836" s="19">
        <f t="shared" si="104"/>
        <v>-6.9999999999999396E-2</v>
      </c>
      <c r="R836" s="19"/>
      <c r="S836" s="19"/>
      <c r="T836" s="19"/>
      <c r="U836" s="19"/>
      <c r="V836" s="19"/>
    </row>
    <row r="837" spans="1:22" x14ac:dyDescent="0.2">
      <c r="A837" s="8">
        <v>45415</v>
      </c>
      <c r="B837" s="24">
        <v>5.12</v>
      </c>
      <c r="C837" s="24">
        <v>4.8099999999999996</v>
      </c>
      <c r="D837" s="24">
        <v>4.63</v>
      </c>
      <c r="E837" s="24">
        <v>4.5035999999999996</v>
      </c>
      <c r="F837" s="24">
        <v>4.4800000000000004</v>
      </c>
      <c r="G837" s="83">
        <f t="shared" si="105"/>
        <v>95.129375951293767</v>
      </c>
      <c r="H837" s="84">
        <f t="shared" si="108"/>
        <v>100.97667891836656</v>
      </c>
      <c r="I837" s="84">
        <f t="shared" si="106"/>
        <v>89.074566875329978</v>
      </c>
      <c r="J837" s="84">
        <f t="shared" si="107"/>
        <v>395092001.02635759</v>
      </c>
      <c r="L837" s="19">
        <f t="shared" ref="L837:L900" si="109">B837-B836</f>
        <v>-4.0000000000000036E-2</v>
      </c>
      <c r="M837" s="19">
        <f t="shared" ref="M837:P900" si="110">C837-C836</f>
        <v>-6.0000000000000497E-2</v>
      </c>
      <c r="N837" s="19">
        <f t="shared" si="110"/>
        <v>-8.0000000000000071E-2</v>
      </c>
      <c r="O837" s="19">
        <f t="shared" si="110"/>
        <v>-8.0200000000000493E-2</v>
      </c>
      <c r="P837" s="19">
        <f t="shared" si="110"/>
        <v>-8.9999999999999858E-2</v>
      </c>
      <c r="R837" s="19"/>
      <c r="S837" s="19"/>
      <c r="T837" s="19"/>
      <c r="U837" s="19"/>
      <c r="V837" s="19"/>
    </row>
    <row r="838" spans="1:22" x14ac:dyDescent="0.2">
      <c r="A838" s="8">
        <v>45418</v>
      </c>
      <c r="B838" s="24">
        <v>5.12</v>
      </c>
      <c r="C838" s="24">
        <v>4.82</v>
      </c>
      <c r="D838" s="24">
        <v>4.6399999999999997</v>
      </c>
      <c r="E838" s="24">
        <v>4.4850000000000003</v>
      </c>
      <c r="F838" s="24">
        <v>4.4800000000000004</v>
      </c>
      <c r="G838" s="83">
        <f t="shared" si="105"/>
        <v>95.129375951293767</v>
      </c>
      <c r="H838" s="84">
        <f t="shared" si="108"/>
        <v>100.94953187332516</v>
      </c>
      <c r="I838" s="84">
        <f t="shared" si="106"/>
        <v>89.074913335097804</v>
      </c>
      <c r="J838" s="84">
        <f t="shared" si="107"/>
        <v>395134107.43299103</v>
      </c>
      <c r="L838" s="19">
        <f t="shared" si="109"/>
        <v>0</v>
      </c>
      <c r="M838" s="19">
        <f t="shared" si="110"/>
        <v>1.0000000000000675E-2</v>
      </c>
      <c r="N838" s="19">
        <f t="shared" si="110"/>
        <v>9.9999999999997868E-3</v>
      </c>
      <c r="O838" s="19">
        <f t="shared" si="110"/>
        <v>-1.8599999999999284E-2</v>
      </c>
      <c r="P838" s="19">
        <f t="shared" si="110"/>
        <v>0</v>
      </c>
      <c r="R838" s="19"/>
      <c r="S838" s="19"/>
      <c r="T838" s="19"/>
      <c r="U838" s="19"/>
      <c r="V838" s="19"/>
    </row>
    <row r="839" spans="1:22" x14ac:dyDescent="0.2">
      <c r="A839" s="8">
        <v>45419</v>
      </c>
      <c r="B839" s="24">
        <v>5.13</v>
      </c>
      <c r="C839" s="24">
        <v>4.82</v>
      </c>
      <c r="D839" s="24">
        <v>4.5999999999999996</v>
      </c>
      <c r="E839" s="24">
        <v>4.4702999999999999</v>
      </c>
      <c r="F839" s="24">
        <v>4.4800000000000004</v>
      </c>
      <c r="G839" s="83">
        <f t="shared" si="105"/>
        <v>95.12032721392562</v>
      </c>
      <c r="H839" s="84">
        <f t="shared" si="108"/>
        <v>101.05425424624526</v>
      </c>
      <c r="I839" s="84">
        <f t="shared" si="106"/>
        <v>89.077680382315805</v>
      </c>
      <c r="J839" s="84">
        <f t="shared" si="107"/>
        <v>394969994.5877465</v>
      </c>
      <c r="L839" s="19">
        <f t="shared" si="109"/>
        <v>9.9999999999997868E-3</v>
      </c>
      <c r="M839" s="19">
        <f t="shared" si="110"/>
        <v>0</v>
      </c>
      <c r="N839" s="19">
        <f t="shared" si="110"/>
        <v>-4.0000000000000036E-2</v>
      </c>
      <c r="O839" s="19">
        <f t="shared" si="110"/>
        <v>-1.4700000000000379E-2</v>
      </c>
      <c r="P839" s="19">
        <f t="shared" si="110"/>
        <v>0</v>
      </c>
      <c r="R839" s="19"/>
      <c r="S839" s="19"/>
      <c r="T839" s="19"/>
      <c r="U839" s="19"/>
      <c r="V839" s="19"/>
    </row>
    <row r="840" spans="1:22" x14ac:dyDescent="0.2">
      <c r="A840" s="8">
        <v>45420</v>
      </c>
      <c r="B840" s="24">
        <v>5.13</v>
      </c>
      <c r="C840" s="24">
        <v>4.84</v>
      </c>
      <c r="D840" s="24">
        <v>4.63</v>
      </c>
      <c r="E840" s="24">
        <v>4.4848999999999997</v>
      </c>
      <c r="F840" s="24">
        <v>4.5</v>
      </c>
      <c r="G840" s="83">
        <f t="shared" si="105"/>
        <v>95.12032721392562</v>
      </c>
      <c r="H840" s="84">
        <f t="shared" si="108"/>
        <v>100.97362196771977</v>
      </c>
      <c r="I840" s="84">
        <f t="shared" si="106"/>
        <v>88.996174535314765</v>
      </c>
      <c r="J840" s="84">
        <f t="shared" si="107"/>
        <v>394764919.61753064</v>
      </c>
      <c r="L840" s="19">
        <f t="shared" si="109"/>
        <v>0</v>
      </c>
      <c r="M840" s="19">
        <f t="shared" si="110"/>
        <v>1.9999999999999574E-2</v>
      </c>
      <c r="N840" s="19">
        <f t="shared" si="110"/>
        <v>3.0000000000000249E-2</v>
      </c>
      <c r="O840" s="19">
        <f t="shared" si="110"/>
        <v>1.4599999999999724E-2</v>
      </c>
      <c r="P840" s="19">
        <f t="shared" si="110"/>
        <v>1.9999999999999574E-2</v>
      </c>
      <c r="R840" s="19"/>
      <c r="S840" s="19"/>
      <c r="T840" s="19"/>
      <c r="U840" s="19"/>
      <c r="V840" s="19"/>
    </row>
    <row r="841" spans="1:22" x14ac:dyDescent="0.2">
      <c r="A841" s="8">
        <v>45421</v>
      </c>
      <c r="B841" s="24">
        <v>5.12</v>
      </c>
      <c r="C841" s="24">
        <v>4.8</v>
      </c>
      <c r="D841" s="24">
        <v>4.5999999999999996</v>
      </c>
      <c r="E841" s="24">
        <v>4.4626000000000001</v>
      </c>
      <c r="F841" s="24">
        <v>4.47</v>
      </c>
      <c r="G841" s="83">
        <f t="shared" si="105"/>
        <v>95.129375951293767</v>
      </c>
      <c r="H841" s="84">
        <f t="shared" si="108"/>
        <v>101.05644377119557</v>
      </c>
      <c r="I841" s="84">
        <f t="shared" si="106"/>
        <v>89.118270241163628</v>
      </c>
      <c r="J841" s="84">
        <f t="shared" si="107"/>
        <v>395147167.21044868</v>
      </c>
      <c r="L841" s="19">
        <f t="shared" si="109"/>
        <v>-9.9999999999997868E-3</v>
      </c>
      <c r="M841" s="19">
        <f t="shared" si="110"/>
        <v>-4.0000000000000036E-2</v>
      </c>
      <c r="N841" s="19">
        <f t="shared" si="110"/>
        <v>-3.0000000000000249E-2</v>
      </c>
      <c r="O841" s="19">
        <f t="shared" si="110"/>
        <v>-2.2299999999999542E-2</v>
      </c>
      <c r="P841" s="19">
        <f t="shared" si="110"/>
        <v>-3.0000000000000249E-2</v>
      </c>
      <c r="R841" s="19"/>
      <c r="S841" s="19"/>
      <c r="T841" s="19"/>
      <c r="U841" s="19"/>
      <c r="V841" s="19"/>
    </row>
    <row r="842" spans="1:22" x14ac:dyDescent="0.2">
      <c r="A842" s="8">
        <v>45422</v>
      </c>
      <c r="B842" s="24">
        <v>5.17</v>
      </c>
      <c r="C842" s="24">
        <v>4.87</v>
      </c>
      <c r="D842" s="24">
        <v>4.6500000000000004</v>
      </c>
      <c r="E842" s="24">
        <v>4.4947999999999997</v>
      </c>
      <c r="F842" s="24">
        <v>4.5199999999999996</v>
      </c>
      <c r="G842" s="83">
        <f t="shared" si="105"/>
        <v>95.084149472282959</v>
      </c>
      <c r="H842" s="84">
        <f t="shared" si="108"/>
        <v>100.91666359456747</v>
      </c>
      <c r="I842" s="84">
        <f t="shared" si="106"/>
        <v>88.914492905889418</v>
      </c>
      <c r="J842" s="84">
        <f t="shared" si="107"/>
        <v>394451275.17627239</v>
      </c>
      <c r="L842" s="19">
        <f t="shared" si="109"/>
        <v>4.9999999999999822E-2</v>
      </c>
      <c r="M842" s="19">
        <f t="shared" si="110"/>
        <v>7.0000000000000284E-2</v>
      </c>
      <c r="N842" s="19">
        <f t="shared" si="110"/>
        <v>5.0000000000000711E-2</v>
      </c>
      <c r="O842" s="19">
        <f t="shared" si="110"/>
        <v>3.2199999999999562E-2</v>
      </c>
      <c r="P842" s="19">
        <f t="shared" si="110"/>
        <v>4.9999999999999822E-2</v>
      </c>
      <c r="R842" s="19"/>
      <c r="S842" s="19"/>
      <c r="T842" s="19"/>
      <c r="U842" s="19"/>
      <c r="V842" s="19"/>
    </row>
    <row r="843" spans="1:22" x14ac:dyDescent="0.2">
      <c r="A843" s="8">
        <v>45425</v>
      </c>
      <c r="B843" s="24">
        <v>5.16</v>
      </c>
      <c r="C843" s="24">
        <v>4.8499999999999996</v>
      </c>
      <c r="D843" s="24">
        <v>4.66</v>
      </c>
      <c r="E843" s="24">
        <v>4.4916999999999998</v>
      </c>
      <c r="F843" s="24">
        <v>4.5</v>
      </c>
      <c r="G843" s="83">
        <f t="shared" si="105"/>
        <v>95.093191327500946</v>
      </c>
      <c r="H843" s="84">
        <f t="shared" si="108"/>
        <v>100.89259174847932</v>
      </c>
      <c r="I843" s="84">
        <f t="shared" si="106"/>
        <v>88.993346908047954</v>
      </c>
      <c r="J843" s="84">
        <f t="shared" si="107"/>
        <v>394820882.66447473</v>
      </c>
      <c r="L843" s="19">
        <f t="shared" si="109"/>
        <v>-9.9999999999997868E-3</v>
      </c>
      <c r="M843" s="19">
        <f t="shared" si="110"/>
        <v>-2.0000000000000462E-2</v>
      </c>
      <c r="N843" s="19">
        <f t="shared" si="110"/>
        <v>9.9999999999997868E-3</v>
      </c>
      <c r="O843" s="19">
        <f t="shared" si="110"/>
        <v>-3.0999999999998806E-3</v>
      </c>
      <c r="P843" s="19">
        <f t="shared" si="110"/>
        <v>-1.9999999999999574E-2</v>
      </c>
      <c r="R843" s="19"/>
      <c r="S843" s="19"/>
      <c r="T843" s="19"/>
      <c r="U843" s="19"/>
      <c r="V843" s="19"/>
    </row>
    <row r="844" spans="1:22" x14ac:dyDescent="0.2">
      <c r="A844" s="8">
        <v>45426</v>
      </c>
      <c r="B844" s="24">
        <v>5.16</v>
      </c>
      <c r="C844" s="24">
        <v>4.8099999999999996</v>
      </c>
      <c r="D844" s="24">
        <v>4.62</v>
      </c>
      <c r="E844" s="24">
        <v>4.4617000000000004</v>
      </c>
      <c r="F844" s="24">
        <v>4.46</v>
      </c>
      <c r="G844" s="83">
        <f t="shared" si="105"/>
        <v>95.093191327500946</v>
      </c>
      <c r="H844" s="84">
        <f t="shared" si="108"/>
        <v>101.00115836070678</v>
      </c>
      <c r="I844" s="84">
        <f t="shared" si="106"/>
        <v>89.155496390493113</v>
      </c>
      <c r="J844" s="84">
        <f t="shared" si="107"/>
        <v>395306630.67591417</v>
      </c>
      <c r="L844" s="19">
        <f t="shared" si="109"/>
        <v>0</v>
      </c>
      <c r="M844" s="19">
        <f t="shared" si="110"/>
        <v>-4.0000000000000036E-2</v>
      </c>
      <c r="N844" s="19">
        <f t="shared" si="110"/>
        <v>-4.0000000000000036E-2</v>
      </c>
      <c r="O844" s="19">
        <f t="shared" si="110"/>
        <v>-2.9999999999999361E-2</v>
      </c>
      <c r="P844" s="19">
        <f t="shared" si="110"/>
        <v>-4.0000000000000036E-2</v>
      </c>
      <c r="R844" s="19"/>
      <c r="S844" s="19"/>
      <c r="T844" s="19"/>
      <c r="U844" s="19"/>
      <c r="V844" s="19"/>
    </row>
    <row r="845" spans="1:22" x14ac:dyDescent="0.2">
      <c r="A845" s="8">
        <v>45427</v>
      </c>
      <c r="B845" s="24">
        <v>5.0999999999999996</v>
      </c>
      <c r="C845" s="24">
        <v>4.7300000000000004</v>
      </c>
      <c r="D845" s="24">
        <v>4.51</v>
      </c>
      <c r="E845" s="24">
        <v>4.3773</v>
      </c>
      <c r="F845" s="24">
        <v>4.3499999999999996</v>
      </c>
      <c r="G845" s="83">
        <f t="shared" si="105"/>
        <v>95.147478591817318</v>
      </c>
      <c r="H845" s="84">
        <f t="shared" si="108"/>
        <v>101.3006690070722</v>
      </c>
      <c r="I845" s="84">
        <f t="shared" si="106"/>
        <v>89.603472100740262</v>
      </c>
      <c r="J845" s="84">
        <f t="shared" si="107"/>
        <v>396757842.0759874</v>
      </c>
      <c r="L845" s="19">
        <f t="shared" si="109"/>
        <v>-6.0000000000000497E-2</v>
      </c>
      <c r="M845" s="19">
        <f t="shared" si="110"/>
        <v>-7.9999999999999183E-2</v>
      </c>
      <c r="N845" s="19">
        <f t="shared" si="110"/>
        <v>-0.11000000000000032</v>
      </c>
      <c r="O845" s="19">
        <f t="shared" si="110"/>
        <v>-8.4400000000000475E-2</v>
      </c>
      <c r="P845" s="19">
        <f t="shared" si="110"/>
        <v>-0.11000000000000032</v>
      </c>
      <c r="R845" s="19"/>
      <c r="S845" s="19"/>
      <c r="T845" s="19"/>
      <c r="U845" s="19"/>
      <c r="V845" s="19"/>
    </row>
    <row r="846" spans="1:22" x14ac:dyDescent="0.2">
      <c r="A846" s="8">
        <v>45428</v>
      </c>
      <c r="B846" s="24">
        <v>5.13</v>
      </c>
      <c r="C846" s="24">
        <v>4.78</v>
      </c>
      <c r="D846" s="24">
        <v>4.58</v>
      </c>
      <c r="E846" s="24">
        <v>4.3948</v>
      </c>
      <c r="F846" s="24">
        <v>4.4000000000000004</v>
      </c>
      <c r="G846" s="83">
        <f t="shared" si="105"/>
        <v>95.12032721392562</v>
      </c>
      <c r="H846" s="84">
        <f t="shared" si="108"/>
        <v>101.11037717874645</v>
      </c>
      <c r="I846" s="84">
        <f t="shared" si="106"/>
        <v>89.399319017347565</v>
      </c>
      <c r="J846" s="84">
        <f t="shared" si="107"/>
        <v>396172364.7291218</v>
      </c>
      <c r="L846" s="19">
        <f t="shared" si="109"/>
        <v>3.0000000000000249E-2</v>
      </c>
      <c r="M846" s="19">
        <f t="shared" si="110"/>
        <v>4.9999999999999822E-2</v>
      </c>
      <c r="N846" s="19">
        <f t="shared" si="110"/>
        <v>7.0000000000000284E-2</v>
      </c>
      <c r="O846" s="19">
        <f t="shared" si="110"/>
        <v>1.7500000000000071E-2</v>
      </c>
      <c r="P846" s="19">
        <f t="shared" si="110"/>
        <v>5.0000000000000711E-2</v>
      </c>
      <c r="R846" s="19"/>
      <c r="S846" s="19"/>
      <c r="T846" s="19"/>
      <c r="U846" s="19"/>
      <c r="V846" s="19"/>
    </row>
    <row r="847" spans="1:22" x14ac:dyDescent="0.2">
      <c r="A847" s="8">
        <v>45429</v>
      </c>
      <c r="B847" s="24">
        <v>5.14</v>
      </c>
      <c r="C847" s="24">
        <v>4.83</v>
      </c>
      <c r="D847" s="24">
        <v>4.5999999999999996</v>
      </c>
      <c r="E847" s="24">
        <v>4.4207999999999998</v>
      </c>
      <c r="F847" s="24">
        <v>4.4400000000000004</v>
      </c>
      <c r="G847" s="83">
        <f t="shared" si="105"/>
        <v>95.111280197831476</v>
      </c>
      <c r="H847" s="84">
        <f t="shared" si="108"/>
        <v>101.05293372421269</v>
      </c>
      <c r="I847" s="84">
        <f t="shared" si="106"/>
        <v>89.23734919765333</v>
      </c>
      <c r="J847" s="84">
        <f t="shared" si="107"/>
        <v>395592556.59995723</v>
      </c>
      <c r="L847" s="19">
        <f t="shared" si="109"/>
        <v>9.9999999999997868E-3</v>
      </c>
      <c r="M847" s="19">
        <f t="shared" si="110"/>
        <v>4.9999999999999822E-2</v>
      </c>
      <c r="N847" s="19">
        <f t="shared" si="110"/>
        <v>1.9999999999999574E-2</v>
      </c>
      <c r="O847" s="19">
        <f t="shared" si="110"/>
        <v>2.5999999999999801E-2</v>
      </c>
      <c r="P847" s="19">
        <f t="shared" si="110"/>
        <v>4.0000000000000036E-2</v>
      </c>
      <c r="R847" s="19"/>
      <c r="S847" s="19"/>
      <c r="T847" s="19"/>
      <c r="U847" s="19"/>
      <c r="V847" s="19"/>
    </row>
    <row r="848" spans="1:22" x14ac:dyDescent="0.2">
      <c r="A848" s="8">
        <v>45432</v>
      </c>
      <c r="B848" s="24">
        <v>5.15</v>
      </c>
      <c r="C848" s="24">
        <v>4.82</v>
      </c>
      <c r="D848" s="24">
        <v>4.62</v>
      </c>
      <c r="E848" s="24">
        <v>4.4412000000000003</v>
      </c>
      <c r="F848" s="24">
        <v>4.46</v>
      </c>
      <c r="G848" s="83">
        <f t="shared" si="105"/>
        <v>95.102234902520195</v>
      </c>
      <c r="H848" s="84">
        <f t="shared" si="108"/>
        <v>101.00074211971945</v>
      </c>
      <c r="I848" s="84">
        <f t="shared" si="106"/>
        <v>89.156648975213187</v>
      </c>
      <c r="J848" s="84">
        <f t="shared" si="107"/>
        <v>395329952.52631396</v>
      </c>
      <c r="L848" s="19">
        <f t="shared" si="109"/>
        <v>1.0000000000000675E-2</v>
      </c>
      <c r="M848" s="19">
        <f t="shared" si="110"/>
        <v>-9.9999999999997868E-3</v>
      </c>
      <c r="N848" s="19">
        <f t="shared" si="110"/>
        <v>2.0000000000000462E-2</v>
      </c>
      <c r="O848" s="19">
        <f t="shared" si="110"/>
        <v>2.0400000000000418E-2</v>
      </c>
      <c r="P848" s="19">
        <f t="shared" si="110"/>
        <v>1.9999999999999574E-2</v>
      </c>
      <c r="R848" s="19"/>
      <c r="S848" s="19"/>
      <c r="T848" s="19"/>
      <c r="U848" s="19"/>
      <c r="V848" s="19"/>
    </row>
    <row r="849" spans="1:22" x14ac:dyDescent="0.2">
      <c r="A849" s="8">
        <v>45433</v>
      </c>
      <c r="B849" s="24">
        <v>5.14</v>
      </c>
      <c r="C849" s="24">
        <v>4.82</v>
      </c>
      <c r="D849" s="24">
        <v>4.6100000000000003</v>
      </c>
      <c r="E849" s="24">
        <v>4.4287999999999998</v>
      </c>
      <c r="F849" s="24">
        <v>4.43</v>
      </c>
      <c r="G849" s="83">
        <f t="shared" si="105"/>
        <v>95.111280197831476</v>
      </c>
      <c r="H849" s="84">
        <f t="shared" si="108"/>
        <v>101.02749311104486</v>
      </c>
      <c r="I849" s="84">
        <f t="shared" si="106"/>
        <v>89.275989085289055</v>
      </c>
      <c r="J849" s="84">
        <f t="shared" si="107"/>
        <v>395785277.07025194</v>
      </c>
      <c r="L849" s="19">
        <f t="shared" si="109"/>
        <v>-1.0000000000000675E-2</v>
      </c>
      <c r="M849" s="19">
        <f t="shared" si="110"/>
        <v>0</v>
      </c>
      <c r="N849" s="19">
        <f t="shared" si="110"/>
        <v>-9.9999999999997868E-3</v>
      </c>
      <c r="O849" s="19">
        <f t="shared" si="110"/>
        <v>-1.2400000000000411E-2</v>
      </c>
      <c r="P849" s="19">
        <f t="shared" si="110"/>
        <v>-3.0000000000000249E-2</v>
      </c>
      <c r="R849" s="19"/>
      <c r="S849" s="19"/>
      <c r="T849" s="19"/>
      <c r="U849" s="19"/>
      <c r="V849" s="19"/>
    </row>
    <row r="850" spans="1:22" x14ac:dyDescent="0.2">
      <c r="A850" s="8">
        <v>45434</v>
      </c>
      <c r="B850" s="24">
        <v>5.16</v>
      </c>
      <c r="C850" s="24">
        <v>4.8600000000000003</v>
      </c>
      <c r="D850" s="24">
        <v>4.6399999999999997</v>
      </c>
      <c r="E850" s="24">
        <v>4.4469000000000003</v>
      </c>
      <c r="F850" s="24">
        <v>4.47</v>
      </c>
      <c r="G850" s="83">
        <f t="shared" si="105"/>
        <v>95.093191327500946</v>
      </c>
      <c r="H850" s="84">
        <f t="shared" si="108"/>
        <v>100.94425144733884</v>
      </c>
      <c r="I850" s="84">
        <f t="shared" si="106"/>
        <v>89.114469969335872</v>
      </c>
      <c r="J850" s="84">
        <f t="shared" si="107"/>
        <v>395227885.36133707</v>
      </c>
      <c r="L850" s="19">
        <f t="shared" si="109"/>
        <v>2.0000000000000462E-2</v>
      </c>
      <c r="M850" s="19">
        <f t="shared" si="110"/>
        <v>4.0000000000000036E-2</v>
      </c>
      <c r="N850" s="19">
        <f t="shared" si="110"/>
        <v>2.9999999999999361E-2</v>
      </c>
      <c r="O850" s="19">
        <f t="shared" si="110"/>
        <v>1.8100000000000449E-2</v>
      </c>
      <c r="P850" s="19">
        <f t="shared" si="110"/>
        <v>4.0000000000000036E-2</v>
      </c>
      <c r="R850" s="19"/>
      <c r="S850" s="19"/>
      <c r="T850" s="19"/>
      <c r="U850" s="19"/>
      <c r="V850" s="19"/>
    </row>
    <row r="851" spans="1:22" x14ac:dyDescent="0.2">
      <c r="A851" s="8">
        <v>45435</v>
      </c>
      <c r="B851" s="24">
        <v>5.2</v>
      </c>
      <c r="C851" s="24">
        <v>4.91</v>
      </c>
      <c r="D851" s="24">
        <v>4.71</v>
      </c>
      <c r="E851" s="24">
        <v>4.5065</v>
      </c>
      <c r="F851" s="24">
        <v>4.5199999999999996</v>
      </c>
      <c r="G851" s="83">
        <f t="shared" si="105"/>
        <v>95.057034220532316</v>
      </c>
      <c r="H851" s="84">
        <f t="shared" si="108"/>
        <v>100.75444075108447</v>
      </c>
      <c r="I851" s="84">
        <f t="shared" si="106"/>
        <v>88.908814925390828</v>
      </c>
      <c r="J851" s="84">
        <f t="shared" si="107"/>
        <v>394617667.01600122</v>
      </c>
      <c r="L851" s="19">
        <f t="shared" si="109"/>
        <v>4.0000000000000036E-2</v>
      </c>
      <c r="M851" s="19">
        <f t="shared" si="110"/>
        <v>4.9999999999999822E-2</v>
      </c>
      <c r="N851" s="19">
        <f t="shared" si="110"/>
        <v>7.0000000000000284E-2</v>
      </c>
      <c r="O851" s="19">
        <f t="shared" si="110"/>
        <v>5.9599999999999653E-2</v>
      </c>
      <c r="P851" s="19">
        <f t="shared" si="110"/>
        <v>4.9999999999999822E-2</v>
      </c>
      <c r="R851" s="19"/>
      <c r="S851" s="19"/>
      <c r="T851" s="19"/>
      <c r="U851" s="19"/>
      <c r="V851" s="19"/>
    </row>
    <row r="852" spans="1:22" x14ac:dyDescent="0.2">
      <c r="A852" s="8">
        <v>45436</v>
      </c>
      <c r="B852" s="24">
        <v>5.21</v>
      </c>
      <c r="C852" s="24">
        <v>4.93</v>
      </c>
      <c r="D852" s="24">
        <v>4.71</v>
      </c>
      <c r="E852" s="24">
        <v>4.5251999999999999</v>
      </c>
      <c r="F852" s="24">
        <v>4.53</v>
      </c>
      <c r="G852" s="83">
        <f t="shared" si="105"/>
        <v>95.047999239616004</v>
      </c>
      <c r="H852" s="84">
        <f t="shared" si="108"/>
        <v>100.75225737181313</v>
      </c>
      <c r="I852" s="84">
        <f t="shared" si="106"/>
        <v>88.867635500915426</v>
      </c>
      <c r="J852" s="84">
        <f t="shared" si="107"/>
        <v>394438154.425174</v>
      </c>
      <c r="L852" s="19">
        <f t="shared" si="109"/>
        <v>9.9999999999997868E-3</v>
      </c>
      <c r="M852" s="19">
        <f t="shared" si="110"/>
        <v>1.9999999999999574E-2</v>
      </c>
      <c r="N852" s="19">
        <f t="shared" si="110"/>
        <v>0</v>
      </c>
      <c r="O852" s="19">
        <f t="shared" si="110"/>
        <v>1.8699999999999939E-2</v>
      </c>
      <c r="P852" s="19">
        <f t="shared" si="110"/>
        <v>1.0000000000000675E-2</v>
      </c>
      <c r="R852" s="19"/>
      <c r="S852" s="19"/>
      <c r="T852" s="19"/>
      <c r="U852" s="19"/>
      <c r="V852" s="19"/>
    </row>
    <row r="853" spans="1:22" x14ac:dyDescent="0.2">
      <c r="A853" s="8">
        <v>45440</v>
      </c>
      <c r="B853" s="24">
        <v>5.21</v>
      </c>
      <c r="C853" s="24">
        <v>4.9400000000000004</v>
      </c>
      <c r="D853" s="24">
        <v>4.75</v>
      </c>
      <c r="E853" s="24">
        <v>4.5583</v>
      </c>
      <c r="F853" s="24">
        <v>4.5599999999999996</v>
      </c>
      <c r="G853" s="83">
        <f t="shared" si="105"/>
        <v>95.047999239616004</v>
      </c>
      <c r="H853" s="84">
        <f t="shared" si="108"/>
        <v>100.64665829129301</v>
      </c>
      <c r="I853" s="84">
        <f t="shared" si="106"/>
        <v>88.74598878173849</v>
      </c>
      <c r="J853" s="84">
        <f t="shared" si="107"/>
        <v>394109966.16924644</v>
      </c>
      <c r="L853" s="19">
        <f t="shared" si="109"/>
        <v>0</v>
      </c>
      <c r="M853" s="19">
        <f t="shared" si="110"/>
        <v>1.0000000000000675E-2</v>
      </c>
      <c r="N853" s="19">
        <f t="shared" si="110"/>
        <v>4.0000000000000036E-2</v>
      </c>
      <c r="O853" s="19">
        <f t="shared" si="110"/>
        <v>3.3100000000000129E-2</v>
      </c>
      <c r="P853" s="19">
        <f t="shared" si="110"/>
        <v>2.9999999999999361E-2</v>
      </c>
      <c r="R853" s="19"/>
      <c r="S853" s="19"/>
      <c r="T853" s="19"/>
      <c r="U853" s="19"/>
      <c r="V853" s="19"/>
    </row>
    <row r="854" spans="1:22" x14ac:dyDescent="0.2">
      <c r="A854" s="8">
        <v>45441</v>
      </c>
      <c r="B854" s="24">
        <v>5.22</v>
      </c>
      <c r="C854" s="24">
        <v>4.96</v>
      </c>
      <c r="D854" s="24">
        <v>4.79</v>
      </c>
      <c r="E854" s="24">
        <v>4.6203000000000003</v>
      </c>
      <c r="F854" s="24">
        <v>4.63</v>
      </c>
      <c r="G854" s="83">
        <f t="shared" si="105"/>
        <v>95.038965976050179</v>
      </c>
      <c r="H854" s="84">
        <f t="shared" si="108"/>
        <v>100.53990269866998</v>
      </c>
      <c r="I854" s="84">
        <f t="shared" si="106"/>
        <v>88.466512544168452</v>
      </c>
      <c r="J854" s="84">
        <f t="shared" si="107"/>
        <v>393134128.08076924</v>
      </c>
      <c r="L854" s="19">
        <f t="shared" si="109"/>
        <v>9.9999999999997868E-3</v>
      </c>
      <c r="M854" s="19">
        <f t="shared" si="110"/>
        <v>1.9999999999999574E-2</v>
      </c>
      <c r="N854" s="19">
        <f t="shared" si="110"/>
        <v>4.0000000000000036E-2</v>
      </c>
      <c r="O854" s="19">
        <f t="shared" si="110"/>
        <v>6.2000000000000277E-2</v>
      </c>
      <c r="P854" s="19">
        <f t="shared" si="110"/>
        <v>7.0000000000000284E-2</v>
      </c>
      <c r="R854" s="19"/>
      <c r="S854" s="19"/>
      <c r="T854" s="19"/>
      <c r="U854" s="19"/>
      <c r="V854" s="19"/>
    </row>
    <row r="855" spans="1:22" x14ac:dyDescent="0.2">
      <c r="A855" s="8">
        <v>45442</v>
      </c>
      <c r="B855" s="24">
        <v>5.19</v>
      </c>
      <c r="C855" s="24">
        <v>4.92</v>
      </c>
      <c r="D855" s="24">
        <v>4.74</v>
      </c>
      <c r="E855" s="24">
        <v>4.5880000000000001</v>
      </c>
      <c r="F855" s="24">
        <v>4.57</v>
      </c>
      <c r="G855" s="83">
        <f t="shared" si="105"/>
        <v>95.066070919288904</v>
      </c>
      <c r="H855" s="84">
        <f t="shared" si="108"/>
        <v>100.67546142149911</v>
      </c>
      <c r="I855" s="84">
        <f t="shared" si="106"/>
        <v>88.706624307087935</v>
      </c>
      <c r="J855" s="84">
        <f t="shared" si="107"/>
        <v>393945446.93468082</v>
      </c>
      <c r="L855" s="19">
        <f t="shared" si="109"/>
        <v>-2.9999999999999361E-2</v>
      </c>
      <c r="M855" s="19">
        <f t="shared" si="110"/>
        <v>-4.0000000000000036E-2</v>
      </c>
      <c r="N855" s="19">
        <f t="shared" si="110"/>
        <v>-4.9999999999999822E-2</v>
      </c>
      <c r="O855" s="19">
        <f t="shared" si="110"/>
        <v>-3.2300000000000217E-2</v>
      </c>
      <c r="P855" s="19">
        <f t="shared" si="110"/>
        <v>-5.9999999999999609E-2</v>
      </c>
      <c r="R855" s="19"/>
      <c r="S855" s="19"/>
      <c r="T855" s="19"/>
      <c r="U855" s="19"/>
      <c r="V855" s="19"/>
    </row>
    <row r="856" spans="1:22" x14ac:dyDescent="0.2">
      <c r="A856" s="8">
        <v>45443</v>
      </c>
      <c r="B856" s="24">
        <v>5.18</v>
      </c>
      <c r="C856" s="24">
        <v>4.8899999999999997</v>
      </c>
      <c r="D856" s="24">
        <v>4.6900000000000004</v>
      </c>
      <c r="E856" s="24">
        <v>4.5444000000000004</v>
      </c>
      <c r="F856" s="24">
        <v>4.5199999999999996</v>
      </c>
      <c r="G856" s="83">
        <f t="shared" si="105"/>
        <v>95.075109336375732</v>
      </c>
      <c r="H856" s="84">
        <f t="shared" si="108"/>
        <v>100.80950398636537</v>
      </c>
      <c r="I856" s="84">
        <f t="shared" si="106"/>
        <v>88.908438011457918</v>
      </c>
      <c r="J856" s="84">
        <f t="shared" si="107"/>
        <v>394569714.73903507</v>
      </c>
      <c r="L856" s="19">
        <f t="shared" si="109"/>
        <v>-1.0000000000000675E-2</v>
      </c>
      <c r="M856" s="19">
        <f t="shared" si="110"/>
        <v>-3.0000000000000249E-2</v>
      </c>
      <c r="N856" s="19">
        <f t="shared" si="110"/>
        <v>-4.9999999999999822E-2</v>
      </c>
      <c r="O856" s="19">
        <f t="shared" si="110"/>
        <v>-4.3599999999999639E-2</v>
      </c>
      <c r="P856" s="19">
        <f t="shared" si="110"/>
        <v>-5.0000000000000711E-2</v>
      </c>
      <c r="R856" s="19"/>
      <c r="S856" s="19"/>
      <c r="T856" s="19"/>
      <c r="U856" s="19"/>
      <c r="V856" s="19"/>
    </row>
    <row r="857" spans="1:22" x14ac:dyDescent="0.2">
      <c r="A857" s="8">
        <v>45446</v>
      </c>
      <c r="B857" s="24">
        <v>5.14</v>
      </c>
      <c r="C857" s="24">
        <v>4.82</v>
      </c>
      <c r="D857" s="24">
        <v>4.62</v>
      </c>
      <c r="E857" s="24">
        <v>4.4554999999999998</v>
      </c>
      <c r="F857" s="24">
        <v>4.42</v>
      </c>
      <c r="G857" s="83">
        <f t="shared" si="105"/>
        <v>95.111280197831476</v>
      </c>
      <c r="H857" s="84">
        <f t="shared" si="108"/>
        <v>101.001194384485</v>
      </c>
      <c r="I857" s="84">
        <f t="shared" si="106"/>
        <v>89.313101120198837</v>
      </c>
      <c r="J857" s="84">
        <f t="shared" si="107"/>
        <v>395973173.29973078</v>
      </c>
      <c r="L857" s="19">
        <f t="shared" si="109"/>
        <v>-4.0000000000000036E-2</v>
      </c>
      <c r="M857" s="19">
        <f t="shared" si="110"/>
        <v>-6.9999999999999396E-2</v>
      </c>
      <c r="N857" s="19">
        <f t="shared" si="110"/>
        <v>-7.0000000000000284E-2</v>
      </c>
      <c r="O857" s="19">
        <f t="shared" si="110"/>
        <v>-8.8900000000000645E-2</v>
      </c>
      <c r="P857" s="19">
        <f t="shared" si="110"/>
        <v>-9.9999999999999645E-2</v>
      </c>
      <c r="R857" s="19"/>
      <c r="S857" s="19"/>
      <c r="T857" s="19"/>
      <c r="U857" s="19"/>
      <c r="V857" s="19"/>
    </row>
    <row r="858" spans="1:22" x14ac:dyDescent="0.2">
      <c r="A858" s="8">
        <v>45447</v>
      </c>
      <c r="B858" s="24">
        <v>5.1100000000000003</v>
      </c>
      <c r="C858" s="24">
        <v>4.7699999999999996</v>
      </c>
      <c r="D858" s="24">
        <v>4.55</v>
      </c>
      <c r="E858" s="24">
        <v>4.3827999999999996</v>
      </c>
      <c r="F858" s="24">
        <v>4.3499999999999996</v>
      </c>
      <c r="G858" s="83">
        <f t="shared" si="105"/>
        <v>95.138426410427172</v>
      </c>
      <c r="H858" s="84">
        <f t="shared" si="108"/>
        <v>101.19119874968121</v>
      </c>
      <c r="I858" s="84">
        <f t="shared" si="106"/>
        <v>89.599533647297719</v>
      </c>
      <c r="J858" s="84">
        <f t="shared" si="107"/>
        <v>396888189.28552341</v>
      </c>
      <c r="L858" s="19">
        <f t="shared" si="109"/>
        <v>-2.9999999999999361E-2</v>
      </c>
      <c r="M858" s="19">
        <f t="shared" si="110"/>
        <v>-5.0000000000000711E-2</v>
      </c>
      <c r="N858" s="19">
        <f t="shared" si="110"/>
        <v>-7.0000000000000284E-2</v>
      </c>
      <c r="O858" s="19">
        <f t="shared" si="110"/>
        <v>-7.2700000000000209E-2</v>
      </c>
      <c r="P858" s="19">
        <f t="shared" si="110"/>
        <v>-7.0000000000000284E-2</v>
      </c>
      <c r="R858" s="19"/>
      <c r="S858" s="19"/>
      <c r="T858" s="19"/>
      <c r="U858" s="19"/>
      <c r="V858" s="19"/>
    </row>
    <row r="859" spans="1:22" x14ac:dyDescent="0.2">
      <c r="A859" s="8">
        <v>45448</v>
      </c>
      <c r="B859" s="24">
        <v>5.08</v>
      </c>
      <c r="C859" s="24">
        <v>4.72</v>
      </c>
      <c r="D859" s="24">
        <v>4.5</v>
      </c>
      <c r="E859" s="24">
        <v>4.3358999999999996</v>
      </c>
      <c r="F859" s="24">
        <v>4.3099999999999996</v>
      </c>
      <c r="G859" s="83">
        <f t="shared" si="105"/>
        <v>95.165588123334601</v>
      </c>
      <c r="H859" s="84">
        <f t="shared" si="108"/>
        <v>101.32885477194205</v>
      </c>
      <c r="I859" s="84">
        <f t="shared" si="106"/>
        <v>89.765550171323255</v>
      </c>
      <c r="J859" s="84">
        <f t="shared" si="107"/>
        <v>397400094.77404916</v>
      </c>
      <c r="L859" s="19">
        <f t="shared" si="109"/>
        <v>-3.0000000000000249E-2</v>
      </c>
      <c r="M859" s="19">
        <f t="shared" si="110"/>
        <v>-4.9999999999999822E-2</v>
      </c>
      <c r="N859" s="19">
        <f t="shared" si="110"/>
        <v>-4.9999999999999822E-2</v>
      </c>
      <c r="O859" s="19">
        <f t="shared" si="110"/>
        <v>-4.6899999999999942E-2</v>
      </c>
      <c r="P859" s="19">
        <f t="shared" si="110"/>
        <v>-4.0000000000000036E-2</v>
      </c>
      <c r="R859" s="19"/>
      <c r="S859" s="19"/>
      <c r="T859" s="19"/>
      <c r="U859" s="19"/>
      <c r="V859" s="19"/>
    </row>
    <row r="860" spans="1:22" x14ac:dyDescent="0.2">
      <c r="A860" s="8">
        <v>45449</v>
      </c>
      <c r="B860" s="24">
        <v>5.08</v>
      </c>
      <c r="C860" s="24">
        <v>4.72</v>
      </c>
      <c r="D860" s="24">
        <v>4.49</v>
      </c>
      <c r="E860" s="24">
        <v>4.3120000000000003</v>
      </c>
      <c r="F860" s="24">
        <v>4.29</v>
      </c>
      <c r="G860" s="83">
        <f t="shared" si="105"/>
        <v>95.165588123334601</v>
      </c>
      <c r="H860" s="84">
        <f t="shared" si="108"/>
        <v>101.35527451051323</v>
      </c>
      <c r="I860" s="84">
        <f t="shared" si="106"/>
        <v>89.846831536701657</v>
      </c>
      <c r="J860" s="84">
        <f t="shared" si="107"/>
        <v>397685590.62770605</v>
      </c>
      <c r="L860" s="19">
        <f t="shared" si="109"/>
        <v>0</v>
      </c>
      <c r="M860" s="19">
        <f t="shared" si="110"/>
        <v>0</v>
      </c>
      <c r="N860" s="19">
        <f t="shared" si="110"/>
        <v>-9.9999999999997868E-3</v>
      </c>
      <c r="O860" s="19">
        <f t="shared" si="110"/>
        <v>-2.3899999999999366E-2</v>
      </c>
      <c r="P860" s="19">
        <f t="shared" si="110"/>
        <v>-1.9999999999999574E-2</v>
      </c>
      <c r="R860" s="19"/>
      <c r="S860" s="19"/>
      <c r="T860" s="19"/>
      <c r="U860" s="19"/>
      <c r="V860" s="19"/>
    </row>
    <row r="861" spans="1:22" x14ac:dyDescent="0.2">
      <c r="A861" s="8">
        <v>45450</v>
      </c>
      <c r="B861" s="24">
        <v>5.17</v>
      </c>
      <c r="C861" s="24">
        <v>4.87</v>
      </c>
      <c r="D861" s="24">
        <v>4.6500000000000004</v>
      </c>
      <c r="E861" s="24">
        <v>4.4283000000000001</v>
      </c>
      <c r="F861" s="24">
        <v>4.46</v>
      </c>
      <c r="G861" s="83">
        <f t="shared" si="105"/>
        <v>95.084149472282959</v>
      </c>
      <c r="H861" s="84">
        <f t="shared" si="108"/>
        <v>100.91666359456747</v>
      </c>
      <c r="I861" s="84">
        <f t="shared" si="106"/>
        <v>89.153881001387319</v>
      </c>
      <c r="J861" s="84">
        <f t="shared" si="107"/>
        <v>395408827.55826402</v>
      </c>
      <c r="L861" s="19">
        <f t="shared" si="109"/>
        <v>8.9999999999999858E-2</v>
      </c>
      <c r="M861" s="19">
        <f t="shared" si="110"/>
        <v>0.15000000000000036</v>
      </c>
      <c r="N861" s="19">
        <f t="shared" si="110"/>
        <v>0.16000000000000014</v>
      </c>
      <c r="O861" s="19">
        <f t="shared" si="110"/>
        <v>0.11629999999999985</v>
      </c>
      <c r="P861" s="19">
        <f t="shared" si="110"/>
        <v>0.16999999999999993</v>
      </c>
      <c r="R861" s="19"/>
      <c r="S861" s="19"/>
      <c r="T861" s="19"/>
      <c r="U861" s="19"/>
      <c r="V861" s="19"/>
    </row>
    <row r="862" spans="1:22" x14ac:dyDescent="0.2">
      <c r="A862" s="8">
        <v>45453</v>
      </c>
      <c r="B862" s="24">
        <v>5.16</v>
      </c>
      <c r="C862" s="24">
        <v>4.87</v>
      </c>
      <c r="D862" s="24">
        <v>4.62</v>
      </c>
      <c r="E862" s="24">
        <v>4.4790000000000001</v>
      </c>
      <c r="F862" s="24">
        <v>4.4800000000000004</v>
      </c>
      <c r="G862" s="83">
        <f t="shared" si="105"/>
        <v>95.093191327500946</v>
      </c>
      <c r="H862" s="84">
        <f t="shared" si="108"/>
        <v>100.99595156803805</v>
      </c>
      <c r="I862" s="84">
        <f t="shared" si="106"/>
        <v>89.073841083738657</v>
      </c>
      <c r="J862" s="84">
        <f t="shared" si="107"/>
        <v>394987819.6378994</v>
      </c>
      <c r="L862" s="19">
        <f t="shared" si="109"/>
        <v>-9.9999999999997868E-3</v>
      </c>
      <c r="M862" s="19">
        <f t="shared" si="110"/>
        <v>0</v>
      </c>
      <c r="N862" s="19">
        <f t="shared" si="110"/>
        <v>-3.0000000000000249E-2</v>
      </c>
      <c r="O862" s="19">
        <f t="shared" si="110"/>
        <v>5.0699999999999967E-2</v>
      </c>
      <c r="P862" s="19">
        <f t="shared" si="110"/>
        <v>2.0000000000000462E-2</v>
      </c>
      <c r="R862" s="19"/>
      <c r="S862" s="19"/>
      <c r="T862" s="19"/>
      <c r="U862" s="19"/>
      <c r="V862" s="19"/>
    </row>
    <row r="863" spans="1:22" x14ac:dyDescent="0.2">
      <c r="A863" s="8">
        <v>45454</v>
      </c>
      <c r="B863" s="24">
        <v>5.17</v>
      </c>
      <c r="C863" s="24">
        <v>4.8099999999999996</v>
      </c>
      <c r="D863" s="24">
        <v>4.57</v>
      </c>
      <c r="E863" s="24">
        <v>4.4313000000000002</v>
      </c>
      <c r="F863" s="24">
        <v>4.41</v>
      </c>
      <c r="G863" s="83">
        <f t="shared" si="105"/>
        <v>95.084149472282959</v>
      </c>
      <c r="H863" s="84">
        <f t="shared" si="108"/>
        <v>101.13230052720444</v>
      </c>
      <c r="I863" s="84">
        <f t="shared" si="106"/>
        <v>89.356324547757424</v>
      </c>
      <c r="J863" s="84">
        <f t="shared" si="107"/>
        <v>395895146.34478891</v>
      </c>
      <c r="L863" s="19">
        <f t="shared" si="109"/>
        <v>9.9999999999997868E-3</v>
      </c>
      <c r="M863" s="19">
        <f t="shared" si="110"/>
        <v>-6.0000000000000497E-2</v>
      </c>
      <c r="N863" s="19">
        <f t="shared" si="110"/>
        <v>-4.9999999999999822E-2</v>
      </c>
      <c r="O863" s="19">
        <f t="shared" si="110"/>
        <v>-4.7699999999999854E-2</v>
      </c>
      <c r="P863" s="19">
        <f t="shared" si="110"/>
        <v>-7.0000000000000284E-2</v>
      </c>
      <c r="R863" s="19"/>
      <c r="S863" s="19"/>
      <c r="T863" s="19"/>
      <c r="U863" s="19"/>
      <c r="V863" s="19"/>
    </row>
    <row r="864" spans="1:22" x14ac:dyDescent="0.2">
      <c r="A864" s="8">
        <v>45455</v>
      </c>
      <c r="B864" s="24">
        <v>5.13</v>
      </c>
      <c r="C864" s="24">
        <v>4.75</v>
      </c>
      <c r="D864" s="24">
        <v>4.4800000000000004</v>
      </c>
      <c r="E864" s="24">
        <v>4.3590999999999998</v>
      </c>
      <c r="F864" s="24">
        <v>4.32</v>
      </c>
      <c r="G864" s="83">
        <f t="shared" si="105"/>
        <v>95.12032721392562</v>
      </c>
      <c r="H864" s="84">
        <f t="shared" si="108"/>
        <v>101.37683008551997</v>
      </c>
      <c r="I864" s="84">
        <f t="shared" si="106"/>
        <v>89.723525594866643</v>
      </c>
      <c r="J864" s="84">
        <f t="shared" si="107"/>
        <v>397069511.67903787</v>
      </c>
      <c r="L864" s="19">
        <f t="shared" si="109"/>
        <v>-4.0000000000000036E-2</v>
      </c>
      <c r="M864" s="19">
        <f t="shared" si="110"/>
        <v>-5.9999999999999609E-2</v>
      </c>
      <c r="N864" s="19">
        <f t="shared" si="110"/>
        <v>-8.9999999999999858E-2</v>
      </c>
      <c r="O864" s="19">
        <f t="shared" si="110"/>
        <v>-7.2200000000000486E-2</v>
      </c>
      <c r="P864" s="19">
        <f t="shared" si="110"/>
        <v>-8.9999999999999858E-2</v>
      </c>
      <c r="R864" s="19"/>
      <c r="S864" s="19"/>
      <c r="T864" s="19"/>
      <c r="U864" s="19"/>
      <c r="V864" s="19"/>
    </row>
    <row r="865" spans="1:22" x14ac:dyDescent="0.2">
      <c r="A865" s="8">
        <v>45456</v>
      </c>
      <c r="B865" s="24">
        <v>5.07</v>
      </c>
      <c r="C865" s="24">
        <v>4.68</v>
      </c>
      <c r="D865" s="24">
        <v>4.42</v>
      </c>
      <c r="E865" s="24">
        <v>4.2834000000000003</v>
      </c>
      <c r="F865" s="24">
        <v>4.24</v>
      </c>
      <c r="G865" s="83">
        <f t="shared" si="105"/>
        <v>95.174645474445612</v>
      </c>
      <c r="H865" s="84">
        <f t="shared" si="108"/>
        <v>101.54443419762892</v>
      </c>
      <c r="I865" s="84">
        <f t="shared" si="106"/>
        <v>90.052265143779408</v>
      </c>
      <c r="J865" s="84">
        <f t="shared" si="107"/>
        <v>398241700.22756553</v>
      </c>
      <c r="L865" s="19">
        <f t="shared" si="109"/>
        <v>-5.9999999999999609E-2</v>
      </c>
      <c r="M865" s="19">
        <f t="shared" si="110"/>
        <v>-7.0000000000000284E-2</v>
      </c>
      <c r="N865" s="19">
        <f t="shared" si="110"/>
        <v>-6.0000000000000497E-2</v>
      </c>
      <c r="O865" s="19">
        <f t="shared" si="110"/>
        <v>-7.5699999999999434E-2</v>
      </c>
      <c r="P865" s="19">
        <f t="shared" si="110"/>
        <v>-8.0000000000000071E-2</v>
      </c>
      <c r="R865" s="19"/>
      <c r="S865" s="19"/>
      <c r="T865" s="19"/>
      <c r="U865" s="19"/>
      <c r="V865" s="19"/>
    </row>
    <row r="866" spans="1:22" x14ac:dyDescent="0.2">
      <c r="A866" s="8">
        <v>45457</v>
      </c>
      <c r="B866" s="24">
        <v>5.07</v>
      </c>
      <c r="C866" s="24">
        <v>4.67</v>
      </c>
      <c r="D866" s="24">
        <v>4.41</v>
      </c>
      <c r="E866" s="24">
        <v>4.2571000000000003</v>
      </c>
      <c r="F866" s="24">
        <v>4.22</v>
      </c>
      <c r="G866" s="83">
        <f t="shared" si="105"/>
        <v>95.174645474445612</v>
      </c>
      <c r="H866" s="84">
        <f t="shared" si="108"/>
        <v>101.57180690657491</v>
      </c>
      <c r="I866" s="84">
        <f t="shared" si="106"/>
        <v>90.134376381894796</v>
      </c>
      <c r="J866" s="84">
        <f t="shared" si="107"/>
        <v>398529086.11660802</v>
      </c>
      <c r="L866" s="19">
        <f t="shared" si="109"/>
        <v>0</v>
      </c>
      <c r="M866" s="19">
        <f t="shared" si="110"/>
        <v>-9.9999999999997868E-3</v>
      </c>
      <c r="N866" s="19">
        <f t="shared" si="110"/>
        <v>-9.9999999999997868E-3</v>
      </c>
      <c r="O866" s="19">
        <f t="shared" si="110"/>
        <v>-2.629999999999999E-2</v>
      </c>
      <c r="P866" s="19">
        <f t="shared" si="110"/>
        <v>-2.0000000000000462E-2</v>
      </c>
      <c r="R866" s="19"/>
      <c r="S866" s="19"/>
      <c r="T866" s="19"/>
      <c r="U866" s="19"/>
      <c r="V866" s="19"/>
    </row>
    <row r="867" spans="1:22" x14ac:dyDescent="0.2">
      <c r="A867" s="8">
        <v>45460</v>
      </c>
      <c r="B867" s="24">
        <v>5.1100000000000003</v>
      </c>
      <c r="C867" s="24">
        <v>4.75</v>
      </c>
      <c r="D867" s="24">
        <v>4.5</v>
      </c>
      <c r="E867" s="24">
        <v>4.3028000000000004</v>
      </c>
      <c r="F867" s="24">
        <v>4.3</v>
      </c>
      <c r="G867" s="83">
        <f t="shared" si="105"/>
        <v>95.138426410427172</v>
      </c>
      <c r="H867" s="84">
        <f t="shared" si="108"/>
        <v>101.32488545248013</v>
      </c>
      <c r="I867" s="84">
        <f t="shared" si="106"/>
        <v>89.805709829838207</v>
      </c>
      <c r="J867" s="84">
        <f t="shared" si="107"/>
        <v>397512363.96148694</v>
      </c>
      <c r="L867" s="19">
        <f t="shared" si="109"/>
        <v>4.0000000000000036E-2</v>
      </c>
      <c r="M867" s="19">
        <f t="shared" si="110"/>
        <v>8.0000000000000071E-2</v>
      </c>
      <c r="N867" s="19">
        <f t="shared" si="110"/>
        <v>8.9999999999999858E-2</v>
      </c>
      <c r="O867" s="19">
        <f t="shared" si="110"/>
        <v>4.5700000000000074E-2</v>
      </c>
      <c r="P867" s="19">
        <f t="shared" si="110"/>
        <v>8.0000000000000071E-2</v>
      </c>
      <c r="R867" s="19"/>
      <c r="S867" s="19"/>
      <c r="T867" s="19"/>
      <c r="U867" s="19"/>
      <c r="V867" s="19"/>
    </row>
    <row r="868" spans="1:22" x14ac:dyDescent="0.2">
      <c r="A868" s="8">
        <v>45461</v>
      </c>
      <c r="B868" s="24">
        <v>5.09</v>
      </c>
      <c r="C868" s="24">
        <v>4.6900000000000004</v>
      </c>
      <c r="D868" s="24">
        <v>4.43</v>
      </c>
      <c r="E868" s="24">
        <v>4.2682000000000002</v>
      </c>
      <c r="F868" s="24">
        <v>4.24</v>
      </c>
      <c r="G868" s="83">
        <f t="shared" si="105"/>
        <v>95.156532495955858</v>
      </c>
      <c r="H868" s="84">
        <f t="shared" si="108"/>
        <v>101.51616623927544</v>
      </c>
      <c r="I868" s="84">
        <f t="shared" si="106"/>
        <v>90.052035952456492</v>
      </c>
      <c r="J868" s="84">
        <f t="shared" si="107"/>
        <v>398246959.44282448</v>
      </c>
      <c r="L868" s="19">
        <f t="shared" si="109"/>
        <v>-2.0000000000000462E-2</v>
      </c>
      <c r="M868" s="19">
        <f t="shared" si="110"/>
        <v>-5.9999999999999609E-2</v>
      </c>
      <c r="N868" s="19">
        <f t="shared" si="110"/>
        <v>-7.0000000000000284E-2</v>
      </c>
      <c r="O868" s="19">
        <f t="shared" si="110"/>
        <v>-3.4600000000000186E-2</v>
      </c>
      <c r="P868" s="19">
        <f t="shared" si="110"/>
        <v>-5.9999999999999609E-2</v>
      </c>
      <c r="R868" s="19"/>
      <c r="S868" s="19"/>
      <c r="T868" s="19"/>
      <c r="U868" s="19"/>
      <c r="V868" s="19"/>
    </row>
    <row r="869" spans="1:22" x14ac:dyDescent="0.2">
      <c r="A869" s="8">
        <v>45463</v>
      </c>
      <c r="B869" s="24">
        <v>5.0999999999999996</v>
      </c>
      <c r="C869" s="24">
        <v>4.7</v>
      </c>
      <c r="D869" s="24">
        <v>4.45</v>
      </c>
      <c r="E869" s="24">
        <v>4.2805</v>
      </c>
      <c r="F869" s="24">
        <v>4.26</v>
      </c>
      <c r="G869" s="83">
        <f t="shared" si="105"/>
        <v>95.147478591817318</v>
      </c>
      <c r="H869" s="84">
        <f t="shared" si="108"/>
        <v>101.46189126357152</v>
      </c>
      <c r="I869" s="84">
        <f t="shared" si="106"/>
        <v>89.970240397893264</v>
      </c>
      <c r="J869" s="84">
        <f t="shared" si="107"/>
        <v>397983081.87985039</v>
      </c>
      <c r="L869" s="19">
        <f t="shared" si="109"/>
        <v>9.9999999999997868E-3</v>
      </c>
      <c r="M869" s="19">
        <f t="shared" si="110"/>
        <v>9.9999999999997868E-3</v>
      </c>
      <c r="N869" s="19">
        <f t="shared" si="110"/>
        <v>2.0000000000000462E-2</v>
      </c>
      <c r="O869" s="19">
        <f t="shared" si="110"/>
        <v>1.2299999999999756E-2</v>
      </c>
      <c r="P869" s="19">
        <f t="shared" si="110"/>
        <v>1.9999999999999574E-2</v>
      </c>
      <c r="R869" s="19"/>
      <c r="S869" s="19"/>
      <c r="T869" s="19"/>
      <c r="U869" s="19"/>
      <c r="V869" s="19"/>
    </row>
    <row r="870" spans="1:22" x14ac:dyDescent="0.2">
      <c r="A870" s="8">
        <v>45464</v>
      </c>
      <c r="B870" s="24">
        <v>5.0999999999999996</v>
      </c>
      <c r="C870" s="24">
        <v>4.7</v>
      </c>
      <c r="D870" s="24">
        <v>4.45</v>
      </c>
      <c r="E870" s="24">
        <v>4.2831999999999999</v>
      </c>
      <c r="F870" s="24">
        <v>4.26</v>
      </c>
      <c r="G870" s="83">
        <f t="shared" si="105"/>
        <v>95.147478591817318</v>
      </c>
      <c r="H870" s="84">
        <f t="shared" si="108"/>
        <v>101.46189126357152</v>
      </c>
      <c r="I870" s="84">
        <f t="shared" si="106"/>
        <v>89.970065247903634</v>
      </c>
      <c r="J870" s="84">
        <f t="shared" si="107"/>
        <v>397982381.27989185</v>
      </c>
      <c r="L870" s="19">
        <f t="shared" si="109"/>
        <v>0</v>
      </c>
      <c r="M870" s="19">
        <f t="shared" si="110"/>
        <v>0</v>
      </c>
      <c r="N870" s="19">
        <f t="shared" si="110"/>
        <v>0</v>
      </c>
      <c r="O870" s="19">
        <f t="shared" si="110"/>
        <v>2.6999999999999247E-3</v>
      </c>
      <c r="P870" s="19">
        <f t="shared" si="110"/>
        <v>0</v>
      </c>
      <c r="R870" s="19"/>
      <c r="S870" s="19"/>
      <c r="T870" s="19"/>
      <c r="U870" s="19"/>
      <c r="V870" s="19"/>
    </row>
    <row r="871" spans="1:22" x14ac:dyDescent="0.2">
      <c r="A871" s="8">
        <v>45467</v>
      </c>
      <c r="B871" s="24">
        <v>5.0999999999999996</v>
      </c>
      <c r="C871" s="24">
        <v>4.71</v>
      </c>
      <c r="D871" s="24">
        <v>4.46</v>
      </c>
      <c r="E871" s="24">
        <v>4.2851999999999997</v>
      </c>
      <c r="F871" s="24">
        <v>4.2699999999999996</v>
      </c>
      <c r="G871" s="83">
        <f t="shared" si="105"/>
        <v>95.147478591817318</v>
      </c>
      <c r="H871" s="84">
        <f t="shared" si="108"/>
        <v>101.43455987342391</v>
      </c>
      <c r="I871" s="84">
        <f t="shared" si="106"/>
        <v>89.92938777098793</v>
      </c>
      <c r="J871" s="84">
        <f t="shared" si="107"/>
        <v>397860668.45745051</v>
      </c>
      <c r="L871" s="19">
        <f t="shared" si="109"/>
        <v>0</v>
      </c>
      <c r="M871" s="19">
        <f t="shared" si="110"/>
        <v>9.9999999999997868E-3</v>
      </c>
      <c r="N871" s="19">
        <f t="shared" si="110"/>
        <v>9.9999999999997868E-3</v>
      </c>
      <c r="O871" s="19">
        <f t="shared" si="110"/>
        <v>1.9999999999997797E-3</v>
      </c>
      <c r="P871" s="19">
        <f t="shared" si="110"/>
        <v>9.9999999999997868E-3</v>
      </c>
      <c r="R871" s="19"/>
      <c r="S871" s="19"/>
      <c r="T871" s="19"/>
      <c r="U871" s="19"/>
      <c r="V871" s="19"/>
    </row>
    <row r="872" spans="1:22" x14ac:dyDescent="0.2">
      <c r="A872" s="8">
        <v>45468</v>
      </c>
      <c r="B872" s="24">
        <v>5.0999999999999996</v>
      </c>
      <c r="C872" s="24">
        <v>4.6500000000000004</v>
      </c>
      <c r="D872" s="24">
        <v>4.45</v>
      </c>
      <c r="E872" s="24">
        <v>4.2770999999999999</v>
      </c>
      <c r="F872" s="24">
        <v>4.25</v>
      </c>
      <c r="G872" s="83">
        <f t="shared" si="105"/>
        <v>95.147478591817318</v>
      </c>
      <c r="H872" s="84">
        <f t="shared" si="108"/>
        <v>101.4662508083738</v>
      </c>
      <c r="I872" s="84">
        <f t="shared" si="106"/>
        <v>90.011922940466576</v>
      </c>
      <c r="J872" s="84">
        <f t="shared" si="107"/>
        <v>398143272.73294026</v>
      </c>
      <c r="L872" s="19">
        <f t="shared" si="109"/>
        <v>0</v>
      </c>
      <c r="M872" s="19">
        <f t="shared" si="110"/>
        <v>-5.9999999999999609E-2</v>
      </c>
      <c r="N872" s="19">
        <f t="shared" si="110"/>
        <v>-9.9999999999997868E-3</v>
      </c>
      <c r="O872" s="19">
        <f t="shared" si="110"/>
        <v>-8.099999999999774E-3</v>
      </c>
      <c r="P872" s="19">
        <f t="shared" si="110"/>
        <v>-1.9999999999999574E-2</v>
      </c>
      <c r="R872" s="19"/>
      <c r="S872" s="19"/>
      <c r="T872" s="19"/>
      <c r="U872" s="19"/>
      <c r="V872" s="19"/>
    </row>
    <row r="873" spans="1:22" x14ac:dyDescent="0.2">
      <c r="A873" s="8">
        <v>45469</v>
      </c>
      <c r="B873" s="24">
        <v>5.13</v>
      </c>
      <c r="C873" s="24">
        <v>4.71</v>
      </c>
      <c r="D873" s="24">
        <v>4.53</v>
      </c>
      <c r="E873" s="24">
        <v>4.3364000000000003</v>
      </c>
      <c r="F873" s="24">
        <v>4.32</v>
      </c>
      <c r="G873" s="83">
        <f t="shared" si="105"/>
        <v>95.12032721392562</v>
      </c>
      <c r="H873" s="84">
        <f t="shared" si="108"/>
        <v>101.24826406678318</v>
      </c>
      <c r="I873" s="84">
        <f t="shared" si="106"/>
        <v>89.723871162688056</v>
      </c>
      <c r="J873" s="84">
        <f t="shared" si="107"/>
        <v>397263742.97842872</v>
      </c>
      <c r="L873" s="19">
        <f t="shared" si="109"/>
        <v>3.0000000000000249E-2</v>
      </c>
      <c r="M873" s="19">
        <f t="shared" si="110"/>
        <v>5.9999999999999609E-2</v>
      </c>
      <c r="N873" s="19">
        <f t="shared" si="110"/>
        <v>8.0000000000000071E-2</v>
      </c>
      <c r="O873" s="19">
        <f t="shared" si="110"/>
        <v>5.9300000000000352E-2</v>
      </c>
      <c r="P873" s="19">
        <f t="shared" si="110"/>
        <v>7.0000000000000284E-2</v>
      </c>
      <c r="R873" s="19"/>
      <c r="S873" s="19"/>
      <c r="T873" s="19"/>
      <c r="U873" s="19"/>
      <c r="V873" s="19"/>
    </row>
    <row r="874" spans="1:22" x14ac:dyDescent="0.2">
      <c r="A874" s="8">
        <v>45470</v>
      </c>
      <c r="B874" s="24">
        <v>5.0999999999999996</v>
      </c>
      <c r="C874" s="24">
        <v>4.7</v>
      </c>
      <c r="D874" s="24">
        <v>4.49</v>
      </c>
      <c r="E874" s="24">
        <v>4.3232999999999997</v>
      </c>
      <c r="F874" s="24">
        <v>4.29</v>
      </c>
      <c r="G874" s="83">
        <f t="shared" si="105"/>
        <v>95.147478591817318</v>
      </c>
      <c r="H874" s="84">
        <f t="shared" si="108"/>
        <v>101.35611110362824</v>
      </c>
      <c r="I874" s="84">
        <f t="shared" si="106"/>
        <v>89.846434395757171</v>
      </c>
      <c r="J874" s="84">
        <f t="shared" si="107"/>
        <v>397646528.11122096</v>
      </c>
      <c r="L874" s="19">
        <f t="shared" si="109"/>
        <v>-3.0000000000000249E-2</v>
      </c>
      <c r="M874" s="19">
        <f t="shared" si="110"/>
        <v>-9.9999999999997868E-3</v>
      </c>
      <c r="N874" s="19">
        <f t="shared" si="110"/>
        <v>-4.0000000000000036E-2</v>
      </c>
      <c r="O874" s="19">
        <f t="shared" si="110"/>
        <v>-1.3100000000000556E-2</v>
      </c>
      <c r="P874" s="19">
        <f t="shared" si="110"/>
        <v>-3.0000000000000249E-2</v>
      </c>
      <c r="R874" s="19"/>
      <c r="S874" s="19"/>
      <c r="T874" s="19"/>
      <c r="U874" s="19"/>
      <c r="V874" s="19"/>
    </row>
    <row r="875" spans="1:22" x14ac:dyDescent="0.2">
      <c r="A875" s="8">
        <v>45471</v>
      </c>
      <c r="B875" s="24">
        <v>5.09</v>
      </c>
      <c r="C875" s="24">
        <v>4.71</v>
      </c>
      <c r="D875" s="24">
        <v>4.5199999999999996</v>
      </c>
      <c r="E875" s="24">
        <v>4.3502000000000001</v>
      </c>
      <c r="F875" s="24">
        <v>4.33</v>
      </c>
      <c r="G875" s="83">
        <f t="shared" si="105"/>
        <v>95.156532495955858</v>
      </c>
      <c r="H875" s="84">
        <f t="shared" si="108"/>
        <v>101.27646375131191</v>
      </c>
      <c r="I875" s="84">
        <f t="shared" si="106"/>
        <v>89.68464684515132</v>
      </c>
      <c r="J875" s="84">
        <f t="shared" si="107"/>
        <v>397136956.74554908</v>
      </c>
      <c r="L875" s="19">
        <f t="shared" si="109"/>
        <v>-9.9999999999997868E-3</v>
      </c>
      <c r="M875" s="19">
        <f t="shared" si="110"/>
        <v>9.9999999999997868E-3</v>
      </c>
      <c r="N875" s="19">
        <f t="shared" si="110"/>
        <v>2.9999999999999361E-2</v>
      </c>
      <c r="O875" s="19">
        <f t="shared" si="110"/>
        <v>2.6900000000000368E-2</v>
      </c>
      <c r="P875" s="19">
        <f t="shared" si="110"/>
        <v>4.0000000000000036E-2</v>
      </c>
      <c r="R875" s="19"/>
      <c r="S875" s="19"/>
      <c r="T875" s="19"/>
      <c r="U875" s="19"/>
      <c r="V875" s="19"/>
    </row>
    <row r="876" spans="1:22" x14ac:dyDescent="0.2">
      <c r="A876" s="8">
        <v>45474</v>
      </c>
      <c r="B876" s="24">
        <v>5.0999999999999996</v>
      </c>
      <c r="C876" s="24">
        <v>4.7699999999999996</v>
      </c>
      <c r="D876" s="24">
        <v>4.58</v>
      </c>
      <c r="E876" s="24">
        <v>4.4292999999999996</v>
      </c>
      <c r="F876" s="24">
        <v>4.4400000000000004</v>
      </c>
      <c r="G876" s="83">
        <f t="shared" si="105"/>
        <v>95.147478591817318</v>
      </c>
      <c r="H876" s="84">
        <f t="shared" si="108"/>
        <v>101.1126041623701</v>
      </c>
      <c r="I876" s="84">
        <f t="shared" si="106"/>
        <v>89.240613455044752</v>
      </c>
      <c r="J876" s="84">
        <f t="shared" si="107"/>
        <v>395588504.76025844</v>
      </c>
      <c r="L876" s="19">
        <f t="shared" si="109"/>
        <v>9.9999999999997868E-3</v>
      </c>
      <c r="M876" s="19">
        <f t="shared" si="110"/>
        <v>5.9999999999999609E-2</v>
      </c>
      <c r="N876" s="19">
        <f t="shared" si="110"/>
        <v>6.0000000000000497E-2</v>
      </c>
      <c r="O876" s="19">
        <f t="shared" si="110"/>
        <v>7.9099999999999504E-2</v>
      </c>
      <c r="P876" s="19">
        <f t="shared" si="110"/>
        <v>0.11000000000000032</v>
      </c>
      <c r="R876" s="19"/>
      <c r="S876" s="19"/>
      <c r="T876" s="19"/>
      <c r="U876" s="19"/>
      <c r="V876" s="19"/>
    </row>
    <row r="877" spans="1:22" x14ac:dyDescent="0.2">
      <c r="A877" s="8">
        <v>45475</v>
      </c>
      <c r="B877" s="24">
        <v>5.07</v>
      </c>
      <c r="C877" s="24">
        <v>4.74</v>
      </c>
      <c r="D877" s="24">
        <v>4.54</v>
      </c>
      <c r="E877" s="24">
        <v>4.4062999999999999</v>
      </c>
      <c r="F877" s="24">
        <v>4.3899999999999997</v>
      </c>
      <c r="G877" s="83">
        <f t="shared" si="105"/>
        <v>95.174645474445612</v>
      </c>
      <c r="H877" s="84">
        <f t="shared" si="108"/>
        <v>101.22198867385065</v>
      </c>
      <c r="I877" s="84">
        <f t="shared" si="106"/>
        <v>89.442462814104402</v>
      </c>
      <c r="J877" s="84">
        <f t="shared" si="107"/>
        <v>396286159.19453287</v>
      </c>
      <c r="L877" s="19">
        <f t="shared" si="109"/>
        <v>-2.9999999999999361E-2</v>
      </c>
      <c r="M877" s="19">
        <f t="shared" si="110"/>
        <v>-2.9999999999999361E-2</v>
      </c>
      <c r="N877" s="19">
        <f t="shared" si="110"/>
        <v>-4.0000000000000036E-2</v>
      </c>
      <c r="O877" s="19">
        <f t="shared" si="110"/>
        <v>-2.2999999999999687E-2</v>
      </c>
      <c r="P877" s="19">
        <f t="shared" si="110"/>
        <v>-5.0000000000000711E-2</v>
      </c>
      <c r="R877" s="19"/>
      <c r="S877" s="19"/>
      <c r="T877" s="19"/>
      <c r="U877" s="19"/>
      <c r="V877" s="19"/>
    </row>
    <row r="878" spans="1:22" x14ac:dyDescent="0.2">
      <c r="A878" s="8">
        <v>45476</v>
      </c>
      <c r="B878" s="24">
        <v>5.04</v>
      </c>
      <c r="C878" s="24">
        <v>4.71</v>
      </c>
      <c r="D878" s="24">
        <v>4.4800000000000004</v>
      </c>
      <c r="E878" s="24">
        <v>4.3558000000000003</v>
      </c>
      <c r="F878" s="24">
        <v>4.33</v>
      </c>
      <c r="G878" s="83">
        <f t="shared" si="105"/>
        <v>95.201827875095205</v>
      </c>
      <c r="H878" s="84">
        <f t="shared" si="108"/>
        <v>101.38438726246225</v>
      </c>
      <c r="I878" s="84">
        <f t="shared" si="106"/>
        <v>89.687203262901491</v>
      </c>
      <c r="J878" s="84">
        <f t="shared" si="107"/>
        <v>397075887.90810299</v>
      </c>
      <c r="L878" s="19">
        <f t="shared" si="109"/>
        <v>-3.0000000000000249E-2</v>
      </c>
      <c r="M878" s="19">
        <f t="shared" si="110"/>
        <v>-3.0000000000000249E-2</v>
      </c>
      <c r="N878" s="19">
        <f t="shared" si="110"/>
        <v>-5.9999999999999609E-2</v>
      </c>
      <c r="O878" s="19">
        <f t="shared" si="110"/>
        <v>-5.0499999999999545E-2</v>
      </c>
      <c r="P878" s="19">
        <f t="shared" si="110"/>
        <v>-5.9999999999999609E-2</v>
      </c>
      <c r="R878" s="19"/>
      <c r="S878" s="19"/>
      <c r="T878" s="19"/>
      <c r="U878" s="19"/>
      <c r="V878" s="19"/>
    </row>
    <row r="879" spans="1:22" x14ac:dyDescent="0.2">
      <c r="A879" s="8">
        <v>45478</v>
      </c>
      <c r="B879" s="24">
        <v>4.9800000000000004</v>
      </c>
      <c r="C879" s="24">
        <v>4.5999999999999996</v>
      </c>
      <c r="D879" s="24">
        <v>4.3899999999999997</v>
      </c>
      <c r="E879" s="24">
        <v>4.2633000000000001</v>
      </c>
      <c r="F879" s="24">
        <v>4.22</v>
      </c>
      <c r="G879" s="83">
        <f t="shared" si="105"/>
        <v>95.256239283673068</v>
      </c>
      <c r="H879" s="84">
        <f t="shared" si="108"/>
        <v>101.63502903134324</v>
      </c>
      <c r="I879" s="84">
        <f t="shared" si="106"/>
        <v>90.139059924954495</v>
      </c>
      <c r="J879" s="84">
        <f t="shared" si="107"/>
        <v>398616174.72014922</v>
      </c>
      <c r="L879" s="19">
        <f t="shared" si="109"/>
        <v>-5.9999999999999609E-2</v>
      </c>
      <c r="M879" s="19">
        <f t="shared" si="110"/>
        <v>-0.11000000000000032</v>
      </c>
      <c r="N879" s="19">
        <f t="shared" si="110"/>
        <v>-9.0000000000000746E-2</v>
      </c>
      <c r="O879" s="19">
        <f t="shared" si="110"/>
        <v>-9.2500000000000249E-2</v>
      </c>
      <c r="P879" s="19">
        <f t="shared" si="110"/>
        <v>-0.11000000000000032</v>
      </c>
      <c r="R879" s="19"/>
      <c r="S879" s="19"/>
      <c r="T879" s="19"/>
      <c r="U879" s="19"/>
      <c r="V879" s="19"/>
    </row>
    <row r="880" spans="1:22" x14ac:dyDescent="0.2">
      <c r="A880" s="8">
        <v>45481</v>
      </c>
      <c r="B880" s="24">
        <v>4.99</v>
      </c>
      <c r="C880" s="24">
        <v>4.62</v>
      </c>
      <c r="D880" s="24">
        <v>4.4000000000000004</v>
      </c>
      <c r="E880" s="24">
        <v>4.2450999999999999</v>
      </c>
      <c r="F880" s="24">
        <v>4.2300000000000004</v>
      </c>
      <c r="G880" s="83">
        <f t="shared" si="105"/>
        <v>95.247166396799685</v>
      </c>
      <c r="H880" s="84">
        <f t="shared" si="108"/>
        <v>101.60630720261634</v>
      </c>
      <c r="I880" s="84">
        <f t="shared" si="106"/>
        <v>90.09906990512026</v>
      </c>
      <c r="J880" s="84">
        <f t="shared" si="107"/>
        <v>398481151.61015588</v>
      </c>
      <c r="L880" s="19">
        <f t="shared" si="109"/>
        <v>9.9999999999997868E-3</v>
      </c>
      <c r="M880" s="19">
        <f t="shared" si="110"/>
        <v>2.0000000000000462E-2</v>
      </c>
      <c r="N880" s="19">
        <f t="shared" si="110"/>
        <v>1.0000000000000675E-2</v>
      </c>
      <c r="O880" s="19">
        <f t="shared" si="110"/>
        <v>-1.8200000000000216E-2</v>
      </c>
      <c r="P880" s="19">
        <f t="shared" si="110"/>
        <v>1.0000000000000675E-2</v>
      </c>
      <c r="R880" s="19"/>
      <c r="S880" s="19"/>
      <c r="T880" s="19"/>
      <c r="U880" s="19"/>
      <c r="V880" s="19"/>
    </row>
    <row r="881" spans="1:22" x14ac:dyDescent="0.2">
      <c r="A881" s="8">
        <v>45482</v>
      </c>
      <c r="B881" s="24">
        <v>5.0199999999999996</v>
      </c>
      <c r="C881" s="24">
        <v>4.62</v>
      </c>
      <c r="D881" s="24">
        <v>4.37</v>
      </c>
      <c r="E881" s="24">
        <v>4.2534000000000001</v>
      </c>
      <c r="F881" s="24">
        <v>4.24</v>
      </c>
      <c r="G881" s="83">
        <f t="shared" si="105"/>
        <v>95.219958103218431</v>
      </c>
      <c r="H881" s="84">
        <f t="shared" si="108"/>
        <v>101.68454062765889</v>
      </c>
      <c r="I881" s="84">
        <f t="shared" si="106"/>
        <v>90.059738665572723</v>
      </c>
      <c r="J881" s="84">
        <f t="shared" si="107"/>
        <v>398152059.92723942</v>
      </c>
      <c r="L881" s="19">
        <f t="shared" si="109"/>
        <v>2.9999999999999361E-2</v>
      </c>
      <c r="M881" s="19">
        <f t="shared" si="110"/>
        <v>0</v>
      </c>
      <c r="N881" s="19">
        <f t="shared" si="110"/>
        <v>-3.0000000000000249E-2</v>
      </c>
      <c r="O881" s="19">
        <f t="shared" si="110"/>
        <v>8.3000000000001961E-3</v>
      </c>
      <c r="P881" s="19">
        <f t="shared" si="110"/>
        <v>9.9999999999997868E-3</v>
      </c>
      <c r="R881" s="19"/>
      <c r="S881" s="19"/>
      <c r="T881" s="19"/>
      <c r="U881" s="19"/>
      <c r="V881" s="19"/>
    </row>
    <row r="882" spans="1:22" x14ac:dyDescent="0.2">
      <c r="A882" s="8">
        <v>45483</v>
      </c>
      <c r="B882" s="24">
        <v>5.01</v>
      </c>
      <c r="C882" s="24">
        <v>4.62</v>
      </c>
      <c r="D882" s="24">
        <v>4.38</v>
      </c>
      <c r="E882" s="24">
        <v>4.2469999999999999</v>
      </c>
      <c r="F882" s="24">
        <v>4.24</v>
      </c>
      <c r="G882" s="83">
        <f t="shared" si="105"/>
        <v>95.229025807065995</v>
      </c>
      <c r="H882" s="84">
        <f t="shared" si="108"/>
        <v>101.65845256543047</v>
      </c>
      <c r="I882" s="84">
        <f t="shared" si="106"/>
        <v>90.059830269221806</v>
      </c>
      <c r="J882" s="84">
        <f t="shared" si="107"/>
        <v>398209693.84287357</v>
      </c>
      <c r="L882" s="19">
        <f t="shared" si="109"/>
        <v>-9.9999999999997868E-3</v>
      </c>
      <c r="M882" s="19">
        <f t="shared" si="110"/>
        <v>0</v>
      </c>
      <c r="N882" s="19">
        <f t="shared" si="110"/>
        <v>9.9999999999997868E-3</v>
      </c>
      <c r="O882" s="19">
        <f t="shared" si="110"/>
        <v>-6.4000000000001833E-3</v>
      </c>
      <c r="P882" s="19">
        <f t="shared" si="110"/>
        <v>0</v>
      </c>
      <c r="R882" s="19"/>
      <c r="S882" s="19"/>
      <c r="T882" s="19"/>
      <c r="U882" s="19"/>
      <c r="V882" s="19"/>
    </row>
    <row r="883" spans="1:22" x14ac:dyDescent="0.2">
      <c r="A883" s="8">
        <v>45484</v>
      </c>
      <c r="B883" s="24">
        <v>4.91</v>
      </c>
      <c r="C883" s="24">
        <v>4.5</v>
      </c>
      <c r="D883" s="24">
        <v>4.26</v>
      </c>
      <c r="E883" s="24">
        <v>4.1528999999999998</v>
      </c>
      <c r="F883" s="24">
        <v>4.13</v>
      </c>
      <c r="G883" s="83">
        <f t="shared" si="105"/>
        <v>95.319797922028414</v>
      </c>
      <c r="H883" s="84">
        <f t="shared" si="108"/>
        <v>101.99265857285012</v>
      </c>
      <c r="I883" s="84">
        <f t="shared" si="106"/>
        <v>90.516717006403042</v>
      </c>
      <c r="J883" s="84">
        <f t="shared" si="107"/>
        <v>399717476.01039386</v>
      </c>
      <c r="L883" s="19">
        <f t="shared" si="109"/>
        <v>-9.9999999999999645E-2</v>
      </c>
      <c r="M883" s="19">
        <f t="shared" si="110"/>
        <v>-0.12000000000000011</v>
      </c>
      <c r="N883" s="19">
        <f t="shared" si="110"/>
        <v>-0.12000000000000011</v>
      </c>
      <c r="O883" s="19">
        <f t="shared" si="110"/>
        <v>-9.4100000000000072E-2</v>
      </c>
      <c r="P883" s="19">
        <f t="shared" si="110"/>
        <v>-0.11000000000000032</v>
      </c>
      <c r="R883" s="19"/>
      <c r="S883" s="19"/>
      <c r="T883" s="19"/>
      <c r="U883" s="19"/>
      <c r="V883" s="19"/>
    </row>
    <row r="884" spans="1:22" x14ac:dyDescent="0.2">
      <c r="A884" s="8">
        <v>45485</v>
      </c>
      <c r="B884" s="24">
        <v>4.87</v>
      </c>
      <c r="C884" s="24">
        <v>4.45</v>
      </c>
      <c r="D884" s="24">
        <v>4.22</v>
      </c>
      <c r="E884" s="24">
        <v>4.1069000000000004</v>
      </c>
      <c r="F884" s="24">
        <v>4.0999999999999996</v>
      </c>
      <c r="G884" s="83">
        <f t="shared" si="105"/>
        <v>95.356155239820737</v>
      </c>
      <c r="H884" s="84">
        <f t="shared" si="108"/>
        <v>102.10557791592908</v>
      </c>
      <c r="I884" s="84">
        <f t="shared" si="106"/>
        <v>90.644355570115934</v>
      </c>
      <c r="J884" s="84">
        <f t="shared" si="107"/>
        <v>400131365.88621163</v>
      </c>
      <c r="L884" s="19">
        <f t="shared" si="109"/>
        <v>-4.0000000000000036E-2</v>
      </c>
      <c r="M884" s="19">
        <f t="shared" si="110"/>
        <v>-4.9999999999999822E-2</v>
      </c>
      <c r="N884" s="19">
        <f t="shared" si="110"/>
        <v>-4.0000000000000036E-2</v>
      </c>
      <c r="O884" s="19">
        <f t="shared" si="110"/>
        <v>-4.5999999999999375E-2</v>
      </c>
      <c r="P884" s="19">
        <f t="shared" si="110"/>
        <v>-3.0000000000000249E-2</v>
      </c>
      <c r="R884" s="19"/>
      <c r="S884" s="19"/>
      <c r="T884" s="19"/>
      <c r="U884" s="19"/>
      <c r="V884" s="19"/>
    </row>
    <row r="885" spans="1:22" x14ac:dyDescent="0.2">
      <c r="A885" s="8">
        <v>45488</v>
      </c>
      <c r="B885" s="24">
        <v>4.8499999999999996</v>
      </c>
      <c r="C885" s="24">
        <v>4.4400000000000004</v>
      </c>
      <c r="D885" s="24">
        <v>4.2300000000000004</v>
      </c>
      <c r="E885" s="24">
        <v>4.1113999999999997</v>
      </c>
      <c r="F885" s="24">
        <v>4.13</v>
      </c>
      <c r="G885" s="83">
        <f t="shared" si="105"/>
        <v>95.374344301382934</v>
      </c>
      <c r="H885" s="84">
        <f t="shared" si="108"/>
        <v>102.08067047993968</v>
      </c>
      <c r="I885" s="84">
        <f t="shared" si="106"/>
        <v>90.52414861973952</v>
      </c>
      <c r="J885" s="84">
        <f t="shared" si="107"/>
        <v>399724277.36181438</v>
      </c>
      <c r="L885" s="19">
        <f t="shared" si="109"/>
        <v>-2.0000000000000462E-2</v>
      </c>
      <c r="M885" s="19">
        <f t="shared" si="110"/>
        <v>-9.9999999999997868E-3</v>
      </c>
      <c r="N885" s="19">
        <f t="shared" si="110"/>
        <v>1.0000000000000675E-2</v>
      </c>
      <c r="O885" s="19">
        <f t="shared" si="110"/>
        <v>4.4999999999992824E-3</v>
      </c>
      <c r="P885" s="19">
        <f t="shared" si="110"/>
        <v>3.0000000000000249E-2</v>
      </c>
      <c r="R885" s="19"/>
      <c r="S885" s="19"/>
      <c r="T885" s="19"/>
      <c r="U885" s="19"/>
      <c r="V885" s="19"/>
    </row>
    <row r="886" spans="1:22" x14ac:dyDescent="0.2">
      <c r="A886" s="8">
        <v>45489</v>
      </c>
      <c r="B886" s="24">
        <v>4.8499999999999996</v>
      </c>
      <c r="C886" s="24">
        <v>4.43</v>
      </c>
      <c r="D886" s="24">
        <v>4.21</v>
      </c>
      <c r="E886" s="24">
        <v>4.0754000000000001</v>
      </c>
      <c r="F886" s="24">
        <v>4.09</v>
      </c>
      <c r="G886" s="83">
        <f t="shared" si="105"/>
        <v>95.374344301382934</v>
      </c>
      <c r="H886" s="84">
        <f t="shared" si="108"/>
        <v>102.13494780273359</v>
      </c>
      <c r="I886" s="84">
        <f t="shared" si="106"/>
        <v>90.688078302345133</v>
      </c>
      <c r="J886" s="84">
        <f t="shared" si="107"/>
        <v>400298580.10804594</v>
      </c>
      <c r="L886" s="19">
        <f t="shared" si="109"/>
        <v>0</v>
      </c>
      <c r="M886" s="19">
        <f t="shared" si="110"/>
        <v>-1.0000000000000675E-2</v>
      </c>
      <c r="N886" s="19">
        <f t="shared" si="110"/>
        <v>-2.0000000000000462E-2</v>
      </c>
      <c r="O886" s="19">
        <f t="shared" si="110"/>
        <v>-3.5999999999999588E-2</v>
      </c>
      <c r="P886" s="19">
        <f t="shared" si="110"/>
        <v>-4.0000000000000036E-2</v>
      </c>
      <c r="R886" s="19"/>
      <c r="S886" s="19"/>
      <c r="T886" s="19"/>
      <c r="U886" s="19"/>
      <c r="V886" s="19"/>
    </row>
    <row r="887" spans="1:22" x14ac:dyDescent="0.2">
      <c r="A887" s="8">
        <v>45490</v>
      </c>
      <c r="B887" s="24">
        <v>4.8499999999999996</v>
      </c>
      <c r="C887" s="24">
        <v>4.42</v>
      </c>
      <c r="D887" s="24">
        <v>4.1900000000000004</v>
      </c>
      <c r="E887" s="24">
        <v>4.0576999999999996</v>
      </c>
      <c r="F887" s="24">
        <v>4.07</v>
      </c>
      <c r="G887" s="83">
        <f t="shared" si="105"/>
        <v>95.374344301382934</v>
      </c>
      <c r="H887" s="84">
        <f t="shared" si="108"/>
        <v>102.18926638718825</v>
      </c>
      <c r="I887" s="84">
        <f t="shared" si="106"/>
        <v>90.77084865202022</v>
      </c>
      <c r="J887" s="84">
        <f t="shared" si="107"/>
        <v>400548183.63006437</v>
      </c>
      <c r="L887" s="19">
        <f t="shared" si="109"/>
        <v>0</v>
      </c>
      <c r="M887" s="19">
        <f t="shared" si="110"/>
        <v>-9.9999999999997868E-3</v>
      </c>
      <c r="N887" s="19">
        <f t="shared" si="110"/>
        <v>-1.9999999999999574E-2</v>
      </c>
      <c r="O887" s="19">
        <f t="shared" si="110"/>
        <v>-1.7700000000000493E-2</v>
      </c>
      <c r="P887" s="19">
        <f t="shared" si="110"/>
        <v>-1.9999999999999574E-2</v>
      </c>
      <c r="R887" s="19"/>
      <c r="S887" s="19"/>
      <c r="T887" s="19"/>
      <c r="U887" s="19"/>
      <c r="V887" s="19"/>
    </row>
    <row r="888" spans="1:22" x14ac:dyDescent="0.2">
      <c r="A888" s="8">
        <v>45491</v>
      </c>
      <c r="B888" s="24">
        <v>4.8600000000000003</v>
      </c>
      <c r="C888" s="24">
        <v>4.46</v>
      </c>
      <c r="D888" s="24">
        <v>4.24</v>
      </c>
      <c r="E888" s="24">
        <v>4.0864000000000003</v>
      </c>
      <c r="F888" s="24">
        <v>4.1100000000000003</v>
      </c>
      <c r="G888" s="83">
        <f t="shared" si="105"/>
        <v>95.365248903299644</v>
      </c>
      <c r="H888" s="84">
        <f t="shared" si="108"/>
        <v>102.05177627046355</v>
      </c>
      <c r="I888" s="84">
        <f t="shared" si="106"/>
        <v>90.604448704730004</v>
      </c>
      <c r="J888" s="84">
        <f t="shared" si="107"/>
        <v>400070628.21982396</v>
      </c>
      <c r="L888" s="19">
        <f t="shared" si="109"/>
        <v>1.0000000000000675E-2</v>
      </c>
      <c r="M888" s="19">
        <f t="shared" si="110"/>
        <v>4.0000000000000036E-2</v>
      </c>
      <c r="N888" s="19">
        <f t="shared" si="110"/>
        <v>4.9999999999999822E-2</v>
      </c>
      <c r="O888" s="19">
        <f t="shared" si="110"/>
        <v>2.8700000000000614E-2</v>
      </c>
      <c r="P888" s="19">
        <f t="shared" si="110"/>
        <v>4.0000000000000036E-2</v>
      </c>
      <c r="R888" s="19"/>
      <c r="S888" s="19"/>
      <c r="T888" s="19"/>
      <c r="U888" s="19"/>
      <c r="V888" s="19"/>
    </row>
    <row r="889" spans="1:22" x14ac:dyDescent="0.2">
      <c r="A889" s="8">
        <v>45492</v>
      </c>
      <c r="B889" s="24">
        <v>4.87</v>
      </c>
      <c r="C889" s="24">
        <v>4.49</v>
      </c>
      <c r="D889" s="24">
        <v>4.28</v>
      </c>
      <c r="E889" s="24">
        <v>4.1223000000000001</v>
      </c>
      <c r="F889" s="24">
        <v>4.16</v>
      </c>
      <c r="G889" s="83">
        <f t="shared" si="105"/>
        <v>95.356155239820737</v>
      </c>
      <c r="H889" s="84">
        <f t="shared" si="108"/>
        <v>101.94205582376219</v>
      </c>
      <c r="I889" s="84">
        <f t="shared" si="106"/>
        <v>90.398866828823856</v>
      </c>
      <c r="J889" s="84">
        <f t="shared" si="107"/>
        <v>399394694.05929357</v>
      </c>
      <c r="L889" s="19">
        <f t="shared" si="109"/>
        <v>9.9999999999997868E-3</v>
      </c>
      <c r="M889" s="19">
        <f t="shared" si="110"/>
        <v>3.0000000000000249E-2</v>
      </c>
      <c r="N889" s="19">
        <f t="shared" si="110"/>
        <v>4.0000000000000036E-2</v>
      </c>
      <c r="O889" s="19">
        <f t="shared" si="110"/>
        <v>3.5899999999999821E-2</v>
      </c>
      <c r="P889" s="19">
        <f t="shared" si="110"/>
        <v>4.9999999999999822E-2</v>
      </c>
      <c r="R889" s="19"/>
      <c r="S889" s="19"/>
      <c r="T889" s="19"/>
      <c r="U889" s="19"/>
      <c r="V889" s="19"/>
    </row>
    <row r="890" spans="1:22" x14ac:dyDescent="0.2">
      <c r="A890" s="8">
        <v>45495</v>
      </c>
      <c r="B890" s="24">
        <v>4.88</v>
      </c>
      <c r="C890" s="24">
        <v>4.5</v>
      </c>
      <c r="D890" s="24">
        <v>4.29</v>
      </c>
      <c r="E890" s="24">
        <v>4.1402999999999999</v>
      </c>
      <c r="F890" s="24">
        <v>4.17</v>
      </c>
      <c r="G890" s="83">
        <f t="shared" si="105"/>
        <v>95.347063310450039</v>
      </c>
      <c r="H890" s="84">
        <f t="shared" si="108"/>
        <v>101.91409161563269</v>
      </c>
      <c r="I890" s="84">
        <f t="shared" si="106"/>
        <v>90.356726509941822</v>
      </c>
      <c r="J890" s="84">
        <f t="shared" si="107"/>
        <v>399249895.23721826</v>
      </c>
      <c r="L890" s="19">
        <f t="shared" si="109"/>
        <v>9.9999999999997868E-3</v>
      </c>
      <c r="M890" s="19">
        <f t="shared" si="110"/>
        <v>9.9999999999997868E-3</v>
      </c>
      <c r="N890" s="19">
        <f t="shared" si="110"/>
        <v>9.9999999999997868E-3</v>
      </c>
      <c r="O890" s="19">
        <f t="shared" si="110"/>
        <v>1.7999999999999794E-2</v>
      </c>
      <c r="P890" s="19">
        <f t="shared" si="110"/>
        <v>9.9999999999997868E-3</v>
      </c>
      <c r="R890" s="19"/>
      <c r="S890" s="19"/>
      <c r="T890" s="19"/>
      <c r="U890" s="19"/>
      <c r="V890" s="19"/>
    </row>
    <row r="891" spans="1:22" x14ac:dyDescent="0.2">
      <c r="A891" s="8">
        <v>45496</v>
      </c>
      <c r="B891" s="24">
        <v>4.8499999999999996</v>
      </c>
      <c r="C891" s="24">
        <v>4.4000000000000004</v>
      </c>
      <c r="D891" s="24">
        <v>4.26</v>
      </c>
      <c r="E891" s="24">
        <v>4.1231999999999998</v>
      </c>
      <c r="F891" s="24">
        <v>4.1500000000000004</v>
      </c>
      <c r="G891" s="83">
        <f t="shared" si="105"/>
        <v>95.374344301382934</v>
      </c>
      <c r="H891" s="84">
        <f t="shared" si="108"/>
        <v>102.00416145234678</v>
      </c>
      <c r="I891" s="84">
        <f t="shared" si="106"/>
        <v>90.443294101337528</v>
      </c>
      <c r="J891" s="84">
        <f t="shared" si="107"/>
        <v>399515622.8295958</v>
      </c>
      <c r="L891" s="19">
        <f t="shared" si="109"/>
        <v>-3.0000000000000249E-2</v>
      </c>
      <c r="M891" s="19">
        <f t="shared" si="110"/>
        <v>-9.9999999999999645E-2</v>
      </c>
      <c r="N891" s="19">
        <f t="shared" si="110"/>
        <v>-3.0000000000000249E-2</v>
      </c>
      <c r="O891" s="19">
        <f t="shared" si="110"/>
        <v>-1.7100000000000115E-2</v>
      </c>
      <c r="P891" s="19">
        <f t="shared" si="110"/>
        <v>-1.9999999999999574E-2</v>
      </c>
      <c r="R891" s="19"/>
      <c r="S891" s="19"/>
      <c r="T891" s="19"/>
      <c r="U891" s="19"/>
      <c r="V891" s="19"/>
    </row>
    <row r="892" spans="1:22" x14ac:dyDescent="0.2">
      <c r="A892" s="8">
        <v>45497</v>
      </c>
      <c r="B892" s="24">
        <v>4.82</v>
      </c>
      <c r="C892" s="24">
        <v>4.37</v>
      </c>
      <c r="D892" s="24">
        <v>4.24</v>
      </c>
      <c r="E892" s="24">
        <v>4.1169000000000002</v>
      </c>
      <c r="F892" s="24">
        <v>4.12</v>
      </c>
      <c r="G892" s="83">
        <f t="shared" si="105"/>
        <v>95.401640908223627</v>
      </c>
      <c r="H892" s="84">
        <f t="shared" si="108"/>
        <v>102.06150181941605</v>
      </c>
      <c r="I892" s="84">
        <f t="shared" si="106"/>
        <v>90.566303535927133</v>
      </c>
      <c r="J892" s="84">
        <f t="shared" si="107"/>
        <v>399976243.23103172</v>
      </c>
      <c r="L892" s="19">
        <f t="shared" si="109"/>
        <v>-2.9999999999999361E-2</v>
      </c>
      <c r="M892" s="19">
        <f t="shared" si="110"/>
        <v>-3.0000000000000249E-2</v>
      </c>
      <c r="N892" s="19">
        <f t="shared" si="110"/>
        <v>-1.9999999999999574E-2</v>
      </c>
      <c r="O892" s="19">
        <f t="shared" si="110"/>
        <v>-6.2999999999995282E-3</v>
      </c>
      <c r="P892" s="19">
        <f t="shared" si="110"/>
        <v>-3.0000000000000249E-2</v>
      </c>
      <c r="R892" s="19"/>
      <c r="S892" s="19"/>
      <c r="T892" s="19"/>
      <c r="U892" s="19"/>
      <c r="V892" s="19"/>
    </row>
    <row r="893" spans="1:22" x14ac:dyDescent="0.2">
      <c r="A893" s="8">
        <v>45498</v>
      </c>
      <c r="B893" s="24">
        <v>4.83</v>
      </c>
      <c r="C893" s="24">
        <v>4.41</v>
      </c>
      <c r="D893" s="24">
        <v>4.26</v>
      </c>
      <c r="E893" s="24">
        <v>4.1200999999999999</v>
      </c>
      <c r="F893" s="24">
        <v>4.13</v>
      </c>
      <c r="G893" s="83">
        <f t="shared" si="105"/>
        <v>95.392540303348284</v>
      </c>
      <c r="H893" s="84">
        <f t="shared" si="108"/>
        <v>102.00419256158527</v>
      </c>
      <c r="I893" s="84">
        <f t="shared" si="106"/>
        <v>90.523473240865684</v>
      </c>
      <c r="J893" s="84">
        <f t="shared" si="107"/>
        <v>399872684.72778141</v>
      </c>
      <c r="L893" s="19">
        <f t="shared" si="109"/>
        <v>9.9999999999997868E-3</v>
      </c>
      <c r="M893" s="19">
        <f t="shared" si="110"/>
        <v>4.0000000000000036E-2</v>
      </c>
      <c r="N893" s="19">
        <f t="shared" si="110"/>
        <v>1.9999999999999574E-2</v>
      </c>
      <c r="O893" s="19">
        <f t="shared" si="110"/>
        <v>3.1999999999996476E-3</v>
      </c>
      <c r="P893" s="19">
        <f t="shared" si="110"/>
        <v>9.9999999999997868E-3</v>
      </c>
      <c r="R893" s="19"/>
      <c r="S893" s="19"/>
      <c r="T893" s="19"/>
      <c r="U893" s="19"/>
      <c r="V893" s="19"/>
    </row>
    <row r="894" spans="1:22" x14ac:dyDescent="0.2">
      <c r="A894" s="8">
        <v>45499</v>
      </c>
      <c r="B894" s="24">
        <v>4.79</v>
      </c>
      <c r="C894" s="24">
        <v>4.3600000000000003</v>
      </c>
      <c r="D894" s="24">
        <v>4.2</v>
      </c>
      <c r="E894" s="24">
        <v>4.0652999999999997</v>
      </c>
      <c r="F894" s="24">
        <v>4.0599999999999996</v>
      </c>
      <c r="G894" s="83">
        <f t="shared" si="105"/>
        <v>95.428953144383996</v>
      </c>
      <c r="H894" s="84">
        <f t="shared" si="108"/>
        <v>102.17054592054158</v>
      </c>
      <c r="I894" s="84">
        <f t="shared" si="106"/>
        <v>90.813198509790922</v>
      </c>
      <c r="J894" s="84">
        <f t="shared" si="107"/>
        <v>400854881.44711936</v>
      </c>
      <c r="L894" s="19">
        <f t="shared" si="109"/>
        <v>-4.0000000000000036E-2</v>
      </c>
      <c r="M894" s="19">
        <f t="shared" si="110"/>
        <v>-4.9999999999999822E-2</v>
      </c>
      <c r="N894" s="19">
        <f t="shared" si="110"/>
        <v>-5.9999999999999609E-2</v>
      </c>
      <c r="O894" s="19">
        <f t="shared" si="110"/>
        <v>-5.4800000000000182E-2</v>
      </c>
      <c r="P894" s="19">
        <f t="shared" si="110"/>
        <v>-7.0000000000000284E-2</v>
      </c>
      <c r="R894" s="19"/>
      <c r="S894" s="19"/>
      <c r="T894" s="19"/>
      <c r="U894" s="19"/>
      <c r="V894" s="19"/>
    </row>
    <row r="895" spans="1:22" x14ac:dyDescent="0.2">
      <c r="A895" s="8">
        <v>45502</v>
      </c>
      <c r="B895" s="24">
        <v>4.79</v>
      </c>
      <c r="C895" s="24">
        <v>4.3600000000000003</v>
      </c>
      <c r="D895" s="24">
        <v>4.1900000000000004</v>
      </c>
      <c r="E895" s="24">
        <v>4.0404999999999998</v>
      </c>
      <c r="F895" s="24">
        <v>4.05</v>
      </c>
      <c r="G895" s="83">
        <f t="shared" si="105"/>
        <v>95.428953144383996</v>
      </c>
      <c r="H895" s="84">
        <f t="shared" si="108"/>
        <v>102.19727124836464</v>
      </c>
      <c r="I895" s="84">
        <f t="shared" si="106"/>
        <v>90.855512509840338</v>
      </c>
      <c r="J895" s="84">
        <f t="shared" si="107"/>
        <v>400984049.45558238</v>
      </c>
      <c r="L895" s="19">
        <f t="shared" si="109"/>
        <v>0</v>
      </c>
      <c r="M895" s="19">
        <f t="shared" si="110"/>
        <v>0</v>
      </c>
      <c r="N895" s="19">
        <f t="shared" si="110"/>
        <v>-9.9999999999997868E-3</v>
      </c>
      <c r="O895" s="19">
        <f t="shared" si="110"/>
        <v>-2.4799999999999933E-2</v>
      </c>
      <c r="P895" s="19">
        <f t="shared" si="110"/>
        <v>-9.9999999999997868E-3</v>
      </c>
      <c r="R895" s="19"/>
      <c r="S895" s="19"/>
      <c r="T895" s="19"/>
      <c r="U895" s="19"/>
      <c r="V895" s="19"/>
    </row>
    <row r="896" spans="1:22" x14ac:dyDescent="0.2">
      <c r="A896" s="8">
        <v>45503</v>
      </c>
      <c r="B896" s="24">
        <v>4.78</v>
      </c>
      <c r="C896" s="24">
        <v>4.3499999999999996</v>
      </c>
      <c r="D896" s="24">
        <v>4.16</v>
      </c>
      <c r="E896" s="24">
        <v>4.0149999999999997</v>
      </c>
      <c r="F896" s="24">
        <v>4.03</v>
      </c>
      <c r="G896" s="83">
        <f t="shared" si="105"/>
        <v>95.438060698606591</v>
      </c>
      <c r="H896" s="84">
        <f t="shared" si="108"/>
        <v>102.27884415693329</v>
      </c>
      <c r="I896" s="84">
        <f t="shared" si="106"/>
        <v>90.93967578284942</v>
      </c>
      <c r="J896" s="84">
        <f t="shared" si="107"/>
        <v>401216558.29321092</v>
      </c>
      <c r="L896" s="19">
        <f t="shared" si="109"/>
        <v>-9.9999999999997868E-3</v>
      </c>
      <c r="M896" s="19">
        <f t="shared" si="110"/>
        <v>-1.0000000000000675E-2</v>
      </c>
      <c r="N896" s="19">
        <f t="shared" si="110"/>
        <v>-3.0000000000000249E-2</v>
      </c>
      <c r="O896" s="19">
        <f t="shared" si="110"/>
        <v>-2.5500000000000078E-2</v>
      </c>
      <c r="P896" s="19">
        <f t="shared" si="110"/>
        <v>-1.9999999999999574E-2</v>
      </c>
      <c r="R896" s="19"/>
      <c r="S896" s="19"/>
      <c r="T896" s="19"/>
      <c r="U896" s="19"/>
      <c r="V896" s="19"/>
    </row>
    <row r="897" spans="1:22" x14ac:dyDescent="0.2">
      <c r="A897" s="8">
        <v>45504</v>
      </c>
      <c r="B897" s="24">
        <v>4.7300000000000004</v>
      </c>
      <c r="C897" s="24">
        <v>4.29</v>
      </c>
      <c r="D897" s="24">
        <v>4.0999999999999996</v>
      </c>
      <c r="E897" s="24">
        <v>3.9571999999999998</v>
      </c>
      <c r="F897" s="24">
        <v>3.97</v>
      </c>
      <c r="G897" s="83">
        <f t="shared" si="105"/>
        <v>95.483624558388243</v>
      </c>
      <c r="H897" s="84">
        <f t="shared" si="108"/>
        <v>102.44716015834256</v>
      </c>
      <c r="I897" s="84">
        <f t="shared" si="106"/>
        <v>91.191402553951605</v>
      </c>
      <c r="J897" s="84">
        <f t="shared" si="107"/>
        <v>402062119.09506905</v>
      </c>
      <c r="L897" s="19">
        <f t="shared" si="109"/>
        <v>-4.9999999999999822E-2</v>
      </c>
      <c r="M897" s="19">
        <f t="shared" si="110"/>
        <v>-5.9999999999999609E-2</v>
      </c>
      <c r="N897" s="19">
        <f t="shared" si="110"/>
        <v>-6.0000000000000497E-2</v>
      </c>
      <c r="O897" s="19">
        <f t="shared" si="110"/>
        <v>-5.7799999999999851E-2</v>
      </c>
      <c r="P897" s="19">
        <f t="shared" si="110"/>
        <v>-6.0000000000000053E-2</v>
      </c>
      <c r="R897" s="19"/>
      <c r="S897" s="19"/>
      <c r="T897" s="19"/>
      <c r="U897" s="19"/>
      <c r="V897" s="19"/>
    </row>
    <row r="898" spans="1:22" x14ac:dyDescent="0.2">
      <c r="A898" s="8">
        <v>45505</v>
      </c>
      <c r="B898" s="24">
        <v>4.62</v>
      </c>
      <c r="C898" s="24">
        <v>4.16</v>
      </c>
      <c r="D898" s="24">
        <v>3.96</v>
      </c>
      <c r="E898" s="24">
        <v>3.8409</v>
      </c>
      <c r="F898" s="24">
        <v>3.84</v>
      </c>
      <c r="G898" s="83">
        <f t="shared" ref="G898:G961" si="111">100/((1+B898/100)^1)</f>
        <v>95.584018352131523</v>
      </c>
      <c r="H898" s="84">
        <f t="shared" si="108"/>
        <v>102.84019669014248</v>
      </c>
      <c r="I898" s="84">
        <f t="shared" ref="I898:I961" si="112">SUM(2/(1+B898/100)^1, 2/(1+C898/100)^2, 2/(1+D898/100)^3, 2/(1+E898/100)^4, 102/(1+F898/100)^5)</f>
        <v>91.739720855173672</v>
      </c>
      <c r="J898" s="84">
        <f t="shared" ref="J898:J961" si="113">G898*2000000+H898*-1500000+I898*4000000</f>
        <v>403866625.08974403</v>
      </c>
      <c r="L898" s="19">
        <f t="shared" si="109"/>
        <v>-0.11000000000000032</v>
      </c>
      <c r="M898" s="19">
        <f t="shared" si="110"/>
        <v>-0.12999999999999989</v>
      </c>
      <c r="N898" s="19">
        <f t="shared" si="110"/>
        <v>-0.13999999999999968</v>
      </c>
      <c r="O898" s="19">
        <f t="shared" si="110"/>
        <v>-0.11629999999999985</v>
      </c>
      <c r="P898" s="19">
        <f t="shared" si="110"/>
        <v>-0.13000000000000034</v>
      </c>
      <c r="R898" s="19"/>
      <c r="S898" s="19"/>
      <c r="T898" s="19"/>
      <c r="U898" s="19"/>
      <c r="V898" s="19"/>
    </row>
    <row r="899" spans="1:22" x14ac:dyDescent="0.2">
      <c r="A899" s="8">
        <v>45506</v>
      </c>
      <c r="B899" s="24">
        <v>4.33</v>
      </c>
      <c r="C899" s="24">
        <v>3.88</v>
      </c>
      <c r="D899" s="24">
        <v>3.7</v>
      </c>
      <c r="E899" s="24">
        <v>3.6073</v>
      </c>
      <c r="F899" s="24">
        <v>3.62</v>
      </c>
      <c r="G899" s="83">
        <f t="shared" si="111"/>
        <v>95.849707658391651</v>
      </c>
      <c r="H899" s="84">
        <f t="shared" ref="H899:H962" si="114">SUM(5/(1+B899/100)^1, 5/(1+C899/100)^2, 105/(1+D899/100)^3)</f>
        <v>103.58304334695057</v>
      </c>
      <c r="I899" s="84">
        <f t="shared" si="112"/>
        <v>92.684652845843587</v>
      </c>
      <c r="J899" s="84">
        <f t="shared" si="113"/>
        <v>407063461.67973179</v>
      </c>
      <c r="L899" s="19">
        <f t="shared" si="109"/>
        <v>-0.29000000000000004</v>
      </c>
      <c r="M899" s="19">
        <f t="shared" si="110"/>
        <v>-0.28000000000000025</v>
      </c>
      <c r="N899" s="19">
        <f t="shared" si="110"/>
        <v>-0.25999999999999979</v>
      </c>
      <c r="O899" s="19">
        <f t="shared" si="110"/>
        <v>-0.23360000000000003</v>
      </c>
      <c r="P899" s="19">
        <f t="shared" si="110"/>
        <v>-0.21999999999999975</v>
      </c>
      <c r="R899" s="19"/>
      <c r="S899" s="19"/>
      <c r="T899" s="19"/>
      <c r="U899" s="19"/>
      <c r="V899" s="19"/>
    </row>
    <row r="900" spans="1:22" x14ac:dyDescent="0.2">
      <c r="A900" s="8">
        <v>45509</v>
      </c>
      <c r="B900" s="24">
        <v>4.34</v>
      </c>
      <c r="C900" s="24">
        <v>3.89</v>
      </c>
      <c r="D900" s="24">
        <v>3.71</v>
      </c>
      <c r="E900" s="24">
        <v>3.5596999999999999</v>
      </c>
      <c r="F900" s="24">
        <v>3.62</v>
      </c>
      <c r="G900" s="83">
        <f t="shared" si="111"/>
        <v>95.840521372436257</v>
      </c>
      <c r="H900" s="84">
        <f t="shared" si="114"/>
        <v>103.55445805931627</v>
      </c>
      <c r="I900" s="84">
        <f t="shared" si="112"/>
        <v>92.686786928619185</v>
      </c>
      <c r="J900" s="84">
        <f t="shared" si="113"/>
        <v>407096503.37037486</v>
      </c>
      <c r="L900" s="19">
        <f t="shared" si="109"/>
        <v>9.9999999999997868E-3</v>
      </c>
      <c r="M900" s="19">
        <f t="shared" si="110"/>
        <v>1.0000000000000231E-2</v>
      </c>
      <c r="N900" s="19">
        <f t="shared" si="110"/>
        <v>9.9999999999997868E-3</v>
      </c>
      <c r="O900" s="19">
        <f t="shared" si="110"/>
        <v>-4.7600000000000087E-2</v>
      </c>
      <c r="P900" s="19">
        <f t="shared" ref="P900:P963" si="115">F900-F899</f>
        <v>0</v>
      </c>
      <c r="R900" s="19"/>
      <c r="S900" s="19"/>
      <c r="T900" s="19"/>
      <c r="U900" s="19"/>
      <c r="V900" s="19"/>
    </row>
    <row r="901" spans="1:22" x14ac:dyDescent="0.2">
      <c r="A901" s="8">
        <v>45510</v>
      </c>
      <c r="B901" s="24">
        <v>4.46</v>
      </c>
      <c r="C901" s="24">
        <v>3.99</v>
      </c>
      <c r="D901" s="24">
        <v>3.76</v>
      </c>
      <c r="E901" s="24">
        <v>3.6419999999999999</v>
      </c>
      <c r="F901" s="24">
        <v>3.73</v>
      </c>
      <c r="G901" s="83">
        <f t="shared" si="111"/>
        <v>95.730423128470235</v>
      </c>
      <c r="H901" s="84">
        <f t="shared" si="114"/>
        <v>103.40403509546893</v>
      </c>
      <c r="I901" s="84">
        <f t="shared" si="112"/>
        <v>92.221143323183185</v>
      </c>
      <c r="J901" s="84">
        <f t="shared" si="113"/>
        <v>405239366.90646982</v>
      </c>
      <c r="L901" s="19">
        <f t="shared" ref="L901:L964" si="116">B901-B900</f>
        <v>0.12000000000000011</v>
      </c>
      <c r="M901" s="19">
        <f t="shared" ref="M901:P964" si="117">C901-C900</f>
        <v>0.10000000000000009</v>
      </c>
      <c r="N901" s="19">
        <f t="shared" si="117"/>
        <v>4.9999999999999822E-2</v>
      </c>
      <c r="O901" s="19">
        <f t="shared" si="117"/>
        <v>8.230000000000004E-2</v>
      </c>
      <c r="P901" s="19">
        <f t="shared" si="115"/>
        <v>0.10999999999999988</v>
      </c>
      <c r="R901" s="19"/>
      <c r="S901" s="19"/>
      <c r="T901" s="19"/>
      <c r="U901" s="19"/>
      <c r="V901" s="19"/>
    </row>
    <row r="902" spans="1:22" x14ac:dyDescent="0.2">
      <c r="A902" s="8">
        <v>45511</v>
      </c>
      <c r="B902" s="24">
        <v>4.45</v>
      </c>
      <c r="C902" s="24">
        <v>4</v>
      </c>
      <c r="D902" s="24">
        <v>3.81</v>
      </c>
      <c r="E902" s="24">
        <v>3.6956000000000002</v>
      </c>
      <c r="F902" s="24">
        <v>3.79</v>
      </c>
      <c r="G902" s="83">
        <f t="shared" si="111"/>
        <v>95.73958831977022</v>
      </c>
      <c r="H902" s="84">
        <f t="shared" si="114"/>
        <v>103.26785346611696</v>
      </c>
      <c r="I902" s="84">
        <f t="shared" si="112"/>
        <v>91.969592060752348</v>
      </c>
      <c r="J902" s="84">
        <f t="shared" si="113"/>
        <v>404455764.6833744</v>
      </c>
      <c r="L902" s="19">
        <f t="shared" si="116"/>
        <v>-9.9999999999997868E-3</v>
      </c>
      <c r="M902" s="19">
        <f t="shared" si="117"/>
        <v>9.9999999999997868E-3</v>
      </c>
      <c r="N902" s="19">
        <f t="shared" si="117"/>
        <v>5.0000000000000266E-2</v>
      </c>
      <c r="O902" s="19">
        <f t="shared" si="117"/>
        <v>5.3600000000000314E-2</v>
      </c>
      <c r="P902" s="19">
        <f t="shared" si="115"/>
        <v>6.0000000000000053E-2</v>
      </c>
      <c r="R902" s="19"/>
      <c r="S902" s="19"/>
      <c r="T902" s="19"/>
      <c r="U902" s="19"/>
      <c r="V902" s="19"/>
    </row>
    <row r="903" spans="1:22" x14ac:dyDescent="0.2">
      <c r="A903" s="8">
        <v>45512</v>
      </c>
      <c r="B903" s="24">
        <v>4.4800000000000004</v>
      </c>
      <c r="C903" s="24">
        <v>4.04</v>
      </c>
      <c r="D903" s="24">
        <v>3.86</v>
      </c>
      <c r="E903" s="24">
        <v>3.7360000000000002</v>
      </c>
      <c r="F903" s="24">
        <v>3.83</v>
      </c>
      <c r="G903" s="83">
        <f t="shared" si="111"/>
        <v>95.712098009188367</v>
      </c>
      <c r="H903" s="84">
        <f t="shared" si="114"/>
        <v>103.12743553653438</v>
      </c>
      <c r="I903" s="84">
        <f t="shared" si="112"/>
        <v>91.799344037585314</v>
      </c>
      <c r="J903" s="84">
        <f t="shared" si="113"/>
        <v>403930418.86391646</v>
      </c>
      <c r="L903" s="19">
        <f t="shared" si="116"/>
        <v>3.0000000000000249E-2</v>
      </c>
      <c r="M903" s="19">
        <f t="shared" si="117"/>
        <v>4.0000000000000036E-2</v>
      </c>
      <c r="N903" s="19">
        <f t="shared" si="117"/>
        <v>4.9999999999999822E-2</v>
      </c>
      <c r="O903" s="19">
        <f t="shared" si="117"/>
        <v>4.0399999999999991E-2</v>
      </c>
      <c r="P903" s="19">
        <f t="shared" si="115"/>
        <v>4.0000000000000036E-2</v>
      </c>
      <c r="R903" s="19"/>
      <c r="S903" s="19"/>
      <c r="T903" s="19"/>
      <c r="U903" s="19"/>
      <c r="V903" s="19"/>
    </row>
    <row r="904" spans="1:22" x14ac:dyDescent="0.2">
      <c r="A904" s="8">
        <v>45513</v>
      </c>
      <c r="B904" s="24">
        <v>4.5</v>
      </c>
      <c r="C904" s="24">
        <v>4.05</v>
      </c>
      <c r="D904" s="24">
        <v>3.86</v>
      </c>
      <c r="E904" s="24">
        <v>3.7288999999999999</v>
      </c>
      <c r="F904" s="24">
        <v>3.8</v>
      </c>
      <c r="G904" s="83">
        <f t="shared" si="111"/>
        <v>95.693779904306226</v>
      </c>
      <c r="H904" s="84">
        <f t="shared" si="114"/>
        <v>103.12563178791524</v>
      </c>
      <c r="I904" s="84">
        <f t="shared" si="112"/>
        <v>91.921312226521422</v>
      </c>
      <c r="J904" s="84">
        <f t="shared" si="113"/>
        <v>404384361.03282529</v>
      </c>
      <c r="L904" s="19">
        <f t="shared" si="116"/>
        <v>1.9999999999999574E-2</v>
      </c>
      <c r="M904" s="19">
        <f t="shared" si="117"/>
        <v>9.9999999999997868E-3</v>
      </c>
      <c r="N904" s="19">
        <f t="shared" si="117"/>
        <v>0</v>
      </c>
      <c r="O904" s="19">
        <f t="shared" si="117"/>
        <v>-7.1000000000003283E-3</v>
      </c>
      <c r="P904" s="19">
        <f t="shared" si="115"/>
        <v>-3.0000000000000249E-2</v>
      </c>
      <c r="R904" s="19"/>
      <c r="S904" s="19"/>
      <c r="T904" s="19"/>
      <c r="U904" s="19"/>
      <c r="V904" s="19"/>
    </row>
    <row r="905" spans="1:22" x14ac:dyDescent="0.2">
      <c r="A905" s="8">
        <v>45516</v>
      </c>
      <c r="B905" s="24">
        <v>4.47</v>
      </c>
      <c r="C905" s="24">
        <v>4.01</v>
      </c>
      <c r="D905" s="24">
        <v>3.82</v>
      </c>
      <c r="E905" s="24">
        <v>3.6894</v>
      </c>
      <c r="F905" s="24">
        <v>3.75</v>
      </c>
      <c r="G905" s="83">
        <f t="shared" si="111"/>
        <v>95.721259691777547</v>
      </c>
      <c r="H905" s="84">
        <f t="shared" si="114"/>
        <v>103.23892938805818</v>
      </c>
      <c r="I905" s="84">
        <f t="shared" si="112"/>
        <v>92.132147333053879</v>
      </c>
      <c r="J905" s="84">
        <f t="shared" si="113"/>
        <v>405112714.63368332</v>
      </c>
      <c r="L905" s="19">
        <f t="shared" si="116"/>
        <v>-3.0000000000000249E-2</v>
      </c>
      <c r="M905" s="19">
        <f t="shared" si="117"/>
        <v>-4.0000000000000036E-2</v>
      </c>
      <c r="N905" s="19">
        <f t="shared" si="117"/>
        <v>-4.0000000000000036E-2</v>
      </c>
      <c r="O905" s="19">
        <f t="shared" si="117"/>
        <v>-3.9499999999999869E-2</v>
      </c>
      <c r="P905" s="19">
        <f t="shared" si="115"/>
        <v>-4.9999999999999822E-2</v>
      </c>
      <c r="R905" s="19"/>
      <c r="S905" s="19"/>
      <c r="T905" s="19"/>
      <c r="U905" s="19"/>
      <c r="V905" s="19"/>
    </row>
    <row r="906" spans="1:22" x14ac:dyDescent="0.2">
      <c r="A906" s="8">
        <v>45517</v>
      </c>
      <c r="B906" s="24">
        <v>4.4000000000000004</v>
      </c>
      <c r="C906" s="24">
        <v>3.93</v>
      </c>
      <c r="D906" s="24">
        <v>3.75</v>
      </c>
      <c r="E906" s="24">
        <v>3.6204999999999998</v>
      </c>
      <c r="F906" s="24">
        <v>3.68</v>
      </c>
      <c r="G906" s="83">
        <f t="shared" si="111"/>
        <v>95.785440613026822</v>
      </c>
      <c r="H906" s="84">
        <f t="shared" si="114"/>
        <v>103.43930767057788</v>
      </c>
      <c r="I906" s="84">
        <f t="shared" si="112"/>
        <v>92.431331005903303</v>
      </c>
      <c r="J906" s="84">
        <f t="shared" si="113"/>
        <v>406137243.74380004</v>
      </c>
      <c r="L906" s="19">
        <f t="shared" si="116"/>
        <v>-6.9999999999999396E-2</v>
      </c>
      <c r="M906" s="19">
        <f t="shared" si="117"/>
        <v>-7.9999999999999627E-2</v>
      </c>
      <c r="N906" s="19">
        <f t="shared" si="117"/>
        <v>-6.999999999999984E-2</v>
      </c>
      <c r="O906" s="19">
        <f t="shared" si="117"/>
        <v>-6.8900000000000183E-2</v>
      </c>
      <c r="P906" s="19">
        <f t="shared" si="115"/>
        <v>-6.999999999999984E-2</v>
      </c>
      <c r="R906" s="19"/>
      <c r="S906" s="19"/>
      <c r="T906" s="19"/>
      <c r="U906" s="19"/>
      <c r="V906" s="19"/>
    </row>
    <row r="907" spans="1:22" x14ac:dyDescent="0.2">
      <c r="A907" s="8">
        <v>45518</v>
      </c>
      <c r="B907" s="24">
        <v>4.42</v>
      </c>
      <c r="C907" s="24">
        <v>3.94</v>
      </c>
      <c r="D907" s="24">
        <v>3.76</v>
      </c>
      <c r="E907" s="24">
        <v>3.6008</v>
      </c>
      <c r="F907" s="24">
        <v>3.67</v>
      </c>
      <c r="G907" s="83">
        <f t="shared" si="111"/>
        <v>95.767094426355101</v>
      </c>
      <c r="H907" s="84">
        <f t="shared" si="114"/>
        <v>103.41031813341537</v>
      </c>
      <c r="I907" s="84">
        <f t="shared" si="112"/>
        <v>92.472480066370693</v>
      </c>
      <c r="J907" s="84">
        <f t="shared" si="113"/>
        <v>406308631.9180699</v>
      </c>
      <c r="L907" s="19">
        <f t="shared" si="116"/>
        <v>1.9999999999999574E-2</v>
      </c>
      <c r="M907" s="19">
        <f t="shared" si="117"/>
        <v>9.9999999999997868E-3</v>
      </c>
      <c r="N907" s="19">
        <f t="shared" si="117"/>
        <v>9.9999999999997868E-3</v>
      </c>
      <c r="O907" s="19">
        <f t="shared" si="117"/>
        <v>-1.9699999999999829E-2</v>
      </c>
      <c r="P907" s="19">
        <f t="shared" si="115"/>
        <v>-1.0000000000000231E-2</v>
      </c>
      <c r="R907" s="19"/>
      <c r="S907" s="19"/>
      <c r="T907" s="19"/>
      <c r="U907" s="19"/>
      <c r="V907" s="19"/>
    </row>
    <row r="908" spans="1:22" x14ac:dyDescent="0.2">
      <c r="A908" s="8">
        <v>45519</v>
      </c>
      <c r="B908" s="24">
        <v>4.5199999999999996</v>
      </c>
      <c r="C908" s="24">
        <v>4.08</v>
      </c>
      <c r="D908" s="24">
        <v>3.9</v>
      </c>
      <c r="E908" s="24">
        <v>3.6991000000000001</v>
      </c>
      <c r="F908" s="24">
        <v>3.79</v>
      </c>
      <c r="G908" s="83">
        <f t="shared" si="111"/>
        <v>95.675468809797181</v>
      </c>
      <c r="H908" s="84">
        <f t="shared" si="114"/>
        <v>103.01385035814748</v>
      </c>
      <c r="I908" s="84">
        <f t="shared" si="112"/>
        <v>91.960592865351032</v>
      </c>
      <c r="J908" s="84">
        <f t="shared" si="113"/>
        <v>404672533.54377729</v>
      </c>
      <c r="L908" s="19">
        <f t="shared" si="116"/>
        <v>9.9999999999999645E-2</v>
      </c>
      <c r="M908" s="19">
        <f t="shared" si="117"/>
        <v>0.14000000000000012</v>
      </c>
      <c r="N908" s="19">
        <f t="shared" si="117"/>
        <v>0.14000000000000012</v>
      </c>
      <c r="O908" s="19">
        <f t="shared" si="117"/>
        <v>9.8300000000000054E-2</v>
      </c>
      <c r="P908" s="19">
        <f t="shared" si="115"/>
        <v>0.12000000000000011</v>
      </c>
      <c r="R908" s="19"/>
      <c r="S908" s="19"/>
      <c r="T908" s="19"/>
      <c r="U908" s="19"/>
      <c r="V908" s="19"/>
    </row>
    <row r="909" spans="1:22" x14ac:dyDescent="0.2">
      <c r="A909" s="8">
        <v>45520</v>
      </c>
      <c r="B909" s="24">
        <v>4.49</v>
      </c>
      <c r="C909" s="24">
        <v>4.0599999999999996</v>
      </c>
      <c r="D909" s="24">
        <v>3.87</v>
      </c>
      <c r="E909" s="24">
        <v>3.6928000000000001</v>
      </c>
      <c r="F909" s="24">
        <v>3.77</v>
      </c>
      <c r="G909" s="83">
        <f t="shared" si="111"/>
        <v>95.702938080199061</v>
      </c>
      <c r="H909" s="84">
        <f t="shared" si="114"/>
        <v>103.09813551236589</v>
      </c>
      <c r="I909" s="84">
        <f t="shared" si="112"/>
        <v>92.045460704438597</v>
      </c>
      <c r="J909" s="84">
        <f t="shared" si="113"/>
        <v>404940515.70960367</v>
      </c>
      <c r="L909" s="19">
        <f t="shared" si="116"/>
        <v>-2.9999999999999361E-2</v>
      </c>
      <c r="M909" s="19">
        <f t="shared" si="117"/>
        <v>-2.0000000000000462E-2</v>
      </c>
      <c r="N909" s="19">
        <f t="shared" si="117"/>
        <v>-2.9999999999999805E-2</v>
      </c>
      <c r="O909" s="19">
        <f t="shared" si="117"/>
        <v>-6.2999999999999723E-3</v>
      </c>
      <c r="P909" s="19">
        <f t="shared" si="115"/>
        <v>-2.0000000000000018E-2</v>
      </c>
      <c r="R909" s="19"/>
      <c r="S909" s="19"/>
      <c r="T909" s="19"/>
      <c r="U909" s="19"/>
      <c r="V909" s="19"/>
    </row>
    <row r="910" spans="1:22" x14ac:dyDescent="0.2">
      <c r="A910" s="8">
        <v>45523</v>
      </c>
      <c r="B910" s="24">
        <v>4.4800000000000004</v>
      </c>
      <c r="C910" s="24">
        <v>4.0599999999999996</v>
      </c>
      <c r="D910" s="24">
        <v>3.86</v>
      </c>
      <c r="E910" s="24">
        <v>3.681</v>
      </c>
      <c r="F910" s="24">
        <v>3.75</v>
      </c>
      <c r="G910" s="83">
        <f t="shared" si="111"/>
        <v>95.712098009188367</v>
      </c>
      <c r="H910" s="84">
        <f t="shared" si="114"/>
        <v>103.125660105733</v>
      </c>
      <c r="I910" s="84">
        <f t="shared" si="112"/>
        <v>92.128684467387401</v>
      </c>
      <c r="J910" s="84">
        <f t="shared" si="113"/>
        <v>405250443.72932684</v>
      </c>
      <c r="L910" s="19">
        <f t="shared" si="116"/>
        <v>-9.9999999999997868E-3</v>
      </c>
      <c r="M910" s="19">
        <f t="shared" si="117"/>
        <v>0</v>
      </c>
      <c r="N910" s="19">
        <f t="shared" si="117"/>
        <v>-1.0000000000000231E-2</v>
      </c>
      <c r="O910" s="19">
        <f t="shared" si="117"/>
        <v>-1.1800000000000033E-2</v>
      </c>
      <c r="P910" s="19">
        <f t="shared" si="115"/>
        <v>-2.0000000000000018E-2</v>
      </c>
      <c r="R910" s="19"/>
      <c r="S910" s="19"/>
      <c r="T910" s="19"/>
      <c r="U910" s="19"/>
      <c r="V910" s="19"/>
    </row>
    <row r="911" spans="1:22" x14ac:dyDescent="0.2">
      <c r="A911" s="8">
        <v>45524</v>
      </c>
      <c r="B911" s="24">
        <v>4.43</v>
      </c>
      <c r="C911" s="24">
        <v>3.99</v>
      </c>
      <c r="D911" s="24">
        <v>3.8</v>
      </c>
      <c r="E911" s="24">
        <v>3.6335000000000002</v>
      </c>
      <c r="F911" s="24">
        <v>3.7</v>
      </c>
      <c r="G911" s="83">
        <f t="shared" si="111"/>
        <v>95.757923968208374</v>
      </c>
      <c r="H911" s="84">
        <f t="shared" si="114"/>
        <v>103.29678860304236</v>
      </c>
      <c r="I911" s="84">
        <f t="shared" si="112"/>
        <v>92.343118628144964</v>
      </c>
      <c r="J911" s="84">
        <f t="shared" si="113"/>
        <v>405943139.54443306</v>
      </c>
      <c r="L911" s="19">
        <f t="shared" si="116"/>
        <v>-5.0000000000000711E-2</v>
      </c>
      <c r="M911" s="19">
        <f t="shared" si="117"/>
        <v>-6.9999999999999396E-2</v>
      </c>
      <c r="N911" s="19">
        <f t="shared" si="117"/>
        <v>-6.0000000000000053E-2</v>
      </c>
      <c r="O911" s="19">
        <f t="shared" si="117"/>
        <v>-4.7499999999999876E-2</v>
      </c>
      <c r="P911" s="19">
        <f t="shared" si="115"/>
        <v>-4.9999999999999822E-2</v>
      </c>
      <c r="R911" s="19"/>
      <c r="S911" s="19"/>
      <c r="T911" s="19"/>
      <c r="U911" s="19"/>
      <c r="V911" s="19"/>
    </row>
    <row r="912" spans="1:22" x14ac:dyDescent="0.2">
      <c r="A912" s="8">
        <v>45525</v>
      </c>
      <c r="B912" s="24">
        <v>4.3600000000000003</v>
      </c>
      <c r="C912" s="24">
        <v>3.92</v>
      </c>
      <c r="D912" s="24">
        <v>3.74</v>
      </c>
      <c r="E912" s="24">
        <v>3.5790999999999999</v>
      </c>
      <c r="F912" s="24">
        <v>3.64</v>
      </c>
      <c r="G912" s="83">
        <f t="shared" si="111"/>
        <v>95.822154082023758</v>
      </c>
      <c r="H912" s="84">
        <f t="shared" si="114"/>
        <v>103.46922631064852</v>
      </c>
      <c r="I912" s="84">
        <f t="shared" si="112"/>
        <v>92.60013798169021</v>
      </c>
      <c r="J912" s="84">
        <f t="shared" si="113"/>
        <v>406841020.62483561</v>
      </c>
      <c r="L912" s="19">
        <f t="shared" si="116"/>
        <v>-6.9999999999999396E-2</v>
      </c>
      <c r="M912" s="19">
        <f t="shared" si="117"/>
        <v>-7.0000000000000284E-2</v>
      </c>
      <c r="N912" s="19">
        <f t="shared" si="117"/>
        <v>-5.9999999999999609E-2</v>
      </c>
      <c r="O912" s="19">
        <f t="shared" si="117"/>
        <v>-5.4400000000000226E-2</v>
      </c>
      <c r="P912" s="19">
        <f t="shared" si="115"/>
        <v>-6.0000000000000053E-2</v>
      </c>
      <c r="R912" s="19"/>
      <c r="S912" s="19"/>
      <c r="T912" s="19"/>
      <c r="U912" s="19"/>
      <c r="V912" s="19"/>
    </row>
    <row r="913" spans="1:22" x14ac:dyDescent="0.2">
      <c r="A913" s="8">
        <v>45526</v>
      </c>
      <c r="B913" s="24">
        <v>4.43</v>
      </c>
      <c r="C913" s="24">
        <v>3.99</v>
      </c>
      <c r="D913" s="24">
        <v>3.82</v>
      </c>
      <c r="E913" s="24">
        <v>3.6337999999999999</v>
      </c>
      <c r="F913" s="24">
        <v>3.72</v>
      </c>
      <c r="G913" s="83">
        <f t="shared" si="111"/>
        <v>95.757923968208374</v>
      </c>
      <c r="H913" s="84">
        <f t="shared" si="114"/>
        <v>103.24254059462994</v>
      </c>
      <c r="I913" s="84">
        <f t="shared" si="112"/>
        <v>92.260091204952673</v>
      </c>
      <c r="J913" s="84">
        <f t="shared" si="113"/>
        <v>405692401.86428249</v>
      </c>
      <c r="L913" s="19">
        <f t="shared" si="116"/>
        <v>6.9999999999999396E-2</v>
      </c>
      <c r="M913" s="19">
        <f t="shared" si="117"/>
        <v>7.0000000000000284E-2</v>
      </c>
      <c r="N913" s="19">
        <f t="shared" si="117"/>
        <v>7.9999999999999627E-2</v>
      </c>
      <c r="O913" s="19">
        <f t="shared" si="117"/>
        <v>5.4699999999999971E-2</v>
      </c>
      <c r="P913" s="19">
        <f t="shared" si="115"/>
        <v>8.0000000000000071E-2</v>
      </c>
      <c r="R913" s="19"/>
      <c r="S913" s="19"/>
      <c r="T913" s="19"/>
      <c r="U913" s="19"/>
      <c r="V913" s="19"/>
    </row>
    <row r="914" spans="1:22" x14ac:dyDescent="0.2">
      <c r="A914" s="8">
        <v>45527</v>
      </c>
      <c r="B914" s="24">
        <v>4.3600000000000003</v>
      </c>
      <c r="C914" s="24">
        <v>3.9</v>
      </c>
      <c r="D914" s="24">
        <v>3.73</v>
      </c>
      <c r="E914" s="24">
        <v>3.5832999999999999</v>
      </c>
      <c r="F914" s="24">
        <v>3.65</v>
      </c>
      <c r="G914" s="83">
        <f t="shared" si="111"/>
        <v>95.822154082023758</v>
      </c>
      <c r="H914" s="84">
        <f t="shared" si="114"/>
        <v>103.49821145822534</v>
      </c>
      <c r="I914" s="84">
        <f t="shared" si="112"/>
        <v>92.55994588296825</v>
      </c>
      <c r="J914" s="84">
        <f t="shared" si="113"/>
        <v>406636774.50858247</v>
      </c>
      <c r="L914" s="19">
        <f t="shared" si="116"/>
        <v>-6.9999999999999396E-2</v>
      </c>
      <c r="M914" s="19">
        <f t="shared" si="117"/>
        <v>-9.0000000000000302E-2</v>
      </c>
      <c r="N914" s="19">
        <f t="shared" si="117"/>
        <v>-8.9999999999999858E-2</v>
      </c>
      <c r="O914" s="19">
        <f t="shared" si="117"/>
        <v>-5.0499999999999989E-2</v>
      </c>
      <c r="P914" s="19">
        <f t="shared" si="115"/>
        <v>-7.0000000000000284E-2</v>
      </c>
      <c r="R914" s="19"/>
      <c r="S914" s="19"/>
      <c r="T914" s="19"/>
      <c r="U914" s="19"/>
      <c r="V914" s="19"/>
    </row>
    <row r="915" spans="1:22" x14ac:dyDescent="0.2">
      <c r="A915" s="8">
        <v>45530</v>
      </c>
      <c r="B915" s="24">
        <v>4.38</v>
      </c>
      <c r="C915" s="24">
        <v>3.91</v>
      </c>
      <c r="D915" s="24">
        <v>3.74</v>
      </c>
      <c r="E915" s="24">
        <v>3.5829</v>
      </c>
      <c r="F915" s="24">
        <v>3.66</v>
      </c>
      <c r="G915" s="83">
        <f t="shared" si="111"/>
        <v>95.803793830235676</v>
      </c>
      <c r="H915" s="84">
        <f t="shared" si="114"/>
        <v>103.46919947774052</v>
      </c>
      <c r="I915" s="84">
        <f t="shared" si="112"/>
        <v>92.517613110656299</v>
      </c>
      <c r="J915" s="84">
        <f t="shared" si="113"/>
        <v>406474240.88648582</v>
      </c>
      <c r="L915" s="19">
        <f t="shared" si="116"/>
        <v>1.9999999999999574E-2</v>
      </c>
      <c r="M915" s="19">
        <f t="shared" si="117"/>
        <v>1.0000000000000231E-2</v>
      </c>
      <c r="N915" s="19">
        <f t="shared" si="117"/>
        <v>1.0000000000000231E-2</v>
      </c>
      <c r="O915" s="19">
        <f t="shared" si="117"/>
        <v>-3.9999999999995595E-4</v>
      </c>
      <c r="P915" s="19">
        <f t="shared" si="115"/>
        <v>1.0000000000000231E-2</v>
      </c>
      <c r="R915" s="19"/>
      <c r="S915" s="19"/>
      <c r="T915" s="19"/>
      <c r="U915" s="19"/>
      <c r="V915" s="19"/>
    </row>
    <row r="916" spans="1:22" x14ac:dyDescent="0.2">
      <c r="A916" s="8">
        <v>45531</v>
      </c>
      <c r="B916" s="24">
        <v>4.34</v>
      </c>
      <c r="C916" s="24">
        <v>3.83</v>
      </c>
      <c r="D916" s="24">
        <v>3.72</v>
      </c>
      <c r="E916" s="24">
        <v>3.5783999999999998</v>
      </c>
      <c r="F916" s="24">
        <v>3.66</v>
      </c>
      <c r="G916" s="83">
        <f t="shared" si="111"/>
        <v>95.840521372436257</v>
      </c>
      <c r="H916" s="84">
        <f t="shared" si="114"/>
        <v>103.53259011807592</v>
      </c>
      <c r="I916" s="84">
        <f t="shared" si="112"/>
        <v>92.522541564248428</v>
      </c>
      <c r="J916" s="84">
        <f t="shared" si="113"/>
        <v>406472323.82475233</v>
      </c>
      <c r="L916" s="19">
        <f t="shared" si="116"/>
        <v>-4.0000000000000036E-2</v>
      </c>
      <c r="M916" s="19">
        <f t="shared" si="117"/>
        <v>-8.0000000000000071E-2</v>
      </c>
      <c r="N916" s="19">
        <f t="shared" si="117"/>
        <v>-2.0000000000000018E-2</v>
      </c>
      <c r="O916" s="19">
        <f t="shared" si="117"/>
        <v>-4.5000000000001705E-3</v>
      </c>
      <c r="P916" s="19">
        <f t="shared" si="115"/>
        <v>0</v>
      </c>
      <c r="R916" s="19"/>
      <c r="S916" s="19"/>
      <c r="T916" s="19"/>
      <c r="U916" s="19"/>
      <c r="V916" s="19"/>
    </row>
    <row r="917" spans="1:22" x14ac:dyDescent="0.2">
      <c r="A917" s="8">
        <v>45532</v>
      </c>
      <c r="B917" s="24">
        <v>4.3600000000000003</v>
      </c>
      <c r="C917" s="24">
        <v>3.83</v>
      </c>
      <c r="D917" s="24">
        <v>3.72</v>
      </c>
      <c r="E917" s="24">
        <v>3.5798999999999999</v>
      </c>
      <c r="F917" s="24">
        <v>3.63</v>
      </c>
      <c r="G917" s="83">
        <f t="shared" si="111"/>
        <v>95.822154082023758</v>
      </c>
      <c r="H917" s="84">
        <f t="shared" si="114"/>
        <v>103.53167175355529</v>
      </c>
      <c r="I917" s="84">
        <f t="shared" si="112"/>
        <v>92.645498062186533</v>
      </c>
      <c r="J917" s="84">
        <f t="shared" si="113"/>
        <v>406928792.78246075</v>
      </c>
      <c r="L917" s="19">
        <f t="shared" si="116"/>
        <v>2.0000000000000462E-2</v>
      </c>
      <c r="M917" s="19">
        <f t="shared" si="117"/>
        <v>0</v>
      </c>
      <c r="N917" s="19">
        <f t="shared" si="117"/>
        <v>0</v>
      </c>
      <c r="O917" s="19">
        <f t="shared" si="117"/>
        <v>1.5000000000000568E-3</v>
      </c>
      <c r="P917" s="19">
        <f t="shared" si="115"/>
        <v>-3.0000000000000249E-2</v>
      </c>
      <c r="R917" s="19"/>
      <c r="S917" s="19"/>
      <c r="T917" s="19"/>
      <c r="U917" s="19"/>
      <c r="V917" s="19"/>
    </row>
    <row r="918" spans="1:22" x14ac:dyDescent="0.2">
      <c r="A918" s="8">
        <v>45533</v>
      </c>
      <c r="B918" s="24">
        <v>4.38</v>
      </c>
      <c r="C918" s="24">
        <v>3.87</v>
      </c>
      <c r="D918" s="24">
        <v>3.76</v>
      </c>
      <c r="E918" s="24">
        <v>3.6032999999999999</v>
      </c>
      <c r="F918" s="24">
        <v>3.66</v>
      </c>
      <c r="G918" s="83">
        <f t="shared" si="111"/>
        <v>95.803793830235676</v>
      </c>
      <c r="H918" s="84">
        <f t="shared" si="114"/>
        <v>103.41839316408242</v>
      </c>
      <c r="I918" s="84">
        <f t="shared" si="112"/>
        <v>92.516636403334843</v>
      </c>
      <c r="J918" s="84">
        <f t="shared" si="113"/>
        <v>406546543.52768707</v>
      </c>
      <c r="L918" s="19">
        <f t="shared" si="116"/>
        <v>1.9999999999999574E-2</v>
      </c>
      <c r="M918" s="19">
        <f t="shared" si="117"/>
        <v>4.0000000000000036E-2</v>
      </c>
      <c r="N918" s="19">
        <f t="shared" si="117"/>
        <v>3.9999999999999591E-2</v>
      </c>
      <c r="O918" s="19">
        <f t="shared" si="117"/>
        <v>2.3400000000000087E-2</v>
      </c>
      <c r="P918" s="19">
        <f t="shared" si="115"/>
        <v>3.0000000000000249E-2</v>
      </c>
      <c r="R918" s="19"/>
      <c r="S918" s="19"/>
      <c r="T918" s="19"/>
      <c r="U918" s="19"/>
      <c r="V918" s="19"/>
    </row>
    <row r="919" spans="1:22" x14ac:dyDescent="0.2">
      <c r="A919" s="8">
        <v>45534</v>
      </c>
      <c r="B919" s="24">
        <v>4.38</v>
      </c>
      <c r="C919" s="24">
        <v>3.91</v>
      </c>
      <c r="D919" s="24">
        <v>3.79</v>
      </c>
      <c r="E919" s="24">
        <v>3.6322000000000001</v>
      </c>
      <c r="F919" s="24">
        <v>3.71</v>
      </c>
      <c r="G919" s="83">
        <f t="shared" si="111"/>
        <v>95.803793830235676</v>
      </c>
      <c r="H919" s="84">
        <f t="shared" si="114"/>
        <v>103.33334402298991</v>
      </c>
      <c r="I919" s="84">
        <f t="shared" si="112"/>
        <v>92.306489991934086</v>
      </c>
      <c r="J919" s="84">
        <f t="shared" si="113"/>
        <v>405833531.59372282</v>
      </c>
      <c r="L919" s="19">
        <f t="shared" si="116"/>
        <v>0</v>
      </c>
      <c r="M919" s="19">
        <f t="shared" si="117"/>
        <v>4.0000000000000036E-2</v>
      </c>
      <c r="N919" s="19">
        <f t="shared" si="117"/>
        <v>3.0000000000000249E-2</v>
      </c>
      <c r="O919" s="19">
        <f t="shared" si="117"/>
        <v>2.8900000000000148E-2</v>
      </c>
      <c r="P919" s="19">
        <f t="shared" si="115"/>
        <v>4.9999999999999822E-2</v>
      </c>
      <c r="R919" s="19"/>
      <c r="S919" s="19"/>
      <c r="T919" s="19"/>
      <c r="U919" s="19"/>
      <c r="V919" s="19"/>
    </row>
    <row r="920" spans="1:22" x14ac:dyDescent="0.2">
      <c r="A920" s="8">
        <v>45538</v>
      </c>
      <c r="B920" s="24">
        <v>4.3499999999999996</v>
      </c>
      <c r="C920" s="24">
        <v>3.88</v>
      </c>
      <c r="D920" s="24">
        <v>3.73</v>
      </c>
      <c r="E920" s="24">
        <v>3.5865</v>
      </c>
      <c r="F920" s="24">
        <v>3.65</v>
      </c>
      <c r="G920" s="83">
        <f t="shared" si="111"/>
        <v>95.831336847149004</v>
      </c>
      <c r="H920" s="84">
        <f t="shared" si="114"/>
        <v>103.5004542428951</v>
      </c>
      <c r="I920" s="84">
        <f t="shared" si="112"/>
        <v>92.560628333581249</v>
      </c>
      <c r="J920" s="84">
        <f t="shared" si="113"/>
        <v>406654505.66428035</v>
      </c>
      <c r="L920" s="19">
        <f t="shared" si="116"/>
        <v>-3.0000000000000249E-2</v>
      </c>
      <c r="M920" s="19">
        <f t="shared" si="117"/>
        <v>-3.0000000000000249E-2</v>
      </c>
      <c r="N920" s="19">
        <f t="shared" si="117"/>
        <v>-6.0000000000000053E-2</v>
      </c>
      <c r="O920" s="19">
        <f t="shared" si="117"/>
        <v>-4.5700000000000074E-2</v>
      </c>
      <c r="P920" s="19">
        <f t="shared" si="115"/>
        <v>-6.0000000000000053E-2</v>
      </c>
      <c r="R920" s="19"/>
      <c r="S920" s="19"/>
      <c r="T920" s="19"/>
      <c r="U920" s="19"/>
      <c r="V920" s="19"/>
    </row>
    <row r="921" spans="1:22" x14ac:dyDescent="0.2">
      <c r="A921" s="8">
        <v>45539</v>
      </c>
      <c r="B921" s="24">
        <v>4.2300000000000004</v>
      </c>
      <c r="C921" s="24">
        <v>3.76</v>
      </c>
      <c r="D921" s="24">
        <v>3.63</v>
      </c>
      <c r="E921" s="24">
        <v>3.4944999999999999</v>
      </c>
      <c r="F921" s="24">
        <v>3.56</v>
      </c>
      <c r="G921" s="83">
        <f t="shared" si="111"/>
        <v>95.941667466180562</v>
      </c>
      <c r="H921" s="84">
        <f t="shared" si="114"/>
        <v>103.78929751262775</v>
      </c>
      <c r="I921" s="84">
        <f t="shared" si="112"/>
        <v>92.949634109220298</v>
      </c>
      <c r="J921" s="84">
        <f t="shared" si="113"/>
        <v>407997925.10030067</v>
      </c>
      <c r="L921" s="19">
        <f t="shared" si="116"/>
        <v>-0.11999999999999922</v>
      </c>
      <c r="M921" s="19">
        <f t="shared" si="117"/>
        <v>-0.12000000000000011</v>
      </c>
      <c r="N921" s="19">
        <f t="shared" si="117"/>
        <v>-0.10000000000000009</v>
      </c>
      <c r="O921" s="19">
        <f t="shared" si="117"/>
        <v>-9.2000000000000082E-2</v>
      </c>
      <c r="P921" s="19">
        <f t="shared" si="115"/>
        <v>-8.9999999999999858E-2</v>
      </c>
      <c r="R921" s="19"/>
      <c r="S921" s="19"/>
      <c r="T921" s="19"/>
      <c r="U921" s="19"/>
      <c r="V921" s="19"/>
    </row>
    <row r="922" spans="1:22" x14ac:dyDescent="0.2">
      <c r="A922" s="8">
        <v>45540</v>
      </c>
      <c r="B922" s="24">
        <v>4.21</v>
      </c>
      <c r="C922" s="24">
        <v>3.75</v>
      </c>
      <c r="D922" s="24">
        <v>3.61</v>
      </c>
      <c r="E922" s="24">
        <v>3.4565999999999999</v>
      </c>
      <c r="F922" s="24">
        <v>3.54</v>
      </c>
      <c r="G922" s="83">
        <f t="shared" si="111"/>
        <v>95.960080606467713</v>
      </c>
      <c r="H922" s="84">
        <f t="shared" si="114"/>
        <v>103.84576046418987</v>
      </c>
      <c r="I922" s="84">
        <f t="shared" si="112"/>
        <v>93.036694235122354</v>
      </c>
      <c r="J922" s="84">
        <f t="shared" si="113"/>
        <v>408298297.45714003</v>
      </c>
      <c r="L922" s="19">
        <f t="shared" si="116"/>
        <v>-2.0000000000000462E-2</v>
      </c>
      <c r="M922" s="19">
        <f t="shared" si="117"/>
        <v>-9.9999999999997868E-3</v>
      </c>
      <c r="N922" s="19">
        <f t="shared" si="117"/>
        <v>-2.0000000000000018E-2</v>
      </c>
      <c r="O922" s="19">
        <f t="shared" si="117"/>
        <v>-3.7900000000000045E-2</v>
      </c>
      <c r="P922" s="19">
        <f t="shared" si="115"/>
        <v>-2.0000000000000018E-2</v>
      </c>
      <c r="R922" s="19"/>
      <c r="S922" s="19"/>
      <c r="T922" s="19"/>
      <c r="U922" s="19"/>
      <c r="V922" s="19"/>
    </row>
    <row r="923" spans="1:22" x14ac:dyDescent="0.2">
      <c r="A923" s="8">
        <v>45541</v>
      </c>
      <c r="B923" s="24">
        <v>4.0999999999999996</v>
      </c>
      <c r="C923" s="24">
        <v>3.66</v>
      </c>
      <c r="D923" s="24">
        <v>3.54</v>
      </c>
      <c r="E923" s="24">
        <v>3.4053</v>
      </c>
      <c r="F923" s="24">
        <v>3.5</v>
      </c>
      <c r="G923" s="83">
        <f t="shared" si="111"/>
        <v>96.061479346781951</v>
      </c>
      <c r="H923" s="84">
        <f t="shared" si="114"/>
        <v>104.0504969711325</v>
      </c>
      <c r="I923" s="84">
        <f t="shared" si="112"/>
        <v>93.214828359222125</v>
      </c>
      <c r="J923" s="84">
        <f t="shared" si="113"/>
        <v>408906526.67375368</v>
      </c>
      <c r="L923" s="19">
        <f t="shared" si="116"/>
        <v>-0.11000000000000032</v>
      </c>
      <c r="M923" s="19">
        <f t="shared" si="117"/>
        <v>-8.9999999999999858E-2</v>
      </c>
      <c r="N923" s="19">
        <f t="shared" si="117"/>
        <v>-6.999999999999984E-2</v>
      </c>
      <c r="O923" s="19">
        <f t="shared" si="117"/>
        <v>-5.1299999999999901E-2</v>
      </c>
      <c r="P923" s="19">
        <f t="shared" si="115"/>
        <v>-4.0000000000000036E-2</v>
      </c>
      <c r="R923" s="19"/>
      <c r="S923" s="19"/>
      <c r="T923" s="19"/>
      <c r="U923" s="19"/>
      <c r="V923" s="19"/>
    </row>
    <row r="924" spans="1:22" x14ac:dyDescent="0.2">
      <c r="A924" s="8">
        <v>45544</v>
      </c>
      <c r="B924" s="24">
        <v>4.12</v>
      </c>
      <c r="C924" s="24">
        <v>3.68</v>
      </c>
      <c r="D924" s="24">
        <v>3.54</v>
      </c>
      <c r="E924" s="24">
        <v>3.3834</v>
      </c>
      <c r="F924" s="24">
        <v>3.49</v>
      </c>
      <c r="G924" s="83">
        <f t="shared" si="111"/>
        <v>96.04302727621976</v>
      </c>
      <c r="H924" s="84">
        <f t="shared" si="114"/>
        <v>104.04777934175047</v>
      </c>
      <c r="I924" s="84">
        <f t="shared" si="112"/>
        <v>93.256724557784381</v>
      </c>
      <c r="J924" s="84">
        <f t="shared" si="113"/>
        <v>409041283.77095133</v>
      </c>
      <c r="L924" s="19">
        <f t="shared" si="116"/>
        <v>2.0000000000000462E-2</v>
      </c>
      <c r="M924" s="19">
        <f t="shared" si="117"/>
        <v>2.0000000000000018E-2</v>
      </c>
      <c r="N924" s="19">
        <f t="shared" si="117"/>
        <v>0</v>
      </c>
      <c r="O924" s="19">
        <f t="shared" si="117"/>
        <v>-2.1900000000000031E-2</v>
      </c>
      <c r="P924" s="19">
        <f t="shared" si="115"/>
        <v>-9.9999999999997868E-3</v>
      </c>
      <c r="R924" s="19"/>
      <c r="S924" s="19"/>
      <c r="T924" s="19"/>
      <c r="U924" s="19"/>
      <c r="V924" s="19"/>
    </row>
    <row r="925" spans="1:22" x14ac:dyDescent="0.2">
      <c r="A925" s="8">
        <v>45545</v>
      </c>
      <c r="B925" s="24">
        <v>4.07</v>
      </c>
      <c r="C925" s="24">
        <v>3.59</v>
      </c>
      <c r="D925" s="24">
        <v>3.42</v>
      </c>
      <c r="E925" s="24">
        <v>3.3264999999999998</v>
      </c>
      <c r="F925" s="24">
        <v>3.43</v>
      </c>
      <c r="G925" s="83">
        <f t="shared" si="111"/>
        <v>96.089170750456432</v>
      </c>
      <c r="H925" s="84">
        <f t="shared" si="114"/>
        <v>104.38783258871304</v>
      </c>
      <c r="I925" s="84">
        <f t="shared" si="112"/>
        <v>93.520529983242213</v>
      </c>
      <c r="J925" s="84">
        <f t="shared" si="113"/>
        <v>409678712.55081218</v>
      </c>
      <c r="L925" s="19">
        <f t="shared" si="116"/>
        <v>-4.9999999999999822E-2</v>
      </c>
      <c r="M925" s="19">
        <f t="shared" si="117"/>
        <v>-9.0000000000000302E-2</v>
      </c>
      <c r="N925" s="19">
        <f t="shared" si="117"/>
        <v>-0.12000000000000011</v>
      </c>
      <c r="O925" s="19">
        <f t="shared" si="117"/>
        <v>-5.6900000000000173E-2</v>
      </c>
      <c r="P925" s="19">
        <f t="shared" si="115"/>
        <v>-6.0000000000000053E-2</v>
      </c>
      <c r="R925" s="19"/>
      <c r="S925" s="19"/>
      <c r="T925" s="19"/>
      <c r="U925" s="19"/>
      <c r="V925" s="19"/>
    </row>
    <row r="926" spans="1:22" x14ac:dyDescent="0.2">
      <c r="A926" s="8">
        <v>45546</v>
      </c>
      <c r="B926" s="24">
        <v>4.12</v>
      </c>
      <c r="C926" s="24">
        <v>3.62</v>
      </c>
      <c r="D926" s="24">
        <v>3.45</v>
      </c>
      <c r="E926" s="24">
        <v>3.3347000000000002</v>
      </c>
      <c r="F926" s="24">
        <v>3.45</v>
      </c>
      <c r="G926" s="83">
        <f t="shared" si="111"/>
        <v>96.04302727621976</v>
      </c>
      <c r="H926" s="84">
        <f t="shared" si="114"/>
        <v>104.30026931089864</v>
      </c>
      <c r="I926" s="84">
        <f t="shared" si="112"/>
        <v>93.433132376793367</v>
      </c>
      <c r="J926" s="84">
        <f t="shared" si="113"/>
        <v>409368180.09326506</v>
      </c>
      <c r="L926" s="19">
        <f t="shared" si="116"/>
        <v>4.9999999999999822E-2</v>
      </c>
      <c r="M926" s="19">
        <f t="shared" si="117"/>
        <v>3.0000000000000249E-2</v>
      </c>
      <c r="N926" s="19">
        <f t="shared" si="117"/>
        <v>3.0000000000000249E-2</v>
      </c>
      <c r="O926" s="19">
        <f t="shared" si="117"/>
        <v>8.2000000000004292E-3</v>
      </c>
      <c r="P926" s="19">
        <f t="shared" si="115"/>
        <v>2.0000000000000018E-2</v>
      </c>
      <c r="R926" s="19"/>
      <c r="S926" s="19"/>
      <c r="T926" s="19"/>
      <c r="U926" s="19"/>
      <c r="V926" s="19"/>
    </row>
    <row r="927" spans="1:22" x14ac:dyDescent="0.2">
      <c r="A927" s="8">
        <v>45547</v>
      </c>
      <c r="B927" s="24">
        <v>4.09</v>
      </c>
      <c r="C927" s="24">
        <v>3.64</v>
      </c>
      <c r="D927" s="24">
        <v>3.47</v>
      </c>
      <c r="E927" s="24">
        <v>3.3483000000000001</v>
      </c>
      <c r="F927" s="24">
        <v>3.47</v>
      </c>
      <c r="G927" s="83">
        <f t="shared" si="111"/>
        <v>96.070708041118266</v>
      </c>
      <c r="H927" s="84">
        <f t="shared" si="114"/>
        <v>104.24487042889176</v>
      </c>
      <c r="I927" s="84">
        <f t="shared" si="112"/>
        <v>93.347826945366108</v>
      </c>
      <c r="J927" s="84">
        <f t="shared" si="113"/>
        <v>409165418.22036338</v>
      </c>
      <c r="L927" s="19">
        <f t="shared" si="116"/>
        <v>-3.0000000000000249E-2</v>
      </c>
      <c r="M927" s="19">
        <f t="shared" si="117"/>
        <v>2.0000000000000018E-2</v>
      </c>
      <c r="N927" s="19">
        <f t="shared" si="117"/>
        <v>2.0000000000000018E-2</v>
      </c>
      <c r="O927" s="19">
        <f t="shared" si="117"/>
        <v>1.3599999999999834E-2</v>
      </c>
      <c r="P927" s="19">
        <f t="shared" si="115"/>
        <v>2.0000000000000018E-2</v>
      </c>
      <c r="R927" s="19"/>
      <c r="S927" s="19"/>
      <c r="T927" s="19"/>
      <c r="U927" s="19"/>
      <c r="V927" s="19"/>
    </row>
    <row r="928" spans="1:22" x14ac:dyDescent="0.2">
      <c r="A928" s="8">
        <v>45548</v>
      </c>
      <c r="B928" s="24">
        <v>4</v>
      </c>
      <c r="C928" s="24">
        <v>3.57</v>
      </c>
      <c r="D928" s="24">
        <v>3.42</v>
      </c>
      <c r="E928" s="24">
        <v>3.3073000000000001</v>
      </c>
      <c r="F928" s="24">
        <v>3.43</v>
      </c>
      <c r="G928" s="83">
        <f t="shared" si="111"/>
        <v>96.153846153846146</v>
      </c>
      <c r="H928" s="84">
        <f t="shared" si="114"/>
        <v>104.39286606786276</v>
      </c>
      <c r="I928" s="84">
        <f t="shared" si="112"/>
        <v>93.523848146217659</v>
      </c>
      <c r="J928" s="84">
        <f t="shared" si="113"/>
        <v>409813785.7907688</v>
      </c>
      <c r="L928" s="19">
        <f t="shared" si="116"/>
        <v>-8.9999999999999858E-2</v>
      </c>
      <c r="M928" s="19">
        <f t="shared" si="117"/>
        <v>-7.0000000000000284E-2</v>
      </c>
      <c r="N928" s="19">
        <f t="shared" si="117"/>
        <v>-5.0000000000000266E-2</v>
      </c>
      <c r="O928" s="19">
        <f t="shared" si="117"/>
        <v>-4.0999999999999925E-2</v>
      </c>
      <c r="P928" s="19">
        <f t="shared" si="115"/>
        <v>-4.0000000000000036E-2</v>
      </c>
      <c r="R928" s="19"/>
      <c r="S928" s="19"/>
      <c r="T928" s="19"/>
      <c r="U928" s="19"/>
      <c r="V928" s="19"/>
    </row>
    <row r="929" spans="1:22" x14ac:dyDescent="0.2">
      <c r="A929" s="8">
        <v>45551</v>
      </c>
      <c r="B929" s="24">
        <v>3.96</v>
      </c>
      <c r="C929" s="24">
        <v>3.56</v>
      </c>
      <c r="D929" s="24">
        <v>3.42</v>
      </c>
      <c r="E929" s="24">
        <v>3.2791000000000001</v>
      </c>
      <c r="F929" s="24">
        <v>3.41</v>
      </c>
      <c r="G929" s="83">
        <f t="shared" si="111"/>
        <v>96.19084263178145</v>
      </c>
      <c r="H929" s="84">
        <f t="shared" si="114"/>
        <v>104.39561613728921</v>
      </c>
      <c r="I929" s="84">
        <f t="shared" si="112"/>
        <v>93.610229692036555</v>
      </c>
      <c r="J929" s="84">
        <f t="shared" si="113"/>
        <v>410229179.82577527</v>
      </c>
      <c r="L929" s="19">
        <f t="shared" si="116"/>
        <v>-4.0000000000000036E-2</v>
      </c>
      <c r="M929" s="19">
        <f t="shared" si="117"/>
        <v>-9.9999999999997868E-3</v>
      </c>
      <c r="N929" s="19">
        <f t="shared" si="117"/>
        <v>0</v>
      </c>
      <c r="O929" s="19">
        <f t="shared" si="117"/>
        <v>-2.8200000000000003E-2</v>
      </c>
      <c r="P929" s="19">
        <f t="shared" si="115"/>
        <v>-2.0000000000000018E-2</v>
      </c>
      <c r="R929" s="19"/>
      <c r="S929" s="19"/>
      <c r="T929" s="19"/>
      <c r="U929" s="19"/>
      <c r="V929" s="19"/>
    </row>
    <row r="930" spans="1:22" x14ac:dyDescent="0.2">
      <c r="A930" s="8">
        <v>45552</v>
      </c>
      <c r="B930" s="24">
        <v>3.99</v>
      </c>
      <c r="C930" s="24">
        <v>3.59</v>
      </c>
      <c r="D930" s="24">
        <v>3.45</v>
      </c>
      <c r="E930" s="24">
        <v>3.2978999999999998</v>
      </c>
      <c r="F930" s="24">
        <v>3.44</v>
      </c>
      <c r="G930" s="83">
        <f t="shared" si="111"/>
        <v>96.163092605058168</v>
      </c>
      <c r="H930" s="84">
        <f t="shared" si="114"/>
        <v>104.30897018712236</v>
      </c>
      <c r="I930" s="84">
        <f t="shared" si="112"/>
        <v>93.48073467407707</v>
      </c>
      <c r="J930" s="84">
        <f t="shared" si="113"/>
        <v>409785668.625741</v>
      </c>
      <c r="L930" s="19">
        <f t="shared" si="116"/>
        <v>3.0000000000000249E-2</v>
      </c>
      <c r="M930" s="19">
        <f t="shared" si="117"/>
        <v>2.9999999999999805E-2</v>
      </c>
      <c r="N930" s="19">
        <f t="shared" si="117"/>
        <v>3.0000000000000249E-2</v>
      </c>
      <c r="O930" s="19">
        <f t="shared" si="117"/>
        <v>1.8799999999999706E-2</v>
      </c>
      <c r="P930" s="19">
        <f t="shared" si="115"/>
        <v>2.9999999999999805E-2</v>
      </c>
      <c r="R930" s="19"/>
      <c r="S930" s="19"/>
      <c r="T930" s="19"/>
      <c r="U930" s="19"/>
      <c r="V930" s="19"/>
    </row>
    <row r="931" spans="1:22" x14ac:dyDescent="0.2">
      <c r="A931" s="8">
        <v>45553</v>
      </c>
      <c r="B931" s="24">
        <v>3.95</v>
      </c>
      <c r="C931" s="24">
        <v>3.61</v>
      </c>
      <c r="D931" s="24">
        <v>3.49</v>
      </c>
      <c r="E931" s="24">
        <v>3.3298000000000001</v>
      </c>
      <c r="F931" s="24">
        <v>3.47</v>
      </c>
      <c r="G931" s="83">
        <f t="shared" si="111"/>
        <v>96.200096200096198</v>
      </c>
      <c r="H931" s="84">
        <f t="shared" si="114"/>
        <v>104.19909256696741</v>
      </c>
      <c r="I931" s="84">
        <f t="shared" si="112"/>
        <v>93.351702443150089</v>
      </c>
      <c r="J931" s="84">
        <f t="shared" si="113"/>
        <v>409508363.32234168</v>
      </c>
      <c r="L931" s="19">
        <f t="shared" si="116"/>
        <v>-4.0000000000000036E-2</v>
      </c>
      <c r="M931" s="19">
        <f t="shared" si="117"/>
        <v>2.0000000000000018E-2</v>
      </c>
      <c r="N931" s="19">
        <f t="shared" si="117"/>
        <v>4.0000000000000036E-2</v>
      </c>
      <c r="O931" s="19">
        <f t="shared" si="117"/>
        <v>3.1900000000000261E-2</v>
      </c>
      <c r="P931" s="19">
        <f t="shared" si="115"/>
        <v>3.0000000000000249E-2</v>
      </c>
      <c r="R931" s="19"/>
      <c r="S931" s="19"/>
      <c r="T931" s="19"/>
      <c r="U931" s="19"/>
      <c r="V931" s="19"/>
    </row>
    <row r="932" spans="1:22" x14ac:dyDescent="0.2">
      <c r="A932" s="8">
        <v>45554</v>
      </c>
      <c r="B932" s="24">
        <v>3.93</v>
      </c>
      <c r="C932" s="24">
        <v>3.59</v>
      </c>
      <c r="D932" s="24">
        <v>3.47</v>
      </c>
      <c r="E932" s="24">
        <v>3.3460999999999999</v>
      </c>
      <c r="F932" s="24">
        <v>3.49</v>
      </c>
      <c r="G932" s="83">
        <f t="shared" si="111"/>
        <v>96.218608678918514</v>
      </c>
      <c r="H932" s="84">
        <f t="shared" si="114"/>
        <v>104.25676017579853</v>
      </c>
      <c r="I932" s="84">
        <f t="shared" si="112"/>
        <v>93.269658788589751</v>
      </c>
      <c r="J932" s="84">
        <f t="shared" si="113"/>
        <v>409130712.2484982</v>
      </c>
      <c r="L932" s="19">
        <f t="shared" si="116"/>
        <v>-2.0000000000000018E-2</v>
      </c>
      <c r="M932" s="19">
        <f t="shared" si="117"/>
        <v>-2.0000000000000018E-2</v>
      </c>
      <c r="N932" s="19">
        <f t="shared" si="117"/>
        <v>-2.0000000000000018E-2</v>
      </c>
      <c r="O932" s="19">
        <f t="shared" si="117"/>
        <v>1.6299999999999759E-2</v>
      </c>
      <c r="P932" s="19">
        <f t="shared" si="115"/>
        <v>2.0000000000000018E-2</v>
      </c>
      <c r="R932" s="19"/>
      <c r="S932" s="19"/>
      <c r="T932" s="19"/>
      <c r="U932" s="19"/>
      <c r="V932" s="19"/>
    </row>
    <row r="933" spans="1:22" x14ac:dyDescent="0.2">
      <c r="A933" s="8">
        <v>45555</v>
      </c>
      <c r="B933" s="24">
        <v>3.92</v>
      </c>
      <c r="C933" s="24">
        <v>3.55</v>
      </c>
      <c r="D933" s="24">
        <v>3.46</v>
      </c>
      <c r="E933" s="24">
        <v>3.3397000000000001</v>
      </c>
      <c r="F933" s="24">
        <v>3.48</v>
      </c>
      <c r="G933" s="83">
        <f t="shared" si="111"/>
        <v>96.22786759045421</v>
      </c>
      <c r="H933" s="84">
        <f t="shared" si="114"/>
        <v>104.2883111750576</v>
      </c>
      <c r="I933" s="84">
        <f t="shared" si="112"/>
        <v>93.31376673011296</v>
      </c>
      <c r="J933" s="84">
        <f t="shared" si="113"/>
        <v>409278335.33877385</v>
      </c>
      <c r="L933" s="19">
        <f t="shared" si="116"/>
        <v>-1.0000000000000231E-2</v>
      </c>
      <c r="M933" s="19">
        <f t="shared" si="117"/>
        <v>-4.0000000000000036E-2</v>
      </c>
      <c r="N933" s="19">
        <f t="shared" si="117"/>
        <v>-1.0000000000000231E-2</v>
      </c>
      <c r="O933" s="19">
        <f t="shared" si="117"/>
        <v>-6.3999999999997392E-3</v>
      </c>
      <c r="P933" s="19">
        <f t="shared" si="115"/>
        <v>-1.0000000000000231E-2</v>
      </c>
      <c r="R933" s="19"/>
      <c r="S933" s="19"/>
      <c r="T933" s="19"/>
      <c r="U933" s="19"/>
      <c r="V933" s="19"/>
    </row>
    <row r="934" spans="1:22" x14ac:dyDescent="0.2">
      <c r="A934" s="8">
        <v>45558</v>
      </c>
      <c r="B934" s="24">
        <v>3.91</v>
      </c>
      <c r="C934" s="24">
        <v>3.57</v>
      </c>
      <c r="D934" s="24">
        <v>3.47</v>
      </c>
      <c r="E934" s="24">
        <v>3.3532999999999999</v>
      </c>
      <c r="F934" s="24">
        <v>3.51</v>
      </c>
      <c r="G934" s="83">
        <f t="shared" si="111"/>
        <v>96.237128284092009</v>
      </c>
      <c r="H934" s="84">
        <f t="shared" si="114"/>
        <v>104.25948586503743</v>
      </c>
      <c r="I934" s="84">
        <f t="shared" si="112"/>
        <v>93.18728347985224</v>
      </c>
      <c r="J934" s="84">
        <f t="shared" si="113"/>
        <v>408834161.69003683</v>
      </c>
      <c r="L934" s="19">
        <f t="shared" si="116"/>
        <v>-9.9999999999997868E-3</v>
      </c>
      <c r="M934" s="19">
        <f t="shared" si="117"/>
        <v>2.0000000000000018E-2</v>
      </c>
      <c r="N934" s="19">
        <f t="shared" si="117"/>
        <v>1.0000000000000231E-2</v>
      </c>
      <c r="O934" s="19">
        <f t="shared" si="117"/>
        <v>1.3599999999999834E-2</v>
      </c>
      <c r="P934" s="19">
        <f t="shared" si="115"/>
        <v>2.9999999999999805E-2</v>
      </c>
      <c r="R934" s="19"/>
      <c r="S934" s="19"/>
      <c r="T934" s="19"/>
      <c r="U934" s="19"/>
      <c r="V934" s="19"/>
    </row>
    <row r="935" spans="1:22" x14ac:dyDescent="0.2">
      <c r="A935" s="8">
        <v>45559</v>
      </c>
      <c r="B935" s="24">
        <v>3.88</v>
      </c>
      <c r="C935" s="24">
        <v>3.49</v>
      </c>
      <c r="D935" s="24">
        <v>3.44</v>
      </c>
      <c r="E935" s="24">
        <v>3.3340999999999998</v>
      </c>
      <c r="F935" s="24">
        <v>3.47</v>
      </c>
      <c r="G935" s="83">
        <f t="shared" si="111"/>
        <v>96.264921062764728</v>
      </c>
      <c r="H935" s="84">
        <f t="shared" si="114"/>
        <v>104.35057944876321</v>
      </c>
      <c r="I935" s="84">
        <f t="shared" si="112"/>
        <v>93.359647864780001</v>
      </c>
      <c r="J935" s="84">
        <f t="shared" si="113"/>
        <v>409442564.41150463</v>
      </c>
      <c r="L935" s="19">
        <f t="shared" si="116"/>
        <v>-3.0000000000000249E-2</v>
      </c>
      <c r="M935" s="19">
        <f t="shared" si="117"/>
        <v>-7.9999999999999627E-2</v>
      </c>
      <c r="N935" s="19">
        <f t="shared" si="117"/>
        <v>-3.0000000000000249E-2</v>
      </c>
      <c r="O935" s="19">
        <f t="shared" si="117"/>
        <v>-1.9200000000000106E-2</v>
      </c>
      <c r="P935" s="19">
        <f t="shared" si="115"/>
        <v>-3.9999999999999591E-2</v>
      </c>
      <c r="R935" s="19"/>
      <c r="S935" s="19"/>
      <c r="T935" s="19"/>
      <c r="U935" s="19"/>
      <c r="V935" s="19"/>
    </row>
    <row r="936" spans="1:22" x14ac:dyDescent="0.2">
      <c r="A936" s="8">
        <v>45560</v>
      </c>
      <c r="B936" s="24">
        <v>3.89</v>
      </c>
      <c r="C936" s="24">
        <v>3.53</v>
      </c>
      <c r="D936" s="24">
        <v>3.49</v>
      </c>
      <c r="E936" s="24">
        <v>3.3683999999999998</v>
      </c>
      <c r="F936" s="24">
        <v>3.52</v>
      </c>
      <c r="G936" s="83">
        <f t="shared" si="111"/>
        <v>96.255655019732416</v>
      </c>
      <c r="H936" s="84">
        <f t="shared" si="114"/>
        <v>104.20907143129422</v>
      </c>
      <c r="I936" s="84">
        <f t="shared" si="112"/>
        <v>93.145572050851669</v>
      </c>
      <c r="J936" s="84">
        <f t="shared" si="113"/>
        <v>408779991.09593022</v>
      </c>
      <c r="L936" s="19">
        <f t="shared" si="116"/>
        <v>1.0000000000000231E-2</v>
      </c>
      <c r="M936" s="19">
        <f t="shared" si="117"/>
        <v>3.9999999999999591E-2</v>
      </c>
      <c r="N936" s="19">
        <f t="shared" si="117"/>
        <v>5.0000000000000266E-2</v>
      </c>
      <c r="O936" s="19">
        <f t="shared" si="117"/>
        <v>3.4299999999999997E-2</v>
      </c>
      <c r="P936" s="19">
        <f t="shared" si="115"/>
        <v>4.9999999999999822E-2</v>
      </c>
      <c r="R936" s="19"/>
      <c r="S936" s="19"/>
      <c r="T936" s="19"/>
      <c r="U936" s="19"/>
      <c r="V936" s="19"/>
    </row>
    <row r="937" spans="1:22" x14ac:dyDescent="0.2">
      <c r="A937" s="8">
        <v>45561</v>
      </c>
      <c r="B937" s="24">
        <v>3.96</v>
      </c>
      <c r="C937" s="24">
        <v>3.6</v>
      </c>
      <c r="D937" s="24">
        <v>3.54</v>
      </c>
      <c r="E937" s="24">
        <v>3.4091</v>
      </c>
      <c r="F937" s="24">
        <v>3.55</v>
      </c>
      <c r="G937" s="83">
        <f t="shared" si="111"/>
        <v>96.19084263178145</v>
      </c>
      <c r="H937" s="84">
        <f t="shared" si="114"/>
        <v>104.06235645189061</v>
      </c>
      <c r="I937" s="84">
        <f t="shared" si="112"/>
        <v>93.012172679781315</v>
      </c>
      <c r="J937" s="84">
        <f t="shared" si="113"/>
        <v>408336841.30485225</v>
      </c>
      <c r="L937" s="19">
        <f t="shared" si="116"/>
        <v>6.999999999999984E-2</v>
      </c>
      <c r="M937" s="19">
        <f t="shared" si="117"/>
        <v>7.0000000000000284E-2</v>
      </c>
      <c r="N937" s="19">
        <f t="shared" si="117"/>
        <v>4.9999999999999822E-2</v>
      </c>
      <c r="O937" s="19">
        <f t="shared" si="117"/>
        <v>4.070000000000018E-2</v>
      </c>
      <c r="P937" s="19">
        <f t="shared" si="115"/>
        <v>2.9999999999999805E-2</v>
      </c>
      <c r="R937" s="19"/>
      <c r="S937" s="19"/>
      <c r="T937" s="19"/>
      <c r="U937" s="19"/>
      <c r="V937" s="19"/>
    </row>
    <row r="938" spans="1:22" x14ac:dyDescent="0.2">
      <c r="A938" s="8">
        <v>45562</v>
      </c>
      <c r="B938" s="24">
        <v>3.9</v>
      </c>
      <c r="C938" s="24">
        <v>3.55</v>
      </c>
      <c r="D938" s="24">
        <v>3.49</v>
      </c>
      <c r="E938" s="24">
        <v>3.3746999999999998</v>
      </c>
      <c r="F938" s="24">
        <v>3.5</v>
      </c>
      <c r="G938" s="83">
        <f t="shared" si="111"/>
        <v>96.2463907603465</v>
      </c>
      <c r="H938" s="84">
        <f t="shared" si="114"/>
        <v>104.20680642272578</v>
      </c>
      <c r="I938" s="84">
        <f t="shared" si="112"/>
        <v>93.227168034613854</v>
      </c>
      <c r="J938" s="84">
        <f t="shared" si="113"/>
        <v>409091244.0250597</v>
      </c>
      <c r="L938" s="19">
        <f t="shared" si="116"/>
        <v>-6.0000000000000053E-2</v>
      </c>
      <c r="M938" s="19">
        <f t="shared" si="117"/>
        <v>-5.0000000000000266E-2</v>
      </c>
      <c r="N938" s="19">
        <f t="shared" si="117"/>
        <v>-4.9999999999999822E-2</v>
      </c>
      <c r="O938" s="19">
        <f t="shared" si="117"/>
        <v>-3.4400000000000208E-2</v>
      </c>
      <c r="P938" s="19">
        <f t="shared" si="115"/>
        <v>-4.9999999999999822E-2</v>
      </c>
      <c r="R938" s="19"/>
      <c r="S938" s="19"/>
      <c r="T938" s="19"/>
      <c r="U938" s="19"/>
      <c r="V938" s="19"/>
    </row>
    <row r="939" spans="1:22" x14ac:dyDescent="0.2">
      <c r="A939" s="8">
        <v>45565</v>
      </c>
      <c r="B939" s="24">
        <v>3.98</v>
      </c>
      <c r="C939" s="24">
        <v>3.66</v>
      </c>
      <c r="D939" s="24">
        <v>3.58</v>
      </c>
      <c r="E939" s="24">
        <v>3.4333</v>
      </c>
      <c r="F939" s="24">
        <v>3.58</v>
      </c>
      <c r="G939" s="83">
        <f t="shared" si="111"/>
        <v>96.172340834775909</v>
      </c>
      <c r="H939" s="84">
        <f t="shared" si="114"/>
        <v>103.94649255533199</v>
      </c>
      <c r="I939" s="84">
        <f t="shared" si="112"/>
        <v>92.881925573610332</v>
      </c>
      <c r="J939" s="84">
        <f t="shared" si="113"/>
        <v>407952645.13099515</v>
      </c>
      <c r="L939" s="19">
        <f t="shared" si="116"/>
        <v>8.0000000000000071E-2</v>
      </c>
      <c r="M939" s="19">
        <f t="shared" si="117"/>
        <v>0.11000000000000032</v>
      </c>
      <c r="N939" s="19">
        <f t="shared" si="117"/>
        <v>8.9999999999999858E-2</v>
      </c>
      <c r="O939" s="19">
        <f t="shared" si="117"/>
        <v>5.8600000000000207E-2</v>
      </c>
      <c r="P939" s="19">
        <f t="shared" si="115"/>
        <v>8.0000000000000071E-2</v>
      </c>
      <c r="R939" s="19"/>
      <c r="S939" s="19"/>
      <c r="T939" s="19"/>
      <c r="U939" s="19"/>
      <c r="V939" s="19"/>
    </row>
    <row r="940" spans="1:22" x14ac:dyDescent="0.2">
      <c r="A940" s="8">
        <v>45566</v>
      </c>
      <c r="B940" s="24">
        <v>3.96</v>
      </c>
      <c r="C940" s="24">
        <v>3.61</v>
      </c>
      <c r="D940" s="24">
        <v>3.52</v>
      </c>
      <c r="E940" s="24">
        <v>3.4005999999999998</v>
      </c>
      <c r="F940" s="24">
        <v>3.51</v>
      </c>
      <c r="G940" s="83">
        <f t="shared" si="111"/>
        <v>96.19084263178145</v>
      </c>
      <c r="H940" s="84">
        <f t="shared" si="114"/>
        <v>104.11629450364131</v>
      </c>
      <c r="I940" s="84">
        <f t="shared" si="112"/>
        <v>93.179098549828851</v>
      </c>
      <c r="J940" s="84">
        <f t="shared" si="113"/>
        <v>408923637.70741636</v>
      </c>
      <c r="L940" s="19">
        <f t="shared" si="116"/>
        <v>-2.0000000000000018E-2</v>
      </c>
      <c r="M940" s="19">
        <f t="shared" si="117"/>
        <v>-5.0000000000000266E-2</v>
      </c>
      <c r="N940" s="19">
        <f t="shared" si="117"/>
        <v>-6.0000000000000053E-2</v>
      </c>
      <c r="O940" s="19">
        <f t="shared" si="117"/>
        <v>-3.2700000000000173E-2</v>
      </c>
      <c r="P940" s="19">
        <f t="shared" si="115"/>
        <v>-7.0000000000000284E-2</v>
      </c>
      <c r="R940" s="19"/>
      <c r="S940" s="19"/>
      <c r="T940" s="19"/>
      <c r="U940" s="19"/>
      <c r="V940" s="19"/>
    </row>
    <row r="941" spans="1:22" x14ac:dyDescent="0.2">
      <c r="A941" s="8">
        <v>45567</v>
      </c>
      <c r="B941" s="24">
        <v>3.97</v>
      </c>
      <c r="C941" s="24">
        <v>3.63</v>
      </c>
      <c r="D941" s="24">
        <v>3.54</v>
      </c>
      <c r="E941" s="24">
        <v>3.4224000000000001</v>
      </c>
      <c r="F941" s="24">
        <v>3.55</v>
      </c>
      <c r="G941" s="83">
        <f t="shared" si="111"/>
        <v>96.181590843512552</v>
      </c>
      <c r="H941" s="84">
        <f t="shared" si="114"/>
        <v>104.05919703366806</v>
      </c>
      <c r="I941" s="84">
        <f t="shared" si="112"/>
        <v>93.010009397911887</v>
      </c>
      <c r="J941" s="84">
        <f t="shared" si="113"/>
        <v>408314423.72817057</v>
      </c>
      <c r="L941" s="19">
        <f t="shared" si="116"/>
        <v>1.0000000000000231E-2</v>
      </c>
      <c r="M941" s="19">
        <f t="shared" si="117"/>
        <v>2.0000000000000018E-2</v>
      </c>
      <c r="N941" s="19">
        <f t="shared" si="117"/>
        <v>2.0000000000000018E-2</v>
      </c>
      <c r="O941" s="19">
        <f t="shared" si="117"/>
        <v>2.1800000000000264E-2</v>
      </c>
      <c r="P941" s="19">
        <f t="shared" si="115"/>
        <v>4.0000000000000036E-2</v>
      </c>
      <c r="R941" s="19"/>
      <c r="S941" s="19"/>
      <c r="T941" s="19"/>
      <c r="U941" s="19"/>
      <c r="V941" s="19"/>
    </row>
    <row r="942" spans="1:22" x14ac:dyDescent="0.2">
      <c r="A942" s="8">
        <v>45568</v>
      </c>
      <c r="B942" s="24">
        <v>4.0199999999999996</v>
      </c>
      <c r="C942" s="24">
        <v>3.7</v>
      </c>
      <c r="D942" s="24">
        <v>3.62</v>
      </c>
      <c r="E942" s="24">
        <v>3.4857999999999998</v>
      </c>
      <c r="F942" s="24">
        <v>3.62</v>
      </c>
      <c r="G942" s="83">
        <f t="shared" si="111"/>
        <v>96.135358584887527</v>
      </c>
      <c r="H942" s="84">
        <f t="shared" si="114"/>
        <v>103.83167602678213</v>
      </c>
      <c r="I942" s="84">
        <f t="shared" si="112"/>
        <v>92.709128351841485</v>
      </c>
      <c r="J942" s="84">
        <f t="shared" si="113"/>
        <v>407359716.53696775</v>
      </c>
      <c r="L942" s="19">
        <f t="shared" si="116"/>
        <v>4.9999999999999378E-2</v>
      </c>
      <c r="M942" s="19">
        <f t="shared" si="117"/>
        <v>7.0000000000000284E-2</v>
      </c>
      <c r="N942" s="19">
        <f t="shared" si="117"/>
        <v>8.0000000000000071E-2</v>
      </c>
      <c r="O942" s="19">
        <f t="shared" si="117"/>
        <v>6.3399999999999679E-2</v>
      </c>
      <c r="P942" s="19">
        <f t="shared" si="115"/>
        <v>7.0000000000000284E-2</v>
      </c>
      <c r="R942" s="19"/>
      <c r="S942" s="19"/>
      <c r="T942" s="19"/>
      <c r="U942" s="19"/>
      <c r="V942" s="19"/>
    </row>
    <row r="943" spans="1:22" x14ac:dyDescent="0.2">
      <c r="A943" s="8">
        <v>45569</v>
      </c>
      <c r="B943" s="24">
        <v>4.2</v>
      </c>
      <c r="C943" s="24">
        <v>3.93</v>
      </c>
      <c r="D943" s="24">
        <v>3.84</v>
      </c>
      <c r="E943" s="24">
        <v>3.6575000000000002</v>
      </c>
      <c r="F943" s="24">
        <v>3.81</v>
      </c>
      <c r="G943" s="83">
        <f t="shared" si="111"/>
        <v>95.969289827255281</v>
      </c>
      <c r="H943" s="84">
        <f t="shared" si="114"/>
        <v>103.20424280302447</v>
      </c>
      <c r="I943" s="84">
        <f t="shared" si="112"/>
        <v>91.896124787298319</v>
      </c>
      <c r="J943" s="84">
        <f t="shared" si="113"/>
        <v>404716714.59916711</v>
      </c>
      <c r="L943" s="19">
        <f t="shared" si="116"/>
        <v>0.1800000000000006</v>
      </c>
      <c r="M943" s="19">
        <f t="shared" si="117"/>
        <v>0.22999999999999998</v>
      </c>
      <c r="N943" s="19">
        <f t="shared" si="117"/>
        <v>0.21999999999999975</v>
      </c>
      <c r="O943" s="19">
        <f t="shared" si="117"/>
        <v>0.17170000000000041</v>
      </c>
      <c r="P943" s="19">
        <f t="shared" si="115"/>
        <v>0.18999999999999995</v>
      </c>
      <c r="R943" s="19"/>
      <c r="S943" s="19"/>
      <c r="T943" s="19"/>
      <c r="U943" s="19"/>
      <c r="V943" s="19"/>
    </row>
    <row r="944" spans="1:22" x14ac:dyDescent="0.2">
      <c r="A944" s="8">
        <v>45572</v>
      </c>
      <c r="B944" s="24">
        <v>4.24</v>
      </c>
      <c r="C944" s="24">
        <v>3.99</v>
      </c>
      <c r="D944" s="24">
        <v>3.89</v>
      </c>
      <c r="E944" s="24">
        <v>3.7480000000000002</v>
      </c>
      <c r="F944" s="24">
        <v>3.86</v>
      </c>
      <c r="G944" s="83">
        <f t="shared" si="111"/>
        <v>95.93246354566385</v>
      </c>
      <c r="H944" s="84">
        <f t="shared" si="114"/>
        <v>103.06172834089804</v>
      </c>
      <c r="I944" s="84">
        <f t="shared" si="112"/>
        <v>91.681178504132646</v>
      </c>
      <c r="J944" s="84">
        <f t="shared" si="113"/>
        <v>403997048.59651124</v>
      </c>
      <c r="L944" s="19">
        <f t="shared" si="116"/>
        <v>4.0000000000000036E-2</v>
      </c>
      <c r="M944" s="19">
        <f t="shared" si="117"/>
        <v>6.0000000000000053E-2</v>
      </c>
      <c r="N944" s="19">
        <f t="shared" si="117"/>
        <v>5.0000000000000266E-2</v>
      </c>
      <c r="O944" s="19">
        <f t="shared" si="117"/>
        <v>9.0500000000000025E-2</v>
      </c>
      <c r="P944" s="19">
        <f t="shared" si="115"/>
        <v>4.9999999999999822E-2</v>
      </c>
      <c r="R944" s="19"/>
      <c r="S944" s="19"/>
      <c r="T944" s="19"/>
      <c r="U944" s="19"/>
      <c r="V944" s="19"/>
    </row>
    <row r="945" spans="1:22" x14ac:dyDescent="0.2">
      <c r="A945" s="8">
        <v>45573</v>
      </c>
      <c r="B945" s="24">
        <v>4.21</v>
      </c>
      <c r="C945" s="24">
        <v>3.98</v>
      </c>
      <c r="D945" s="24">
        <v>3.86</v>
      </c>
      <c r="E945" s="24">
        <v>3.7614999999999998</v>
      </c>
      <c r="F945" s="24">
        <v>3.86</v>
      </c>
      <c r="G945" s="83">
        <f t="shared" si="111"/>
        <v>95.960080606467713</v>
      </c>
      <c r="H945" s="84">
        <f t="shared" si="114"/>
        <v>103.14516710708592</v>
      </c>
      <c r="I945" s="84">
        <f t="shared" si="112"/>
        <v>91.682734442799656</v>
      </c>
      <c r="J945" s="84">
        <f t="shared" si="113"/>
        <v>403933348.32350516</v>
      </c>
      <c r="L945" s="19">
        <f t="shared" si="116"/>
        <v>-3.0000000000000249E-2</v>
      </c>
      <c r="M945" s="19">
        <f t="shared" si="117"/>
        <v>-1.0000000000000231E-2</v>
      </c>
      <c r="N945" s="19">
        <f t="shared" si="117"/>
        <v>-3.0000000000000249E-2</v>
      </c>
      <c r="O945" s="19">
        <f t="shared" si="117"/>
        <v>1.3499999999999623E-2</v>
      </c>
      <c r="P945" s="19">
        <f t="shared" si="115"/>
        <v>0</v>
      </c>
      <c r="R945" s="19"/>
      <c r="S945" s="19"/>
      <c r="T945" s="19"/>
      <c r="U945" s="19"/>
      <c r="V945" s="19"/>
    </row>
    <row r="946" spans="1:22" x14ac:dyDescent="0.2">
      <c r="A946" s="8">
        <v>45574</v>
      </c>
      <c r="B946" s="24">
        <v>4.24</v>
      </c>
      <c r="C946" s="24">
        <v>3.99</v>
      </c>
      <c r="D946" s="24">
        <v>3.89</v>
      </c>
      <c r="E946" s="24">
        <v>3.8001999999999998</v>
      </c>
      <c r="F946" s="24">
        <v>3.91</v>
      </c>
      <c r="G946" s="83">
        <f t="shared" si="111"/>
        <v>95.93246354566385</v>
      </c>
      <c r="H946" s="84">
        <f t="shared" si="114"/>
        <v>103.06172834089804</v>
      </c>
      <c r="I946" s="84">
        <f t="shared" si="112"/>
        <v>91.474836062063844</v>
      </c>
      <c r="J946" s="84">
        <f t="shared" si="113"/>
        <v>403171678.82823598</v>
      </c>
      <c r="L946" s="19">
        <f t="shared" si="116"/>
        <v>3.0000000000000249E-2</v>
      </c>
      <c r="M946" s="19">
        <f t="shared" si="117"/>
        <v>1.0000000000000231E-2</v>
      </c>
      <c r="N946" s="19">
        <f t="shared" si="117"/>
        <v>3.0000000000000249E-2</v>
      </c>
      <c r="O946" s="19">
        <f t="shared" si="117"/>
        <v>3.8699999999999957E-2</v>
      </c>
      <c r="P946" s="19">
        <f t="shared" si="115"/>
        <v>5.0000000000000266E-2</v>
      </c>
      <c r="R946" s="19"/>
      <c r="S946" s="19"/>
      <c r="T946" s="19"/>
      <c r="U946" s="19"/>
      <c r="V946" s="19"/>
    </row>
    <row r="947" spans="1:22" x14ac:dyDescent="0.2">
      <c r="A947" s="8">
        <v>45575</v>
      </c>
      <c r="B947" s="24">
        <v>4.22</v>
      </c>
      <c r="C947" s="24">
        <v>3.98</v>
      </c>
      <c r="D947" s="24">
        <v>3.88</v>
      </c>
      <c r="E947" s="24">
        <v>3.8096999999999999</v>
      </c>
      <c r="F947" s="24">
        <v>3.91</v>
      </c>
      <c r="G947" s="83">
        <f t="shared" si="111"/>
        <v>95.95087315294569</v>
      </c>
      <c r="H947" s="84">
        <f t="shared" si="114"/>
        <v>103.09058396182651</v>
      </c>
      <c r="I947" s="84">
        <f t="shared" si="112"/>
        <v>91.47544460854327</v>
      </c>
      <c r="J947" s="84">
        <f t="shared" si="113"/>
        <v>403167648.79732472</v>
      </c>
      <c r="L947" s="19">
        <f t="shared" si="116"/>
        <v>-2.0000000000000462E-2</v>
      </c>
      <c r="M947" s="19">
        <f t="shared" si="117"/>
        <v>-1.0000000000000231E-2</v>
      </c>
      <c r="N947" s="19">
        <f t="shared" si="117"/>
        <v>-1.0000000000000231E-2</v>
      </c>
      <c r="O947" s="19">
        <f t="shared" si="117"/>
        <v>9.5000000000000639E-3</v>
      </c>
      <c r="P947" s="19">
        <f t="shared" si="115"/>
        <v>0</v>
      </c>
      <c r="R947" s="19"/>
      <c r="S947" s="19"/>
      <c r="T947" s="19"/>
      <c r="U947" s="19"/>
      <c r="V947" s="19"/>
    </row>
    <row r="948" spans="1:22" x14ac:dyDescent="0.2">
      <c r="A948" s="8">
        <v>45576</v>
      </c>
      <c r="B948" s="24">
        <v>4.18</v>
      </c>
      <c r="C948" s="24">
        <v>3.95</v>
      </c>
      <c r="D948" s="24">
        <v>3.85</v>
      </c>
      <c r="E948" s="24">
        <v>3.7905000000000002</v>
      </c>
      <c r="F948" s="24">
        <v>3.88</v>
      </c>
      <c r="G948" s="83">
        <f t="shared" si="111"/>
        <v>95.987713572662699</v>
      </c>
      <c r="H948" s="84">
        <f t="shared" si="114"/>
        <v>103.17629546221698</v>
      </c>
      <c r="I948" s="84">
        <f t="shared" si="112"/>
        <v>91.601723856998333</v>
      </c>
      <c r="J948" s="84">
        <f t="shared" si="113"/>
        <v>403617879.37999326</v>
      </c>
      <c r="L948" s="19">
        <f t="shared" si="116"/>
        <v>-4.0000000000000036E-2</v>
      </c>
      <c r="M948" s="19">
        <f t="shared" si="117"/>
        <v>-2.9999999999999805E-2</v>
      </c>
      <c r="N948" s="19">
        <f t="shared" si="117"/>
        <v>-2.9999999999999805E-2</v>
      </c>
      <c r="O948" s="19">
        <f t="shared" si="117"/>
        <v>-1.9199999999999662E-2</v>
      </c>
      <c r="P948" s="19">
        <f t="shared" si="115"/>
        <v>-3.0000000000000249E-2</v>
      </c>
      <c r="R948" s="19"/>
      <c r="S948" s="19"/>
      <c r="T948" s="19"/>
      <c r="U948" s="19"/>
      <c r="V948" s="19"/>
    </row>
    <row r="949" spans="1:22" x14ac:dyDescent="0.2">
      <c r="A949" s="8">
        <v>45580</v>
      </c>
      <c r="B949" s="24">
        <v>4.18</v>
      </c>
      <c r="C949" s="24">
        <v>3.95</v>
      </c>
      <c r="D949" s="24">
        <v>3.86</v>
      </c>
      <c r="E949" s="24">
        <v>3.7681</v>
      </c>
      <c r="F949" s="24">
        <v>3.86</v>
      </c>
      <c r="G949" s="83">
        <f t="shared" si="111"/>
        <v>95.987713572662699</v>
      </c>
      <c r="H949" s="84">
        <f t="shared" si="114"/>
        <v>103.1492184390294</v>
      </c>
      <c r="I949" s="84">
        <f t="shared" si="112"/>
        <v>91.683916057307755</v>
      </c>
      <c r="J949" s="84">
        <f t="shared" si="113"/>
        <v>403987263.7160123</v>
      </c>
      <c r="L949" s="19">
        <f t="shared" si="116"/>
        <v>0</v>
      </c>
      <c r="M949" s="19">
        <f t="shared" si="117"/>
        <v>0</v>
      </c>
      <c r="N949" s="19">
        <f t="shared" si="117"/>
        <v>9.9999999999997868E-3</v>
      </c>
      <c r="O949" s="19">
        <f t="shared" si="117"/>
        <v>-2.2400000000000198E-2</v>
      </c>
      <c r="P949" s="19">
        <f t="shared" si="115"/>
        <v>-2.0000000000000018E-2</v>
      </c>
      <c r="R949" s="19"/>
      <c r="S949" s="19"/>
      <c r="T949" s="19"/>
      <c r="U949" s="19"/>
      <c r="V949" s="19"/>
    </row>
    <row r="950" spans="1:22" x14ac:dyDescent="0.2">
      <c r="A950" s="8">
        <v>45581</v>
      </c>
      <c r="B950" s="24">
        <v>4.17</v>
      </c>
      <c r="C950" s="24">
        <v>3.93</v>
      </c>
      <c r="D950" s="24">
        <v>3.84</v>
      </c>
      <c r="E950" s="24">
        <v>3.7523</v>
      </c>
      <c r="F950" s="24">
        <v>3.84</v>
      </c>
      <c r="G950" s="83">
        <f t="shared" si="111"/>
        <v>95.996928098300842</v>
      </c>
      <c r="H950" s="84">
        <f t="shared" si="114"/>
        <v>103.20562471657675</v>
      </c>
      <c r="I950" s="84">
        <f t="shared" si="112"/>
        <v>91.768208684895995</v>
      </c>
      <c r="J950" s="84">
        <f t="shared" si="113"/>
        <v>404258253.8613205</v>
      </c>
      <c r="L950" s="19">
        <f t="shared" si="116"/>
        <v>-9.9999999999997868E-3</v>
      </c>
      <c r="M950" s="19">
        <f t="shared" si="117"/>
        <v>-2.0000000000000018E-2</v>
      </c>
      <c r="N950" s="19">
        <f t="shared" si="117"/>
        <v>-2.0000000000000018E-2</v>
      </c>
      <c r="O950" s="19">
        <f t="shared" si="117"/>
        <v>-1.5800000000000036E-2</v>
      </c>
      <c r="P950" s="19">
        <f t="shared" si="115"/>
        <v>-2.0000000000000018E-2</v>
      </c>
      <c r="R950" s="19"/>
      <c r="S950" s="19"/>
      <c r="T950" s="19"/>
      <c r="U950" s="19"/>
      <c r="V950" s="19"/>
    </row>
    <row r="951" spans="1:22" x14ac:dyDescent="0.2">
      <c r="A951" s="8">
        <v>45582</v>
      </c>
      <c r="B951" s="24">
        <v>4.21</v>
      </c>
      <c r="C951" s="24">
        <v>3.96</v>
      </c>
      <c r="D951" s="24">
        <v>3.89</v>
      </c>
      <c r="E951" s="24">
        <v>3.7980999999999998</v>
      </c>
      <c r="F951" s="24">
        <v>3.9</v>
      </c>
      <c r="G951" s="83">
        <f t="shared" si="111"/>
        <v>95.960080606467713</v>
      </c>
      <c r="H951" s="84">
        <f t="shared" si="114"/>
        <v>103.06577810735982</v>
      </c>
      <c r="I951" s="84">
        <f t="shared" si="112"/>
        <v>91.517123051104107</v>
      </c>
      <c r="J951" s="84">
        <f t="shared" si="113"/>
        <v>403389986.25631213</v>
      </c>
      <c r="L951" s="19">
        <f t="shared" si="116"/>
        <v>4.0000000000000036E-2</v>
      </c>
      <c r="M951" s="19">
        <f t="shared" si="117"/>
        <v>2.9999999999999805E-2</v>
      </c>
      <c r="N951" s="19">
        <f t="shared" si="117"/>
        <v>5.0000000000000266E-2</v>
      </c>
      <c r="O951" s="19">
        <f t="shared" si="117"/>
        <v>4.5799999999999841E-2</v>
      </c>
      <c r="P951" s="19">
        <f t="shared" si="115"/>
        <v>6.0000000000000053E-2</v>
      </c>
      <c r="R951" s="19"/>
      <c r="S951" s="19"/>
      <c r="T951" s="19"/>
      <c r="U951" s="19"/>
      <c r="V951" s="19"/>
    </row>
    <row r="952" spans="1:22" x14ac:dyDescent="0.2">
      <c r="A952" s="8">
        <v>45583</v>
      </c>
      <c r="B952" s="24">
        <v>4.1900000000000004</v>
      </c>
      <c r="C952" s="24">
        <v>3.95</v>
      </c>
      <c r="D952" s="24">
        <v>3.86</v>
      </c>
      <c r="E952" s="24">
        <v>3.7906</v>
      </c>
      <c r="F952" s="24">
        <v>3.88</v>
      </c>
      <c r="G952" s="83">
        <f t="shared" si="111"/>
        <v>95.978500815817256</v>
      </c>
      <c r="H952" s="84">
        <f t="shared" si="114"/>
        <v>103.14875780118713</v>
      </c>
      <c r="I952" s="84">
        <f t="shared" si="112"/>
        <v>91.601017207007473</v>
      </c>
      <c r="J952" s="84">
        <f t="shared" si="113"/>
        <v>403637933.75788367</v>
      </c>
      <c r="L952" s="19">
        <f t="shared" si="116"/>
        <v>-1.9999999999999574E-2</v>
      </c>
      <c r="M952" s="19">
        <f t="shared" si="117"/>
        <v>-9.9999999999997868E-3</v>
      </c>
      <c r="N952" s="19">
        <f t="shared" si="117"/>
        <v>-3.0000000000000249E-2</v>
      </c>
      <c r="O952" s="19">
        <f t="shared" si="117"/>
        <v>-7.4999999999998401E-3</v>
      </c>
      <c r="P952" s="19">
        <f t="shared" si="115"/>
        <v>-2.0000000000000018E-2</v>
      </c>
      <c r="R952" s="19"/>
      <c r="S952" s="19"/>
      <c r="T952" s="19"/>
      <c r="U952" s="19"/>
      <c r="V952" s="19"/>
    </row>
    <row r="953" spans="1:22" x14ac:dyDescent="0.2">
      <c r="A953" s="8">
        <v>45586</v>
      </c>
      <c r="B953" s="24">
        <v>4.24</v>
      </c>
      <c r="C953" s="24">
        <v>4.0199999999999996</v>
      </c>
      <c r="D953" s="24">
        <v>3.95</v>
      </c>
      <c r="E953" s="24">
        <v>3.8647</v>
      </c>
      <c r="F953" s="24">
        <v>3.98</v>
      </c>
      <c r="G953" s="83">
        <f t="shared" si="111"/>
        <v>95.93246354566385</v>
      </c>
      <c r="H953" s="84">
        <f t="shared" si="114"/>
        <v>102.89700564026181</v>
      </c>
      <c r="I953" s="84">
        <f t="shared" si="112"/>
        <v>91.183367733220194</v>
      </c>
      <c r="J953" s="84">
        <f t="shared" si="113"/>
        <v>402252889.56381571</v>
      </c>
      <c r="L953" s="19">
        <f t="shared" si="116"/>
        <v>4.9999999999999822E-2</v>
      </c>
      <c r="M953" s="19">
        <f t="shared" si="117"/>
        <v>6.9999999999999396E-2</v>
      </c>
      <c r="N953" s="19">
        <f t="shared" si="117"/>
        <v>9.0000000000000302E-2</v>
      </c>
      <c r="O953" s="19">
        <f t="shared" si="117"/>
        <v>7.4100000000000055E-2</v>
      </c>
      <c r="P953" s="19">
        <f t="shared" si="115"/>
        <v>0.10000000000000009</v>
      </c>
      <c r="R953" s="19"/>
      <c r="S953" s="19"/>
      <c r="T953" s="19"/>
      <c r="U953" s="19"/>
      <c r="V953" s="19"/>
    </row>
    <row r="954" spans="1:22" x14ac:dyDescent="0.2">
      <c r="A954" s="8">
        <v>45587</v>
      </c>
      <c r="B954" s="24">
        <v>4.24</v>
      </c>
      <c r="C954" s="24">
        <v>4.03</v>
      </c>
      <c r="D954" s="24">
        <v>3.98</v>
      </c>
      <c r="E954" s="24">
        <v>3.8961000000000001</v>
      </c>
      <c r="F954" s="24">
        <v>4</v>
      </c>
      <c r="G954" s="83">
        <f t="shared" si="111"/>
        <v>95.93246354566385</v>
      </c>
      <c r="H954" s="84">
        <f t="shared" si="114"/>
        <v>102.81522945052248</v>
      </c>
      <c r="I954" s="84">
        <f t="shared" si="112"/>
        <v>91.098736466758297</v>
      </c>
      <c r="J954" s="84">
        <f t="shared" si="113"/>
        <v>402037028.78257716</v>
      </c>
      <c r="L954" s="19">
        <f t="shared" si="116"/>
        <v>0</v>
      </c>
      <c r="M954" s="19">
        <f t="shared" si="117"/>
        <v>1.0000000000000675E-2</v>
      </c>
      <c r="N954" s="19">
        <f t="shared" si="117"/>
        <v>2.9999999999999805E-2</v>
      </c>
      <c r="O954" s="19">
        <f t="shared" si="117"/>
        <v>3.1400000000000095E-2</v>
      </c>
      <c r="P954" s="19">
        <f t="shared" si="115"/>
        <v>2.0000000000000018E-2</v>
      </c>
      <c r="R954" s="19"/>
      <c r="S954" s="19"/>
      <c r="T954" s="19"/>
      <c r="U954" s="19"/>
      <c r="V954" s="19"/>
    </row>
    <row r="955" spans="1:22" x14ac:dyDescent="0.2">
      <c r="A955" s="8">
        <v>45588</v>
      </c>
      <c r="B955" s="24">
        <v>4.2699999999999996</v>
      </c>
      <c r="C955" s="24">
        <v>4.07</v>
      </c>
      <c r="D955" s="24">
        <v>4.03</v>
      </c>
      <c r="E955" s="24">
        <v>3.9314</v>
      </c>
      <c r="F955" s="24">
        <v>4.05</v>
      </c>
      <c r="G955" s="83">
        <f t="shared" si="111"/>
        <v>95.904862376522487</v>
      </c>
      <c r="H955" s="84">
        <f t="shared" si="114"/>
        <v>102.67569273184628</v>
      </c>
      <c r="I955" s="84">
        <f t="shared" si="112"/>
        <v>90.890629546106922</v>
      </c>
      <c r="J955" s="84">
        <f t="shared" si="113"/>
        <v>401358703.8397032</v>
      </c>
      <c r="L955" s="19">
        <f t="shared" si="116"/>
        <v>2.9999999999999361E-2</v>
      </c>
      <c r="M955" s="19">
        <f t="shared" si="117"/>
        <v>4.0000000000000036E-2</v>
      </c>
      <c r="N955" s="19">
        <f t="shared" si="117"/>
        <v>5.0000000000000266E-2</v>
      </c>
      <c r="O955" s="19">
        <f t="shared" si="117"/>
        <v>3.5299999999999887E-2</v>
      </c>
      <c r="P955" s="19">
        <f t="shared" si="115"/>
        <v>4.9999999999999822E-2</v>
      </c>
      <c r="R955" s="19"/>
      <c r="S955" s="19"/>
      <c r="T955" s="19"/>
      <c r="U955" s="19"/>
      <c r="V955" s="19"/>
    </row>
    <row r="956" spans="1:22" x14ac:dyDescent="0.2">
      <c r="A956" s="8">
        <v>45589</v>
      </c>
      <c r="B956" s="24">
        <v>4.25</v>
      </c>
      <c r="C956" s="24">
        <v>4.07</v>
      </c>
      <c r="D956" s="24">
        <v>4.0199999999999996</v>
      </c>
      <c r="E956" s="24">
        <v>3.9289000000000001</v>
      </c>
      <c r="F956" s="24">
        <v>4.03</v>
      </c>
      <c r="G956" s="83">
        <f t="shared" si="111"/>
        <v>95.923261390887291</v>
      </c>
      <c r="H956" s="84">
        <f t="shared" si="114"/>
        <v>102.7035131396371</v>
      </c>
      <c r="I956" s="84">
        <f t="shared" si="112"/>
        <v>90.972101163733385</v>
      </c>
      <c r="J956" s="84">
        <f t="shared" si="113"/>
        <v>401679657.72725248</v>
      </c>
      <c r="L956" s="19">
        <f t="shared" si="116"/>
        <v>-1.9999999999999574E-2</v>
      </c>
      <c r="M956" s="19">
        <f t="shared" si="117"/>
        <v>0</v>
      </c>
      <c r="N956" s="19">
        <f t="shared" si="117"/>
        <v>-1.0000000000000675E-2</v>
      </c>
      <c r="O956" s="19">
        <f t="shared" si="117"/>
        <v>-2.4999999999999467E-3</v>
      </c>
      <c r="P956" s="19">
        <f t="shared" si="115"/>
        <v>-1.9999999999999574E-2</v>
      </c>
      <c r="R956" s="19"/>
      <c r="S956" s="19"/>
      <c r="T956" s="19"/>
      <c r="U956" s="19"/>
      <c r="V956" s="19"/>
    </row>
    <row r="957" spans="1:22" x14ac:dyDescent="0.2">
      <c r="A957" s="8">
        <v>45590</v>
      </c>
      <c r="B957" s="24">
        <v>4.29</v>
      </c>
      <c r="C957" s="24">
        <v>4.1100000000000003</v>
      </c>
      <c r="D957" s="24">
        <v>4.05</v>
      </c>
      <c r="E957" s="24">
        <v>3.9624999999999999</v>
      </c>
      <c r="F957" s="24">
        <v>4.07</v>
      </c>
      <c r="G957" s="83">
        <f t="shared" si="111"/>
        <v>95.88647041902388</v>
      </c>
      <c r="H957" s="84">
        <f t="shared" si="114"/>
        <v>102.61745646916401</v>
      </c>
      <c r="I957" s="84">
        <f t="shared" si="112"/>
        <v>90.805435024513244</v>
      </c>
      <c r="J957" s="84">
        <f t="shared" si="113"/>
        <v>401068496.23235476</v>
      </c>
      <c r="L957" s="19">
        <f t="shared" si="116"/>
        <v>4.0000000000000036E-2</v>
      </c>
      <c r="M957" s="19">
        <f t="shared" si="117"/>
        <v>4.0000000000000036E-2</v>
      </c>
      <c r="N957" s="19">
        <f t="shared" si="117"/>
        <v>3.0000000000000249E-2</v>
      </c>
      <c r="O957" s="19">
        <f t="shared" si="117"/>
        <v>3.3599999999999852E-2</v>
      </c>
      <c r="P957" s="19">
        <f t="shared" si="115"/>
        <v>4.0000000000000036E-2</v>
      </c>
      <c r="R957" s="19"/>
      <c r="S957" s="19"/>
      <c r="T957" s="19"/>
      <c r="U957" s="19"/>
      <c r="V957" s="19"/>
    </row>
    <row r="958" spans="1:22" x14ac:dyDescent="0.2">
      <c r="A958" s="8">
        <v>45593</v>
      </c>
      <c r="B958" s="24">
        <v>4.28</v>
      </c>
      <c r="C958" s="24">
        <v>4.12</v>
      </c>
      <c r="D958" s="24">
        <v>4.09</v>
      </c>
      <c r="E958" s="24">
        <v>3.996</v>
      </c>
      <c r="F958" s="24">
        <v>4.1100000000000003</v>
      </c>
      <c r="G958" s="83">
        <f t="shared" si="111"/>
        <v>95.895665515918679</v>
      </c>
      <c r="H958" s="84">
        <f t="shared" si="114"/>
        <v>102.50961431751607</v>
      </c>
      <c r="I958" s="84">
        <f t="shared" si="112"/>
        <v>90.640623916052874</v>
      </c>
      <c r="J958" s="84">
        <f t="shared" si="113"/>
        <v>400589405.21977472</v>
      </c>
      <c r="L958" s="19">
        <f t="shared" si="116"/>
        <v>-9.9999999999997868E-3</v>
      </c>
      <c r="M958" s="19">
        <f t="shared" si="117"/>
        <v>9.9999999999997868E-3</v>
      </c>
      <c r="N958" s="19">
        <f t="shared" si="117"/>
        <v>4.0000000000000036E-2</v>
      </c>
      <c r="O958" s="19">
        <f t="shared" si="117"/>
        <v>3.3500000000000085E-2</v>
      </c>
      <c r="P958" s="19">
        <f t="shared" si="115"/>
        <v>4.0000000000000036E-2</v>
      </c>
      <c r="R958" s="19"/>
      <c r="S958" s="19"/>
      <c r="T958" s="19"/>
      <c r="U958" s="19"/>
      <c r="V958" s="19"/>
    </row>
    <row r="959" spans="1:22" x14ac:dyDescent="0.2">
      <c r="A959" s="8">
        <v>45594</v>
      </c>
      <c r="B959" s="24">
        <v>4.29</v>
      </c>
      <c r="C959" s="24">
        <v>4.1100000000000003</v>
      </c>
      <c r="D959" s="24">
        <v>4.08</v>
      </c>
      <c r="E959" s="24">
        <v>4.0011999999999999</v>
      </c>
      <c r="F959" s="24">
        <v>4.1100000000000003</v>
      </c>
      <c r="G959" s="83">
        <f t="shared" si="111"/>
        <v>95.88647041902388</v>
      </c>
      <c r="H959" s="84">
        <f t="shared" si="114"/>
        <v>102.53687909987248</v>
      </c>
      <c r="I959" s="84">
        <f t="shared" si="112"/>
        <v>90.640963700149598</v>
      </c>
      <c r="J959" s="84">
        <f t="shared" si="113"/>
        <v>400531476.98883748</v>
      </c>
      <c r="L959" s="19">
        <f t="shared" si="116"/>
        <v>9.9999999999997868E-3</v>
      </c>
      <c r="M959" s="19">
        <f t="shared" si="117"/>
        <v>-9.9999999999997868E-3</v>
      </c>
      <c r="N959" s="19">
        <f t="shared" si="117"/>
        <v>-9.9999999999997868E-3</v>
      </c>
      <c r="O959" s="19">
        <f t="shared" si="117"/>
        <v>5.1999999999998714E-3</v>
      </c>
      <c r="P959" s="19">
        <f t="shared" si="115"/>
        <v>0</v>
      </c>
      <c r="R959" s="19"/>
      <c r="S959" s="19"/>
      <c r="T959" s="19"/>
      <c r="U959" s="19"/>
      <c r="V959" s="19"/>
    </row>
    <row r="960" spans="1:22" x14ac:dyDescent="0.2">
      <c r="A960" s="8">
        <v>45595</v>
      </c>
      <c r="B960" s="24">
        <v>4.28</v>
      </c>
      <c r="C960" s="24">
        <v>4.1500000000000004</v>
      </c>
      <c r="D960" s="24">
        <v>4.1399999999999997</v>
      </c>
      <c r="E960" s="24">
        <v>4.0265000000000004</v>
      </c>
      <c r="F960" s="24">
        <v>4.1399999999999997</v>
      </c>
      <c r="G960" s="83">
        <f t="shared" si="111"/>
        <v>95.895665515918679</v>
      </c>
      <c r="H960" s="84">
        <f t="shared" si="114"/>
        <v>102.37291984509423</v>
      </c>
      <c r="I960" s="84">
        <f t="shared" si="112"/>
        <v>90.514953953454196</v>
      </c>
      <c r="J960" s="84">
        <f t="shared" si="113"/>
        <v>400291767.07801282</v>
      </c>
      <c r="L960" s="19">
        <f t="shared" si="116"/>
        <v>-9.9999999999997868E-3</v>
      </c>
      <c r="M960" s="19">
        <f t="shared" si="117"/>
        <v>4.0000000000000036E-2</v>
      </c>
      <c r="N960" s="19">
        <f t="shared" si="117"/>
        <v>5.9999999999999609E-2</v>
      </c>
      <c r="O960" s="19">
        <f t="shared" si="117"/>
        <v>2.5300000000000544E-2</v>
      </c>
      <c r="P960" s="19">
        <f t="shared" si="115"/>
        <v>2.9999999999999361E-2</v>
      </c>
      <c r="R960" s="19"/>
      <c r="S960" s="19"/>
      <c r="T960" s="19"/>
      <c r="U960" s="19"/>
      <c r="V960" s="19"/>
    </row>
    <row r="961" spans="1:22" x14ac:dyDescent="0.2">
      <c r="A961" s="8">
        <v>45596</v>
      </c>
      <c r="B961" s="24">
        <v>4.2699999999999996</v>
      </c>
      <c r="C961" s="24">
        <v>4.16</v>
      </c>
      <c r="D961" s="24">
        <v>4.12</v>
      </c>
      <c r="E961" s="24">
        <v>4.0338000000000003</v>
      </c>
      <c r="F961" s="24">
        <v>4.1500000000000004</v>
      </c>
      <c r="G961" s="83">
        <f t="shared" si="111"/>
        <v>95.904862376522487</v>
      </c>
      <c r="H961" s="84">
        <f t="shared" si="114"/>
        <v>102.42607889649329</v>
      </c>
      <c r="I961" s="84">
        <f t="shared" si="112"/>
        <v>90.475354714114644</v>
      </c>
      <c r="J961" s="84">
        <f t="shared" si="113"/>
        <v>400072025.26476359</v>
      </c>
      <c r="L961" s="19">
        <f t="shared" si="116"/>
        <v>-1.0000000000000675E-2</v>
      </c>
      <c r="M961" s="19">
        <f t="shared" si="117"/>
        <v>9.9999999999997868E-3</v>
      </c>
      <c r="N961" s="19">
        <f t="shared" si="117"/>
        <v>-1.9999999999999574E-2</v>
      </c>
      <c r="O961" s="19">
        <f t="shared" si="117"/>
        <v>7.2999999999998622E-3</v>
      </c>
      <c r="P961" s="19">
        <f t="shared" si="115"/>
        <v>1.0000000000000675E-2</v>
      </c>
      <c r="R961" s="19"/>
      <c r="S961" s="19"/>
      <c r="T961" s="19"/>
      <c r="U961" s="19"/>
      <c r="V961" s="19"/>
    </row>
    <row r="962" spans="1:22" x14ac:dyDescent="0.2">
      <c r="A962" s="8">
        <v>45597</v>
      </c>
      <c r="B962" s="24">
        <v>4.28</v>
      </c>
      <c r="C962" s="24">
        <v>4.21</v>
      </c>
      <c r="D962" s="24">
        <v>4.18</v>
      </c>
      <c r="E962" s="24">
        <v>4.0929000000000002</v>
      </c>
      <c r="F962" s="24">
        <v>4.22</v>
      </c>
      <c r="G962" s="83">
        <f t="shared" ref="G962:G1025" si="118">100/((1+B962/100)^1)</f>
        <v>95.895665515918679</v>
      </c>
      <c r="H962" s="84">
        <f t="shared" si="114"/>
        <v>102.2605683855022</v>
      </c>
      <c r="I962" s="84">
        <f t="shared" ref="I962:I1025" si="119">SUM(2/(1+B962/100)^1, 2/(1+C962/100)^2, 2/(1+D962/100)^3, 2/(1+E962/100)^4, 102/(1+F962/100)^5)</f>
        <v>90.187318533978328</v>
      </c>
      <c r="J962" s="84">
        <f t="shared" ref="J962:J1025" si="120">G962*2000000+H962*-1500000+I962*4000000</f>
        <v>399149752.58949733</v>
      </c>
      <c r="L962" s="19">
        <f t="shared" si="116"/>
        <v>1.0000000000000675E-2</v>
      </c>
      <c r="M962" s="19">
        <f t="shared" si="117"/>
        <v>4.9999999999999822E-2</v>
      </c>
      <c r="N962" s="19">
        <f t="shared" si="117"/>
        <v>5.9999999999999609E-2</v>
      </c>
      <c r="O962" s="19">
        <f t="shared" si="117"/>
        <v>5.909999999999993E-2</v>
      </c>
      <c r="P962" s="19">
        <f t="shared" si="115"/>
        <v>6.9999999999999396E-2</v>
      </c>
      <c r="R962" s="19"/>
      <c r="S962" s="19"/>
      <c r="T962" s="19"/>
      <c r="U962" s="19"/>
      <c r="V962" s="19"/>
    </row>
    <row r="963" spans="1:22" x14ac:dyDescent="0.2">
      <c r="A963" s="8">
        <v>45600</v>
      </c>
      <c r="B963" s="24">
        <v>4.25</v>
      </c>
      <c r="C963" s="24">
        <v>4.17</v>
      </c>
      <c r="D963" s="24">
        <v>4.0999999999999996</v>
      </c>
      <c r="E963" s="24">
        <v>4.0686999999999998</v>
      </c>
      <c r="F963" s="24">
        <v>4.17</v>
      </c>
      <c r="G963" s="83">
        <f t="shared" si="118"/>
        <v>95.923261390887291</v>
      </c>
      <c r="H963" s="84">
        <f t="shared" ref="H963:H1026" si="121">SUM(5/(1+B963/100)^1, 5/(1+C963/100)^2, 105/(1+D963/100)^3)</f>
        <v>102.4797394974135</v>
      </c>
      <c r="I963" s="84">
        <f t="shared" si="119"/>
        <v>90.394229079273003</v>
      </c>
      <c r="J963" s="84">
        <f t="shared" si="120"/>
        <v>399703829.85274637</v>
      </c>
      <c r="L963" s="19">
        <f t="shared" si="116"/>
        <v>-3.0000000000000249E-2</v>
      </c>
      <c r="M963" s="19">
        <f t="shared" si="117"/>
        <v>-4.0000000000000036E-2</v>
      </c>
      <c r="N963" s="19">
        <f t="shared" si="117"/>
        <v>-8.0000000000000071E-2</v>
      </c>
      <c r="O963" s="19">
        <f t="shared" si="117"/>
        <v>-2.4200000000000443E-2</v>
      </c>
      <c r="P963" s="19">
        <f t="shared" si="115"/>
        <v>-4.9999999999999822E-2</v>
      </c>
      <c r="R963" s="19"/>
      <c r="S963" s="19"/>
      <c r="T963" s="19"/>
      <c r="U963" s="19"/>
      <c r="V963" s="19"/>
    </row>
    <row r="964" spans="1:22" x14ac:dyDescent="0.2">
      <c r="A964" s="8">
        <v>45601</v>
      </c>
      <c r="B964" s="24">
        <v>4.2699999999999996</v>
      </c>
      <c r="C964" s="24">
        <v>4.1900000000000004</v>
      </c>
      <c r="D964" s="24">
        <v>4.1100000000000003</v>
      </c>
      <c r="E964" s="24">
        <v>4.0621</v>
      </c>
      <c r="F964" s="24">
        <v>4.16</v>
      </c>
      <c r="G964" s="83">
        <f t="shared" si="118"/>
        <v>95.904862376522487</v>
      </c>
      <c r="H964" s="84">
        <f t="shared" si="121"/>
        <v>102.45023288878551</v>
      </c>
      <c r="I964" s="84">
        <f t="shared" si="119"/>
        <v>90.432999861489108</v>
      </c>
      <c r="J964" s="84">
        <f t="shared" si="120"/>
        <v>399866374.86582315</v>
      </c>
      <c r="L964" s="19">
        <f t="shared" si="116"/>
        <v>1.9999999999999574E-2</v>
      </c>
      <c r="M964" s="19">
        <f t="shared" si="117"/>
        <v>2.0000000000000462E-2</v>
      </c>
      <c r="N964" s="19">
        <f t="shared" si="117"/>
        <v>1.0000000000000675E-2</v>
      </c>
      <c r="O964" s="19">
        <f t="shared" si="117"/>
        <v>-6.5999999999997172E-3</v>
      </c>
      <c r="P964" s="19">
        <f t="shared" si="117"/>
        <v>-9.9999999999997868E-3</v>
      </c>
      <c r="R964" s="19"/>
      <c r="S964" s="19"/>
      <c r="T964" s="19"/>
      <c r="U964" s="19"/>
      <c r="V964" s="19"/>
    </row>
    <row r="965" spans="1:22" x14ac:dyDescent="0.2">
      <c r="A965" s="8">
        <v>45602</v>
      </c>
      <c r="B965" s="24">
        <v>4.3099999999999996</v>
      </c>
      <c r="C965" s="24">
        <v>4.2699999999999996</v>
      </c>
      <c r="D965" s="24">
        <v>4.2</v>
      </c>
      <c r="E965" s="24">
        <v>4.1535000000000002</v>
      </c>
      <c r="F965" s="24">
        <v>4.2699999999999996</v>
      </c>
      <c r="G965" s="83">
        <f t="shared" si="118"/>
        <v>95.868085514332293</v>
      </c>
      <c r="H965" s="84">
        <f t="shared" si="121"/>
        <v>102.20043124630931</v>
      </c>
      <c r="I965" s="84">
        <f t="shared" si="119"/>
        <v>89.980963483778325</v>
      </c>
      <c r="J965" s="84">
        <f t="shared" si="120"/>
        <v>398359378.09431398</v>
      </c>
      <c r="L965" s="19">
        <f t="shared" ref="L965:L1028" si="122">B965-B964</f>
        <v>4.0000000000000036E-2</v>
      </c>
      <c r="M965" s="19">
        <f t="shared" ref="M965:P1028" si="123">C965-C964</f>
        <v>7.9999999999999183E-2</v>
      </c>
      <c r="N965" s="19">
        <f t="shared" si="123"/>
        <v>8.9999999999999858E-2</v>
      </c>
      <c r="O965" s="19">
        <f t="shared" si="123"/>
        <v>9.1400000000000148E-2</v>
      </c>
      <c r="P965" s="19">
        <f t="shared" si="123"/>
        <v>0.10999999999999943</v>
      </c>
      <c r="R965" s="19"/>
      <c r="S965" s="19"/>
      <c r="T965" s="19"/>
      <c r="U965" s="19"/>
      <c r="V965" s="19"/>
    </row>
    <row r="966" spans="1:22" x14ac:dyDescent="0.2">
      <c r="A966" s="8">
        <v>45603</v>
      </c>
      <c r="B966" s="24">
        <v>4.28</v>
      </c>
      <c r="C966" s="24">
        <v>4.21</v>
      </c>
      <c r="D966" s="24">
        <v>4.13</v>
      </c>
      <c r="E966" s="24">
        <v>4.1029</v>
      </c>
      <c r="F966" s="24">
        <v>4.17</v>
      </c>
      <c r="G966" s="83">
        <f t="shared" si="118"/>
        <v>95.895665515918679</v>
      </c>
      <c r="H966" s="84">
        <f t="shared" si="121"/>
        <v>102.39440044108115</v>
      </c>
      <c r="I966" s="84">
        <f t="shared" si="119"/>
        <v>90.388491134534576</v>
      </c>
      <c r="J966" s="84">
        <f t="shared" si="120"/>
        <v>399753694.90835392</v>
      </c>
      <c r="L966" s="19">
        <f t="shared" si="122"/>
        <v>-2.9999999999999361E-2</v>
      </c>
      <c r="M966" s="19">
        <f t="shared" si="123"/>
        <v>-5.9999999999999609E-2</v>
      </c>
      <c r="N966" s="19">
        <f t="shared" si="123"/>
        <v>-7.0000000000000284E-2</v>
      </c>
      <c r="O966" s="19">
        <f t="shared" si="123"/>
        <v>-5.06000000000002E-2</v>
      </c>
      <c r="P966" s="19">
        <f t="shared" si="123"/>
        <v>-9.9999999999999645E-2</v>
      </c>
      <c r="R966" s="19"/>
      <c r="S966" s="19"/>
      <c r="T966" s="19"/>
      <c r="U966" s="19"/>
      <c r="V966" s="19"/>
    </row>
    <row r="967" spans="1:22" x14ac:dyDescent="0.2">
      <c r="A967" s="8">
        <v>45604</v>
      </c>
      <c r="B967" s="24">
        <v>4.32</v>
      </c>
      <c r="C967" s="24">
        <v>4.26</v>
      </c>
      <c r="D967" s="24">
        <v>4.18</v>
      </c>
      <c r="E967" s="24">
        <v>4.1043000000000003</v>
      </c>
      <c r="F967" s="24">
        <v>4.2</v>
      </c>
      <c r="G967" s="83">
        <f t="shared" si="118"/>
        <v>95.858895705521476</v>
      </c>
      <c r="H967" s="84">
        <f t="shared" si="121"/>
        <v>102.2543149088671</v>
      </c>
      <c r="I967" s="84">
        <f t="shared" si="119"/>
        <v>90.263713394735078</v>
      </c>
      <c r="J967" s="84">
        <f t="shared" si="120"/>
        <v>399391172.62668264</v>
      </c>
      <c r="L967" s="19">
        <f t="shared" si="122"/>
        <v>4.0000000000000036E-2</v>
      </c>
      <c r="M967" s="19">
        <f t="shared" si="123"/>
        <v>4.9999999999999822E-2</v>
      </c>
      <c r="N967" s="19">
        <f t="shared" si="123"/>
        <v>4.9999999999999822E-2</v>
      </c>
      <c r="O967" s="19">
        <f t="shared" si="123"/>
        <v>1.4000000000002899E-3</v>
      </c>
      <c r="P967" s="19">
        <f t="shared" si="123"/>
        <v>3.0000000000000249E-2</v>
      </c>
      <c r="R967" s="19"/>
      <c r="S967" s="19"/>
      <c r="T967" s="19"/>
      <c r="U967" s="19"/>
      <c r="V967" s="19"/>
    </row>
    <row r="968" spans="1:22" x14ac:dyDescent="0.2">
      <c r="A968" s="8">
        <v>45608</v>
      </c>
      <c r="B968" s="24">
        <v>4.38</v>
      </c>
      <c r="C968" s="24">
        <v>4.34</v>
      </c>
      <c r="D968" s="24">
        <v>4.29</v>
      </c>
      <c r="E968" s="24">
        <v>4.1978999999999997</v>
      </c>
      <c r="F968" s="24">
        <v>4.32</v>
      </c>
      <c r="G968" s="83">
        <f t="shared" si="118"/>
        <v>95.803793830235676</v>
      </c>
      <c r="H968" s="84">
        <f t="shared" si="121"/>
        <v>101.95098115390527</v>
      </c>
      <c r="I968" s="84">
        <f t="shared" si="119"/>
        <v>89.771608388614212</v>
      </c>
      <c r="J968" s="84">
        <f t="shared" si="120"/>
        <v>397767549.4840703</v>
      </c>
      <c r="L968" s="19">
        <f t="shared" si="122"/>
        <v>5.9999999999999609E-2</v>
      </c>
      <c r="M968" s="19">
        <f t="shared" si="123"/>
        <v>8.0000000000000071E-2</v>
      </c>
      <c r="N968" s="19">
        <f t="shared" si="123"/>
        <v>0.11000000000000032</v>
      </c>
      <c r="O968" s="19">
        <f t="shared" si="123"/>
        <v>9.3599999999999461E-2</v>
      </c>
      <c r="P968" s="19">
        <f t="shared" si="123"/>
        <v>0.12000000000000011</v>
      </c>
      <c r="R968" s="19"/>
      <c r="S968" s="19"/>
      <c r="T968" s="19"/>
      <c r="U968" s="19"/>
      <c r="V968" s="19"/>
    </row>
    <row r="969" spans="1:22" x14ac:dyDescent="0.2">
      <c r="A969" s="8">
        <v>45609</v>
      </c>
      <c r="B969" s="24">
        <v>4.3099999999999996</v>
      </c>
      <c r="C969" s="24">
        <v>4.2699999999999996</v>
      </c>
      <c r="D969" s="24">
        <v>4.25</v>
      </c>
      <c r="E969" s="24">
        <v>4.1992000000000003</v>
      </c>
      <c r="F969" s="24">
        <v>4.3</v>
      </c>
      <c r="G969" s="83">
        <f t="shared" si="118"/>
        <v>95.868085514332293</v>
      </c>
      <c r="H969" s="84">
        <f t="shared" si="121"/>
        <v>102.06695836793772</v>
      </c>
      <c r="I969" s="84">
        <f t="shared" si="119"/>
        <v>89.856492627676374</v>
      </c>
      <c r="J969" s="84">
        <f t="shared" si="120"/>
        <v>398061703.98746347</v>
      </c>
      <c r="L969" s="19">
        <f t="shared" si="122"/>
        <v>-7.0000000000000284E-2</v>
      </c>
      <c r="M969" s="19">
        <f t="shared" si="123"/>
        <v>-7.0000000000000284E-2</v>
      </c>
      <c r="N969" s="19">
        <f t="shared" si="123"/>
        <v>-4.0000000000000036E-2</v>
      </c>
      <c r="O969" s="19">
        <f t="shared" si="123"/>
        <v>1.300000000000523E-3</v>
      </c>
      <c r="P969" s="19">
        <f t="shared" si="123"/>
        <v>-2.0000000000000462E-2</v>
      </c>
      <c r="R969" s="19"/>
      <c r="S969" s="19"/>
      <c r="T969" s="19"/>
      <c r="U969" s="19"/>
      <c r="V969" s="19"/>
    </row>
    <row r="970" spans="1:22" x14ac:dyDescent="0.2">
      <c r="A970" s="8">
        <v>45610</v>
      </c>
      <c r="B970" s="24">
        <v>4.3600000000000003</v>
      </c>
      <c r="C970" s="24">
        <v>4.34</v>
      </c>
      <c r="D970" s="24">
        <v>4.3</v>
      </c>
      <c r="E970" s="24">
        <v>4.2192999999999996</v>
      </c>
      <c r="F970" s="24">
        <v>4.32</v>
      </c>
      <c r="G970" s="83">
        <f t="shared" si="118"/>
        <v>95.822154082023758</v>
      </c>
      <c r="H970" s="84">
        <f t="shared" si="121"/>
        <v>101.92527619032941</v>
      </c>
      <c r="I970" s="84">
        <f t="shared" si="119"/>
        <v>89.770075377524165</v>
      </c>
      <c r="J970" s="84">
        <f t="shared" si="120"/>
        <v>397836695.38865006</v>
      </c>
      <c r="L970" s="19">
        <f t="shared" si="122"/>
        <v>5.0000000000000711E-2</v>
      </c>
      <c r="M970" s="19">
        <f t="shared" si="123"/>
        <v>7.0000000000000284E-2</v>
      </c>
      <c r="N970" s="19">
        <f t="shared" si="123"/>
        <v>4.9999999999999822E-2</v>
      </c>
      <c r="O970" s="19">
        <f t="shared" si="123"/>
        <v>2.0099999999999341E-2</v>
      </c>
      <c r="P970" s="19">
        <f t="shared" si="123"/>
        <v>2.0000000000000462E-2</v>
      </c>
      <c r="R970" s="19"/>
      <c r="S970" s="19"/>
      <c r="T970" s="19"/>
      <c r="U970" s="19"/>
      <c r="V970" s="19"/>
    </row>
    <row r="971" spans="1:22" x14ac:dyDescent="0.2">
      <c r="A971" s="8">
        <v>45611</v>
      </c>
      <c r="B971" s="24">
        <v>4.34</v>
      </c>
      <c r="C971" s="24">
        <v>4.3099999999999996</v>
      </c>
      <c r="D971" s="24">
        <v>4.2699999999999996</v>
      </c>
      <c r="E971" s="24">
        <v>4.2134999999999998</v>
      </c>
      <c r="F971" s="24">
        <v>4.3</v>
      </c>
      <c r="G971" s="83">
        <f t="shared" si="118"/>
        <v>95.840521372436257</v>
      </c>
      <c r="H971" s="84">
        <f t="shared" si="121"/>
        <v>102.00873626913935</v>
      </c>
      <c r="I971" s="84">
        <f t="shared" si="119"/>
        <v>89.852584200536597</v>
      </c>
      <c r="J971" s="84">
        <f t="shared" si="120"/>
        <v>398078275.14330983</v>
      </c>
      <c r="L971" s="19">
        <f t="shared" si="122"/>
        <v>-2.0000000000000462E-2</v>
      </c>
      <c r="M971" s="19">
        <f t="shared" si="123"/>
        <v>-3.0000000000000249E-2</v>
      </c>
      <c r="N971" s="19">
        <f t="shared" si="123"/>
        <v>-3.0000000000000249E-2</v>
      </c>
      <c r="O971" s="19">
        <f t="shared" si="123"/>
        <v>-5.7999999999998053E-3</v>
      </c>
      <c r="P971" s="19">
        <f t="shared" si="123"/>
        <v>-2.0000000000000462E-2</v>
      </c>
      <c r="R971" s="19"/>
      <c r="S971" s="19"/>
      <c r="T971" s="19"/>
      <c r="U971" s="19"/>
      <c r="V971" s="19"/>
    </row>
    <row r="972" spans="1:22" x14ac:dyDescent="0.2">
      <c r="A972" s="8">
        <v>45614</v>
      </c>
      <c r="B972" s="24">
        <v>4.33</v>
      </c>
      <c r="C972" s="24">
        <v>4.29</v>
      </c>
      <c r="D972" s="24">
        <v>4.25</v>
      </c>
      <c r="E972" s="24">
        <v>4.1976000000000004</v>
      </c>
      <c r="F972" s="24">
        <v>4.28</v>
      </c>
      <c r="G972" s="83">
        <f t="shared" si="118"/>
        <v>95.849707658391651</v>
      </c>
      <c r="H972" s="84">
        <f t="shared" si="121"/>
        <v>102.06427576612001</v>
      </c>
      <c r="I972" s="84">
        <f t="shared" si="119"/>
        <v>89.934800245966173</v>
      </c>
      <c r="J972" s="84">
        <f t="shared" si="120"/>
        <v>398342202.65146798</v>
      </c>
      <c r="L972" s="19">
        <f t="shared" si="122"/>
        <v>-9.9999999999997868E-3</v>
      </c>
      <c r="M972" s="19">
        <f t="shared" si="123"/>
        <v>-1.9999999999999574E-2</v>
      </c>
      <c r="N972" s="19">
        <f t="shared" si="123"/>
        <v>-1.9999999999999574E-2</v>
      </c>
      <c r="O972" s="19">
        <f t="shared" si="123"/>
        <v>-1.5899999999999359E-2</v>
      </c>
      <c r="P972" s="19">
        <f t="shared" si="123"/>
        <v>-1.9999999999999574E-2</v>
      </c>
      <c r="R972" s="19"/>
      <c r="S972" s="19"/>
      <c r="T972" s="19"/>
      <c r="U972" s="19"/>
      <c r="V972" s="19"/>
    </row>
    <row r="973" spans="1:22" x14ac:dyDescent="0.2">
      <c r="A973" s="8">
        <v>45615</v>
      </c>
      <c r="B973" s="24">
        <v>4.34</v>
      </c>
      <c r="C973" s="24">
        <v>4.2699999999999996</v>
      </c>
      <c r="D973" s="24">
        <v>4.24</v>
      </c>
      <c r="E973" s="24">
        <v>4.1757999999999997</v>
      </c>
      <c r="F973" s="24">
        <v>4.25</v>
      </c>
      <c r="G973" s="83">
        <f t="shared" si="118"/>
        <v>95.840521372436257</v>
      </c>
      <c r="H973" s="84">
        <f t="shared" si="121"/>
        <v>102.09225425147226</v>
      </c>
      <c r="I973" s="84">
        <f t="shared" si="119"/>
        <v>90.056336588233989</v>
      </c>
      <c r="J973" s="84">
        <f t="shared" si="120"/>
        <v>398768007.72060013</v>
      </c>
      <c r="L973" s="19">
        <f t="shared" si="122"/>
        <v>9.9999999999997868E-3</v>
      </c>
      <c r="M973" s="19">
        <f t="shared" si="123"/>
        <v>-2.0000000000000462E-2</v>
      </c>
      <c r="N973" s="19">
        <f t="shared" si="123"/>
        <v>-9.9999999999997868E-3</v>
      </c>
      <c r="O973" s="19">
        <f t="shared" si="123"/>
        <v>-2.1800000000000708E-2</v>
      </c>
      <c r="P973" s="19">
        <f t="shared" si="123"/>
        <v>-3.0000000000000249E-2</v>
      </c>
      <c r="R973" s="19"/>
      <c r="S973" s="19"/>
      <c r="T973" s="19"/>
      <c r="U973" s="19"/>
      <c r="V973" s="19"/>
    </row>
    <row r="974" spans="1:22" x14ac:dyDescent="0.2">
      <c r="A974" s="8">
        <v>45616</v>
      </c>
      <c r="B974" s="24">
        <v>4.37</v>
      </c>
      <c r="C974" s="24">
        <v>4.3099999999999996</v>
      </c>
      <c r="D974" s="24">
        <v>4.26</v>
      </c>
      <c r="E974" s="24">
        <v>4.1775000000000002</v>
      </c>
      <c r="F974" s="24">
        <v>4.28</v>
      </c>
      <c r="G974" s="83">
        <f t="shared" si="118"/>
        <v>95.812973076554556</v>
      </c>
      <c r="H974" s="84">
        <f t="shared" si="121"/>
        <v>102.0340124844812</v>
      </c>
      <c r="I974" s="84">
        <f t="shared" si="119"/>
        <v>89.934162399357021</v>
      </c>
      <c r="J974" s="84">
        <f t="shared" si="120"/>
        <v>398311577.02381539</v>
      </c>
      <c r="L974" s="19">
        <f t="shared" si="122"/>
        <v>3.0000000000000249E-2</v>
      </c>
      <c r="M974" s="19">
        <f t="shared" si="123"/>
        <v>4.0000000000000036E-2</v>
      </c>
      <c r="N974" s="19">
        <f t="shared" si="123"/>
        <v>1.9999999999999574E-2</v>
      </c>
      <c r="O974" s="19">
        <f t="shared" si="123"/>
        <v>1.7000000000004789E-3</v>
      </c>
      <c r="P974" s="19">
        <f t="shared" si="123"/>
        <v>3.0000000000000249E-2</v>
      </c>
      <c r="R974" s="19"/>
      <c r="S974" s="19"/>
      <c r="T974" s="19"/>
      <c r="U974" s="19"/>
      <c r="V974" s="19"/>
    </row>
    <row r="975" spans="1:22" x14ac:dyDescent="0.2">
      <c r="A975" s="8">
        <v>45617</v>
      </c>
      <c r="B975" s="24">
        <v>4.3899999999999997</v>
      </c>
      <c r="C975" s="24">
        <v>4.34</v>
      </c>
      <c r="D975" s="24">
        <v>4.3</v>
      </c>
      <c r="E975" s="24">
        <v>4.2106000000000003</v>
      </c>
      <c r="F975" s="24">
        <v>4.3</v>
      </c>
      <c r="G975" s="83">
        <f t="shared" si="118"/>
        <v>95.79461634256154</v>
      </c>
      <c r="H975" s="84">
        <f t="shared" si="121"/>
        <v>101.92389930335629</v>
      </c>
      <c r="I975" s="84">
        <f t="shared" si="119"/>
        <v>89.849276101592125</v>
      </c>
      <c r="J975" s="84">
        <f t="shared" si="120"/>
        <v>398100488.13645715</v>
      </c>
      <c r="L975" s="19">
        <f t="shared" si="122"/>
        <v>1.9999999999999574E-2</v>
      </c>
      <c r="M975" s="19">
        <f t="shared" si="123"/>
        <v>3.0000000000000249E-2</v>
      </c>
      <c r="N975" s="19">
        <f t="shared" si="123"/>
        <v>4.0000000000000036E-2</v>
      </c>
      <c r="O975" s="19">
        <f t="shared" si="123"/>
        <v>3.3100000000000129E-2</v>
      </c>
      <c r="P975" s="19">
        <f t="shared" si="123"/>
        <v>1.9999999999999574E-2</v>
      </c>
      <c r="R975" s="19"/>
      <c r="S975" s="19"/>
      <c r="T975" s="19"/>
      <c r="U975" s="19"/>
      <c r="V975" s="19"/>
    </row>
    <row r="976" spans="1:22" x14ac:dyDescent="0.2">
      <c r="A976" s="8">
        <v>45618</v>
      </c>
      <c r="B976" s="24">
        <v>4.42</v>
      </c>
      <c r="C976" s="24">
        <v>4.37</v>
      </c>
      <c r="D976" s="24">
        <v>4.32</v>
      </c>
      <c r="E976" s="24">
        <v>4.2220000000000004</v>
      </c>
      <c r="F976" s="24">
        <v>4.3</v>
      </c>
      <c r="G976" s="83">
        <f t="shared" si="118"/>
        <v>95.767094426355101</v>
      </c>
      <c r="H976" s="84">
        <f t="shared" si="121"/>
        <v>101.86666801132614</v>
      </c>
      <c r="I976" s="84">
        <f t="shared" si="119"/>
        <v>89.845914241609293</v>
      </c>
      <c r="J976" s="84">
        <f t="shared" si="120"/>
        <v>398117843.80215812</v>
      </c>
      <c r="L976" s="19">
        <f t="shared" si="122"/>
        <v>3.0000000000000249E-2</v>
      </c>
      <c r="M976" s="19">
        <f t="shared" si="123"/>
        <v>3.0000000000000249E-2</v>
      </c>
      <c r="N976" s="19">
        <f t="shared" si="123"/>
        <v>2.0000000000000462E-2</v>
      </c>
      <c r="O976" s="19">
        <f t="shared" si="123"/>
        <v>1.1400000000000077E-2</v>
      </c>
      <c r="P976" s="19">
        <f t="shared" si="123"/>
        <v>0</v>
      </c>
      <c r="R976" s="19"/>
      <c r="S976" s="19"/>
      <c r="T976" s="19"/>
      <c r="U976" s="19"/>
      <c r="V976" s="19"/>
    </row>
    <row r="977" spans="1:22" x14ac:dyDescent="0.2">
      <c r="A977" s="8">
        <v>45621</v>
      </c>
      <c r="B977" s="24">
        <v>4.37</v>
      </c>
      <c r="C977" s="24">
        <v>4.21</v>
      </c>
      <c r="D977" s="24">
        <v>4.21</v>
      </c>
      <c r="E977" s="24">
        <v>4.1313000000000004</v>
      </c>
      <c r="F977" s="24">
        <v>4.17</v>
      </c>
      <c r="G977" s="83">
        <f t="shared" si="118"/>
        <v>95.812973076554556</v>
      </c>
      <c r="H977" s="84">
        <f t="shared" si="121"/>
        <v>102.17625777514148</v>
      </c>
      <c r="I977" s="84">
        <f t="shared" si="119"/>
        <v>90.380904001280427</v>
      </c>
      <c r="J977" s="84">
        <f t="shared" si="120"/>
        <v>399885175.49551857</v>
      </c>
      <c r="L977" s="19">
        <f t="shared" si="122"/>
        <v>-4.9999999999999822E-2</v>
      </c>
      <c r="M977" s="19">
        <f t="shared" si="123"/>
        <v>-0.16000000000000014</v>
      </c>
      <c r="N977" s="19">
        <f t="shared" si="123"/>
        <v>-0.11000000000000032</v>
      </c>
      <c r="O977" s="19">
        <f t="shared" si="123"/>
        <v>-9.0700000000000003E-2</v>
      </c>
      <c r="P977" s="19">
        <f t="shared" si="123"/>
        <v>-0.12999999999999989</v>
      </c>
      <c r="R977" s="19"/>
      <c r="S977" s="19"/>
      <c r="T977" s="19"/>
      <c r="U977" s="19"/>
      <c r="V977" s="19"/>
    </row>
    <row r="978" spans="1:22" x14ac:dyDescent="0.2">
      <c r="A978" s="8">
        <v>45622</v>
      </c>
      <c r="B978" s="24">
        <v>4.37</v>
      </c>
      <c r="C978" s="24">
        <v>4.21</v>
      </c>
      <c r="D978" s="24">
        <v>4.21</v>
      </c>
      <c r="E978" s="24">
        <v>4.1310000000000002</v>
      </c>
      <c r="F978" s="24">
        <v>4.17</v>
      </c>
      <c r="G978" s="83">
        <f t="shared" si="118"/>
        <v>95.812973076554556</v>
      </c>
      <c r="H978" s="84">
        <f t="shared" si="121"/>
        <v>102.17625777514148</v>
      </c>
      <c r="I978" s="84">
        <f t="shared" si="119"/>
        <v>90.38092360362046</v>
      </c>
      <c r="J978" s="84">
        <f t="shared" si="120"/>
        <v>399885253.90487874</v>
      </c>
      <c r="L978" s="19">
        <f t="shared" si="122"/>
        <v>0</v>
      </c>
      <c r="M978" s="19">
        <f t="shared" si="123"/>
        <v>0</v>
      </c>
      <c r="N978" s="19">
        <f t="shared" si="123"/>
        <v>0</v>
      </c>
      <c r="O978" s="19">
        <f t="shared" si="123"/>
        <v>-3.00000000000189E-4</v>
      </c>
      <c r="P978" s="19">
        <f t="shared" si="123"/>
        <v>0</v>
      </c>
      <c r="R978" s="19"/>
      <c r="S978" s="19"/>
      <c r="T978" s="19"/>
      <c r="U978" s="19"/>
      <c r="V978" s="19"/>
    </row>
    <row r="979" spans="1:22" x14ac:dyDescent="0.2">
      <c r="A979" s="8">
        <v>45623</v>
      </c>
      <c r="B979" s="24">
        <v>4.34</v>
      </c>
      <c r="C979" s="24">
        <v>4.1900000000000004</v>
      </c>
      <c r="D979" s="24">
        <v>4.17</v>
      </c>
      <c r="E979" s="24">
        <v>4.0896999999999997</v>
      </c>
      <c r="F979" s="24">
        <v>4.1100000000000003</v>
      </c>
      <c r="G979" s="83">
        <f t="shared" si="118"/>
        <v>95.840521372436257</v>
      </c>
      <c r="H979" s="84">
        <f t="shared" si="121"/>
        <v>102.28632480989816</v>
      </c>
      <c r="I979" s="84">
        <f t="shared" si="119"/>
        <v>90.626811833596648</v>
      </c>
      <c r="J979" s="84">
        <f t="shared" si="120"/>
        <v>400758802.86441183</v>
      </c>
      <c r="L979" s="19">
        <f t="shared" si="122"/>
        <v>-3.0000000000000249E-2</v>
      </c>
      <c r="M979" s="19">
        <f t="shared" si="123"/>
        <v>-1.9999999999999574E-2</v>
      </c>
      <c r="N979" s="19">
        <f t="shared" si="123"/>
        <v>-4.0000000000000036E-2</v>
      </c>
      <c r="O979" s="19">
        <f t="shared" si="123"/>
        <v>-4.1300000000000558E-2</v>
      </c>
      <c r="P979" s="19">
        <f t="shared" si="123"/>
        <v>-5.9999999999999609E-2</v>
      </c>
      <c r="R979" s="19"/>
      <c r="S979" s="19"/>
      <c r="T979" s="19"/>
      <c r="U979" s="19"/>
      <c r="V979" s="19"/>
    </row>
    <row r="980" spans="1:22" x14ac:dyDescent="0.2">
      <c r="A980" s="8">
        <v>45625</v>
      </c>
      <c r="B980" s="24">
        <v>4.3</v>
      </c>
      <c r="C980" s="24">
        <v>4.13</v>
      </c>
      <c r="D980" s="24">
        <v>4.0999999999999996</v>
      </c>
      <c r="E980" s="24">
        <v>4.0354000000000001</v>
      </c>
      <c r="F980" s="24">
        <v>4.05</v>
      </c>
      <c r="G980" s="83">
        <f t="shared" si="118"/>
        <v>95.877277085330789</v>
      </c>
      <c r="H980" s="84">
        <f t="shared" si="121"/>
        <v>102.48098092563366</v>
      </c>
      <c r="I980" s="84">
        <f t="shared" si="119"/>
        <v>90.877525271630859</v>
      </c>
      <c r="J980" s="84">
        <f t="shared" si="120"/>
        <v>401543183.86873448</v>
      </c>
      <c r="L980" s="19">
        <f t="shared" si="122"/>
        <v>-4.0000000000000036E-2</v>
      </c>
      <c r="M980" s="19">
        <f t="shared" si="123"/>
        <v>-6.0000000000000497E-2</v>
      </c>
      <c r="N980" s="19">
        <f t="shared" si="123"/>
        <v>-7.0000000000000284E-2</v>
      </c>
      <c r="O980" s="19">
        <f t="shared" si="123"/>
        <v>-5.4299999999999571E-2</v>
      </c>
      <c r="P980" s="19">
        <f t="shared" si="123"/>
        <v>-6.0000000000000497E-2</v>
      </c>
      <c r="R980" s="19"/>
      <c r="S980" s="19"/>
      <c r="T980" s="19"/>
      <c r="U980" s="19"/>
      <c r="V980" s="19"/>
    </row>
    <row r="981" spans="1:22" x14ac:dyDescent="0.2">
      <c r="A981" s="8">
        <v>45628</v>
      </c>
      <c r="B981" s="24">
        <v>4.3</v>
      </c>
      <c r="C981" s="24">
        <v>4.17</v>
      </c>
      <c r="D981" s="24">
        <v>4.1100000000000003</v>
      </c>
      <c r="E981" s="24">
        <v>4.0309999999999997</v>
      </c>
      <c r="F981" s="24">
        <v>4.08</v>
      </c>
      <c r="G981" s="83">
        <f t="shared" si="118"/>
        <v>95.877277085330789</v>
      </c>
      <c r="H981" s="84">
        <f t="shared" si="121"/>
        <v>102.45062241695517</v>
      </c>
      <c r="I981" s="84">
        <f t="shared" si="119"/>
        <v>90.75542136748642</v>
      </c>
      <c r="J981" s="84">
        <f t="shared" si="120"/>
        <v>401100306.01517451</v>
      </c>
      <c r="L981" s="19">
        <f t="shared" si="122"/>
        <v>0</v>
      </c>
      <c r="M981" s="19">
        <f t="shared" si="123"/>
        <v>4.0000000000000036E-2</v>
      </c>
      <c r="N981" s="19">
        <f t="shared" si="123"/>
        <v>1.0000000000000675E-2</v>
      </c>
      <c r="O981" s="19">
        <f t="shared" si="123"/>
        <v>-4.4000000000004036E-3</v>
      </c>
      <c r="P981" s="19">
        <f t="shared" si="123"/>
        <v>3.0000000000000249E-2</v>
      </c>
      <c r="R981" s="19"/>
      <c r="S981" s="19"/>
      <c r="T981" s="19"/>
      <c r="U981" s="19"/>
      <c r="V981" s="19"/>
    </row>
    <row r="982" spans="1:22" x14ac:dyDescent="0.2">
      <c r="A982" s="8">
        <v>45629</v>
      </c>
      <c r="B982" s="24">
        <v>4.2699999999999996</v>
      </c>
      <c r="C982" s="24">
        <v>4.17</v>
      </c>
      <c r="D982" s="24">
        <v>4.13</v>
      </c>
      <c r="E982" s="24">
        <v>4.0449999999999999</v>
      </c>
      <c r="F982" s="24">
        <v>4.1100000000000003</v>
      </c>
      <c r="G982" s="83">
        <f t="shared" si="118"/>
        <v>95.904862376522487</v>
      </c>
      <c r="H982" s="84">
        <f t="shared" si="121"/>
        <v>102.39839685126663</v>
      </c>
      <c r="I982" s="84">
        <f t="shared" si="119"/>
        <v>90.633775621244595</v>
      </c>
      <c r="J982" s="84">
        <f t="shared" si="120"/>
        <v>400747231.96112341</v>
      </c>
      <c r="L982" s="19">
        <f t="shared" si="122"/>
        <v>-3.0000000000000249E-2</v>
      </c>
      <c r="M982" s="19">
        <f t="shared" si="123"/>
        <v>0</v>
      </c>
      <c r="N982" s="19">
        <f t="shared" si="123"/>
        <v>1.9999999999999574E-2</v>
      </c>
      <c r="O982" s="19">
        <f t="shared" si="123"/>
        <v>1.4000000000000234E-2</v>
      </c>
      <c r="P982" s="19">
        <f t="shared" si="123"/>
        <v>3.0000000000000249E-2</v>
      </c>
      <c r="R982" s="19"/>
      <c r="S982" s="19"/>
      <c r="T982" s="19"/>
      <c r="U982" s="19"/>
      <c r="V982" s="19"/>
    </row>
    <row r="983" spans="1:22" x14ac:dyDescent="0.2">
      <c r="A983" s="8">
        <v>45630</v>
      </c>
      <c r="B983" s="24">
        <v>4.2300000000000004</v>
      </c>
      <c r="C983" s="24">
        <v>4.13</v>
      </c>
      <c r="D983" s="24">
        <v>4.09</v>
      </c>
      <c r="E983" s="24">
        <v>4.0156999999999998</v>
      </c>
      <c r="F983" s="24">
        <v>4.07</v>
      </c>
      <c r="G983" s="83">
        <f t="shared" si="118"/>
        <v>95.941667466180562</v>
      </c>
      <c r="H983" s="84">
        <f t="shared" si="121"/>
        <v>102.51102861649196</v>
      </c>
      <c r="I983" s="84">
        <f t="shared" si="119"/>
        <v>90.800284251642111</v>
      </c>
      <c r="J983" s="84">
        <f t="shared" si="120"/>
        <v>401317929.01419163</v>
      </c>
      <c r="L983" s="19">
        <f t="shared" si="122"/>
        <v>-3.9999999999999147E-2</v>
      </c>
      <c r="M983" s="19">
        <f t="shared" si="123"/>
        <v>-4.0000000000000036E-2</v>
      </c>
      <c r="N983" s="19">
        <f t="shared" si="123"/>
        <v>-4.0000000000000036E-2</v>
      </c>
      <c r="O983" s="19">
        <f t="shared" si="123"/>
        <v>-2.9300000000000104E-2</v>
      </c>
      <c r="P983" s="19">
        <f t="shared" si="123"/>
        <v>-4.0000000000000036E-2</v>
      </c>
      <c r="R983" s="19"/>
      <c r="S983" s="19"/>
      <c r="T983" s="19"/>
      <c r="U983" s="19"/>
      <c r="V983" s="19"/>
    </row>
    <row r="984" spans="1:22" x14ac:dyDescent="0.2">
      <c r="A984" s="8">
        <v>45631</v>
      </c>
      <c r="B984" s="24">
        <v>4.2300000000000004</v>
      </c>
      <c r="C984" s="24">
        <v>4.1500000000000004</v>
      </c>
      <c r="D984" s="24">
        <v>4.0999999999999996</v>
      </c>
      <c r="E984" s="24">
        <v>4.0042999999999997</v>
      </c>
      <c r="F984" s="24">
        <v>4.07</v>
      </c>
      <c r="G984" s="83">
        <f t="shared" si="118"/>
        <v>95.941667466180562</v>
      </c>
      <c r="H984" s="84">
        <f t="shared" si="121"/>
        <v>102.48242961299292</v>
      </c>
      <c r="I984" s="84">
        <f t="shared" si="119"/>
        <v>90.799814143425451</v>
      </c>
      <c r="J984" s="84">
        <f t="shared" si="120"/>
        <v>401358947.08657354</v>
      </c>
      <c r="L984" s="19">
        <f t="shared" si="122"/>
        <v>0</v>
      </c>
      <c r="M984" s="19">
        <f t="shared" si="123"/>
        <v>2.0000000000000462E-2</v>
      </c>
      <c r="N984" s="19">
        <f t="shared" si="123"/>
        <v>9.9999999999997868E-3</v>
      </c>
      <c r="O984" s="19">
        <f t="shared" si="123"/>
        <v>-1.1400000000000077E-2</v>
      </c>
      <c r="P984" s="19">
        <f t="shared" si="123"/>
        <v>0</v>
      </c>
      <c r="R984" s="19"/>
      <c r="S984" s="19"/>
      <c r="T984" s="19"/>
      <c r="U984" s="19"/>
      <c r="V984" s="19"/>
    </row>
    <row r="985" spans="1:22" x14ac:dyDescent="0.2">
      <c r="A985" s="8">
        <v>45632</v>
      </c>
      <c r="B985" s="24">
        <v>4.1900000000000004</v>
      </c>
      <c r="C985" s="24">
        <v>4.0999999999999996</v>
      </c>
      <c r="D985" s="24">
        <v>4.05</v>
      </c>
      <c r="E985" s="24">
        <v>3.9744999999999999</v>
      </c>
      <c r="F985" s="24">
        <v>4.03</v>
      </c>
      <c r="G985" s="83">
        <f t="shared" si="118"/>
        <v>95.978500815817256</v>
      </c>
      <c r="H985" s="84">
        <f t="shared" si="121"/>
        <v>102.62294429816116</v>
      </c>
      <c r="I985" s="84">
        <f t="shared" si="119"/>
        <v>90.967599826725447</v>
      </c>
      <c r="J985" s="84">
        <f t="shared" si="120"/>
        <v>401892984.49129462</v>
      </c>
      <c r="L985" s="19">
        <f t="shared" si="122"/>
        <v>-4.0000000000000036E-2</v>
      </c>
      <c r="M985" s="19">
        <f t="shared" si="123"/>
        <v>-5.0000000000000711E-2</v>
      </c>
      <c r="N985" s="19">
        <f t="shared" si="123"/>
        <v>-4.9999999999999822E-2</v>
      </c>
      <c r="O985" s="19">
        <f t="shared" si="123"/>
        <v>-2.9799999999999827E-2</v>
      </c>
      <c r="P985" s="19">
        <f t="shared" si="123"/>
        <v>-4.0000000000000036E-2</v>
      </c>
      <c r="R985" s="19"/>
      <c r="S985" s="19"/>
      <c r="T985" s="19"/>
      <c r="U985" s="19"/>
      <c r="V985" s="19"/>
    </row>
    <row r="986" spans="1:22" x14ac:dyDescent="0.2">
      <c r="A986" s="8">
        <v>45635</v>
      </c>
      <c r="B986" s="24">
        <v>4.2</v>
      </c>
      <c r="C986" s="24">
        <v>4.13</v>
      </c>
      <c r="D986" s="24">
        <v>4.09</v>
      </c>
      <c r="E986" s="24">
        <v>3.9933000000000001</v>
      </c>
      <c r="F986" s="24">
        <v>4.07</v>
      </c>
      <c r="G986" s="83">
        <f t="shared" si="118"/>
        <v>95.969289827255281</v>
      </c>
      <c r="H986" s="84">
        <f t="shared" si="121"/>
        <v>102.5124097345457</v>
      </c>
      <c r="I986" s="84">
        <f t="shared" si="119"/>
        <v>90.802309273710847</v>
      </c>
      <c r="J986" s="84">
        <f t="shared" si="120"/>
        <v>401379202.14753538</v>
      </c>
      <c r="L986" s="19">
        <f t="shared" si="122"/>
        <v>9.9999999999997868E-3</v>
      </c>
      <c r="M986" s="19">
        <f t="shared" si="123"/>
        <v>3.0000000000000249E-2</v>
      </c>
      <c r="N986" s="19">
        <f t="shared" si="123"/>
        <v>4.0000000000000036E-2</v>
      </c>
      <c r="O986" s="19">
        <f t="shared" si="123"/>
        <v>1.880000000000015E-2</v>
      </c>
      <c r="P986" s="19">
        <f t="shared" si="123"/>
        <v>4.0000000000000036E-2</v>
      </c>
      <c r="R986" s="19"/>
      <c r="S986" s="19"/>
      <c r="T986" s="19"/>
      <c r="U986" s="19"/>
      <c r="V986" s="19"/>
    </row>
    <row r="987" spans="1:22" x14ac:dyDescent="0.2">
      <c r="A987" s="8">
        <v>45636</v>
      </c>
      <c r="B987" s="24">
        <v>4.22</v>
      </c>
      <c r="C987" s="24">
        <v>4.1500000000000004</v>
      </c>
      <c r="D987" s="24">
        <v>4.08</v>
      </c>
      <c r="E987" s="24">
        <v>4.0138999999999996</v>
      </c>
      <c r="F987" s="24">
        <v>4.09</v>
      </c>
      <c r="G987" s="83">
        <f t="shared" si="118"/>
        <v>95.95087315294569</v>
      </c>
      <c r="H987" s="84">
        <f t="shared" si="121"/>
        <v>102.53655655254985</v>
      </c>
      <c r="I987" s="84">
        <f t="shared" si="119"/>
        <v>90.720148484549583</v>
      </c>
      <c r="J987" s="84">
        <f t="shared" si="120"/>
        <v>400977505.4152649</v>
      </c>
      <c r="L987" s="19">
        <f t="shared" si="122"/>
        <v>1.9999999999999574E-2</v>
      </c>
      <c r="M987" s="19">
        <f t="shared" si="123"/>
        <v>2.0000000000000462E-2</v>
      </c>
      <c r="N987" s="19">
        <f t="shared" si="123"/>
        <v>-9.9999999999997868E-3</v>
      </c>
      <c r="O987" s="19">
        <f t="shared" si="123"/>
        <v>2.0599999999999508E-2</v>
      </c>
      <c r="P987" s="19">
        <f t="shared" si="123"/>
        <v>1.9999999999999574E-2</v>
      </c>
      <c r="R987" s="19"/>
      <c r="S987" s="19"/>
      <c r="T987" s="19"/>
      <c r="U987" s="19"/>
      <c r="V987" s="19"/>
    </row>
    <row r="988" spans="1:22" x14ac:dyDescent="0.2">
      <c r="A988" s="8">
        <v>45637</v>
      </c>
      <c r="B988" s="24">
        <v>4.21</v>
      </c>
      <c r="C988" s="24">
        <v>4.1500000000000004</v>
      </c>
      <c r="D988" s="24">
        <v>4.09</v>
      </c>
      <c r="E988" s="24">
        <v>4.0450999999999997</v>
      </c>
      <c r="F988" s="24">
        <v>4.13</v>
      </c>
      <c r="G988" s="83">
        <f t="shared" si="118"/>
        <v>95.960080606467713</v>
      </c>
      <c r="H988" s="84">
        <f t="shared" si="121"/>
        <v>102.51017844182309</v>
      </c>
      <c r="I988" s="84">
        <f t="shared" si="119"/>
        <v>90.557567973003088</v>
      </c>
      <c r="J988" s="84">
        <f t="shared" si="120"/>
        <v>400385165.44221318</v>
      </c>
      <c r="L988" s="19">
        <f t="shared" si="122"/>
        <v>-9.9999999999997868E-3</v>
      </c>
      <c r="M988" s="19">
        <f t="shared" si="123"/>
        <v>0</v>
      </c>
      <c r="N988" s="19">
        <f t="shared" si="123"/>
        <v>9.9999999999997868E-3</v>
      </c>
      <c r="O988" s="19">
        <f t="shared" si="123"/>
        <v>3.1200000000000117E-2</v>
      </c>
      <c r="P988" s="19">
        <f t="shared" si="123"/>
        <v>4.0000000000000036E-2</v>
      </c>
      <c r="R988" s="19"/>
      <c r="S988" s="19"/>
      <c r="T988" s="19"/>
      <c r="U988" s="19"/>
      <c r="V988" s="19"/>
    </row>
    <row r="989" spans="1:22" x14ac:dyDescent="0.2">
      <c r="A989" s="8">
        <v>45638</v>
      </c>
      <c r="B989" s="24">
        <v>4.22</v>
      </c>
      <c r="C989" s="24">
        <v>4.18</v>
      </c>
      <c r="D989" s="24">
        <v>4.1399999999999997</v>
      </c>
      <c r="E989" s="24">
        <v>4.0872000000000002</v>
      </c>
      <c r="F989" s="24">
        <v>4.18</v>
      </c>
      <c r="G989" s="83">
        <f t="shared" si="118"/>
        <v>95.95087315294569</v>
      </c>
      <c r="H989" s="84">
        <f t="shared" si="121"/>
        <v>102.37302589142944</v>
      </c>
      <c r="I989" s="84">
        <f t="shared" si="119"/>
        <v>90.351272021075118</v>
      </c>
      <c r="J989" s="84">
        <f t="shared" si="120"/>
        <v>399747295.55304766</v>
      </c>
      <c r="L989" s="19">
        <f t="shared" si="122"/>
        <v>9.9999999999997868E-3</v>
      </c>
      <c r="M989" s="19">
        <f t="shared" si="123"/>
        <v>2.9999999999999361E-2</v>
      </c>
      <c r="N989" s="19">
        <f t="shared" si="123"/>
        <v>4.9999999999999822E-2</v>
      </c>
      <c r="O989" s="19">
        <f t="shared" si="123"/>
        <v>4.210000000000047E-2</v>
      </c>
      <c r="P989" s="19">
        <f t="shared" si="123"/>
        <v>4.9999999999999822E-2</v>
      </c>
      <c r="R989" s="19"/>
      <c r="S989" s="19"/>
      <c r="T989" s="19"/>
      <c r="U989" s="19"/>
      <c r="V989" s="19"/>
    </row>
    <row r="990" spans="1:22" x14ac:dyDescent="0.2">
      <c r="A990" s="8">
        <v>45639</v>
      </c>
      <c r="B990" s="24">
        <v>4.24</v>
      </c>
      <c r="C990" s="24">
        <v>4.25</v>
      </c>
      <c r="D990" s="24">
        <v>4.21</v>
      </c>
      <c r="E990" s="24">
        <v>4.1525999999999996</v>
      </c>
      <c r="F990" s="24">
        <v>4.25</v>
      </c>
      <c r="G990" s="83">
        <f t="shared" si="118"/>
        <v>95.93246354566385</v>
      </c>
      <c r="H990" s="84">
        <f t="shared" si="121"/>
        <v>102.17869980152931</v>
      </c>
      <c r="I990" s="84">
        <f t="shared" si="119"/>
        <v>90.061920236528309</v>
      </c>
      <c r="J990" s="84">
        <f t="shared" si="120"/>
        <v>398844558.33514696</v>
      </c>
      <c r="L990" s="19">
        <f t="shared" si="122"/>
        <v>2.0000000000000462E-2</v>
      </c>
      <c r="M990" s="19">
        <f t="shared" si="123"/>
        <v>7.0000000000000284E-2</v>
      </c>
      <c r="N990" s="19">
        <f t="shared" si="123"/>
        <v>7.0000000000000284E-2</v>
      </c>
      <c r="O990" s="19">
        <f t="shared" si="123"/>
        <v>6.5399999999999459E-2</v>
      </c>
      <c r="P990" s="19">
        <f t="shared" si="123"/>
        <v>7.0000000000000284E-2</v>
      </c>
      <c r="R990" s="19"/>
      <c r="S990" s="19"/>
      <c r="T990" s="19"/>
      <c r="U990" s="19"/>
      <c r="V990" s="19"/>
    </row>
    <row r="991" spans="1:22" x14ac:dyDescent="0.2">
      <c r="A991" s="8">
        <v>45642</v>
      </c>
      <c r="B991" s="24">
        <v>4.24</v>
      </c>
      <c r="C991" s="24">
        <v>4.25</v>
      </c>
      <c r="D991" s="24">
        <v>4.22</v>
      </c>
      <c r="E991" s="24">
        <v>4.1627999999999998</v>
      </c>
      <c r="F991" s="24">
        <v>4.25</v>
      </c>
      <c r="G991" s="83">
        <f t="shared" si="118"/>
        <v>95.93246354566385</v>
      </c>
      <c r="H991" s="84">
        <f t="shared" si="121"/>
        <v>102.15199498333394</v>
      </c>
      <c r="I991" s="84">
        <f t="shared" si="119"/>
        <v>90.060745942757293</v>
      </c>
      <c r="J991" s="84">
        <f t="shared" si="120"/>
        <v>398879918.38735592</v>
      </c>
      <c r="L991" s="19">
        <f t="shared" si="122"/>
        <v>0</v>
      </c>
      <c r="M991" s="19">
        <f t="shared" si="123"/>
        <v>0</v>
      </c>
      <c r="N991" s="19">
        <f t="shared" si="123"/>
        <v>9.9999999999997868E-3</v>
      </c>
      <c r="O991" s="19">
        <f t="shared" si="123"/>
        <v>1.0200000000000209E-2</v>
      </c>
      <c r="P991" s="19">
        <f t="shared" si="123"/>
        <v>0</v>
      </c>
      <c r="R991" s="19"/>
      <c r="S991" s="19"/>
      <c r="T991" s="19"/>
      <c r="U991" s="19"/>
      <c r="V991" s="19"/>
    </row>
    <row r="992" spans="1:22" x14ac:dyDescent="0.2">
      <c r="A992" s="8">
        <v>45643</v>
      </c>
      <c r="B992" s="24">
        <v>4.25</v>
      </c>
      <c r="C992" s="24">
        <v>4.25</v>
      </c>
      <c r="D992" s="24">
        <v>4.22</v>
      </c>
      <c r="E992" s="24">
        <v>4.1698000000000004</v>
      </c>
      <c r="F992" s="24">
        <v>4.26</v>
      </c>
      <c r="G992" s="83">
        <f t="shared" si="118"/>
        <v>95.923261390887291</v>
      </c>
      <c r="H992" s="84">
        <f t="shared" si="121"/>
        <v>102.1515348755951</v>
      </c>
      <c r="I992" s="84">
        <f t="shared" si="119"/>
        <v>90.020387149763081</v>
      </c>
      <c r="J992" s="84">
        <f t="shared" si="120"/>
        <v>398700769.06743419</v>
      </c>
      <c r="L992" s="19">
        <f t="shared" si="122"/>
        <v>9.9999999999997868E-3</v>
      </c>
      <c r="M992" s="19">
        <f t="shared" si="123"/>
        <v>0</v>
      </c>
      <c r="N992" s="19">
        <f t="shared" si="123"/>
        <v>0</v>
      </c>
      <c r="O992" s="19">
        <f t="shared" si="123"/>
        <v>7.0000000000005613E-3</v>
      </c>
      <c r="P992" s="19">
        <f t="shared" si="123"/>
        <v>9.9999999999997868E-3</v>
      </c>
      <c r="R992" s="19"/>
      <c r="S992" s="19"/>
      <c r="T992" s="19"/>
      <c r="U992" s="19"/>
      <c r="V992" s="19"/>
    </row>
    <row r="993" spans="1:22" x14ac:dyDescent="0.2">
      <c r="A993" s="8">
        <v>45644</v>
      </c>
      <c r="B993" s="24">
        <v>4.3</v>
      </c>
      <c r="C993" s="24">
        <v>4.3499999999999996</v>
      </c>
      <c r="D993" s="24">
        <v>4.3499999999999996</v>
      </c>
      <c r="E993" s="24">
        <v>4.2588999999999997</v>
      </c>
      <c r="F993" s="24">
        <v>4.4000000000000004</v>
      </c>
      <c r="G993" s="83">
        <f t="shared" si="118"/>
        <v>95.877277085330789</v>
      </c>
      <c r="H993" s="84">
        <f t="shared" si="121"/>
        <v>101.79419027729547</v>
      </c>
      <c r="I993" s="84">
        <f t="shared" si="119"/>
        <v>89.449886967659182</v>
      </c>
      <c r="J993" s="84">
        <f t="shared" si="120"/>
        <v>396862816.62535506</v>
      </c>
      <c r="L993" s="19">
        <f t="shared" si="122"/>
        <v>4.9999999999999822E-2</v>
      </c>
      <c r="M993" s="19">
        <f t="shared" si="123"/>
        <v>9.9999999999999645E-2</v>
      </c>
      <c r="N993" s="19">
        <f t="shared" si="123"/>
        <v>0.12999999999999989</v>
      </c>
      <c r="O993" s="19">
        <f t="shared" si="123"/>
        <v>8.9099999999999291E-2</v>
      </c>
      <c r="P993" s="19">
        <f t="shared" si="123"/>
        <v>0.14000000000000057</v>
      </c>
      <c r="R993" s="19"/>
      <c r="S993" s="19"/>
      <c r="T993" s="19"/>
      <c r="U993" s="19"/>
      <c r="V993" s="19"/>
    </row>
    <row r="994" spans="1:22" x14ac:dyDescent="0.2">
      <c r="A994" s="8">
        <v>45645</v>
      </c>
      <c r="B994" s="24">
        <v>4.28</v>
      </c>
      <c r="C994" s="24">
        <v>4.32</v>
      </c>
      <c r="D994" s="24">
        <v>4.3499999999999996</v>
      </c>
      <c r="E994" s="24">
        <v>4.3026</v>
      </c>
      <c r="F994" s="24">
        <v>4.43</v>
      </c>
      <c r="G994" s="83">
        <f t="shared" si="118"/>
        <v>95.895665515918679</v>
      </c>
      <c r="H994" s="84">
        <f t="shared" si="121"/>
        <v>101.79775108081002</v>
      </c>
      <c r="I994" s="84">
        <f t="shared" si="119"/>
        <v>89.330413216335415</v>
      </c>
      <c r="J994" s="84">
        <f t="shared" si="120"/>
        <v>396416357.27596402</v>
      </c>
      <c r="L994" s="19">
        <f t="shared" si="122"/>
        <v>-1.9999999999999574E-2</v>
      </c>
      <c r="M994" s="19">
        <f t="shared" si="123"/>
        <v>-2.9999999999999361E-2</v>
      </c>
      <c r="N994" s="19">
        <f t="shared" si="123"/>
        <v>0</v>
      </c>
      <c r="O994" s="19">
        <f t="shared" si="123"/>
        <v>4.3700000000000294E-2</v>
      </c>
      <c r="P994" s="19">
        <f t="shared" si="123"/>
        <v>2.9999999999999361E-2</v>
      </c>
      <c r="R994" s="19"/>
      <c r="S994" s="19"/>
      <c r="T994" s="19"/>
      <c r="U994" s="19"/>
      <c r="V994" s="19"/>
    </row>
    <row r="995" spans="1:22" x14ac:dyDescent="0.2">
      <c r="A995" s="8">
        <v>45646</v>
      </c>
      <c r="B995" s="24">
        <v>4.2699999999999996</v>
      </c>
      <c r="C995" s="24">
        <v>4.3</v>
      </c>
      <c r="D995" s="24">
        <v>4.32</v>
      </c>
      <c r="E995" s="24">
        <v>4.2786999999999997</v>
      </c>
      <c r="F995" s="24">
        <v>4.37</v>
      </c>
      <c r="G995" s="83">
        <f t="shared" si="118"/>
        <v>95.904862376522487</v>
      </c>
      <c r="H995" s="84">
        <f t="shared" si="121"/>
        <v>101.87971963459887</v>
      </c>
      <c r="I995" s="84">
        <f t="shared" si="119"/>
        <v>89.570700665668795</v>
      </c>
      <c r="J995" s="84">
        <f t="shared" si="120"/>
        <v>397272947.96382189</v>
      </c>
      <c r="L995" s="19">
        <f t="shared" si="122"/>
        <v>-1.0000000000000675E-2</v>
      </c>
      <c r="M995" s="19">
        <f t="shared" si="123"/>
        <v>-2.0000000000000462E-2</v>
      </c>
      <c r="N995" s="19">
        <f t="shared" si="123"/>
        <v>-2.9999999999999361E-2</v>
      </c>
      <c r="O995" s="19">
        <f t="shared" si="123"/>
        <v>-2.3900000000000254E-2</v>
      </c>
      <c r="P995" s="19">
        <f t="shared" si="123"/>
        <v>-5.9999999999999609E-2</v>
      </c>
      <c r="R995" s="19"/>
      <c r="S995" s="19"/>
      <c r="T995" s="19"/>
      <c r="U995" s="19"/>
      <c r="V995" s="19"/>
    </row>
    <row r="996" spans="1:22" x14ac:dyDescent="0.2">
      <c r="A996" s="8">
        <v>45649</v>
      </c>
      <c r="B996" s="24">
        <v>4.26</v>
      </c>
      <c r="C996" s="24">
        <v>4.3</v>
      </c>
      <c r="D996" s="24">
        <v>4.3600000000000003</v>
      </c>
      <c r="E996" s="24">
        <v>4.3227000000000002</v>
      </c>
      <c r="F996" s="24">
        <v>4.4400000000000004</v>
      </c>
      <c r="G996" s="83">
        <f t="shared" si="118"/>
        <v>95.914061001342802</v>
      </c>
      <c r="H996" s="84">
        <f t="shared" si="121"/>
        <v>101.77387124247372</v>
      </c>
      <c r="I996" s="84">
        <f t="shared" si="119"/>
        <v>89.290368932108834</v>
      </c>
      <c r="J996" s="84">
        <f t="shared" si="120"/>
        <v>396328790.86741036</v>
      </c>
      <c r="L996" s="19">
        <f t="shared" si="122"/>
        <v>-9.9999999999997868E-3</v>
      </c>
      <c r="M996" s="19">
        <f t="shared" si="123"/>
        <v>0</v>
      </c>
      <c r="N996" s="19">
        <f t="shared" si="123"/>
        <v>4.0000000000000036E-2</v>
      </c>
      <c r="O996" s="19">
        <f t="shared" si="123"/>
        <v>4.4000000000000483E-2</v>
      </c>
      <c r="P996" s="19">
        <f t="shared" si="123"/>
        <v>7.0000000000000284E-2</v>
      </c>
      <c r="R996" s="19"/>
      <c r="S996" s="19"/>
      <c r="T996" s="19"/>
      <c r="U996" s="19"/>
      <c r="V996" s="19"/>
    </row>
    <row r="997" spans="1:22" x14ac:dyDescent="0.2">
      <c r="A997" s="8">
        <v>45650</v>
      </c>
      <c r="B997" s="24">
        <v>4.24</v>
      </c>
      <c r="C997" s="24">
        <v>4.29</v>
      </c>
      <c r="D997" s="24">
        <v>4.3600000000000003</v>
      </c>
      <c r="E997" s="24">
        <v>4.3343999999999996</v>
      </c>
      <c r="F997" s="24">
        <v>4.43</v>
      </c>
      <c r="G997" s="83">
        <f t="shared" si="118"/>
        <v>95.93246354566385</v>
      </c>
      <c r="H997" s="84">
        <f t="shared" si="121"/>
        <v>101.77567284375029</v>
      </c>
      <c r="I997" s="84">
        <f t="shared" si="119"/>
        <v>89.32964144587794</v>
      </c>
      <c r="J997" s="84">
        <f t="shared" si="120"/>
        <v>396519983.60921407</v>
      </c>
      <c r="L997" s="19">
        <f t="shared" si="122"/>
        <v>-1.9999999999999574E-2</v>
      </c>
      <c r="M997" s="19">
        <f t="shared" si="123"/>
        <v>-9.9999999999997868E-3</v>
      </c>
      <c r="N997" s="19">
        <f t="shared" si="123"/>
        <v>0</v>
      </c>
      <c r="O997" s="19">
        <f t="shared" si="123"/>
        <v>1.1699999999999378E-2</v>
      </c>
      <c r="P997" s="19">
        <f t="shared" si="123"/>
        <v>-1.0000000000000675E-2</v>
      </c>
      <c r="R997" s="19"/>
      <c r="S997" s="19"/>
      <c r="T997" s="19"/>
      <c r="U997" s="19"/>
      <c r="V997" s="19"/>
    </row>
    <row r="998" spans="1:22" x14ac:dyDescent="0.2">
      <c r="A998" s="8">
        <v>45652</v>
      </c>
      <c r="B998" s="24">
        <v>4.2300000000000004</v>
      </c>
      <c r="C998" s="24">
        <v>4.3</v>
      </c>
      <c r="D998" s="24">
        <v>4.3499999999999996</v>
      </c>
      <c r="E998" s="24">
        <v>4.3215000000000003</v>
      </c>
      <c r="F998" s="24">
        <v>4.42</v>
      </c>
      <c r="G998" s="83">
        <f t="shared" si="118"/>
        <v>95.941667466180562</v>
      </c>
      <c r="H998" s="84">
        <f t="shared" si="121"/>
        <v>101.80181336603074</v>
      </c>
      <c r="I998" s="84">
        <f t="shared" si="119"/>
        <v>89.370145605076218</v>
      </c>
      <c r="J998" s="84">
        <f t="shared" si="120"/>
        <v>396661197.30361992</v>
      </c>
      <c r="L998" s="19">
        <f t="shared" si="122"/>
        <v>-9.9999999999997868E-3</v>
      </c>
      <c r="M998" s="19">
        <f t="shared" si="123"/>
        <v>9.9999999999997868E-3</v>
      </c>
      <c r="N998" s="19">
        <f t="shared" si="123"/>
        <v>-1.0000000000000675E-2</v>
      </c>
      <c r="O998" s="19">
        <f t="shared" si="123"/>
        <v>-1.2899999999999245E-2</v>
      </c>
      <c r="P998" s="19">
        <f t="shared" si="123"/>
        <v>-9.9999999999997868E-3</v>
      </c>
      <c r="R998" s="19"/>
      <c r="S998" s="19"/>
      <c r="T998" s="19"/>
      <c r="U998" s="19"/>
      <c r="V998" s="19"/>
    </row>
    <row r="999" spans="1:22" x14ac:dyDescent="0.2">
      <c r="A999" s="8">
        <v>45653</v>
      </c>
      <c r="B999" s="24">
        <v>4.2</v>
      </c>
      <c r="C999" s="24">
        <v>4.3099999999999996</v>
      </c>
      <c r="D999" s="24">
        <v>4.3600000000000003</v>
      </c>
      <c r="E999" s="24">
        <v>4.3346999999999998</v>
      </c>
      <c r="F999" s="24">
        <v>4.45</v>
      </c>
      <c r="G999" s="83">
        <f t="shared" si="118"/>
        <v>95.969289827255281</v>
      </c>
      <c r="H999" s="84">
        <f t="shared" si="121"/>
        <v>101.77575146321236</v>
      </c>
      <c r="I999" s="84">
        <f t="shared" si="119"/>
        <v>89.251057739223498</v>
      </c>
      <c r="J999" s="84">
        <f t="shared" si="120"/>
        <v>396279183.41658604</v>
      </c>
      <c r="L999" s="19">
        <f t="shared" si="122"/>
        <v>-3.0000000000000249E-2</v>
      </c>
      <c r="M999" s="19">
        <f t="shared" si="123"/>
        <v>9.9999999999997868E-3</v>
      </c>
      <c r="N999" s="19">
        <f t="shared" si="123"/>
        <v>1.0000000000000675E-2</v>
      </c>
      <c r="O999" s="19">
        <f t="shared" si="123"/>
        <v>1.3199999999999434E-2</v>
      </c>
      <c r="P999" s="19">
        <f t="shared" si="123"/>
        <v>3.0000000000000249E-2</v>
      </c>
      <c r="R999" s="19"/>
      <c r="S999" s="19"/>
      <c r="T999" s="19"/>
      <c r="U999" s="19"/>
      <c r="V999" s="19"/>
    </row>
    <row r="1000" spans="1:22" x14ac:dyDescent="0.2">
      <c r="A1000" s="8">
        <v>45656</v>
      </c>
      <c r="B1000" s="24">
        <v>4.17</v>
      </c>
      <c r="C1000" s="24">
        <v>4.24</v>
      </c>
      <c r="D1000" s="24">
        <v>4.29</v>
      </c>
      <c r="E1000" s="24">
        <v>4.2736999999999998</v>
      </c>
      <c r="F1000" s="24">
        <v>4.37</v>
      </c>
      <c r="G1000" s="83">
        <f t="shared" si="118"/>
        <v>95.996928098300842</v>
      </c>
      <c r="H1000" s="84">
        <f t="shared" si="121"/>
        <v>101.96945387980838</v>
      </c>
      <c r="I1000" s="84">
        <f t="shared" si="119"/>
        <v>89.576504209638998</v>
      </c>
      <c r="J1000" s="84">
        <f t="shared" si="120"/>
        <v>397345692.2154451</v>
      </c>
      <c r="L1000" s="19">
        <f t="shared" si="122"/>
        <v>-3.0000000000000249E-2</v>
      </c>
      <c r="M1000" s="19">
        <f t="shared" si="123"/>
        <v>-6.9999999999999396E-2</v>
      </c>
      <c r="N1000" s="19">
        <f t="shared" si="123"/>
        <v>-7.0000000000000284E-2</v>
      </c>
      <c r="O1000" s="19">
        <f t="shared" si="123"/>
        <v>-6.0999999999999943E-2</v>
      </c>
      <c r="P1000" s="19">
        <f t="shared" si="123"/>
        <v>-8.0000000000000071E-2</v>
      </c>
      <c r="R1000" s="19"/>
      <c r="S1000" s="19"/>
      <c r="T1000" s="19"/>
      <c r="U1000" s="19"/>
      <c r="V1000" s="19"/>
    </row>
    <row r="1001" spans="1:22" x14ac:dyDescent="0.2">
      <c r="A1001" s="8">
        <v>45657</v>
      </c>
      <c r="B1001" s="24">
        <v>4.16</v>
      </c>
      <c r="C1001" s="24">
        <v>4.25</v>
      </c>
      <c r="D1001" s="24">
        <v>4.2699999999999996</v>
      </c>
      <c r="E1001" s="24">
        <v>4.2679999999999998</v>
      </c>
      <c r="F1001" s="24">
        <v>4.38</v>
      </c>
      <c r="G1001" s="83">
        <f t="shared" si="118"/>
        <v>96.006144393241158</v>
      </c>
      <c r="H1001" s="84">
        <f t="shared" si="121"/>
        <v>102.02230854802018</v>
      </c>
      <c r="I1001" s="84">
        <f t="shared" si="119"/>
        <v>89.538275251136341</v>
      </c>
      <c r="J1001" s="84">
        <f t="shared" si="120"/>
        <v>397131926.96899742</v>
      </c>
      <c r="L1001" s="19">
        <f t="shared" si="122"/>
        <v>-9.9999999999997868E-3</v>
      </c>
      <c r="M1001" s="19">
        <f t="shared" si="123"/>
        <v>9.9999999999997868E-3</v>
      </c>
      <c r="N1001" s="19">
        <f t="shared" si="123"/>
        <v>-2.0000000000000462E-2</v>
      </c>
      <c r="O1001" s="19">
        <f t="shared" si="123"/>
        <v>-5.7000000000000384E-3</v>
      </c>
      <c r="P1001" s="19">
        <f t="shared" si="123"/>
        <v>9.9999999999997868E-3</v>
      </c>
      <c r="R1001" s="19"/>
      <c r="S1001" s="19"/>
      <c r="T1001" s="19"/>
      <c r="U1001" s="19"/>
      <c r="V1001" s="19"/>
    </row>
    <row r="1002" spans="1:22" x14ac:dyDescent="0.2">
      <c r="A1002" s="8">
        <v>45659</v>
      </c>
      <c r="B1002" s="24">
        <v>4.17</v>
      </c>
      <c r="C1002" s="24">
        <v>4.25</v>
      </c>
      <c r="D1002" s="24">
        <v>4.29</v>
      </c>
      <c r="E1002" s="24">
        <v>4.2582000000000004</v>
      </c>
      <c r="F1002" s="24">
        <v>4.38</v>
      </c>
      <c r="G1002" s="83">
        <f t="shared" si="118"/>
        <v>95.996928098300842</v>
      </c>
      <c r="H1002" s="84">
        <f t="shared" si="121"/>
        <v>101.96857113677058</v>
      </c>
      <c r="I1002" s="84">
        <f t="shared" si="119"/>
        <v>89.537712434354759</v>
      </c>
      <c r="J1002" s="84">
        <f t="shared" si="120"/>
        <v>397191849.22886479</v>
      </c>
      <c r="L1002" s="19">
        <f t="shared" si="122"/>
        <v>9.9999999999997868E-3</v>
      </c>
      <c r="M1002" s="19">
        <f t="shared" si="123"/>
        <v>0</v>
      </c>
      <c r="N1002" s="19">
        <f t="shared" si="123"/>
        <v>2.0000000000000462E-2</v>
      </c>
      <c r="O1002" s="19">
        <f t="shared" si="123"/>
        <v>-9.7999999999993648E-3</v>
      </c>
      <c r="P1002" s="19">
        <f t="shared" si="123"/>
        <v>0</v>
      </c>
      <c r="R1002" s="19"/>
      <c r="S1002" s="19"/>
      <c r="T1002" s="19"/>
      <c r="U1002" s="19"/>
      <c r="V1002" s="19"/>
    </row>
    <row r="1003" spans="1:22" x14ac:dyDescent="0.2">
      <c r="A1003" s="8">
        <v>45660</v>
      </c>
      <c r="B1003" s="24">
        <v>4.18</v>
      </c>
      <c r="C1003" s="24">
        <v>4.28</v>
      </c>
      <c r="D1003" s="24">
        <v>4.32</v>
      </c>
      <c r="E1003" s="24">
        <v>4.2834000000000003</v>
      </c>
      <c r="F1003" s="24">
        <v>4.41</v>
      </c>
      <c r="G1003" s="83">
        <f t="shared" si="118"/>
        <v>95.987713572662699</v>
      </c>
      <c r="H1003" s="84">
        <f t="shared" si="121"/>
        <v>101.88562539612772</v>
      </c>
      <c r="I1003" s="84">
        <f t="shared" si="119"/>
        <v>89.415114268397474</v>
      </c>
      <c r="J1003" s="84">
        <f t="shared" si="120"/>
        <v>396807446.12472373</v>
      </c>
      <c r="L1003" s="19">
        <f t="shared" si="122"/>
        <v>9.9999999999997868E-3</v>
      </c>
      <c r="M1003" s="19">
        <f t="shared" si="123"/>
        <v>3.0000000000000249E-2</v>
      </c>
      <c r="N1003" s="19">
        <f t="shared" si="123"/>
        <v>3.0000000000000249E-2</v>
      </c>
      <c r="O1003" s="19">
        <f t="shared" si="123"/>
        <v>2.5199999999999889E-2</v>
      </c>
      <c r="P1003" s="19">
        <f t="shared" si="123"/>
        <v>3.0000000000000249E-2</v>
      </c>
      <c r="R1003" s="19"/>
      <c r="S1003" s="19"/>
      <c r="T1003" s="19"/>
      <c r="U1003" s="19"/>
      <c r="V1003" s="19"/>
    </row>
    <row r="1004" spans="1:22" x14ac:dyDescent="0.2">
      <c r="A1004" s="8">
        <v>45663</v>
      </c>
      <c r="B1004" s="24">
        <v>4.17</v>
      </c>
      <c r="C1004" s="24">
        <v>4.28</v>
      </c>
      <c r="D1004" s="24">
        <v>4.3</v>
      </c>
      <c r="E1004" s="24">
        <v>4.2941000000000003</v>
      </c>
      <c r="F1004" s="24">
        <v>4.42</v>
      </c>
      <c r="G1004" s="83">
        <f t="shared" si="118"/>
        <v>95.996928098300842</v>
      </c>
      <c r="H1004" s="84">
        <f t="shared" si="121"/>
        <v>101.93930145504353</v>
      </c>
      <c r="I1004" s="84">
        <f t="shared" si="119"/>
        <v>89.376263943483039</v>
      </c>
      <c r="J1004" s="84">
        <f t="shared" si="120"/>
        <v>396589959.78796852</v>
      </c>
      <c r="L1004" s="19">
        <f t="shared" si="122"/>
        <v>-9.9999999999997868E-3</v>
      </c>
      <c r="M1004" s="19">
        <f t="shared" si="123"/>
        <v>0</v>
      </c>
      <c r="N1004" s="19">
        <f t="shared" si="123"/>
        <v>-2.0000000000000462E-2</v>
      </c>
      <c r="O1004" s="19">
        <f t="shared" si="123"/>
        <v>1.0699999999999932E-2</v>
      </c>
      <c r="P1004" s="19">
        <f t="shared" si="123"/>
        <v>9.9999999999997868E-3</v>
      </c>
      <c r="R1004" s="19"/>
      <c r="S1004" s="19"/>
      <c r="T1004" s="19"/>
      <c r="U1004" s="19"/>
      <c r="V1004" s="19"/>
    </row>
    <row r="1005" spans="1:22" x14ac:dyDescent="0.2">
      <c r="A1005" s="8">
        <v>45664</v>
      </c>
      <c r="B1005" s="24">
        <v>4.1900000000000004</v>
      </c>
      <c r="C1005" s="24">
        <v>4.3</v>
      </c>
      <c r="D1005" s="24">
        <v>4.33</v>
      </c>
      <c r="E1005" s="24">
        <v>4.3276000000000003</v>
      </c>
      <c r="F1005" s="24">
        <v>4.46</v>
      </c>
      <c r="G1005" s="83">
        <f t="shared" si="118"/>
        <v>95.978500815817256</v>
      </c>
      <c r="H1005" s="84">
        <f t="shared" si="121"/>
        <v>101.85680919031329</v>
      </c>
      <c r="I1005" s="84">
        <f t="shared" si="119"/>
        <v>89.214308316995087</v>
      </c>
      <c r="J1005" s="84">
        <f t="shared" si="120"/>
        <v>396029021.11414492</v>
      </c>
      <c r="L1005" s="19">
        <f t="shared" si="122"/>
        <v>2.0000000000000462E-2</v>
      </c>
      <c r="M1005" s="19">
        <f t="shared" si="123"/>
        <v>1.9999999999999574E-2</v>
      </c>
      <c r="N1005" s="19">
        <f t="shared" si="123"/>
        <v>3.0000000000000249E-2</v>
      </c>
      <c r="O1005" s="19">
        <f t="shared" si="123"/>
        <v>3.3500000000000085E-2</v>
      </c>
      <c r="P1005" s="19">
        <f t="shared" si="123"/>
        <v>4.0000000000000036E-2</v>
      </c>
      <c r="R1005" s="19"/>
      <c r="S1005" s="19"/>
      <c r="T1005" s="19"/>
      <c r="U1005" s="19"/>
      <c r="V1005" s="19"/>
    </row>
    <row r="1006" spans="1:22" x14ac:dyDescent="0.2">
      <c r="A1006" s="8">
        <v>45665</v>
      </c>
      <c r="B1006" s="24">
        <v>4.1900000000000004</v>
      </c>
      <c r="C1006" s="24">
        <v>4.28</v>
      </c>
      <c r="D1006" s="24">
        <v>4.3099999999999996</v>
      </c>
      <c r="E1006" s="24">
        <v>4.3255999999999997</v>
      </c>
      <c r="F1006" s="24">
        <v>4.45</v>
      </c>
      <c r="G1006" s="83">
        <f t="shared" si="118"/>
        <v>95.978500815817256</v>
      </c>
      <c r="H1006" s="84">
        <f t="shared" si="121"/>
        <v>101.91176732295038</v>
      </c>
      <c r="I1006" s="84">
        <f t="shared" si="119"/>
        <v>89.255420319019819</v>
      </c>
      <c r="J1006" s="84">
        <f t="shared" si="120"/>
        <v>396111031.92328823</v>
      </c>
      <c r="L1006" s="19">
        <f t="shared" si="122"/>
        <v>0</v>
      </c>
      <c r="M1006" s="19">
        <f t="shared" si="123"/>
        <v>-1.9999999999999574E-2</v>
      </c>
      <c r="N1006" s="19">
        <f t="shared" si="123"/>
        <v>-2.0000000000000462E-2</v>
      </c>
      <c r="O1006" s="19">
        <f t="shared" si="123"/>
        <v>-2.0000000000006679E-3</v>
      </c>
      <c r="P1006" s="19">
        <f t="shared" si="123"/>
        <v>-9.9999999999997868E-3</v>
      </c>
      <c r="R1006" s="19"/>
      <c r="S1006" s="19"/>
      <c r="T1006" s="19"/>
      <c r="U1006" s="19"/>
      <c r="V1006" s="19"/>
    </row>
    <row r="1007" spans="1:22" x14ac:dyDescent="0.2">
      <c r="A1007" s="8">
        <v>45666</v>
      </c>
      <c r="B1007" s="24">
        <v>4.16</v>
      </c>
      <c r="C1007" s="24">
        <v>4.2699999999999996</v>
      </c>
      <c r="D1007" s="24">
        <v>4.3099999999999996</v>
      </c>
      <c r="E1007" s="24">
        <v>4.3281999999999998</v>
      </c>
      <c r="F1007" s="24">
        <v>4.46</v>
      </c>
      <c r="G1007" s="83">
        <f t="shared" si="118"/>
        <v>96.006144393241158</v>
      </c>
      <c r="H1007" s="84">
        <f t="shared" si="121"/>
        <v>101.91403148318096</v>
      </c>
      <c r="I1007" s="84">
        <f t="shared" si="119"/>
        <v>89.216893662160416</v>
      </c>
      <c r="J1007" s="84">
        <f t="shared" si="120"/>
        <v>396008816.21035254</v>
      </c>
      <c r="L1007" s="19">
        <f t="shared" si="122"/>
        <v>-3.0000000000000249E-2</v>
      </c>
      <c r="M1007" s="19">
        <f t="shared" si="123"/>
        <v>-1.0000000000000675E-2</v>
      </c>
      <c r="N1007" s="19">
        <f t="shared" si="123"/>
        <v>0</v>
      </c>
      <c r="O1007" s="19">
        <f t="shared" si="123"/>
        <v>2.6000000000001577E-3</v>
      </c>
      <c r="P1007" s="19">
        <f t="shared" si="123"/>
        <v>9.9999999999997868E-3</v>
      </c>
      <c r="R1007" s="19"/>
      <c r="S1007" s="19"/>
      <c r="T1007" s="19"/>
      <c r="U1007" s="19"/>
      <c r="V1007" s="19"/>
    </row>
    <row r="1008" spans="1:22" x14ac:dyDescent="0.2">
      <c r="A1008" s="8">
        <v>45667</v>
      </c>
      <c r="B1008" s="24">
        <v>4.25</v>
      </c>
      <c r="C1008" s="24">
        <v>4.4000000000000004</v>
      </c>
      <c r="D1008" s="24">
        <v>4.46</v>
      </c>
      <c r="E1008" s="24">
        <v>4.4245999999999999</v>
      </c>
      <c r="F1008" s="24">
        <v>4.59</v>
      </c>
      <c r="G1008" s="83">
        <f t="shared" si="118"/>
        <v>95.923261390887291</v>
      </c>
      <c r="H1008" s="84">
        <f t="shared" si="121"/>
        <v>101.50047148001616</v>
      </c>
      <c r="I1008" s="84">
        <f t="shared" si="119"/>
        <v>88.688465912457474</v>
      </c>
      <c r="J1008" s="84">
        <f t="shared" si="120"/>
        <v>394349679.21158028</v>
      </c>
      <c r="L1008" s="19">
        <f t="shared" si="122"/>
        <v>8.9999999999999858E-2</v>
      </c>
      <c r="M1008" s="19">
        <f t="shared" si="123"/>
        <v>0.13000000000000078</v>
      </c>
      <c r="N1008" s="19">
        <f t="shared" si="123"/>
        <v>0.15000000000000036</v>
      </c>
      <c r="O1008" s="19">
        <f t="shared" si="123"/>
        <v>9.6400000000000041E-2</v>
      </c>
      <c r="P1008" s="19">
        <f t="shared" si="123"/>
        <v>0.12999999999999989</v>
      </c>
      <c r="R1008" s="19"/>
      <c r="S1008" s="19"/>
      <c r="T1008" s="19"/>
      <c r="U1008" s="19"/>
      <c r="V1008" s="19"/>
    </row>
    <row r="1009" spans="1:22" x14ac:dyDescent="0.2">
      <c r="A1009" s="8">
        <v>45670</v>
      </c>
      <c r="B1009" s="24">
        <v>4.24</v>
      </c>
      <c r="C1009" s="24">
        <v>4.4000000000000004</v>
      </c>
      <c r="D1009" s="24">
        <v>4.49</v>
      </c>
      <c r="E1009" s="24">
        <v>4.4585999999999997</v>
      </c>
      <c r="F1009" s="24">
        <v>4.6100000000000003</v>
      </c>
      <c r="G1009" s="83">
        <f t="shared" si="118"/>
        <v>95.93246354566385</v>
      </c>
      <c r="H1009" s="84">
        <f t="shared" si="121"/>
        <v>101.42161165833569</v>
      </c>
      <c r="I1009" s="84">
        <f t="shared" si="119"/>
        <v>88.607073165786517</v>
      </c>
      <c r="J1009" s="84">
        <f t="shared" si="120"/>
        <v>394160802.26697028</v>
      </c>
      <c r="L1009" s="19">
        <f t="shared" si="122"/>
        <v>-9.9999999999997868E-3</v>
      </c>
      <c r="M1009" s="19">
        <f t="shared" si="123"/>
        <v>0</v>
      </c>
      <c r="N1009" s="19">
        <f t="shared" si="123"/>
        <v>3.0000000000000249E-2</v>
      </c>
      <c r="O1009" s="19">
        <f t="shared" si="123"/>
        <v>3.3999999999999808E-2</v>
      </c>
      <c r="P1009" s="19">
        <f t="shared" si="123"/>
        <v>2.0000000000000462E-2</v>
      </c>
      <c r="R1009" s="19"/>
      <c r="S1009" s="19"/>
      <c r="T1009" s="19"/>
      <c r="U1009" s="19"/>
      <c r="V1009" s="19"/>
    </row>
    <row r="1010" spans="1:22" x14ac:dyDescent="0.2">
      <c r="A1010" s="8">
        <v>45671</v>
      </c>
      <c r="B1010" s="24">
        <v>4.22</v>
      </c>
      <c r="C1010" s="24">
        <v>4.37</v>
      </c>
      <c r="D1010" s="24">
        <v>4.46</v>
      </c>
      <c r="E1010" s="24">
        <v>4.4500999999999999</v>
      </c>
      <c r="F1010" s="24">
        <v>4.59</v>
      </c>
      <c r="G1010" s="83">
        <f t="shared" si="118"/>
        <v>95.95087315294569</v>
      </c>
      <c r="H1010" s="84">
        <f t="shared" si="121"/>
        <v>101.50448965628752</v>
      </c>
      <c r="I1010" s="84">
        <f t="shared" si="119"/>
        <v>88.688431266786594</v>
      </c>
      <c r="J1010" s="84">
        <f t="shared" si="120"/>
        <v>394398736.88860643</v>
      </c>
      <c r="L1010" s="19">
        <f t="shared" si="122"/>
        <v>-2.0000000000000462E-2</v>
      </c>
      <c r="M1010" s="19">
        <f t="shared" si="123"/>
        <v>-3.0000000000000249E-2</v>
      </c>
      <c r="N1010" s="19">
        <f t="shared" si="123"/>
        <v>-3.0000000000000249E-2</v>
      </c>
      <c r="O1010" s="19">
        <f t="shared" si="123"/>
        <v>-8.49999999999973E-3</v>
      </c>
      <c r="P1010" s="19">
        <f t="shared" si="123"/>
        <v>-2.0000000000000462E-2</v>
      </c>
      <c r="R1010" s="19"/>
      <c r="S1010" s="19"/>
      <c r="T1010" s="19"/>
      <c r="U1010" s="19"/>
      <c r="V1010" s="19"/>
    </row>
    <row r="1011" spans="1:22" x14ac:dyDescent="0.2">
      <c r="A1011" s="8">
        <v>45672</v>
      </c>
      <c r="B1011" s="24">
        <v>4.1900000000000004</v>
      </c>
      <c r="C1011" s="24">
        <v>4.2699999999999996</v>
      </c>
      <c r="D1011" s="24">
        <v>4.34</v>
      </c>
      <c r="E1011" s="24">
        <v>4.3464999999999998</v>
      </c>
      <c r="F1011" s="24">
        <v>4.45</v>
      </c>
      <c r="G1011" s="83">
        <f t="shared" si="118"/>
        <v>95.978500815817256</v>
      </c>
      <c r="H1011" s="84">
        <f t="shared" si="121"/>
        <v>101.83287220067206</v>
      </c>
      <c r="I1011" s="84">
        <f t="shared" si="119"/>
        <v>89.252901274799584</v>
      </c>
      <c r="J1011" s="84">
        <f t="shared" si="120"/>
        <v>396219298.42982477</v>
      </c>
      <c r="L1011" s="19">
        <f t="shared" si="122"/>
        <v>-2.9999999999999361E-2</v>
      </c>
      <c r="M1011" s="19">
        <f t="shared" si="123"/>
        <v>-0.10000000000000053</v>
      </c>
      <c r="N1011" s="19">
        <f t="shared" si="123"/>
        <v>-0.12000000000000011</v>
      </c>
      <c r="O1011" s="19">
        <f t="shared" si="123"/>
        <v>-0.10360000000000014</v>
      </c>
      <c r="P1011" s="19">
        <f t="shared" si="123"/>
        <v>-0.13999999999999968</v>
      </c>
      <c r="R1011" s="19"/>
      <c r="S1011" s="19"/>
      <c r="T1011" s="19"/>
      <c r="U1011" s="19"/>
      <c r="V1011" s="19"/>
    </row>
    <row r="1012" spans="1:22" x14ac:dyDescent="0.2">
      <c r="A1012" s="8">
        <v>45673</v>
      </c>
      <c r="B1012" s="24">
        <v>4.18</v>
      </c>
      <c r="C1012" s="24">
        <v>4.2300000000000004</v>
      </c>
      <c r="D1012" s="24">
        <v>4.29</v>
      </c>
      <c r="E1012" s="24">
        <v>4.2910000000000004</v>
      </c>
      <c r="F1012" s="24">
        <v>4.3899999999999997</v>
      </c>
      <c r="G1012" s="83">
        <f t="shared" si="118"/>
        <v>95.987713572662699</v>
      </c>
      <c r="H1012" s="84">
        <f t="shared" si="121"/>
        <v>101.969876150652</v>
      </c>
      <c r="I1012" s="84">
        <f t="shared" si="119"/>
        <v>89.496683683491625</v>
      </c>
      <c r="J1012" s="84">
        <f t="shared" si="120"/>
        <v>397007347.65331393</v>
      </c>
      <c r="L1012" s="19">
        <f t="shared" si="122"/>
        <v>-1.0000000000000675E-2</v>
      </c>
      <c r="M1012" s="19">
        <f t="shared" si="123"/>
        <v>-3.9999999999999147E-2</v>
      </c>
      <c r="N1012" s="19">
        <f t="shared" si="123"/>
        <v>-4.9999999999999822E-2</v>
      </c>
      <c r="O1012" s="19">
        <f t="shared" si="123"/>
        <v>-5.5499999999999439E-2</v>
      </c>
      <c r="P1012" s="19">
        <f t="shared" si="123"/>
        <v>-6.0000000000000497E-2</v>
      </c>
      <c r="R1012" s="19"/>
      <c r="S1012" s="19"/>
      <c r="T1012" s="19"/>
      <c r="U1012" s="19"/>
      <c r="V1012" s="19"/>
    </row>
    <row r="1013" spans="1:22" x14ac:dyDescent="0.2">
      <c r="A1013" s="8">
        <v>45674</v>
      </c>
      <c r="B1013" s="24">
        <v>4.21</v>
      </c>
      <c r="C1013" s="24">
        <v>4.2699999999999996</v>
      </c>
      <c r="D1013" s="24">
        <v>4.33</v>
      </c>
      <c r="E1013" s="24">
        <v>4.2952000000000004</v>
      </c>
      <c r="F1013" s="24">
        <v>4.42</v>
      </c>
      <c r="G1013" s="83">
        <f t="shared" si="118"/>
        <v>95.960080606467713</v>
      </c>
      <c r="H1013" s="84">
        <f t="shared" si="121"/>
        <v>101.85853336292702</v>
      </c>
      <c r="I1013" s="84">
        <f t="shared" si="119"/>
        <v>89.374288325919025</v>
      </c>
      <c r="J1013" s="84">
        <f t="shared" si="120"/>
        <v>396629514.47222102</v>
      </c>
      <c r="L1013" s="19">
        <f t="shared" si="122"/>
        <v>3.0000000000000249E-2</v>
      </c>
      <c r="M1013" s="19">
        <f t="shared" si="123"/>
        <v>3.9999999999999147E-2</v>
      </c>
      <c r="N1013" s="19">
        <f t="shared" si="123"/>
        <v>4.0000000000000036E-2</v>
      </c>
      <c r="O1013" s="19">
        <f t="shared" si="123"/>
        <v>4.1999999999999815E-3</v>
      </c>
      <c r="P1013" s="19">
        <f t="shared" si="123"/>
        <v>3.0000000000000249E-2</v>
      </c>
      <c r="R1013" s="19"/>
      <c r="S1013" s="19"/>
      <c r="T1013" s="19"/>
      <c r="U1013" s="19"/>
      <c r="V1013" s="19"/>
    </row>
    <row r="1014" spans="1:22" x14ac:dyDescent="0.2">
      <c r="A1014" s="8">
        <v>45678</v>
      </c>
      <c r="B1014" s="24">
        <v>4.21</v>
      </c>
      <c r="C1014" s="24">
        <v>4.29</v>
      </c>
      <c r="D1014" s="24">
        <v>4.33</v>
      </c>
      <c r="E1014" s="24">
        <v>4.2812000000000001</v>
      </c>
      <c r="F1014" s="24">
        <v>4.4000000000000004</v>
      </c>
      <c r="G1014" s="83">
        <f t="shared" si="118"/>
        <v>95.960080606467713</v>
      </c>
      <c r="H1014" s="84">
        <f t="shared" si="121"/>
        <v>101.85676965390633</v>
      </c>
      <c r="I1014" s="84">
        <f t="shared" si="119"/>
        <v>89.453222087725308</v>
      </c>
      <c r="J1014" s="84">
        <f t="shared" si="120"/>
        <v>396947895.08297718</v>
      </c>
      <c r="L1014" s="19">
        <f t="shared" si="122"/>
        <v>0</v>
      </c>
      <c r="M1014" s="19">
        <f t="shared" si="123"/>
        <v>2.0000000000000462E-2</v>
      </c>
      <c r="N1014" s="19">
        <f t="shared" si="123"/>
        <v>0</v>
      </c>
      <c r="O1014" s="19">
        <f t="shared" si="123"/>
        <v>-1.4000000000000234E-2</v>
      </c>
      <c r="P1014" s="19">
        <f t="shared" si="123"/>
        <v>-1.9999999999999574E-2</v>
      </c>
      <c r="R1014" s="19"/>
      <c r="S1014" s="19"/>
      <c r="T1014" s="19"/>
      <c r="U1014" s="19"/>
      <c r="V1014" s="19"/>
    </row>
    <row r="1015" spans="1:22" x14ac:dyDescent="0.2">
      <c r="A1015" s="8">
        <v>45679</v>
      </c>
      <c r="B1015" s="24">
        <v>4.2</v>
      </c>
      <c r="C1015" s="24">
        <v>4.29</v>
      </c>
      <c r="D1015" s="24">
        <v>4.34</v>
      </c>
      <c r="E1015" s="24">
        <v>4.2919999999999998</v>
      </c>
      <c r="F1015" s="24">
        <v>4.43</v>
      </c>
      <c r="G1015" s="83">
        <f t="shared" si="118"/>
        <v>95.969289827255281</v>
      </c>
      <c r="H1015" s="84">
        <f t="shared" si="121"/>
        <v>101.83064794222327</v>
      </c>
      <c r="I1015" s="84">
        <f t="shared" si="119"/>
        <v>89.334136417039204</v>
      </c>
      <c r="J1015" s="84">
        <f t="shared" si="120"/>
        <v>396529153.40933245</v>
      </c>
      <c r="L1015" s="19">
        <f t="shared" si="122"/>
        <v>-9.9999999999997868E-3</v>
      </c>
      <c r="M1015" s="19">
        <f t="shared" si="123"/>
        <v>0</v>
      </c>
      <c r="N1015" s="19">
        <f t="shared" si="123"/>
        <v>9.9999999999997868E-3</v>
      </c>
      <c r="O1015" s="19">
        <f t="shared" si="123"/>
        <v>1.0799999999999699E-2</v>
      </c>
      <c r="P1015" s="19">
        <f t="shared" si="123"/>
        <v>2.9999999999999361E-2</v>
      </c>
      <c r="R1015" s="19"/>
      <c r="S1015" s="19"/>
      <c r="T1015" s="19"/>
      <c r="U1015" s="19"/>
      <c r="V1015" s="19"/>
    </row>
    <row r="1016" spans="1:22" x14ac:dyDescent="0.2">
      <c r="A1016" s="8">
        <v>45680</v>
      </c>
      <c r="B1016" s="24">
        <v>4.18</v>
      </c>
      <c r="C1016" s="24">
        <v>4.29</v>
      </c>
      <c r="D1016" s="24">
        <v>4.3499999999999996</v>
      </c>
      <c r="E1016" s="24">
        <v>4.3121</v>
      </c>
      <c r="F1016" s="24">
        <v>4.45</v>
      </c>
      <c r="G1016" s="83">
        <f t="shared" si="118"/>
        <v>95.987713572662699</v>
      </c>
      <c r="H1016" s="84">
        <f t="shared" si="121"/>
        <v>101.80499714541537</v>
      </c>
      <c r="I1016" s="84">
        <f t="shared" si="119"/>
        <v>89.254100384187382</v>
      </c>
      <c r="J1016" s="84">
        <f t="shared" si="120"/>
        <v>396284332.96395189</v>
      </c>
      <c r="L1016" s="19">
        <f t="shared" si="122"/>
        <v>-2.0000000000000462E-2</v>
      </c>
      <c r="M1016" s="19">
        <f t="shared" si="123"/>
        <v>0</v>
      </c>
      <c r="N1016" s="19">
        <f t="shared" si="123"/>
        <v>9.9999999999997868E-3</v>
      </c>
      <c r="O1016" s="19">
        <f t="shared" si="123"/>
        <v>2.0100000000000229E-2</v>
      </c>
      <c r="P1016" s="19">
        <f t="shared" si="123"/>
        <v>2.0000000000000462E-2</v>
      </c>
      <c r="R1016" s="19"/>
      <c r="S1016" s="19"/>
      <c r="T1016" s="19"/>
      <c r="U1016" s="19"/>
      <c r="V1016" s="19"/>
    </row>
    <row r="1017" spans="1:22" x14ac:dyDescent="0.2">
      <c r="A1017" s="8">
        <v>45681</v>
      </c>
      <c r="B1017" s="24">
        <v>4.17</v>
      </c>
      <c r="C1017" s="24">
        <v>4.2699999999999996</v>
      </c>
      <c r="D1017" s="24">
        <v>4.33</v>
      </c>
      <c r="E1017" s="24">
        <v>4.3036000000000003</v>
      </c>
      <c r="F1017" s="24">
        <v>4.43</v>
      </c>
      <c r="G1017" s="83">
        <f t="shared" si="118"/>
        <v>95.996928098300842</v>
      </c>
      <c r="H1017" s="84">
        <f t="shared" si="121"/>
        <v>101.86037573751868</v>
      </c>
      <c r="I1017" s="84">
        <f t="shared" si="119"/>
        <v>89.335149072115954</v>
      </c>
      <c r="J1017" s="84">
        <f t="shared" si="120"/>
        <v>396543888.87878752</v>
      </c>
      <c r="L1017" s="19">
        <f t="shared" si="122"/>
        <v>-9.9999999999997868E-3</v>
      </c>
      <c r="M1017" s="19">
        <f t="shared" si="123"/>
        <v>-2.0000000000000462E-2</v>
      </c>
      <c r="N1017" s="19">
        <f t="shared" si="123"/>
        <v>-1.9999999999999574E-2</v>
      </c>
      <c r="O1017" s="19">
        <f t="shared" si="123"/>
        <v>-8.49999999999973E-3</v>
      </c>
      <c r="P1017" s="19">
        <f t="shared" si="123"/>
        <v>-2.0000000000000462E-2</v>
      </c>
      <c r="R1017" s="19"/>
      <c r="S1017" s="19"/>
      <c r="T1017" s="19"/>
      <c r="U1017" s="19"/>
      <c r="V1017" s="19"/>
    </row>
    <row r="1018" spans="1:22" x14ac:dyDescent="0.2">
      <c r="A1018" s="8">
        <v>45684</v>
      </c>
      <c r="B1018" s="24">
        <v>4.13</v>
      </c>
      <c r="C1018" s="24">
        <v>4.17</v>
      </c>
      <c r="D1018" s="24">
        <v>4.24</v>
      </c>
      <c r="E1018" s="24">
        <v>4.2321999999999997</v>
      </c>
      <c r="F1018" s="24">
        <v>4.32</v>
      </c>
      <c r="G1018" s="83">
        <f t="shared" si="118"/>
        <v>96.033803898972451</v>
      </c>
      <c r="H1018" s="84">
        <f t="shared" si="121"/>
        <v>102.11075216622439</v>
      </c>
      <c r="I1018" s="84">
        <f t="shared" si="119"/>
        <v>89.782515770775731</v>
      </c>
      <c r="J1018" s="84">
        <f t="shared" si="120"/>
        <v>398031542.63171124</v>
      </c>
      <c r="L1018" s="19">
        <f t="shared" si="122"/>
        <v>-4.0000000000000036E-2</v>
      </c>
      <c r="M1018" s="19">
        <f t="shared" si="123"/>
        <v>-9.9999999999999645E-2</v>
      </c>
      <c r="N1018" s="19">
        <f t="shared" si="123"/>
        <v>-8.9999999999999858E-2</v>
      </c>
      <c r="O1018" s="19">
        <f t="shared" si="123"/>
        <v>-7.1400000000000574E-2</v>
      </c>
      <c r="P1018" s="19">
        <f t="shared" si="123"/>
        <v>-0.10999999999999943</v>
      </c>
      <c r="R1018" s="19"/>
      <c r="S1018" s="19"/>
      <c r="T1018" s="19"/>
      <c r="U1018" s="19"/>
      <c r="V1018" s="19"/>
    </row>
    <row r="1019" spans="1:22" x14ac:dyDescent="0.2">
      <c r="A1019" s="8">
        <v>45685</v>
      </c>
      <c r="B1019" s="24">
        <v>4.1399999999999997</v>
      </c>
      <c r="C1019" s="24">
        <v>4.1900000000000004</v>
      </c>
      <c r="D1019" s="24">
        <v>4.25</v>
      </c>
      <c r="E1019" s="24">
        <v>4.2222999999999997</v>
      </c>
      <c r="F1019" s="24">
        <v>4.33</v>
      </c>
      <c r="G1019" s="83">
        <f t="shared" si="118"/>
        <v>96.024582293067013</v>
      </c>
      <c r="H1019" s="84">
        <f t="shared" si="121"/>
        <v>102.08184820257051</v>
      </c>
      <c r="I1019" s="84">
        <f t="shared" si="119"/>
        <v>89.742201143521584</v>
      </c>
      <c r="J1019" s="84">
        <f t="shared" si="120"/>
        <v>397895196.85636455</v>
      </c>
      <c r="L1019" s="19">
        <f t="shared" si="122"/>
        <v>9.9999999999997868E-3</v>
      </c>
      <c r="M1019" s="19">
        <f t="shared" si="123"/>
        <v>2.0000000000000462E-2</v>
      </c>
      <c r="N1019" s="19">
        <f t="shared" si="123"/>
        <v>9.9999999999997868E-3</v>
      </c>
      <c r="O1019" s="19">
        <f t="shared" si="123"/>
        <v>-9.9000000000000199E-3</v>
      </c>
      <c r="P1019" s="19">
        <f t="shared" si="123"/>
        <v>9.9999999999997868E-3</v>
      </c>
      <c r="R1019" s="19"/>
      <c r="S1019" s="19"/>
      <c r="T1019" s="19"/>
      <c r="U1019" s="19"/>
      <c r="V1019" s="19"/>
    </row>
    <row r="1020" spans="1:22" x14ac:dyDescent="0.2">
      <c r="A1020" s="8">
        <v>45686</v>
      </c>
      <c r="B1020" s="24">
        <v>4.17</v>
      </c>
      <c r="C1020" s="24">
        <v>4.21</v>
      </c>
      <c r="D1020" s="24">
        <v>4.2699999999999996</v>
      </c>
      <c r="E1020" s="24">
        <v>4.2366000000000001</v>
      </c>
      <c r="F1020" s="24">
        <v>4.3499999999999996</v>
      </c>
      <c r="G1020" s="83">
        <f t="shared" si="118"/>
        <v>95.996928098300842</v>
      </c>
      <c r="H1020" s="84">
        <f t="shared" si="121"/>
        <v>102.0253802303408</v>
      </c>
      <c r="I1020" s="84">
        <f t="shared" si="119"/>
        <v>89.659946612095482</v>
      </c>
      <c r="J1020" s="84">
        <f t="shared" si="120"/>
        <v>397595572.29947239</v>
      </c>
      <c r="L1020" s="19">
        <f t="shared" si="122"/>
        <v>3.0000000000000249E-2</v>
      </c>
      <c r="M1020" s="19">
        <f t="shared" si="123"/>
        <v>1.9999999999999574E-2</v>
      </c>
      <c r="N1020" s="19">
        <f t="shared" si="123"/>
        <v>1.9999999999999574E-2</v>
      </c>
      <c r="O1020" s="19">
        <f t="shared" si="123"/>
        <v>1.4300000000000423E-2</v>
      </c>
      <c r="P1020" s="19">
        <f t="shared" si="123"/>
        <v>1.9999999999999574E-2</v>
      </c>
      <c r="R1020" s="19"/>
      <c r="S1020" s="19"/>
      <c r="T1020" s="19"/>
      <c r="U1020" s="19"/>
      <c r="V1020" s="19"/>
    </row>
    <row r="1021" spans="1:22" x14ac:dyDescent="0.2">
      <c r="A1021" s="8">
        <v>45687</v>
      </c>
      <c r="B1021" s="24">
        <v>4.16</v>
      </c>
      <c r="C1021" s="24">
        <v>4.18</v>
      </c>
      <c r="D1021" s="24">
        <v>4.24</v>
      </c>
      <c r="E1021" s="24">
        <v>4.2084000000000001</v>
      </c>
      <c r="F1021" s="24">
        <v>4.3099999999999996</v>
      </c>
      <c r="G1021" s="83">
        <f t="shared" si="118"/>
        <v>96.006144393241158</v>
      </c>
      <c r="H1021" s="84">
        <f t="shared" si="121"/>
        <v>102.10848466723641</v>
      </c>
      <c r="I1021" s="84">
        <f t="shared" si="119"/>
        <v>89.822738509804751</v>
      </c>
      <c r="J1021" s="84">
        <f t="shared" si="120"/>
        <v>398140515.82484674</v>
      </c>
      <c r="L1021" s="19">
        <f t="shared" si="122"/>
        <v>-9.9999999999997868E-3</v>
      </c>
      <c r="M1021" s="19">
        <f t="shared" si="123"/>
        <v>-3.0000000000000249E-2</v>
      </c>
      <c r="N1021" s="19">
        <f t="shared" si="123"/>
        <v>-2.9999999999999361E-2</v>
      </c>
      <c r="O1021" s="19">
        <f t="shared" si="123"/>
        <v>-2.8200000000000003E-2</v>
      </c>
      <c r="P1021" s="19">
        <f t="shared" si="123"/>
        <v>-4.0000000000000036E-2</v>
      </c>
      <c r="R1021" s="19"/>
      <c r="S1021" s="19"/>
      <c r="T1021" s="19"/>
      <c r="U1021" s="19"/>
      <c r="V1021" s="19"/>
    </row>
    <row r="1022" spans="1:22" x14ac:dyDescent="0.2">
      <c r="A1022" s="8">
        <v>45688</v>
      </c>
      <c r="B1022" s="24">
        <v>4.17</v>
      </c>
      <c r="C1022" s="24">
        <v>4.22</v>
      </c>
      <c r="D1022" s="24">
        <v>4.2699999999999996</v>
      </c>
      <c r="E1022" s="24">
        <v>4.2423000000000002</v>
      </c>
      <c r="F1022" s="24">
        <v>4.3600000000000003</v>
      </c>
      <c r="G1022" s="83">
        <f t="shared" si="118"/>
        <v>95.996928098300842</v>
      </c>
      <c r="H1022" s="84">
        <f t="shared" si="121"/>
        <v>102.02449672474725</v>
      </c>
      <c r="I1022" s="84">
        <f t="shared" si="119"/>
        <v>89.619732380176316</v>
      </c>
      <c r="J1022" s="84">
        <f t="shared" si="120"/>
        <v>397436040.63018608</v>
      </c>
      <c r="L1022" s="19">
        <f t="shared" si="122"/>
        <v>9.9999999999997868E-3</v>
      </c>
      <c r="M1022" s="19">
        <f t="shared" si="123"/>
        <v>4.0000000000000036E-2</v>
      </c>
      <c r="N1022" s="19">
        <f t="shared" si="123"/>
        <v>2.9999999999999361E-2</v>
      </c>
      <c r="O1022" s="19">
        <f t="shared" si="123"/>
        <v>3.3900000000000041E-2</v>
      </c>
      <c r="P1022" s="19">
        <f t="shared" si="123"/>
        <v>5.0000000000000711E-2</v>
      </c>
      <c r="R1022" s="19"/>
      <c r="S1022" s="19"/>
      <c r="T1022" s="19"/>
      <c r="U1022" s="19"/>
      <c r="V1022" s="19"/>
    </row>
    <row r="1023" spans="1:22" x14ac:dyDescent="0.2">
      <c r="A1023" s="8">
        <v>45691</v>
      </c>
      <c r="B1023" s="24">
        <v>4.2</v>
      </c>
      <c r="C1023" s="24">
        <v>4.26</v>
      </c>
      <c r="D1023" s="24">
        <v>4.28</v>
      </c>
      <c r="E1023" s="24">
        <v>4.2408000000000001</v>
      </c>
      <c r="F1023" s="24">
        <v>4.3499999999999996</v>
      </c>
      <c r="G1023" s="83">
        <f t="shared" si="118"/>
        <v>95.969289827255281</v>
      </c>
      <c r="H1023" s="84">
        <f t="shared" si="121"/>
        <v>101.99293992342736</v>
      </c>
      <c r="I1023" s="84">
        <f t="shared" si="119"/>
        <v>89.65684733883036</v>
      </c>
      <c r="J1023" s="84">
        <f t="shared" si="120"/>
        <v>397576559.12469101</v>
      </c>
      <c r="L1023" s="19">
        <f t="shared" si="122"/>
        <v>3.0000000000000249E-2</v>
      </c>
      <c r="M1023" s="19">
        <f t="shared" si="123"/>
        <v>4.0000000000000036E-2</v>
      </c>
      <c r="N1023" s="19">
        <f t="shared" si="123"/>
        <v>1.0000000000000675E-2</v>
      </c>
      <c r="O1023" s="19">
        <f t="shared" si="123"/>
        <v>-1.5000000000000568E-3</v>
      </c>
      <c r="P1023" s="19">
        <f t="shared" si="123"/>
        <v>-1.0000000000000675E-2</v>
      </c>
      <c r="R1023" s="19"/>
      <c r="S1023" s="19"/>
      <c r="T1023" s="19"/>
      <c r="U1023" s="19"/>
      <c r="V1023" s="19"/>
    </row>
    <row r="1024" spans="1:22" x14ac:dyDescent="0.2">
      <c r="A1024" s="8">
        <v>45692</v>
      </c>
      <c r="B1024" s="24">
        <v>4.18</v>
      </c>
      <c r="C1024" s="24">
        <v>4.21</v>
      </c>
      <c r="D1024" s="24">
        <v>4.25</v>
      </c>
      <c r="E1024" s="24">
        <v>4.2168000000000001</v>
      </c>
      <c r="F1024" s="24">
        <v>4.3099999999999996</v>
      </c>
      <c r="G1024" s="83">
        <f t="shared" si="118"/>
        <v>95.987713572662699</v>
      </c>
      <c r="H1024" s="84">
        <f t="shared" si="121"/>
        <v>102.07823699212427</v>
      </c>
      <c r="I1024" s="84">
        <f t="shared" si="119"/>
        <v>89.820254274118213</v>
      </c>
      <c r="J1024" s="84">
        <f t="shared" si="120"/>
        <v>398139088.7536118</v>
      </c>
      <c r="L1024" s="19">
        <f t="shared" si="122"/>
        <v>-2.0000000000000462E-2</v>
      </c>
      <c r="M1024" s="19">
        <f t="shared" si="123"/>
        <v>-4.9999999999999822E-2</v>
      </c>
      <c r="N1024" s="19">
        <f t="shared" si="123"/>
        <v>-3.0000000000000249E-2</v>
      </c>
      <c r="O1024" s="19">
        <f t="shared" si="123"/>
        <v>-2.4000000000000021E-2</v>
      </c>
      <c r="P1024" s="19">
        <f t="shared" si="123"/>
        <v>-4.0000000000000036E-2</v>
      </c>
      <c r="R1024" s="19"/>
      <c r="S1024" s="19"/>
      <c r="T1024" s="19"/>
      <c r="U1024" s="19"/>
      <c r="V1024" s="19"/>
    </row>
    <row r="1025" spans="1:22" x14ac:dyDescent="0.2">
      <c r="A1025" s="8">
        <v>45693</v>
      </c>
      <c r="B1025" s="24">
        <v>4.17</v>
      </c>
      <c r="C1025" s="24">
        <v>4.17</v>
      </c>
      <c r="D1025" s="24">
        <v>4.1900000000000004</v>
      </c>
      <c r="E1025" s="24">
        <v>4.1578999999999997</v>
      </c>
      <c r="F1025" s="24">
        <v>4.24</v>
      </c>
      <c r="G1025" s="83">
        <f t="shared" si="118"/>
        <v>95.996928098300842</v>
      </c>
      <c r="H1025" s="84">
        <f t="shared" si="121"/>
        <v>102.24243249175611</v>
      </c>
      <c r="I1025" s="84">
        <f t="shared" si="119"/>
        <v>90.106450157165341</v>
      </c>
      <c r="J1025" s="84">
        <f t="shared" si="120"/>
        <v>399056008.08762884</v>
      </c>
      <c r="L1025" s="19">
        <f t="shared" si="122"/>
        <v>-9.9999999999997868E-3</v>
      </c>
      <c r="M1025" s="19">
        <f t="shared" si="123"/>
        <v>-4.0000000000000036E-2</v>
      </c>
      <c r="N1025" s="19">
        <f t="shared" si="123"/>
        <v>-5.9999999999999609E-2</v>
      </c>
      <c r="O1025" s="19">
        <f t="shared" si="123"/>
        <v>-5.8900000000000396E-2</v>
      </c>
      <c r="P1025" s="19">
        <f t="shared" si="123"/>
        <v>-6.9999999999999396E-2</v>
      </c>
      <c r="R1025" s="19"/>
      <c r="S1025" s="19"/>
      <c r="T1025" s="19"/>
      <c r="U1025" s="19"/>
      <c r="V1025" s="19"/>
    </row>
    <row r="1026" spans="1:22" x14ac:dyDescent="0.2">
      <c r="A1026" s="8">
        <v>45694</v>
      </c>
      <c r="B1026" s="24">
        <v>4.1900000000000004</v>
      </c>
      <c r="C1026" s="24">
        <v>4.21</v>
      </c>
      <c r="D1026" s="24">
        <v>4.2300000000000004</v>
      </c>
      <c r="E1026" s="24">
        <v>4.1673999999999998</v>
      </c>
      <c r="F1026" s="24">
        <v>4.28</v>
      </c>
      <c r="G1026" s="83">
        <f t="shared" ref="G1026:G1080" si="124">100/((1+B1026/100)^1)</f>
        <v>95.978500815817256</v>
      </c>
      <c r="H1026" s="84">
        <f t="shared" si="121"/>
        <v>102.13113477314972</v>
      </c>
      <c r="I1026" s="84">
        <f t="shared" ref="I1026:I1080" si="125">SUM(2/(1+B1026/100)^1, 2/(1+C1026/100)^2, 2/(1+D1026/100)^3, 2/(1+E1026/100)^4, 102/(1+F1026/100)^5)</f>
        <v>89.943185276238424</v>
      </c>
      <c r="J1026" s="84">
        <f t="shared" ref="J1026:J1080" si="126">G1026*2000000+H1026*-1500000+I1026*4000000</f>
        <v>398533040.57686365</v>
      </c>
      <c r="L1026" s="19">
        <f t="shared" si="122"/>
        <v>2.0000000000000462E-2</v>
      </c>
      <c r="M1026" s="19">
        <f t="shared" si="123"/>
        <v>4.0000000000000036E-2</v>
      </c>
      <c r="N1026" s="19">
        <f t="shared" si="123"/>
        <v>4.0000000000000036E-2</v>
      </c>
      <c r="O1026" s="19">
        <f t="shared" si="123"/>
        <v>9.5000000000000639E-3</v>
      </c>
      <c r="P1026" s="19">
        <f t="shared" si="123"/>
        <v>4.0000000000000036E-2</v>
      </c>
      <c r="R1026" s="19"/>
      <c r="S1026" s="19"/>
      <c r="T1026" s="19"/>
      <c r="U1026" s="19"/>
      <c r="V1026" s="19"/>
    </row>
    <row r="1027" spans="1:22" x14ac:dyDescent="0.2">
      <c r="A1027" s="8">
        <v>45695</v>
      </c>
      <c r="B1027" s="24">
        <v>4.25</v>
      </c>
      <c r="C1027" s="24">
        <v>4.29</v>
      </c>
      <c r="D1027" s="24">
        <v>4.3099999999999996</v>
      </c>
      <c r="E1027" s="24">
        <v>4.2191000000000001</v>
      </c>
      <c r="F1027" s="24">
        <v>4.34</v>
      </c>
      <c r="G1027" s="83">
        <f t="shared" si="124"/>
        <v>95.923261390887291</v>
      </c>
      <c r="H1027" s="84">
        <f t="shared" ref="H1027:H1080" si="127">SUM(5/(1+B1027/100)^1, 5/(1+C1027/100)^2, 105/(1+D1027/100)^3)</f>
        <v>101.90812362404259</v>
      </c>
      <c r="I1027" s="84">
        <f t="shared" si="125"/>
        <v>89.694271303592487</v>
      </c>
      <c r="J1027" s="84">
        <f t="shared" si="126"/>
        <v>397761422.56008065</v>
      </c>
      <c r="L1027" s="19">
        <f t="shared" si="122"/>
        <v>5.9999999999999609E-2</v>
      </c>
      <c r="M1027" s="19">
        <f t="shared" si="123"/>
        <v>8.0000000000000071E-2</v>
      </c>
      <c r="N1027" s="19">
        <f t="shared" si="123"/>
        <v>7.9999999999999183E-2</v>
      </c>
      <c r="O1027" s="19">
        <f t="shared" si="123"/>
        <v>5.1700000000000301E-2</v>
      </c>
      <c r="P1027" s="19">
        <f t="shared" si="123"/>
        <v>5.9999999999999609E-2</v>
      </c>
      <c r="R1027" s="19"/>
      <c r="S1027" s="19"/>
      <c r="T1027" s="19"/>
      <c r="U1027" s="19"/>
      <c r="V1027" s="19"/>
    </row>
    <row r="1028" spans="1:22" x14ac:dyDescent="0.2">
      <c r="A1028" s="8">
        <v>45698</v>
      </c>
      <c r="B1028" s="24">
        <v>4.24</v>
      </c>
      <c r="C1028" s="24">
        <v>4.28</v>
      </c>
      <c r="D1028" s="24">
        <v>4.3</v>
      </c>
      <c r="E1028" s="24">
        <v>4.2305000000000001</v>
      </c>
      <c r="F1028" s="24">
        <v>4.34</v>
      </c>
      <c r="G1028" s="83">
        <f t="shared" si="124"/>
        <v>95.93246354566385</v>
      </c>
      <c r="H1028" s="84">
        <f t="shared" si="127"/>
        <v>101.93607822741168</v>
      </c>
      <c r="I1028" s="84">
        <f t="shared" si="125"/>
        <v>89.69457339923477</v>
      </c>
      <c r="J1028" s="84">
        <f t="shared" si="126"/>
        <v>397739103.34714925</v>
      </c>
      <c r="L1028" s="19">
        <f t="shared" si="122"/>
        <v>-9.9999999999997868E-3</v>
      </c>
      <c r="M1028" s="19">
        <f t="shared" si="123"/>
        <v>-9.9999999999997868E-3</v>
      </c>
      <c r="N1028" s="19">
        <f t="shared" si="123"/>
        <v>-9.9999999999997868E-3</v>
      </c>
      <c r="O1028" s="19">
        <f t="shared" si="123"/>
        <v>1.1400000000000077E-2</v>
      </c>
      <c r="P1028" s="19">
        <f t="shared" ref="P1028:P1080" si="128">F1028-F1027</f>
        <v>0</v>
      </c>
      <c r="R1028" s="19"/>
      <c r="S1028" s="19"/>
      <c r="T1028" s="19"/>
      <c r="U1028" s="19"/>
      <c r="V1028" s="19"/>
    </row>
    <row r="1029" spans="1:22" x14ac:dyDescent="0.2">
      <c r="A1029" s="8">
        <v>45699</v>
      </c>
      <c r="B1029" s="24">
        <v>4.25</v>
      </c>
      <c r="C1029" s="24">
        <v>4.29</v>
      </c>
      <c r="D1029" s="24">
        <v>4.28</v>
      </c>
      <c r="E1029" s="24">
        <v>4.2544000000000004</v>
      </c>
      <c r="F1029" s="24">
        <v>4.37</v>
      </c>
      <c r="G1029" s="83">
        <f t="shared" si="124"/>
        <v>95.923261390887291</v>
      </c>
      <c r="H1029" s="84">
        <f t="shared" si="127"/>
        <v>101.98799255743347</v>
      </c>
      <c r="I1029" s="84">
        <f t="shared" si="125"/>
        <v>89.575026771028988</v>
      </c>
      <c r="J1029" s="84">
        <f t="shared" si="126"/>
        <v>397164641.02974033</v>
      </c>
      <c r="L1029" s="19">
        <f t="shared" ref="L1029:L1079" si="129">B1029-B1028</f>
        <v>9.9999999999997868E-3</v>
      </c>
      <c r="M1029" s="19">
        <f t="shared" ref="M1029:O1080" si="130">C1029-C1028</f>
        <v>9.9999999999997868E-3</v>
      </c>
      <c r="N1029" s="19">
        <f t="shared" si="130"/>
        <v>-1.9999999999999574E-2</v>
      </c>
      <c r="O1029" s="19">
        <f t="shared" si="130"/>
        <v>2.3900000000000254E-2</v>
      </c>
      <c r="P1029" s="19">
        <f t="shared" si="128"/>
        <v>3.0000000000000249E-2</v>
      </c>
      <c r="R1029" s="19"/>
      <c r="S1029" s="19"/>
      <c r="T1029" s="19"/>
      <c r="U1029" s="19"/>
      <c r="V1029" s="19"/>
    </row>
    <row r="1030" spans="1:22" x14ac:dyDescent="0.2">
      <c r="A1030" s="8">
        <v>45700</v>
      </c>
      <c r="B1030" s="24">
        <v>4.3</v>
      </c>
      <c r="C1030" s="24">
        <v>4.3600000000000003</v>
      </c>
      <c r="D1030" s="24">
        <v>4.37</v>
      </c>
      <c r="E1030" s="24">
        <v>4.3385999999999996</v>
      </c>
      <c r="F1030" s="24">
        <v>4.4800000000000004</v>
      </c>
      <c r="G1030" s="83">
        <f t="shared" si="124"/>
        <v>95.877277085330789</v>
      </c>
      <c r="H1030" s="84">
        <f t="shared" si="127"/>
        <v>101.74019690105374</v>
      </c>
      <c r="I1030" s="84">
        <f t="shared" si="125"/>
        <v>89.12897404468093</v>
      </c>
      <c r="J1030" s="84">
        <f t="shared" si="126"/>
        <v>395660154.99780464</v>
      </c>
      <c r="L1030" s="19">
        <f t="shared" si="129"/>
        <v>4.9999999999999822E-2</v>
      </c>
      <c r="M1030" s="19">
        <f t="shared" si="130"/>
        <v>7.0000000000000284E-2</v>
      </c>
      <c r="N1030" s="19">
        <f t="shared" si="130"/>
        <v>8.9999999999999858E-2</v>
      </c>
      <c r="O1030" s="19">
        <f t="shared" si="130"/>
        <v>8.4199999999999164E-2</v>
      </c>
      <c r="P1030" s="19">
        <f t="shared" si="128"/>
        <v>0.11000000000000032</v>
      </c>
      <c r="R1030" s="19"/>
      <c r="S1030" s="19"/>
      <c r="T1030" s="19"/>
      <c r="U1030" s="19"/>
      <c r="V1030" s="19"/>
    </row>
    <row r="1031" spans="1:22" x14ac:dyDescent="0.2">
      <c r="A1031" s="8">
        <v>45701</v>
      </c>
      <c r="B1031" s="24">
        <v>4.2699999999999996</v>
      </c>
      <c r="C1031" s="24">
        <v>4.3099999999999996</v>
      </c>
      <c r="D1031" s="24">
        <v>4.3099999999999996</v>
      </c>
      <c r="E1031" s="24">
        <v>4.2907000000000002</v>
      </c>
      <c r="F1031" s="24">
        <v>4.3899999999999997</v>
      </c>
      <c r="G1031" s="83">
        <f t="shared" si="124"/>
        <v>95.904862376522487</v>
      </c>
      <c r="H1031" s="84">
        <f t="shared" si="127"/>
        <v>101.90544097870684</v>
      </c>
      <c r="I1031" s="84">
        <f t="shared" si="125"/>
        <v>89.491209350907468</v>
      </c>
      <c r="J1031" s="84">
        <f t="shared" si="126"/>
        <v>396916400.68861461</v>
      </c>
      <c r="L1031" s="19">
        <f t="shared" si="129"/>
        <v>-3.0000000000000249E-2</v>
      </c>
      <c r="M1031" s="19">
        <f t="shared" si="130"/>
        <v>-5.0000000000000711E-2</v>
      </c>
      <c r="N1031" s="19">
        <f t="shared" si="130"/>
        <v>-6.0000000000000497E-2</v>
      </c>
      <c r="O1031" s="19">
        <f t="shared" si="130"/>
        <v>-4.7899999999999388E-2</v>
      </c>
      <c r="P1031" s="19">
        <f t="shared" si="128"/>
        <v>-9.0000000000000746E-2</v>
      </c>
      <c r="R1031" s="19"/>
      <c r="S1031" s="19"/>
      <c r="T1031" s="19"/>
      <c r="U1031" s="19"/>
      <c r="V1031" s="19"/>
    </row>
    <row r="1032" spans="1:22" x14ac:dyDescent="0.2">
      <c r="A1032" s="8">
        <v>45702</v>
      </c>
      <c r="B1032" s="24">
        <v>4.2300000000000004</v>
      </c>
      <c r="C1032" s="24">
        <v>4.26</v>
      </c>
      <c r="D1032" s="24">
        <v>4.26</v>
      </c>
      <c r="E1032" s="24">
        <v>4.2393999999999998</v>
      </c>
      <c r="F1032" s="24">
        <v>4.33</v>
      </c>
      <c r="G1032" s="83">
        <f t="shared" si="124"/>
        <v>95.941667466180562</v>
      </c>
      <c r="H1032" s="84">
        <f t="shared" si="127"/>
        <v>102.04485584275548</v>
      </c>
      <c r="I1032" s="84">
        <f t="shared" si="125"/>
        <v>89.736449859944685</v>
      </c>
      <c r="J1032" s="84">
        <f t="shared" si="126"/>
        <v>397761850.60800666</v>
      </c>
      <c r="L1032" s="19">
        <f t="shared" si="129"/>
        <v>-3.9999999999999147E-2</v>
      </c>
      <c r="M1032" s="19">
        <f t="shared" si="130"/>
        <v>-4.9999999999999822E-2</v>
      </c>
      <c r="N1032" s="19">
        <f t="shared" si="130"/>
        <v>-4.9999999999999822E-2</v>
      </c>
      <c r="O1032" s="19">
        <f t="shared" si="130"/>
        <v>-5.1300000000000345E-2</v>
      </c>
      <c r="P1032" s="19">
        <f t="shared" si="128"/>
        <v>-5.9999999999999609E-2</v>
      </c>
      <c r="R1032" s="19"/>
      <c r="S1032" s="19"/>
      <c r="T1032" s="19"/>
      <c r="U1032" s="19"/>
      <c r="V1032" s="19"/>
    </row>
    <row r="1033" spans="1:22" x14ac:dyDescent="0.2">
      <c r="A1033" s="8">
        <v>45706</v>
      </c>
      <c r="B1033" s="24">
        <v>4.24</v>
      </c>
      <c r="C1033" s="24">
        <v>4.29</v>
      </c>
      <c r="D1033" s="24">
        <v>4.33</v>
      </c>
      <c r="E1033" s="24">
        <v>4.2788000000000004</v>
      </c>
      <c r="F1033" s="24">
        <v>4.4000000000000004</v>
      </c>
      <c r="G1033" s="83">
        <f t="shared" si="124"/>
        <v>95.93246354566385</v>
      </c>
      <c r="H1033" s="84">
        <f t="shared" si="127"/>
        <v>101.85538880086614</v>
      </c>
      <c r="I1033" s="84">
        <f t="shared" si="125"/>
        <v>89.452825449199509</v>
      </c>
      <c r="J1033" s="84">
        <f t="shared" si="126"/>
        <v>396893145.68682653</v>
      </c>
      <c r="L1033" s="19">
        <f t="shared" si="129"/>
        <v>9.9999999999997868E-3</v>
      </c>
      <c r="M1033" s="19">
        <f t="shared" si="130"/>
        <v>3.0000000000000249E-2</v>
      </c>
      <c r="N1033" s="19">
        <f t="shared" si="130"/>
        <v>7.0000000000000284E-2</v>
      </c>
      <c r="O1033" s="19">
        <f t="shared" si="130"/>
        <v>3.9400000000000546E-2</v>
      </c>
      <c r="P1033" s="19">
        <f t="shared" si="128"/>
        <v>7.0000000000000284E-2</v>
      </c>
      <c r="R1033" s="19"/>
      <c r="S1033" s="19"/>
      <c r="T1033" s="19"/>
      <c r="U1033" s="19"/>
      <c r="V1033" s="19"/>
    </row>
    <row r="1034" spans="1:22" x14ac:dyDescent="0.2">
      <c r="A1034" s="8">
        <v>45707</v>
      </c>
      <c r="B1034" s="24">
        <v>4.22</v>
      </c>
      <c r="C1034" s="24">
        <v>4.28</v>
      </c>
      <c r="D1034" s="24">
        <v>4.3</v>
      </c>
      <c r="E1034" s="24">
        <v>4.2596999999999996</v>
      </c>
      <c r="F1034" s="24">
        <v>4.37</v>
      </c>
      <c r="G1034" s="83">
        <f t="shared" si="124"/>
        <v>95.95087315294569</v>
      </c>
      <c r="H1034" s="84">
        <f t="shared" si="127"/>
        <v>101.93699870777579</v>
      </c>
      <c r="I1034" s="84">
        <f t="shared" si="125"/>
        <v>89.574573072125659</v>
      </c>
      <c r="J1034" s="84">
        <f t="shared" si="126"/>
        <v>397294540.53273034</v>
      </c>
      <c r="L1034" s="19">
        <f t="shared" si="129"/>
        <v>-2.0000000000000462E-2</v>
      </c>
      <c r="M1034" s="19">
        <f t="shared" si="130"/>
        <v>-9.9999999999997868E-3</v>
      </c>
      <c r="N1034" s="19">
        <f t="shared" si="130"/>
        <v>-3.0000000000000249E-2</v>
      </c>
      <c r="O1034" s="19">
        <f t="shared" si="130"/>
        <v>-1.9100000000000783E-2</v>
      </c>
      <c r="P1034" s="19">
        <f t="shared" si="128"/>
        <v>-3.0000000000000249E-2</v>
      </c>
      <c r="R1034" s="19"/>
      <c r="S1034" s="19"/>
      <c r="T1034" s="19"/>
      <c r="U1034" s="19"/>
      <c r="V1034" s="19"/>
    </row>
    <row r="1035" spans="1:22" x14ac:dyDescent="0.2">
      <c r="A1035" s="8">
        <v>45708</v>
      </c>
      <c r="B1035" s="24">
        <v>4.2</v>
      </c>
      <c r="C1035" s="24">
        <v>4.28</v>
      </c>
      <c r="D1035" s="24">
        <v>4.2699999999999996</v>
      </c>
      <c r="E1035" s="24">
        <v>4.2419000000000002</v>
      </c>
      <c r="F1035" s="24">
        <v>4.34</v>
      </c>
      <c r="G1035" s="83">
        <f t="shared" si="124"/>
        <v>95.969289827255281</v>
      </c>
      <c r="H1035" s="84">
        <f t="shared" si="127"/>
        <v>102.01781911415911</v>
      </c>
      <c r="I1035" s="84">
        <f t="shared" si="125"/>
        <v>89.696090678520889</v>
      </c>
      <c r="J1035" s="84">
        <f t="shared" si="126"/>
        <v>397696213.69735545</v>
      </c>
      <c r="L1035" s="19">
        <f t="shared" si="129"/>
        <v>-1.9999999999999574E-2</v>
      </c>
      <c r="M1035" s="19">
        <f t="shared" si="130"/>
        <v>0</v>
      </c>
      <c r="N1035" s="19">
        <f t="shared" si="130"/>
        <v>-3.0000000000000249E-2</v>
      </c>
      <c r="O1035" s="19">
        <f t="shared" si="130"/>
        <v>-1.7799999999999372E-2</v>
      </c>
      <c r="P1035" s="19">
        <f t="shared" si="128"/>
        <v>-3.0000000000000249E-2</v>
      </c>
      <c r="R1035" s="19"/>
      <c r="S1035" s="19"/>
      <c r="T1035" s="19"/>
      <c r="U1035" s="19"/>
      <c r="V1035" s="19"/>
    </row>
    <row r="1036" spans="1:22" x14ac:dyDescent="0.2">
      <c r="A1036" s="8">
        <v>45709</v>
      </c>
      <c r="B1036" s="24">
        <v>4.1500000000000004</v>
      </c>
      <c r="C1036" s="24">
        <v>4.1900000000000004</v>
      </c>
      <c r="D1036" s="24">
        <v>4.1900000000000004</v>
      </c>
      <c r="E1036" s="24">
        <v>4.1761999999999997</v>
      </c>
      <c r="F1036" s="24">
        <v>4.26</v>
      </c>
      <c r="G1036" s="83">
        <f t="shared" si="124"/>
        <v>96.015362457993277</v>
      </c>
      <c r="H1036" s="84">
        <f t="shared" si="127"/>
        <v>102.24158541701148</v>
      </c>
      <c r="I1036" s="84">
        <f t="shared" si="125"/>
        <v>90.025458511321176</v>
      </c>
      <c r="J1036" s="84">
        <f t="shared" si="126"/>
        <v>398770180.83575404</v>
      </c>
      <c r="L1036" s="19">
        <f t="shared" si="129"/>
        <v>-4.9999999999999822E-2</v>
      </c>
      <c r="M1036" s="19">
        <f t="shared" si="130"/>
        <v>-8.9999999999999858E-2</v>
      </c>
      <c r="N1036" s="19">
        <f t="shared" si="130"/>
        <v>-7.9999999999999183E-2</v>
      </c>
      <c r="O1036" s="19">
        <f t="shared" si="130"/>
        <v>-6.5700000000000536E-2</v>
      </c>
      <c r="P1036" s="19">
        <f t="shared" si="128"/>
        <v>-8.0000000000000071E-2</v>
      </c>
      <c r="R1036" s="19"/>
      <c r="S1036" s="19"/>
      <c r="T1036" s="19"/>
      <c r="U1036" s="19"/>
      <c r="V1036" s="19"/>
    </row>
    <row r="1037" spans="1:22" x14ac:dyDescent="0.2">
      <c r="A1037" s="8">
        <v>45712</v>
      </c>
      <c r="B1037" s="24">
        <v>4.1500000000000004</v>
      </c>
      <c r="C1037" s="24">
        <v>4.13</v>
      </c>
      <c r="D1037" s="24">
        <v>4.17</v>
      </c>
      <c r="E1037" s="24">
        <v>4.1436999999999999</v>
      </c>
      <c r="F1037" s="24">
        <v>4.2300000000000004</v>
      </c>
      <c r="G1037" s="83">
        <f t="shared" si="124"/>
        <v>96.015362457993277</v>
      </c>
      <c r="H1037" s="84">
        <f t="shared" si="127"/>
        <v>102.30037630040326</v>
      </c>
      <c r="I1037" s="84">
        <f t="shared" si="125"/>
        <v>90.149944645543016</v>
      </c>
      <c r="J1037" s="84">
        <f t="shared" si="126"/>
        <v>399179939.04755372</v>
      </c>
      <c r="L1037" s="19">
        <f t="shared" si="129"/>
        <v>0</v>
      </c>
      <c r="M1037" s="19">
        <f t="shared" si="130"/>
        <v>-6.0000000000000497E-2</v>
      </c>
      <c r="N1037" s="19">
        <f t="shared" si="130"/>
        <v>-2.0000000000000462E-2</v>
      </c>
      <c r="O1037" s="19">
        <f t="shared" si="130"/>
        <v>-3.2499999999999751E-2</v>
      </c>
      <c r="P1037" s="19">
        <f t="shared" si="128"/>
        <v>-2.9999999999999361E-2</v>
      </c>
      <c r="R1037" s="19"/>
      <c r="S1037" s="19"/>
      <c r="T1037" s="19"/>
      <c r="U1037" s="19"/>
      <c r="V1037" s="19"/>
    </row>
    <row r="1038" spans="1:22" x14ac:dyDescent="0.2">
      <c r="A1038" s="8">
        <v>45713</v>
      </c>
      <c r="B1038" s="24">
        <v>4.12</v>
      </c>
      <c r="C1038" s="24">
        <v>4.07</v>
      </c>
      <c r="D1038" s="24">
        <v>4.08</v>
      </c>
      <c r="E1038" s="24">
        <v>4.0624000000000002</v>
      </c>
      <c r="F1038" s="24">
        <v>4.12</v>
      </c>
      <c r="G1038" s="83">
        <f t="shared" si="124"/>
        <v>96.04302727621976</v>
      </c>
      <c r="H1038" s="84">
        <f t="shared" si="127"/>
        <v>102.54825371249882</v>
      </c>
      <c r="I1038" s="84">
        <f t="shared" si="125"/>
        <v>90.601455876738015</v>
      </c>
      <c r="J1038" s="84">
        <f t="shared" si="126"/>
        <v>400669497.49064332</v>
      </c>
      <c r="L1038" s="19">
        <f t="shared" si="129"/>
        <v>-3.0000000000000249E-2</v>
      </c>
      <c r="M1038" s="19">
        <f t="shared" si="130"/>
        <v>-5.9999999999999609E-2</v>
      </c>
      <c r="N1038" s="19">
        <f t="shared" si="130"/>
        <v>-8.9999999999999858E-2</v>
      </c>
      <c r="O1038" s="19">
        <f t="shared" si="130"/>
        <v>-8.1299999999999706E-2</v>
      </c>
      <c r="P1038" s="19">
        <f t="shared" si="128"/>
        <v>-0.11000000000000032</v>
      </c>
      <c r="R1038" s="19"/>
      <c r="S1038" s="19"/>
      <c r="T1038" s="19"/>
      <c r="U1038" s="19"/>
      <c r="V1038" s="19"/>
    </row>
    <row r="1039" spans="1:22" x14ac:dyDescent="0.2">
      <c r="A1039" s="8">
        <v>45714</v>
      </c>
      <c r="B1039" s="24">
        <v>4.12</v>
      </c>
      <c r="C1039" s="24">
        <v>4.05</v>
      </c>
      <c r="D1039" s="24">
        <v>4.04</v>
      </c>
      <c r="E1039" s="24">
        <v>4.0114999999999998</v>
      </c>
      <c r="F1039" s="24">
        <v>4.0599999999999996</v>
      </c>
      <c r="G1039" s="83">
        <f t="shared" si="124"/>
        <v>96.04302727621976</v>
      </c>
      <c r="H1039" s="84">
        <f t="shared" si="127"/>
        <v>102.65748578011869</v>
      </c>
      <c r="I1039" s="84">
        <f t="shared" si="125"/>
        <v>90.848138087224612</v>
      </c>
      <c r="J1039" s="84">
        <f t="shared" si="126"/>
        <v>401492378.23115993</v>
      </c>
      <c r="L1039" s="19">
        <f t="shared" si="129"/>
        <v>0</v>
      </c>
      <c r="M1039" s="19">
        <f t="shared" si="130"/>
        <v>-2.0000000000000462E-2</v>
      </c>
      <c r="N1039" s="19">
        <f t="shared" si="130"/>
        <v>-4.0000000000000036E-2</v>
      </c>
      <c r="O1039" s="19">
        <f t="shared" si="130"/>
        <v>-5.0900000000000389E-2</v>
      </c>
      <c r="P1039" s="19">
        <f t="shared" si="128"/>
        <v>-6.0000000000000497E-2</v>
      </c>
      <c r="R1039" s="19"/>
      <c r="S1039" s="19"/>
      <c r="T1039" s="19"/>
      <c r="U1039" s="19"/>
      <c r="V1039" s="19"/>
    </row>
    <row r="1040" spans="1:22" x14ac:dyDescent="0.2">
      <c r="A1040" s="8">
        <v>45715</v>
      </c>
      <c r="B1040" s="24">
        <v>4.13</v>
      </c>
      <c r="C1040" s="24">
        <v>4.07</v>
      </c>
      <c r="D1040" s="24">
        <v>4.05</v>
      </c>
      <c r="E1040" s="24">
        <v>4.0164</v>
      </c>
      <c r="F1040" s="24">
        <v>4.09</v>
      </c>
      <c r="G1040" s="83">
        <f t="shared" si="124"/>
        <v>96.033803898972451</v>
      </c>
      <c r="H1040" s="84">
        <f t="shared" si="127"/>
        <v>102.62836991292799</v>
      </c>
      <c r="I1040" s="84">
        <f t="shared" si="125"/>
        <v>90.726013422277219</v>
      </c>
      <c r="J1040" s="84">
        <f t="shared" si="126"/>
        <v>401029106.61766177</v>
      </c>
      <c r="L1040" s="19">
        <f t="shared" si="129"/>
        <v>9.9999999999997868E-3</v>
      </c>
      <c r="M1040" s="19">
        <f t="shared" si="130"/>
        <v>2.0000000000000462E-2</v>
      </c>
      <c r="N1040" s="19">
        <f t="shared" si="130"/>
        <v>9.9999999999997868E-3</v>
      </c>
      <c r="O1040" s="19">
        <f t="shared" si="130"/>
        <v>4.9000000000001265E-3</v>
      </c>
      <c r="P1040" s="19">
        <f t="shared" si="128"/>
        <v>3.0000000000000249E-2</v>
      </c>
      <c r="R1040" s="19"/>
      <c r="S1040" s="19"/>
      <c r="T1040" s="19"/>
      <c r="U1040" s="19"/>
      <c r="V1040" s="19"/>
    </row>
    <row r="1041" spans="1:22" x14ac:dyDescent="0.2">
      <c r="A1041" s="8">
        <v>45716</v>
      </c>
      <c r="B1041" s="24">
        <v>4.08</v>
      </c>
      <c r="C1041" s="24">
        <v>3.99</v>
      </c>
      <c r="D1041" s="24">
        <v>3.99</v>
      </c>
      <c r="E1041" s="24">
        <v>3.9651000000000001</v>
      </c>
      <c r="F1041" s="24">
        <v>4.03</v>
      </c>
      <c r="G1041" s="83">
        <f t="shared" si="124"/>
        <v>96.079938508839362</v>
      </c>
      <c r="H1041" s="84">
        <f t="shared" si="127"/>
        <v>102.79921628656068</v>
      </c>
      <c r="I1041" s="84">
        <f t="shared" si="125"/>
        <v>90.977229010919928</v>
      </c>
      <c r="J1041" s="84">
        <f t="shared" si="126"/>
        <v>401869968.63151741</v>
      </c>
      <c r="L1041" s="19">
        <f t="shared" si="129"/>
        <v>-4.9999999999999822E-2</v>
      </c>
      <c r="M1041" s="19">
        <f t="shared" si="130"/>
        <v>-8.0000000000000071E-2</v>
      </c>
      <c r="N1041" s="19">
        <f t="shared" si="130"/>
        <v>-5.9999999999999609E-2</v>
      </c>
      <c r="O1041" s="19">
        <f t="shared" si="130"/>
        <v>-5.1299999999999901E-2</v>
      </c>
      <c r="P1041" s="19">
        <f t="shared" si="128"/>
        <v>-5.9999999999999609E-2</v>
      </c>
      <c r="R1041" s="19"/>
      <c r="S1041" s="19"/>
      <c r="T1041" s="19"/>
      <c r="U1041" s="19"/>
      <c r="V1041" s="19"/>
    </row>
    <row r="1042" spans="1:22" x14ac:dyDescent="0.2">
      <c r="A1042" s="8">
        <v>45719</v>
      </c>
      <c r="B1042" s="24">
        <v>4.0599999999999996</v>
      </c>
      <c r="C1042" s="24">
        <v>3.96</v>
      </c>
      <c r="D1042" s="24">
        <v>3.93</v>
      </c>
      <c r="E1042" s="24">
        <v>3.9056999999999999</v>
      </c>
      <c r="F1042" s="24">
        <v>3.97</v>
      </c>
      <c r="G1042" s="83">
        <f t="shared" si="124"/>
        <v>96.098404766480883</v>
      </c>
      <c r="H1042" s="84">
        <f t="shared" si="127"/>
        <v>102.96461533981555</v>
      </c>
      <c r="I1042" s="84">
        <f t="shared" si="125"/>
        <v>91.227502274330874</v>
      </c>
      <c r="J1042" s="84">
        <f t="shared" si="126"/>
        <v>402659895.6205619</v>
      </c>
      <c r="L1042" s="19">
        <f t="shared" si="129"/>
        <v>-2.0000000000000462E-2</v>
      </c>
      <c r="M1042" s="19">
        <f t="shared" si="130"/>
        <v>-3.0000000000000249E-2</v>
      </c>
      <c r="N1042" s="19">
        <f t="shared" si="130"/>
        <v>-6.0000000000000053E-2</v>
      </c>
      <c r="O1042" s="19">
        <f t="shared" si="130"/>
        <v>-5.9400000000000119E-2</v>
      </c>
      <c r="P1042" s="19">
        <f t="shared" si="128"/>
        <v>-6.0000000000000053E-2</v>
      </c>
      <c r="R1042" s="19"/>
      <c r="S1042" s="19"/>
      <c r="T1042" s="19"/>
      <c r="U1042" s="19"/>
      <c r="V1042" s="19"/>
    </row>
    <row r="1043" spans="1:22" x14ac:dyDescent="0.2">
      <c r="A1043" s="8">
        <v>45720</v>
      </c>
      <c r="B1043" s="24">
        <v>4.04</v>
      </c>
      <c r="C1043" s="24">
        <v>3.96</v>
      </c>
      <c r="D1043" s="24">
        <v>3.94</v>
      </c>
      <c r="E1043" s="24">
        <v>3.9135</v>
      </c>
      <c r="F1043" s="24">
        <v>4.01</v>
      </c>
      <c r="G1043" s="83">
        <f t="shared" si="124"/>
        <v>96.116878123798543</v>
      </c>
      <c r="H1043" s="84">
        <f t="shared" si="127"/>
        <v>102.93854525431304</v>
      </c>
      <c r="I1043" s="84">
        <f t="shared" si="125"/>
        <v>91.065525207068106</v>
      </c>
      <c r="J1043" s="84">
        <f t="shared" si="126"/>
        <v>402088039.19439995</v>
      </c>
      <c r="L1043" s="19">
        <f t="shared" si="129"/>
        <v>-1.9999999999999574E-2</v>
      </c>
      <c r="M1043" s="19">
        <f t="shared" si="130"/>
        <v>0</v>
      </c>
      <c r="N1043" s="19">
        <f t="shared" si="130"/>
        <v>9.9999999999997868E-3</v>
      </c>
      <c r="O1043" s="19">
        <f t="shared" si="130"/>
        <v>7.8000000000000291E-3</v>
      </c>
      <c r="P1043" s="19">
        <f t="shared" si="128"/>
        <v>3.9999999999999591E-2</v>
      </c>
      <c r="R1043" s="19"/>
      <c r="S1043" s="19"/>
      <c r="T1043" s="19"/>
      <c r="U1043" s="19"/>
      <c r="V1043" s="19"/>
    </row>
    <row r="1044" spans="1:22" x14ac:dyDescent="0.2">
      <c r="A1044" s="8">
        <v>45721</v>
      </c>
      <c r="B1044" s="24">
        <v>4.0599999999999996</v>
      </c>
      <c r="C1044" s="24">
        <v>3.99</v>
      </c>
      <c r="D1044" s="24">
        <v>4.01</v>
      </c>
      <c r="E1044" s="24">
        <v>3.9609000000000001</v>
      </c>
      <c r="F1044" s="24">
        <v>4.08</v>
      </c>
      <c r="G1044" s="83">
        <f t="shared" si="124"/>
        <v>96.098404766480883</v>
      </c>
      <c r="H1044" s="84">
        <f t="shared" si="127"/>
        <v>102.74628693374822</v>
      </c>
      <c r="I1044" s="84">
        <f t="shared" si="125"/>
        <v>90.775957233941</v>
      </c>
      <c r="J1044" s="84">
        <f t="shared" si="126"/>
        <v>401181208.06810343</v>
      </c>
      <c r="L1044" s="19">
        <f t="shared" si="129"/>
        <v>1.9999999999999574E-2</v>
      </c>
      <c r="M1044" s="19">
        <f t="shared" si="130"/>
        <v>3.0000000000000249E-2</v>
      </c>
      <c r="N1044" s="19">
        <f t="shared" si="130"/>
        <v>6.999999999999984E-2</v>
      </c>
      <c r="O1044" s="19">
        <f t="shared" si="130"/>
        <v>4.7400000000000109E-2</v>
      </c>
      <c r="P1044" s="19">
        <f t="shared" si="128"/>
        <v>7.0000000000000284E-2</v>
      </c>
      <c r="R1044" s="19"/>
      <c r="S1044" s="19"/>
      <c r="T1044" s="19"/>
      <c r="U1044" s="19"/>
      <c r="V1044" s="19"/>
    </row>
    <row r="1045" spans="1:22" x14ac:dyDescent="0.2">
      <c r="A1045" s="8">
        <v>45722</v>
      </c>
      <c r="B1045" s="24">
        <v>4.0199999999999996</v>
      </c>
      <c r="C1045" s="24">
        <v>3.96</v>
      </c>
      <c r="D1045" s="24">
        <v>3.98</v>
      </c>
      <c r="E1045" s="24">
        <v>3.9582999999999999</v>
      </c>
      <c r="F1045" s="24">
        <v>4.0599999999999996</v>
      </c>
      <c r="G1045" s="83">
        <f t="shared" si="124"/>
        <v>96.135358584887527</v>
      </c>
      <c r="H1045" s="84">
        <f t="shared" si="127"/>
        <v>102.83159807603501</v>
      </c>
      <c r="I1045" s="84">
        <f t="shared" si="125"/>
        <v>90.859761416107673</v>
      </c>
      <c r="J1045" s="84">
        <f t="shared" si="126"/>
        <v>401462365.72015321</v>
      </c>
      <c r="L1045" s="19">
        <f t="shared" si="129"/>
        <v>-4.0000000000000036E-2</v>
      </c>
      <c r="M1045" s="19">
        <f t="shared" si="130"/>
        <v>-3.0000000000000249E-2</v>
      </c>
      <c r="N1045" s="19">
        <f t="shared" si="130"/>
        <v>-2.9999999999999805E-2</v>
      </c>
      <c r="O1045" s="19">
        <f t="shared" si="130"/>
        <v>-2.6000000000001577E-3</v>
      </c>
      <c r="P1045" s="19">
        <f t="shared" si="128"/>
        <v>-2.0000000000000462E-2</v>
      </c>
      <c r="R1045" s="19"/>
      <c r="S1045" s="19"/>
      <c r="T1045" s="19"/>
      <c r="U1045" s="19"/>
      <c r="V1045" s="19"/>
    </row>
    <row r="1046" spans="1:22" x14ac:dyDescent="0.2">
      <c r="A1046" s="8">
        <v>45723</v>
      </c>
      <c r="B1046" s="24">
        <v>4.05</v>
      </c>
      <c r="C1046" s="24">
        <v>3.99</v>
      </c>
      <c r="D1046" s="24">
        <v>4.01</v>
      </c>
      <c r="E1046" s="24">
        <v>3.9788000000000001</v>
      </c>
      <c r="F1046" s="24">
        <v>4.09</v>
      </c>
      <c r="G1046" s="83">
        <f t="shared" si="124"/>
        <v>96.107640557424318</v>
      </c>
      <c r="H1046" s="84">
        <f t="shared" si="127"/>
        <v>102.74674872329541</v>
      </c>
      <c r="I1046" s="84">
        <f t="shared" si="125"/>
        <v>90.734854291517777</v>
      </c>
      <c r="J1046" s="84">
        <f t="shared" si="126"/>
        <v>401034575.19597661</v>
      </c>
      <c r="L1046" s="19">
        <f t="shared" si="129"/>
        <v>3.0000000000000249E-2</v>
      </c>
      <c r="M1046" s="19">
        <f t="shared" si="130"/>
        <v>3.0000000000000249E-2</v>
      </c>
      <c r="N1046" s="19">
        <f t="shared" si="130"/>
        <v>2.9999999999999805E-2</v>
      </c>
      <c r="O1046" s="19">
        <f t="shared" si="130"/>
        <v>2.0500000000000185E-2</v>
      </c>
      <c r="P1046" s="19">
        <f t="shared" si="128"/>
        <v>3.0000000000000249E-2</v>
      </c>
      <c r="R1046" s="19"/>
      <c r="S1046" s="19"/>
      <c r="T1046" s="19"/>
      <c r="U1046" s="19"/>
      <c r="V1046" s="19"/>
    </row>
    <row r="1047" spans="1:22" x14ac:dyDescent="0.2">
      <c r="A1047" s="8">
        <v>45726</v>
      </c>
      <c r="B1047" s="24">
        <v>3.98</v>
      </c>
      <c r="C1047" s="24">
        <v>3.89</v>
      </c>
      <c r="D1047" s="24">
        <v>3.91</v>
      </c>
      <c r="E1047" s="24">
        <v>3.8986000000000001</v>
      </c>
      <c r="F1047" s="24">
        <v>3.98</v>
      </c>
      <c r="G1047" s="83">
        <f t="shared" si="124"/>
        <v>96.172340834775909</v>
      </c>
      <c r="H1047" s="84">
        <f t="shared" si="127"/>
        <v>103.02856728711572</v>
      </c>
      <c r="I1047" s="84">
        <f t="shared" si="125"/>
        <v>91.192609339378393</v>
      </c>
      <c r="J1047" s="84">
        <f t="shared" si="126"/>
        <v>402572268.0963918</v>
      </c>
      <c r="L1047" s="19">
        <f t="shared" si="129"/>
        <v>-6.999999999999984E-2</v>
      </c>
      <c r="M1047" s="19">
        <f t="shared" si="130"/>
        <v>-0.10000000000000009</v>
      </c>
      <c r="N1047" s="19">
        <f t="shared" si="130"/>
        <v>-9.9999999999999645E-2</v>
      </c>
      <c r="O1047" s="19">
        <f t="shared" si="130"/>
        <v>-8.0200000000000049E-2</v>
      </c>
      <c r="P1047" s="19">
        <f t="shared" si="128"/>
        <v>-0.10999999999999988</v>
      </c>
      <c r="R1047" s="19"/>
      <c r="S1047" s="19"/>
      <c r="T1047" s="19"/>
      <c r="U1047" s="19"/>
      <c r="V1047" s="19"/>
    </row>
    <row r="1048" spans="1:22" x14ac:dyDescent="0.2">
      <c r="A1048" s="8">
        <v>45727</v>
      </c>
      <c r="B1048" s="24">
        <v>4.03</v>
      </c>
      <c r="C1048" s="24">
        <v>3.94</v>
      </c>
      <c r="D1048" s="24">
        <v>3.92</v>
      </c>
      <c r="E1048" s="24">
        <v>3.9192999999999998</v>
      </c>
      <c r="F1048" s="24">
        <v>4.03</v>
      </c>
      <c r="G1048" s="83">
        <f t="shared" si="124"/>
        <v>96.126117466115545</v>
      </c>
      <c r="H1048" s="84">
        <f t="shared" si="127"/>
        <v>102.99478567900135</v>
      </c>
      <c r="I1048" s="84">
        <f t="shared" si="125"/>
        <v>90.986548702976094</v>
      </c>
      <c r="J1048" s="84">
        <f t="shared" si="126"/>
        <v>401706251.22563344</v>
      </c>
      <c r="L1048" s="19">
        <f t="shared" si="129"/>
        <v>5.0000000000000266E-2</v>
      </c>
      <c r="M1048" s="19">
        <f t="shared" si="130"/>
        <v>4.9999999999999822E-2</v>
      </c>
      <c r="N1048" s="19">
        <f t="shared" si="130"/>
        <v>9.9999999999997868E-3</v>
      </c>
      <c r="O1048" s="19">
        <f t="shared" si="130"/>
        <v>2.0699999999999719E-2</v>
      </c>
      <c r="P1048" s="19">
        <f t="shared" si="128"/>
        <v>5.0000000000000266E-2</v>
      </c>
      <c r="R1048" s="19"/>
      <c r="S1048" s="19"/>
      <c r="T1048" s="19"/>
      <c r="U1048" s="19"/>
      <c r="V1048" s="19"/>
    </row>
    <row r="1049" spans="1:22" x14ac:dyDescent="0.2">
      <c r="A1049" s="8">
        <v>45728</v>
      </c>
      <c r="B1049" s="24">
        <v>4.07</v>
      </c>
      <c r="C1049" s="24">
        <v>4.01</v>
      </c>
      <c r="D1049" s="24">
        <v>3.98</v>
      </c>
      <c r="E1049" s="24">
        <v>3.9634</v>
      </c>
      <c r="F1049" s="24">
        <v>4.09</v>
      </c>
      <c r="G1049" s="83">
        <f t="shared" si="124"/>
        <v>96.089170750456432</v>
      </c>
      <c r="H1049" s="84">
        <f t="shared" si="127"/>
        <v>102.82484177814166</v>
      </c>
      <c r="I1049" s="84">
        <f t="shared" si="125"/>
        <v>90.736326664204768</v>
      </c>
      <c r="J1049" s="84">
        <f t="shared" si="126"/>
        <v>400886385.4905194</v>
      </c>
      <c r="L1049" s="19">
        <f t="shared" si="129"/>
        <v>4.0000000000000036E-2</v>
      </c>
      <c r="M1049" s="19">
        <f t="shared" si="130"/>
        <v>6.999999999999984E-2</v>
      </c>
      <c r="N1049" s="19">
        <f t="shared" si="130"/>
        <v>6.0000000000000053E-2</v>
      </c>
      <c r="O1049" s="19">
        <f t="shared" si="130"/>
        <v>4.410000000000025E-2</v>
      </c>
      <c r="P1049" s="19">
        <f t="shared" si="128"/>
        <v>5.9999999999999609E-2</v>
      </c>
      <c r="R1049" s="19"/>
      <c r="S1049" s="19"/>
      <c r="T1049" s="19"/>
      <c r="U1049" s="19"/>
      <c r="V1049" s="19"/>
    </row>
    <row r="1050" spans="1:22" x14ac:dyDescent="0.2">
      <c r="A1050" s="8">
        <v>45729</v>
      </c>
      <c r="B1050" s="24">
        <v>4.03</v>
      </c>
      <c r="C1050" s="24">
        <v>3.94</v>
      </c>
      <c r="D1050" s="24">
        <v>3.93</v>
      </c>
      <c r="E1050" s="24">
        <v>3.9291</v>
      </c>
      <c r="F1050" s="24">
        <v>4.0199999999999996</v>
      </c>
      <c r="G1050" s="83">
        <f t="shared" si="124"/>
        <v>96.126117466115545</v>
      </c>
      <c r="H1050" s="84">
        <f t="shared" si="127"/>
        <v>102.96778153442791</v>
      </c>
      <c r="I1050" s="84">
        <f t="shared" si="125"/>
        <v>91.025635550635926</v>
      </c>
      <c r="J1050" s="84">
        <f t="shared" si="126"/>
        <v>401903104.83313286</v>
      </c>
      <c r="L1050" s="19">
        <f t="shared" si="129"/>
        <v>-4.0000000000000036E-2</v>
      </c>
      <c r="M1050" s="19">
        <f t="shared" si="130"/>
        <v>-6.999999999999984E-2</v>
      </c>
      <c r="N1050" s="19">
        <f t="shared" si="130"/>
        <v>-4.9999999999999822E-2</v>
      </c>
      <c r="O1050" s="19">
        <f t="shared" si="130"/>
        <v>-3.4299999999999997E-2</v>
      </c>
      <c r="P1050" s="19">
        <f t="shared" si="128"/>
        <v>-7.0000000000000284E-2</v>
      </c>
      <c r="R1050" s="19"/>
      <c r="S1050" s="19"/>
      <c r="T1050" s="19"/>
      <c r="U1050" s="19"/>
      <c r="V1050" s="19"/>
    </row>
    <row r="1051" spans="1:22" x14ac:dyDescent="0.2">
      <c r="A1051" s="8">
        <v>45730</v>
      </c>
      <c r="B1051" s="24">
        <v>4.09</v>
      </c>
      <c r="C1051" s="24">
        <v>4.0199999999999996</v>
      </c>
      <c r="D1051" s="24">
        <v>4</v>
      </c>
      <c r="E1051" s="24">
        <v>3.9702000000000002</v>
      </c>
      <c r="F1051" s="24">
        <v>4.09</v>
      </c>
      <c r="G1051" s="83">
        <f t="shared" si="124"/>
        <v>96.070708041118266</v>
      </c>
      <c r="H1051" s="84">
        <f t="shared" si="127"/>
        <v>102.76915664762443</v>
      </c>
      <c r="I1051" s="84">
        <f t="shared" si="125"/>
        <v>90.734127962894433</v>
      </c>
      <c r="J1051" s="84">
        <f t="shared" si="126"/>
        <v>400924192.96237767</v>
      </c>
      <c r="L1051" s="19">
        <f t="shared" si="129"/>
        <v>5.9999999999999609E-2</v>
      </c>
      <c r="M1051" s="19">
        <f t="shared" si="130"/>
        <v>7.9999999999999627E-2</v>
      </c>
      <c r="N1051" s="19">
        <f t="shared" si="130"/>
        <v>6.999999999999984E-2</v>
      </c>
      <c r="O1051" s="19">
        <f t="shared" si="130"/>
        <v>4.1100000000000136E-2</v>
      </c>
      <c r="P1051" s="19">
        <f t="shared" si="128"/>
        <v>7.0000000000000284E-2</v>
      </c>
      <c r="R1051" s="19"/>
      <c r="S1051" s="19"/>
      <c r="T1051" s="19"/>
      <c r="U1051" s="19"/>
      <c r="V1051" s="19"/>
    </row>
    <row r="1052" spans="1:22" x14ac:dyDescent="0.2">
      <c r="A1052" s="8">
        <v>45733</v>
      </c>
      <c r="B1052" s="24">
        <v>4.1100000000000003</v>
      </c>
      <c r="C1052" s="24">
        <v>4.0599999999999996</v>
      </c>
      <c r="D1052" s="24">
        <v>4.03</v>
      </c>
      <c r="E1052" s="24">
        <v>3.9925999999999999</v>
      </c>
      <c r="F1052" s="24">
        <v>4.1100000000000003</v>
      </c>
      <c r="G1052" s="83">
        <f t="shared" si="124"/>
        <v>96.052252425319381</v>
      </c>
      <c r="H1052" s="84">
        <f t="shared" si="127"/>
        <v>102.68394956586214</v>
      </c>
      <c r="I1052" s="84">
        <f t="shared" si="125"/>
        <v>90.649177546464585</v>
      </c>
      <c r="J1052" s="84">
        <f t="shared" si="126"/>
        <v>400675290.68770391</v>
      </c>
      <c r="L1052" s="19">
        <f t="shared" si="129"/>
        <v>2.0000000000000462E-2</v>
      </c>
      <c r="M1052" s="19">
        <f t="shared" si="130"/>
        <v>4.0000000000000036E-2</v>
      </c>
      <c r="N1052" s="19">
        <f t="shared" si="130"/>
        <v>3.0000000000000249E-2</v>
      </c>
      <c r="O1052" s="19">
        <f t="shared" si="130"/>
        <v>2.2399999999999753E-2</v>
      </c>
      <c r="P1052" s="19">
        <f t="shared" si="128"/>
        <v>2.0000000000000462E-2</v>
      </c>
      <c r="R1052" s="19"/>
      <c r="S1052" s="19"/>
      <c r="T1052" s="19"/>
      <c r="U1052" s="19"/>
      <c r="V1052" s="19"/>
    </row>
    <row r="1053" spans="1:22" x14ac:dyDescent="0.2">
      <c r="A1053" s="8">
        <v>45734</v>
      </c>
      <c r="B1053" s="24">
        <v>4.13</v>
      </c>
      <c r="C1053" s="24">
        <v>4.04</v>
      </c>
      <c r="D1053" s="24">
        <v>4.01</v>
      </c>
      <c r="E1053" s="24">
        <v>3.9796</v>
      </c>
      <c r="F1053" s="24">
        <v>4.07</v>
      </c>
      <c r="G1053" s="83">
        <f t="shared" si="124"/>
        <v>96.033803898972451</v>
      </c>
      <c r="H1053" s="84">
        <f t="shared" si="127"/>
        <v>102.73861383082088</v>
      </c>
      <c r="I1053" s="84">
        <f t="shared" si="125"/>
        <v>90.811788709243871</v>
      </c>
      <c r="J1053" s="84">
        <f t="shared" si="126"/>
        <v>401206841.88868904</v>
      </c>
      <c r="L1053" s="19">
        <f t="shared" si="129"/>
        <v>1.9999999999999574E-2</v>
      </c>
      <c r="M1053" s="19">
        <f t="shared" si="130"/>
        <v>-1.9999999999999574E-2</v>
      </c>
      <c r="N1053" s="19">
        <f t="shared" si="130"/>
        <v>-2.0000000000000462E-2</v>
      </c>
      <c r="O1053" s="19">
        <f t="shared" si="130"/>
        <v>-1.2999999999999901E-2</v>
      </c>
      <c r="P1053" s="19">
        <f t="shared" si="128"/>
        <v>-4.0000000000000036E-2</v>
      </c>
      <c r="R1053" s="19"/>
      <c r="S1053" s="19"/>
      <c r="T1053" s="19"/>
      <c r="U1053" s="19"/>
      <c r="V1053" s="19"/>
    </row>
    <row r="1054" spans="1:22" x14ac:dyDescent="0.2">
      <c r="A1054" s="8">
        <v>45735</v>
      </c>
      <c r="B1054" s="24">
        <v>4.0999999999999996</v>
      </c>
      <c r="C1054" s="24">
        <v>3.99</v>
      </c>
      <c r="D1054" s="24">
        <v>3.95</v>
      </c>
      <c r="E1054" s="24">
        <v>3.9437000000000002</v>
      </c>
      <c r="F1054" s="24">
        <v>4.03</v>
      </c>
      <c r="G1054" s="83">
        <f t="shared" si="124"/>
        <v>96.061479346781951</v>
      </c>
      <c r="H1054" s="84">
        <f t="shared" si="127"/>
        <v>102.90612303487976</v>
      </c>
      <c r="I1054" s="84">
        <f t="shared" si="125"/>
        <v>90.980323955074269</v>
      </c>
      <c r="J1054" s="84">
        <f t="shared" si="126"/>
        <v>401685069.9615413</v>
      </c>
      <c r="L1054" s="19">
        <f t="shared" si="129"/>
        <v>-3.0000000000000249E-2</v>
      </c>
      <c r="M1054" s="19">
        <f t="shared" si="130"/>
        <v>-4.9999999999999822E-2</v>
      </c>
      <c r="N1054" s="19">
        <f t="shared" si="130"/>
        <v>-5.9999999999999609E-2</v>
      </c>
      <c r="O1054" s="19">
        <f t="shared" si="130"/>
        <v>-3.5899999999999821E-2</v>
      </c>
      <c r="P1054" s="19">
        <f t="shared" si="128"/>
        <v>-4.0000000000000036E-2</v>
      </c>
      <c r="R1054" s="19"/>
      <c r="S1054" s="19"/>
      <c r="T1054" s="19"/>
      <c r="U1054" s="19"/>
      <c r="V1054" s="19"/>
    </row>
    <row r="1055" spans="1:22" x14ac:dyDescent="0.2">
      <c r="A1055" s="8">
        <v>45736</v>
      </c>
      <c r="B1055" s="24">
        <v>4.0599999999999996</v>
      </c>
      <c r="C1055" s="24">
        <v>3.95</v>
      </c>
      <c r="D1055" s="24">
        <v>3.93</v>
      </c>
      <c r="E1055" s="24">
        <v>3.9144999999999999</v>
      </c>
      <c r="F1055" s="24">
        <v>4.01</v>
      </c>
      <c r="G1055" s="83">
        <f t="shared" si="124"/>
        <v>96.098404766480883</v>
      </c>
      <c r="H1055" s="84">
        <f t="shared" si="127"/>
        <v>102.96550549116336</v>
      </c>
      <c r="I1055" s="84">
        <f t="shared" si="125"/>
        <v>91.065959940479203</v>
      </c>
      <c r="J1055" s="84">
        <f t="shared" si="126"/>
        <v>402012391.05813354</v>
      </c>
      <c r="L1055" s="19">
        <f t="shared" si="129"/>
        <v>-4.0000000000000036E-2</v>
      </c>
      <c r="M1055" s="19">
        <f t="shared" si="130"/>
        <v>-4.0000000000000036E-2</v>
      </c>
      <c r="N1055" s="19">
        <f t="shared" si="130"/>
        <v>-2.0000000000000018E-2</v>
      </c>
      <c r="O1055" s="19">
        <f t="shared" si="130"/>
        <v>-2.9200000000000337E-2</v>
      </c>
      <c r="P1055" s="19">
        <f t="shared" si="128"/>
        <v>-2.0000000000000462E-2</v>
      </c>
      <c r="R1055" s="19"/>
      <c r="S1055" s="19"/>
      <c r="T1055" s="19"/>
      <c r="U1055" s="19"/>
      <c r="V1055" s="19"/>
    </row>
    <row r="1056" spans="1:22" x14ac:dyDescent="0.2">
      <c r="A1056" s="8">
        <v>45737</v>
      </c>
      <c r="B1056" s="24">
        <v>4.04</v>
      </c>
      <c r="C1056" s="24">
        <v>3.94</v>
      </c>
      <c r="D1056" s="24">
        <v>3.92</v>
      </c>
      <c r="E1056" s="24">
        <v>3.9049999999999998</v>
      </c>
      <c r="F1056" s="24">
        <v>4</v>
      </c>
      <c r="G1056" s="83">
        <f t="shared" si="124"/>
        <v>96.116878123798543</v>
      </c>
      <c r="H1056" s="84">
        <f t="shared" si="127"/>
        <v>102.9943237118855</v>
      </c>
      <c r="I1056" s="84">
        <f t="shared" si="125"/>
        <v>91.108121734336748</v>
      </c>
      <c r="J1056" s="84">
        <f t="shared" si="126"/>
        <v>402174757.61711586</v>
      </c>
      <c r="L1056" s="19">
        <f t="shared" si="129"/>
        <v>-1.9999999999999574E-2</v>
      </c>
      <c r="M1056" s="19">
        <f t="shared" si="130"/>
        <v>-1.0000000000000231E-2</v>
      </c>
      <c r="N1056" s="19">
        <f t="shared" si="130"/>
        <v>-1.0000000000000231E-2</v>
      </c>
      <c r="O1056" s="19">
        <f t="shared" si="130"/>
        <v>-9.5000000000000639E-3</v>
      </c>
      <c r="P1056" s="19">
        <f t="shared" si="128"/>
        <v>-9.9999999999997868E-3</v>
      </c>
      <c r="R1056" s="19"/>
      <c r="S1056" s="19"/>
      <c r="T1056" s="19"/>
      <c r="U1056" s="19"/>
      <c r="V1056" s="19"/>
    </row>
    <row r="1057" spans="1:22" x14ac:dyDescent="0.2">
      <c r="A1057" s="8">
        <v>45740</v>
      </c>
      <c r="B1057" s="24">
        <v>4.1100000000000003</v>
      </c>
      <c r="C1057" s="24">
        <v>4.04</v>
      </c>
      <c r="D1057" s="24">
        <v>4.01</v>
      </c>
      <c r="E1057" s="24">
        <v>3.9733000000000001</v>
      </c>
      <c r="F1057" s="24">
        <v>4.09</v>
      </c>
      <c r="G1057" s="83">
        <f t="shared" si="124"/>
        <v>96.052252425319381</v>
      </c>
      <c r="H1057" s="84">
        <f t="shared" si="127"/>
        <v>102.73953625713823</v>
      </c>
      <c r="I1057" s="84">
        <f t="shared" si="125"/>
        <v>90.732331369687714</v>
      </c>
      <c r="J1057" s="84">
        <f t="shared" si="126"/>
        <v>400924525.94368219</v>
      </c>
      <c r="L1057" s="19">
        <f t="shared" si="129"/>
        <v>7.0000000000000284E-2</v>
      </c>
      <c r="M1057" s="19">
        <f t="shared" si="130"/>
        <v>0.10000000000000009</v>
      </c>
      <c r="N1057" s="19">
        <f t="shared" si="130"/>
        <v>8.9999999999999858E-2</v>
      </c>
      <c r="O1057" s="19">
        <f t="shared" si="130"/>
        <v>6.8300000000000249E-2</v>
      </c>
      <c r="P1057" s="19">
        <f t="shared" si="128"/>
        <v>8.9999999999999858E-2</v>
      </c>
      <c r="R1057" s="19"/>
      <c r="S1057" s="19"/>
      <c r="T1057" s="19"/>
      <c r="U1057" s="19"/>
      <c r="V1057" s="19"/>
    </row>
    <row r="1058" spans="1:22" x14ac:dyDescent="0.2">
      <c r="A1058" s="8">
        <v>45741</v>
      </c>
      <c r="B1058" s="24">
        <v>4.09</v>
      </c>
      <c r="C1058" s="24">
        <v>3.96</v>
      </c>
      <c r="D1058" s="24">
        <v>3.98</v>
      </c>
      <c r="E1058" s="24">
        <v>3.9655999999999998</v>
      </c>
      <c r="F1058" s="24">
        <v>4.07</v>
      </c>
      <c r="G1058" s="83">
        <f t="shared" si="124"/>
        <v>96.070708041118266</v>
      </c>
      <c r="H1058" s="84">
        <f t="shared" si="127"/>
        <v>102.82836554884655</v>
      </c>
      <c r="I1058" s="84">
        <f t="shared" si="125"/>
        <v>90.81783229685422</v>
      </c>
      <c r="J1058" s="84">
        <f t="shared" si="126"/>
        <v>401170196.9463836</v>
      </c>
      <c r="L1058" s="19">
        <f t="shared" si="129"/>
        <v>-2.0000000000000462E-2</v>
      </c>
      <c r="M1058" s="19">
        <f t="shared" si="130"/>
        <v>-8.0000000000000071E-2</v>
      </c>
      <c r="N1058" s="19">
        <f t="shared" si="130"/>
        <v>-2.9999999999999805E-2</v>
      </c>
      <c r="O1058" s="19">
        <f t="shared" si="130"/>
        <v>-7.7000000000002622E-3</v>
      </c>
      <c r="P1058" s="19">
        <f t="shared" si="128"/>
        <v>-1.9999999999999574E-2</v>
      </c>
      <c r="R1058" s="19"/>
      <c r="S1058" s="19"/>
      <c r="T1058" s="19"/>
      <c r="U1058" s="19"/>
      <c r="V1058" s="19"/>
    </row>
    <row r="1059" spans="1:22" x14ac:dyDescent="0.2">
      <c r="A1059" s="8">
        <v>45742</v>
      </c>
      <c r="B1059" s="24">
        <v>4.0999999999999996</v>
      </c>
      <c r="C1059" s="24">
        <v>3.98</v>
      </c>
      <c r="D1059" s="24">
        <v>4.01</v>
      </c>
      <c r="E1059" s="24">
        <v>3.9830999999999999</v>
      </c>
      <c r="F1059" s="24">
        <v>4.08</v>
      </c>
      <c r="G1059" s="83">
        <f t="shared" si="124"/>
        <v>96.061479346781951</v>
      </c>
      <c r="H1059" s="84">
        <f t="shared" si="127"/>
        <v>102.74533004389895</v>
      </c>
      <c r="I1059" s="84">
        <f t="shared" si="125"/>
        <v>90.7741127687502</v>
      </c>
      <c r="J1059" s="84">
        <f t="shared" si="126"/>
        <v>401101414.70271635</v>
      </c>
      <c r="L1059" s="19">
        <f t="shared" si="129"/>
        <v>9.9999999999997868E-3</v>
      </c>
      <c r="M1059" s="19">
        <f t="shared" si="130"/>
        <v>2.0000000000000018E-2</v>
      </c>
      <c r="N1059" s="19">
        <f t="shared" si="130"/>
        <v>2.9999999999999805E-2</v>
      </c>
      <c r="O1059" s="19">
        <f t="shared" si="130"/>
        <v>1.7500000000000071E-2</v>
      </c>
      <c r="P1059" s="19">
        <f t="shared" si="128"/>
        <v>9.9999999999997868E-3</v>
      </c>
      <c r="R1059" s="19"/>
      <c r="S1059" s="19"/>
      <c r="T1059" s="19"/>
      <c r="U1059" s="19"/>
      <c r="V1059" s="19"/>
    </row>
    <row r="1060" spans="1:22" x14ac:dyDescent="0.2">
      <c r="A1060" s="8">
        <v>45743</v>
      </c>
      <c r="B1060" s="24">
        <v>4.0999999999999996</v>
      </c>
      <c r="C1060" s="24">
        <v>3.97</v>
      </c>
      <c r="D1060" s="24">
        <v>4</v>
      </c>
      <c r="E1060" s="24">
        <v>3.9937</v>
      </c>
      <c r="F1060" s="24">
        <v>4.09</v>
      </c>
      <c r="G1060" s="83">
        <f t="shared" si="124"/>
        <v>96.061479346781951</v>
      </c>
      <c r="H1060" s="84">
        <f t="shared" si="127"/>
        <v>102.77314083637958</v>
      </c>
      <c r="I1060" s="84">
        <f t="shared" si="125"/>
        <v>90.734175073711938</v>
      </c>
      <c r="J1060" s="84">
        <f t="shared" si="126"/>
        <v>400899947.73384225</v>
      </c>
      <c r="L1060" s="19">
        <f t="shared" si="129"/>
        <v>0</v>
      </c>
      <c r="M1060" s="19">
        <f t="shared" si="130"/>
        <v>-9.9999999999997868E-3</v>
      </c>
      <c r="N1060" s="19">
        <f t="shared" si="130"/>
        <v>-9.9999999999997868E-3</v>
      </c>
      <c r="O1060" s="19">
        <f t="shared" si="130"/>
        <v>1.0600000000000165E-2</v>
      </c>
      <c r="P1060" s="19">
        <f t="shared" si="128"/>
        <v>9.9999999999997868E-3</v>
      </c>
      <c r="R1060" s="19"/>
      <c r="S1060" s="19"/>
      <c r="T1060" s="19"/>
      <c r="U1060" s="19"/>
      <c r="V1060" s="19"/>
    </row>
    <row r="1061" spans="1:22" x14ac:dyDescent="0.2">
      <c r="A1061" s="8">
        <v>45744</v>
      </c>
      <c r="B1061" s="24">
        <v>4.04</v>
      </c>
      <c r="C1061" s="24">
        <v>3.89</v>
      </c>
      <c r="D1061" s="24">
        <v>3.91</v>
      </c>
      <c r="E1061" s="24">
        <v>3.9106000000000001</v>
      </c>
      <c r="F1061" s="24">
        <v>3.98</v>
      </c>
      <c r="G1061" s="83">
        <f t="shared" si="124"/>
        <v>96.116878123798543</v>
      </c>
      <c r="H1061" s="84">
        <f t="shared" si="127"/>
        <v>103.02579415156686</v>
      </c>
      <c r="I1061" s="84">
        <f t="shared" si="125"/>
        <v>91.190707406134266</v>
      </c>
      <c r="J1061" s="84">
        <f t="shared" si="126"/>
        <v>402457894.64478385</v>
      </c>
      <c r="L1061" s="19">
        <f t="shared" si="129"/>
        <v>-5.9999999999999609E-2</v>
      </c>
      <c r="M1061" s="19">
        <f t="shared" si="130"/>
        <v>-8.0000000000000071E-2</v>
      </c>
      <c r="N1061" s="19">
        <f t="shared" si="130"/>
        <v>-8.9999999999999858E-2</v>
      </c>
      <c r="O1061" s="19">
        <f t="shared" si="130"/>
        <v>-8.3099999999999952E-2</v>
      </c>
      <c r="P1061" s="19">
        <f t="shared" si="128"/>
        <v>-0.10999999999999988</v>
      </c>
      <c r="R1061" s="19"/>
      <c r="S1061" s="19"/>
      <c r="T1061" s="19"/>
      <c r="U1061" s="19"/>
      <c r="V1061" s="19"/>
    </row>
    <row r="1062" spans="1:22" x14ac:dyDescent="0.2">
      <c r="A1062" s="8">
        <v>45747</v>
      </c>
      <c r="B1062" s="24">
        <v>4.03</v>
      </c>
      <c r="C1062" s="24">
        <v>3.89</v>
      </c>
      <c r="D1062" s="24">
        <v>3.89</v>
      </c>
      <c r="E1062" s="24">
        <v>3.8711000000000002</v>
      </c>
      <c r="F1062" s="24">
        <v>3.96</v>
      </c>
      <c r="G1062" s="83">
        <f t="shared" si="124"/>
        <v>96.126117466115545</v>
      </c>
      <c r="H1062" s="84">
        <f t="shared" si="127"/>
        <v>103.08031640887501</v>
      </c>
      <c r="I1062" s="84">
        <f t="shared" si="125"/>
        <v>91.275284624203863</v>
      </c>
      <c r="J1062" s="84">
        <f t="shared" si="126"/>
        <v>402732898.81573403</v>
      </c>
      <c r="L1062" s="19">
        <f t="shared" si="129"/>
        <v>-9.9999999999997868E-3</v>
      </c>
      <c r="M1062" s="19">
        <f t="shared" si="130"/>
        <v>0</v>
      </c>
      <c r="N1062" s="19">
        <f t="shared" si="130"/>
        <v>-2.0000000000000018E-2</v>
      </c>
      <c r="O1062" s="19">
        <f t="shared" si="130"/>
        <v>-3.9499999999999869E-2</v>
      </c>
      <c r="P1062" s="19">
        <f t="shared" si="128"/>
        <v>-2.0000000000000018E-2</v>
      </c>
      <c r="R1062" s="19"/>
      <c r="S1062" s="19"/>
      <c r="T1062" s="19"/>
      <c r="U1062" s="19"/>
      <c r="V1062" s="19"/>
    </row>
    <row r="1063" spans="1:22" x14ac:dyDescent="0.2">
      <c r="A1063" s="8">
        <v>45748</v>
      </c>
      <c r="B1063" s="24">
        <v>4.01</v>
      </c>
      <c r="C1063" s="24">
        <v>3.87</v>
      </c>
      <c r="D1063" s="24">
        <v>3.85</v>
      </c>
      <c r="E1063" s="24">
        <v>3.8252999999999999</v>
      </c>
      <c r="F1063" s="24">
        <v>3.91</v>
      </c>
      <c r="G1063" s="83">
        <f t="shared" si="124"/>
        <v>96.144601480626861</v>
      </c>
      <c r="H1063" s="84">
        <f t="shared" si="127"/>
        <v>103.19127032637101</v>
      </c>
      <c r="I1063" s="84">
        <f t="shared" si="125"/>
        <v>91.483751086094003</v>
      </c>
      <c r="J1063" s="84">
        <f t="shared" si="126"/>
        <v>403437301.81607324</v>
      </c>
      <c r="L1063" s="19">
        <f t="shared" si="129"/>
        <v>-2.0000000000000462E-2</v>
      </c>
      <c r="M1063" s="19">
        <f t="shared" si="130"/>
        <v>-2.0000000000000018E-2</v>
      </c>
      <c r="N1063" s="19">
        <f t="shared" si="130"/>
        <v>-4.0000000000000036E-2</v>
      </c>
      <c r="O1063" s="19">
        <f t="shared" si="130"/>
        <v>-4.5800000000000285E-2</v>
      </c>
      <c r="P1063" s="19">
        <f t="shared" si="128"/>
        <v>-4.9999999999999822E-2</v>
      </c>
      <c r="R1063" s="19"/>
      <c r="S1063" s="19"/>
      <c r="T1063" s="19"/>
      <c r="U1063" s="19"/>
      <c r="V1063" s="19"/>
    </row>
    <row r="1064" spans="1:22" x14ac:dyDescent="0.2">
      <c r="A1064" s="8">
        <v>45749</v>
      </c>
      <c r="B1064" s="24">
        <v>4.04</v>
      </c>
      <c r="C1064" s="24">
        <v>3.91</v>
      </c>
      <c r="D1064" s="24">
        <v>3.89</v>
      </c>
      <c r="E1064" s="24">
        <v>3.8475999999999999</v>
      </c>
      <c r="F1064" s="24">
        <v>3.95</v>
      </c>
      <c r="G1064" s="83">
        <f t="shared" si="124"/>
        <v>96.116878123798543</v>
      </c>
      <c r="H1064" s="84">
        <f t="shared" si="127"/>
        <v>103.07807131030468</v>
      </c>
      <c r="I1064" s="84">
        <f t="shared" si="125"/>
        <v>91.316353139993424</v>
      </c>
      <c r="J1064" s="84">
        <f t="shared" si="126"/>
        <v>402882061.84211379</v>
      </c>
      <c r="L1064" s="19">
        <f t="shared" si="129"/>
        <v>3.0000000000000249E-2</v>
      </c>
      <c r="M1064" s="19">
        <f t="shared" si="130"/>
        <v>4.0000000000000036E-2</v>
      </c>
      <c r="N1064" s="19">
        <f t="shared" si="130"/>
        <v>4.0000000000000036E-2</v>
      </c>
      <c r="O1064" s="19">
        <f t="shared" si="130"/>
        <v>2.2299999999999986E-2</v>
      </c>
      <c r="P1064" s="19">
        <f t="shared" si="128"/>
        <v>4.0000000000000036E-2</v>
      </c>
      <c r="R1064" s="19"/>
      <c r="S1064" s="19"/>
      <c r="T1064" s="19"/>
      <c r="U1064" s="19"/>
      <c r="V1064" s="19"/>
    </row>
    <row r="1065" spans="1:22" x14ac:dyDescent="0.2">
      <c r="A1065" s="8">
        <v>45750</v>
      </c>
      <c r="B1065" s="24">
        <v>3.92</v>
      </c>
      <c r="C1065" s="24">
        <v>3.71</v>
      </c>
      <c r="D1065" s="24">
        <v>3.68</v>
      </c>
      <c r="E1065" s="24">
        <v>3.7071000000000001</v>
      </c>
      <c r="F1065" s="24">
        <v>3.75</v>
      </c>
      <c r="G1065" s="83">
        <f t="shared" si="124"/>
        <v>96.22786759045421</v>
      </c>
      <c r="H1065" s="84">
        <f t="shared" si="127"/>
        <v>103.67165359396004</v>
      </c>
      <c r="I1065" s="84">
        <f t="shared" si="125"/>
        <v>92.159059634405708</v>
      </c>
      <c r="J1065" s="84">
        <f t="shared" si="126"/>
        <v>405584493.32759118</v>
      </c>
      <c r="L1065" s="19">
        <f t="shared" si="129"/>
        <v>-0.12000000000000011</v>
      </c>
      <c r="M1065" s="19">
        <f t="shared" si="130"/>
        <v>-0.20000000000000018</v>
      </c>
      <c r="N1065" s="19">
        <f t="shared" si="130"/>
        <v>-0.20999999999999996</v>
      </c>
      <c r="O1065" s="19">
        <f t="shared" si="130"/>
        <v>-0.14049999999999985</v>
      </c>
      <c r="P1065" s="19">
        <f t="shared" si="128"/>
        <v>-0.20000000000000018</v>
      </c>
      <c r="R1065" s="19"/>
      <c r="S1065" s="19"/>
      <c r="T1065" s="19"/>
      <c r="U1065" s="19"/>
      <c r="V1065" s="19"/>
    </row>
    <row r="1066" spans="1:22" x14ac:dyDescent="0.2">
      <c r="A1066" s="8">
        <v>45751</v>
      </c>
      <c r="B1066" s="24">
        <v>3.86</v>
      </c>
      <c r="C1066" s="24">
        <v>3.68</v>
      </c>
      <c r="D1066" s="24">
        <v>3.66</v>
      </c>
      <c r="E1066" s="24">
        <v>3.6444000000000001</v>
      </c>
      <c r="F1066" s="24">
        <v>3.72</v>
      </c>
      <c r="G1066" s="83">
        <f t="shared" si="124"/>
        <v>96.283458501829386</v>
      </c>
      <c r="H1066" s="84">
        <f t="shared" si="127"/>
        <v>103.73166536841664</v>
      </c>
      <c r="I1066" s="84">
        <f t="shared" si="125"/>
        <v>92.289257633325136</v>
      </c>
      <c r="J1066" s="84">
        <f t="shared" si="126"/>
        <v>406126449.48433435</v>
      </c>
      <c r="L1066" s="19">
        <f t="shared" si="129"/>
        <v>-6.0000000000000053E-2</v>
      </c>
      <c r="M1066" s="19">
        <f t="shared" si="130"/>
        <v>-2.9999999999999805E-2</v>
      </c>
      <c r="N1066" s="19">
        <f t="shared" si="130"/>
        <v>-2.0000000000000018E-2</v>
      </c>
      <c r="O1066" s="19">
        <f t="shared" si="130"/>
        <v>-6.2699999999999978E-2</v>
      </c>
      <c r="P1066" s="19">
        <f t="shared" si="128"/>
        <v>-2.9999999999999805E-2</v>
      </c>
      <c r="R1066" s="19"/>
      <c r="S1066" s="19"/>
      <c r="T1066" s="19"/>
      <c r="U1066" s="19"/>
      <c r="V1066" s="19"/>
    </row>
    <row r="1067" spans="1:22" x14ac:dyDescent="0.2">
      <c r="A1067" s="8">
        <v>45754</v>
      </c>
      <c r="B1067" s="24">
        <v>3.86</v>
      </c>
      <c r="C1067" s="24">
        <v>3.73</v>
      </c>
      <c r="D1067" s="24">
        <v>3.72</v>
      </c>
      <c r="E1067" s="24">
        <v>3.7044999999999999</v>
      </c>
      <c r="F1067" s="24">
        <v>3.82</v>
      </c>
      <c r="G1067" s="83">
        <f t="shared" si="124"/>
        <v>96.283458501829386</v>
      </c>
      <c r="H1067" s="84">
        <f t="shared" si="127"/>
        <v>103.56368359889412</v>
      </c>
      <c r="I1067" s="84">
        <f t="shared" si="125"/>
        <v>91.871884881429906</v>
      </c>
      <c r="J1067" s="84">
        <f t="shared" si="126"/>
        <v>404708931.13103724</v>
      </c>
      <c r="L1067" s="19">
        <f t="shared" si="129"/>
        <v>0</v>
      </c>
      <c r="M1067" s="19">
        <f t="shared" si="130"/>
        <v>4.9999999999999822E-2</v>
      </c>
      <c r="N1067" s="19">
        <f t="shared" si="130"/>
        <v>6.0000000000000053E-2</v>
      </c>
      <c r="O1067" s="19">
        <f t="shared" si="130"/>
        <v>6.009999999999982E-2</v>
      </c>
      <c r="P1067" s="19">
        <f t="shared" si="128"/>
        <v>9.9999999999999645E-2</v>
      </c>
      <c r="R1067" s="19"/>
      <c r="S1067" s="19"/>
      <c r="T1067" s="19"/>
      <c r="U1067" s="19"/>
      <c r="V1067" s="19"/>
    </row>
    <row r="1068" spans="1:22" x14ac:dyDescent="0.2">
      <c r="A1068" s="8">
        <v>45755</v>
      </c>
      <c r="B1068" s="24">
        <v>3.83</v>
      </c>
      <c r="C1068" s="24">
        <v>3.71</v>
      </c>
      <c r="D1068" s="24">
        <v>3.71</v>
      </c>
      <c r="E1068" s="24">
        <v>3.7576000000000001</v>
      </c>
      <c r="F1068" s="24">
        <v>3.88</v>
      </c>
      <c r="G1068" s="83">
        <f t="shared" si="124"/>
        <v>96.311278050659737</v>
      </c>
      <c r="H1068" s="84">
        <f t="shared" si="127"/>
        <v>103.59409052694923</v>
      </c>
      <c r="I1068" s="84">
        <f t="shared" si="125"/>
        <v>91.626199935019841</v>
      </c>
      <c r="J1068" s="84">
        <f t="shared" si="126"/>
        <v>403736220.05097497</v>
      </c>
      <c r="L1068" s="19">
        <f t="shared" si="129"/>
        <v>-2.9999999999999805E-2</v>
      </c>
      <c r="M1068" s="19">
        <f t="shared" si="130"/>
        <v>-2.0000000000000018E-2</v>
      </c>
      <c r="N1068" s="19">
        <f t="shared" si="130"/>
        <v>-1.0000000000000231E-2</v>
      </c>
      <c r="O1068" s="19">
        <f t="shared" si="130"/>
        <v>5.3100000000000147E-2</v>
      </c>
      <c r="P1068" s="19">
        <f t="shared" si="128"/>
        <v>6.0000000000000053E-2</v>
      </c>
      <c r="R1068" s="19"/>
      <c r="S1068" s="19"/>
      <c r="T1068" s="19"/>
      <c r="U1068" s="19"/>
      <c r="V1068" s="19"/>
    </row>
    <row r="1069" spans="1:22" x14ac:dyDescent="0.2">
      <c r="A1069" s="8">
        <v>45756</v>
      </c>
      <c r="B1069" s="24">
        <v>4.03</v>
      </c>
      <c r="C1069" s="24">
        <v>3.91</v>
      </c>
      <c r="D1069" s="24">
        <v>3.91</v>
      </c>
      <c r="E1069" s="24">
        <v>3.9024000000000001</v>
      </c>
      <c r="F1069" s="24">
        <v>4.0599999999999996</v>
      </c>
      <c r="G1069" s="83">
        <f t="shared" si="124"/>
        <v>96.126117466115545</v>
      </c>
      <c r="H1069" s="84">
        <f t="shared" si="127"/>
        <v>103.02447298722824</v>
      </c>
      <c r="I1069" s="84">
        <f t="shared" si="125"/>
        <v>90.868643700459074</v>
      </c>
      <c r="J1069" s="84">
        <f t="shared" si="126"/>
        <v>401190100.25322509</v>
      </c>
      <c r="L1069" s="19">
        <f t="shared" si="129"/>
        <v>0.20000000000000018</v>
      </c>
      <c r="M1069" s="19">
        <f t="shared" si="130"/>
        <v>0.20000000000000018</v>
      </c>
      <c r="N1069" s="19">
        <f t="shared" si="130"/>
        <v>0.20000000000000018</v>
      </c>
      <c r="O1069" s="19">
        <f t="shared" si="130"/>
        <v>0.14480000000000004</v>
      </c>
      <c r="P1069" s="19">
        <f t="shared" si="128"/>
        <v>0.17999999999999972</v>
      </c>
      <c r="R1069" s="19"/>
      <c r="S1069" s="19"/>
      <c r="T1069" s="19"/>
      <c r="U1069" s="19"/>
      <c r="V1069" s="19"/>
    </row>
    <row r="1070" spans="1:22" x14ac:dyDescent="0.2">
      <c r="A1070" s="8">
        <v>45757</v>
      </c>
      <c r="B1070" s="24">
        <v>3.97</v>
      </c>
      <c r="C1070" s="24">
        <v>3.84</v>
      </c>
      <c r="D1070" s="24">
        <v>3.85</v>
      </c>
      <c r="E1070" s="24">
        <v>3.9154</v>
      </c>
      <c r="F1070" s="24">
        <v>4.04</v>
      </c>
      <c r="G1070" s="83">
        <f t="shared" si="124"/>
        <v>96.181590843512552</v>
      </c>
      <c r="H1070" s="84">
        <f t="shared" si="127"/>
        <v>103.19579797007601</v>
      </c>
      <c r="I1070" s="84">
        <f t="shared" si="125"/>
        <v>90.954864280163449</v>
      </c>
      <c r="J1070" s="84">
        <f t="shared" si="126"/>
        <v>401388941.85256487</v>
      </c>
      <c r="L1070" s="19">
        <f t="shared" si="129"/>
        <v>-6.0000000000000053E-2</v>
      </c>
      <c r="M1070" s="19">
        <f t="shared" si="130"/>
        <v>-7.0000000000000284E-2</v>
      </c>
      <c r="N1070" s="19">
        <f t="shared" si="130"/>
        <v>-6.0000000000000053E-2</v>
      </c>
      <c r="O1070" s="19">
        <f t="shared" si="130"/>
        <v>1.2999999999999901E-2</v>
      </c>
      <c r="P1070" s="19">
        <f t="shared" si="128"/>
        <v>-1.9999999999999574E-2</v>
      </c>
      <c r="R1070" s="19"/>
      <c r="S1070" s="19"/>
      <c r="T1070" s="19"/>
      <c r="U1070" s="19"/>
      <c r="V1070" s="19"/>
    </row>
    <row r="1071" spans="1:22" x14ac:dyDescent="0.2">
      <c r="A1071" s="8">
        <v>45758</v>
      </c>
      <c r="B1071" s="24">
        <v>4.04</v>
      </c>
      <c r="C1071" s="24">
        <v>3.96</v>
      </c>
      <c r="D1071" s="24">
        <v>3.98</v>
      </c>
      <c r="E1071" s="24">
        <v>4.0015000000000001</v>
      </c>
      <c r="F1071" s="24">
        <v>4.1500000000000004</v>
      </c>
      <c r="G1071" s="83">
        <f t="shared" si="124"/>
        <v>96.116878123798543</v>
      </c>
      <c r="H1071" s="84">
        <f t="shared" si="127"/>
        <v>102.83067405298056</v>
      </c>
      <c r="I1071" s="84">
        <f t="shared" si="125"/>
        <v>90.495983350872649</v>
      </c>
      <c r="J1071" s="84">
        <f t="shared" si="126"/>
        <v>399971678.57161689</v>
      </c>
      <c r="L1071" s="19">
        <f t="shared" si="129"/>
        <v>6.999999999999984E-2</v>
      </c>
      <c r="M1071" s="19">
        <f t="shared" si="130"/>
        <v>0.12000000000000011</v>
      </c>
      <c r="N1071" s="19">
        <f t="shared" si="130"/>
        <v>0.12999999999999989</v>
      </c>
      <c r="O1071" s="19">
        <f t="shared" si="130"/>
        <v>8.6100000000000065E-2</v>
      </c>
      <c r="P1071" s="19">
        <f t="shared" si="128"/>
        <v>0.11000000000000032</v>
      </c>
      <c r="R1071" s="19"/>
      <c r="S1071" s="19"/>
      <c r="T1071" s="19"/>
      <c r="U1071" s="19"/>
      <c r="V1071" s="19"/>
    </row>
    <row r="1072" spans="1:22" x14ac:dyDescent="0.2">
      <c r="A1072" s="8">
        <v>45761</v>
      </c>
      <c r="B1072" s="24">
        <v>3.99</v>
      </c>
      <c r="C1072" s="24">
        <v>3.84</v>
      </c>
      <c r="D1072" s="24">
        <v>3.87</v>
      </c>
      <c r="E1072" s="24">
        <v>3.9215</v>
      </c>
      <c r="F1072" s="24">
        <v>4.0199999999999996</v>
      </c>
      <c r="G1072" s="83">
        <f t="shared" si="124"/>
        <v>96.163092605058168</v>
      </c>
      <c r="H1072" s="84">
        <f t="shared" si="127"/>
        <v>103.14072943804807</v>
      </c>
      <c r="I1072" s="84">
        <f t="shared" si="125"/>
        <v>91.033533038298373</v>
      </c>
      <c r="J1072" s="84">
        <f t="shared" si="126"/>
        <v>401749223.20623767</v>
      </c>
      <c r="L1072" s="19">
        <f t="shared" si="129"/>
        <v>-4.9999999999999822E-2</v>
      </c>
      <c r="M1072" s="19">
        <f t="shared" si="130"/>
        <v>-0.12000000000000011</v>
      </c>
      <c r="N1072" s="19">
        <f t="shared" si="130"/>
        <v>-0.10999999999999988</v>
      </c>
      <c r="O1072" s="19">
        <f t="shared" si="130"/>
        <v>-8.0000000000000071E-2</v>
      </c>
      <c r="P1072" s="19">
        <f t="shared" si="128"/>
        <v>-0.13000000000000078</v>
      </c>
      <c r="R1072" s="19"/>
      <c r="S1072" s="19"/>
      <c r="T1072" s="19"/>
      <c r="U1072" s="19"/>
      <c r="V1072" s="19"/>
    </row>
    <row r="1073" spans="1:22" x14ac:dyDescent="0.2">
      <c r="A1073" s="8">
        <v>45762</v>
      </c>
      <c r="B1073" s="24">
        <v>3.99</v>
      </c>
      <c r="C1073" s="24">
        <v>3.84</v>
      </c>
      <c r="D1073" s="24">
        <v>3.85</v>
      </c>
      <c r="E1073" s="24">
        <v>3.8841000000000001</v>
      </c>
      <c r="F1073" s="24">
        <v>3.98</v>
      </c>
      <c r="G1073" s="83">
        <f t="shared" si="124"/>
        <v>96.163092605058168</v>
      </c>
      <c r="H1073" s="84">
        <f t="shared" si="127"/>
        <v>103.19487305815329</v>
      </c>
      <c r="I1073" s="84">
        <f t="shared" si="125"/>
        <v>91.198259280988253</v>
      </c>
      <c r="J1073" s="84">
        <f t="shared" si="126"/>
        <v>402326912.7468394</v>
      </c>
      <c r="L1073" s="19">
        <f t="shared" si="129"/>
        <v>0</v>
      </c>
      <c r="M1073" s="19">
        <f t="shared" si="130"/>
        <v>0</v>
      </c>
      <c r="N1073" s="19">
        <f t="shared" si="130"/>
        <v>-2.0000000000000018E-2</v>
      </c>
      <c r="O1073" s="19">
        <f t="shared" si="130"/>
        <v>-3.7399999999999878E-2</v>
      </c>
      <c r="P1073" s="19">
        <f t="shared" si="128"/>
        <v>-3.9999999999999591E-2</v>
      </c>
      <c r="R1073" s="19"/>
      <c r="S1073" s="19"/>
      <c r="T1073" s="19"/>
      <c r="U1073" s="19"/>
      <c r="V1073" s="19"/>
    </row>
    <row r="1074" spans="1:22" x14ac:dyDescent="0.2">
      <c r="A1074" s="8">
        <v>45763</v>
      </c>
      <c r="B1074" s="24">
        <v>3.96</v>
      </c>
      <c r="C1074" s="24">
        <v>3.77</v>
      </c>
      <c r="D1074" s="24">
        <v>3.77</v>
      </c>
      <c r="E1074" s="24">
        <v>3.8161</v>
      </c>
      <c r="F1074" s="24">
        <v>3.91</v>
      </c>
      <c r="G1074" s="83">
        <f t="shared" si="124"/>
        <v>96.19084263178145</v>
      </c>
      <c r="H1074" s="84">
        <f t="shared" si="127"/>
        <v>103.41951080565975</v>
      </c>
      <c r="I1074" s="84">
        <f t="shared" si="125"/>
        <v>91.492993787710674</v>
      </c>
      <c r="J1074" s="84">
        <f t="shared" si="126"/>
        <v>403224394.20591593</v>
      </c>
      <c r="L1074" s="19">
        <f t="shared" si="129"/>
        <v>-3.0000000000000249E-2</v>
      </c>
      <c r="M1074" s="19">
        <f t="shared" si="130"/>
        <v>-6.999999999999984E-2</v>
      </c>
      <c r="N1074" s="19">
        <f t="shared" si="130"/>
        <v>-8.0000000000000071E-2</v>
      </c>
      <c r="O1074" s="19">
        <f t="shared" si="130"/>
        <v>-6.800000000000006E-2</v>
      </c>
      <c r="P1074" s="19">
        <f t="shared" si="128"/>
        <v>-6.999999999999984E-2</v>
      </c>
      <c r="R1074" s="19"/>
      <c r="S1074" s="19"/>
      <c r="T1074" s="19"/>
      <c r="U1074" s="19"/>
      <c r="V1074" s="19"/>
    </row>
    <row r="1075" spans="1:22" x14ac:dyDescent="0.2">
      <c r="A1075" s="8">
        <v>45764</v>
      </c>
      <c r="B1075" s="24">
        <v>3.99</v>
      </c>
      <c r="C1075" s="24">
        <v>3.81</v>
      </c>
      <c r="D1075" s="24">
        <v>3.82</v>
      </c>
      <c r="E1075" s="24">
        <v>3.8378999999999999</v>
      </c>
      <c r="F1075" s="24">
        <v>3.95</v>
      </c>
      <c r="G1075" s="83">
        <f t="shared" si="124"/>
        <v>96.163092605058168</v>
      </c>
      <c r="H1075" s="84">
        <f t="shared" si="127"/>
        <v>103.2788472333484</v>
      </c>
      <c r="I1075" s="84">
        <f t="shared" si="125"/>
        <v>91.325100746604178</v>
      </c>
      <c r="J1075" s="84">
        <f t="shared" si="126"/>
        <v>402708317.34651041</v>
      </c>
      <c r="L1075" s="19">
        <f t="shared" si="129"/>
        <v>3.0000000000000249E-2</v>
      </c>
      <c r="M1075" s="19">
        <f t="shared" si="130"/>
        <v>4.0000000000000036E-2</v>
      </c>
      <c r="N1075" s="19">
        <f t="shared" si="130"/>
        <v>4.9999999999999822E-2</v>
      </c>
      <c r="O1075" s="19">
        <f t="shared" si="130"/>
        <v>2.179999999999982E-2</v>
      </c>
      <c r="P1075" s="19">
        <f t="shared" si="128"/>
        <v>4.0000000000000036E-2</v>
      </c>
      <c r="R1075" s="19"/>
      <c r="S1075" s="19"/>
      <c r="T1075" s="19"/>
      <c r="U1075" s="19"/>
      <c r="V1075" s="19"/>
    </row>
    <row r="1076" spans="1:22" x14ac:dyDescent="0.2">
      <c r="A1076" s="8">
        <v>45768</v>
      </c>
      <c r="B1076" s="24">
        <v>3.95</v>
      </c>
      <c r="C1076" s="24">
        <v>3.75</v>
      </c>
      <c r="D1076" s="24">
        <v>3.77</v>
      </c>
      <c r="E1076" s="24">
        <v>3.8452000000000002</v>
      </c>
      <c r="F1076" s="24">
        <v>3.97</v>
      </c>
      <c r="G1076" s="83">
        <f t="shared" si="124"/>
        <v>96.200096200096198</v>
      </c>
      <c r="H1076" s="84">
        <f t="shared" si="127"/>
        <v>103.42176384303731</v>
      </c>
      <c r="I1076" s="84">
        <f t="shared" si="125"/>
        <v>91.249290696020111</v>
      </c>
      <c r="J1076" s="84">
        <f t="shared" si="126"/>
        <v>402264709.41971689</v>
      </c>
      <c r="L1076" s="19">
        <f t="shared" si="129"/>
        <v>-4.0000000000000036E-2</v>
      </c>
      <c r="M1076" s="19">
        <f t="shared" si="130"/>
        <v>-6.0000000000000053E-2</v>
      </c>
      <c r="N1076" s="19">
        <f t="shared" si="130"/>
        <v>-4.9999999999999822E-2</v>
      </c>
      <c r="O1076" s="19">
        <f t="shared" si="130"/>
        <v>7.3000000000003062E-3</v>
      </c>
      <c r="P1076" s="19">
        <f t="shared" si="128"/>
        <v>2.0000000000000018E-2</v>
      </c>
      <c r="R1076" s="19"/>
      <c r="S1076" s="19"/>
      <c r="T1076" s="19"/>
      <c r="U1076" s="19"/>
      <c r="V1076" s="19"/>
    </row>
    <row r="1077" spans="1:22" x14ac:dyDescent="0.2">
      <c r="A1077" s="8">
        <v>45769</v>
      </c>
      <c r="B1077" s="24">
        <v>3.98</v>
      </c>
      <c r="C1077" s="24">
        <v>3.76</v>
      </c>
      <c r="D1077" s="24">
        <v>3.82</v>
      </c>
      <c r="E1077" s="24">
        <v>3.8601000000000001</v>
      </c>
      <c r="F1077" s="24">
        <v>3.98</v>
      </c>
      <c r="G1077" s="83">
        <f t="shared" si="124"/>
        <v>96.172340834775909</v>
      </c>
      <c r="H1077" s="84">
        <f t="shared" si="127"/>
        <v>103.28378230895653</v>
      </c>
      <c r="I1077" s="84">
        <f t="shared" si="125"/>
        <v>91.204441801198925</v>
      </c>
      <c r="J1077" s="84">
        <f t="shared" si="126"/>
        <v>402236775.41091275</v>
      </c>
      <c r="L1077" s="19">
        <f t="shared" si="129"/>
        <v>2.9999999999999805E-2</v>
      </c>
      <c r="M1077" s="19">
        <f t="shared" si="130"/>
        <v>9.9999999999997868E-3</v>
      </c>
      <c r="N1077" s="19">
        <f t="shared" si="130"/>
        <v>4.9999999999999822E-2</v>
      </c>
      <c r="O1077" s="19">
        <f t="shared" si="130"/>
        <v>1.4899999999999913E-2</v>
      </c>
      <c r="P1077" s="19">
        <f t="shared" si="128"/>
        <v>9.9999999999997868E-3</v>
      </c>
      <c r="R1077" s="19"/>
      <c r="S1077" s="19"/>
      <c r="T1077" s="19"/>
      <c r="U1077" s="19"/>
      <c r="V1077" s="19"/>
    </row>
    <row r="1078" spans="1:22" x14ac:dyDescent="0.2">
      <c r="A1078" s="8">
        <v>45770</v>
      </c>
      <c r="B1078" s="24">
        <v>4.01</v>
      </c>
      <c r="C1078" s="24">
        <v>3.81</v>
      </c>
      <c r="D1078" s="24">
        <v>3.87</v>
      </c>
      <c r="E1078" s="24">
        <v>3.8845000000000001</v>
      </c>
      <c r="F1078" s="24">
        <v>4</v>
      </c>
      <c r="G1078" s="83">
        <f t="shared" si="124"/>
        <v>96.144601480626861</v>
      </c>
      <c r="H1078" s="84">
        <f t="shared" si="127"/>
        <v>103.14248537961655</v>
      </c>
      <c r="I1078" s="84">
        <f t="shared" si="125"/>
        <v>91.117245292634834</v>
      </c>
      <c r="J1078" s="84">
        <f t="shared" si="126"/>
        <v>402044456.06236827</v>
      </c>
      <c r="L1078" s="19">
        <f t="shared" si="129"/>
        <v>2.9999999999999805E-2</v>
      </c>
      <c r="M1078" s="19">
        <f t="shared" si="130"/>
        <v>5.0000000000000266E-2</v>
      </c>
      <c r="N1078" s="19">
        <f t="shared" si="130"/>
        <v>5.0000000000000266E-2</v>
      </c>
      <c r="O1078" s="19">
        <f t="shared" si="130"/>
        <v>2.4399999999999977E-2</v>
      </c>
      <c r="P1078" s="19">
        <f t="shared" si="128"/>
        <v>2.0000000000000018E-2</v>
      </c>
      <c r="R1078" s="19"/>
      <c r="S1078" s="19"/>
      <c r="T1078" s="19"/>
      <c r="U1078" s="19"/>
      <c r="V1078" s="19"/>
    </row>
    <row r="1079" spans="1:22" x14ac:dyDescent="0.2">
      <c r="A1079" s="8">
        <v>45771</v>
      </c>
      <c r="B1079" s="24">
        <v>3.97</v>
      </c>
      <c r="C1079" s="24">
        <v>3.77</v>
      </c>
      <c r="D1079" s="24">
        <v>3.8</v>
      </c>
      <c r="E1079" s="24">
        <v>3.8283</v>
      </c>
      <c r="F1079" s="24">
        <v>3.91</v>
      </c>
      <c r="G1079" s="83">
        <f t="shared" si="124"/>
        <v>96.181590843512552</v>
      </c>
      <c r="H1079" s="84">
        <f t="shared" si="127"/>
        <v>103.33759776773594</v>
      </c>
      <c r="I1079" s="84">
        <f t="shared" si="125"/>
        <v>91.490448221375345</v>
      </c>
      <c r="J1079" s="84">
        <f t="shared" si="126"/>
        <v>403318577.92092258</v>
      </c>
      <c r="L1079" s="19">
        <f t="shared" si="129"/>
        <v>-3.9999999999999591E-2</v>
      </c>
      <c r="M1079" s="19">
        <f t="shared" si="130"/>
        <v>-4.0000000000000036E-2</v>
      </c>
      <c r="N1079" s="19">
        <f t="shared" si="130"/>
        <v>-7.0000000000000284E-2</v>
      </c>
      <c r="O1079" s="19">
        <f t="shared" si="130"/>
        <v>-5.6200000000000028E-2</v>
      </c>
      <c r="P1079" s="19">
        <f t="shared" si="128"/>
        <v>-8.9999999999999858E-2</v>
      </c>
      <c r="R1079" s="19"/>
      <c r="S1079" s="19"/>
      <c r="T1079" s="19"/>
      <c r="U1079" s="19"/>
      <c r="V1079" s="19"/>
    </row>
    <row r="1080" spans="1:22" x14ac:dyDescent="0.2">
      <c r="A1080" s="8">
        <v>45772</v>
      </c>
      <c r="B1080" s="24">
        <v>3.95</v>
      </c>
      <c r="C1080" s="24">
        <v>3.74</v>
      </c>
      <c r="D1080" s="24">
        <v>3.76</v>
      </c>
      <c r="E1080" s="24">
        <v>3.7865000000000002</v>
      </c>
      <c r="F1080" s="24">
        <v>3.88</v>
      </c>
      <c r="G1080" s="83">
        <f t="shared" si="124"/>
        <v>96.200096200096198</v>
      </c>
      <c r="H1080" s="84">
        <f t="shared" si="127"/>
        <v>103.44983049675432</v>
      </c>
      <c r="I1080" s="84">
        <f t="shared" si="125"/>
        <v>91.618389018218593</v>
      </c>
      <c r="J1080" s="86">
        <f t="shared" si="126"/>
        <v>403699002.72793531</v>
      </c>
      <c r="L1080" s="19">
        <f>B1080-B1079</f>
        <v>-2.0000000000000018E-2</v>
      </c>
      <c r="M1080" s="19">
        <f t="shared" si="130"/>
        <v>-2.9999999999999805E-2</v>
      </c>
      <c r="N1080" s="19">
        <f t="shared" si="130"/>
        <v>-4.0000000000000036E-2</v>
      </c>
      <c r="O1080" s="19">
        <f t="shared" si="130"/>
        <v>-4.1799999999999837E-2</v>
      </c>
      <c r="P1080" s="19">
        <f t="shared" si="128"/>
        <v>-3.0000000000000249E-2</v>
      </c>
      <c r="R1080" s="19"/>
      <c r="S1080" s="19"/>
      <c r="T1080" s="19"/>
      <c r="U1080" s="19"/>
      <c r="V1080" s="19"/>
    </row>
    <row r="1081" spans="1:22" x14ac:dyDescent="0.2">
      <c r="J1081" s="70" t="s">
        <v>117</v>
      </c>
    </row>
    <row r="1083" spans="1:22" x14ac:dyDescent="0.2">
      <c r="J1083" s="1" t="s">
        <v>110</v>
      </c>
      <c r="M1083" s="1" t="s">
        <v>74</v>
      </c>
      <c r="N1083" s="1" t="s">
        <v>75</v>
      </c>
      <c r="O1083" s="1" t="s">
        <v>76</v>
      </c>
      <c r="P1083" s="1" t="s">
        <v>77</v>
      </c>
      <c r="Q1083" s="1" t="s">
        <v>78</v>
      </c>
    </row>
    <row r="1084" spans="1:22" x14ac:dyDescent="0.2">
      <c r="J1084" s="27">
        <f>AVERAGE(J830:J1080)</f>
        <v>400407635.52762198</v>
      </c>
      <c r="L1084" s="1" t="s">
        <v>74</v>
      </c>
      <c r="M1084" s="1">
        <v>2.0450727403231702E-3</v>
      </c>
      <c r="N1084" s="1">
        <v>2.4368656010924201E-3</v>
      </c>
      <c r="O1084" s="1">
        <v>2.3585266364384398E-3</v>
      </c>
      <c r="P1084" s="1">
        <v>1.8014988358047001E-3</v>
      </c>
      <c r="Q1084" s="1">
        <v>2.1975385584986299E-3</v>
      </c>
    </row>
    <row r="1085" spans="1:22" x14ac:dyDescent="0.2">
      <c r="L1085" s="1" t="s">
        <v>75</v>
      </c>
      <c r="M1085" s="1">
        <v>2.4368656010924201E-3</v>
      </c>
      <c r="N1085" s="1">
        <v>3.5250993505015734E-3</v>
      </c>
      <c r="O1085" s="1">
        <v>3.38566726772991E-3</v>
      </c>
      <c r="P1085" s="1">
        <v>2.5839472698307099E-3</v>
      </c>
      <c r="Q1085" s="1">
        <v>3.2840303916248001E-3</v>
      </c>
    </row>
    <row r="1086" spans="1:22" x14ac:dyDescent="0.2">
      <c r="L1086" s="1" t="s">
        <v>76</v>
      </c>
      <c r="M1086" s="1">
        <v>2.3585266364384398E-3</v>
      </c>
      <c r="N1086" s="1">
        <v>3.38566726772991E-3</v>
      </c>
      <c r="O1086" s="1">
        <v>3.6160991579279106E-3</v>
      </c>
      <c r="P1086" s="1">
        <v>2.7346307487614002E-3</v>
      </c>
      <c r="Q1086" s="1">
        <v>3.4779345599691902E-3</v>
      </c>
    </row>
    <row r="1087" spans="1:22" x14ac:dyDescent="0.2">
      <c r="L1087" s="1" t="s">
        <v>77</v>
      </c>
      <c r="M1087" s="1">
        <v>1.8014988358047001E-3</v>
      </c>
      <c r="N1087" s="1">
        <v>2.5839472698307099E-3</v>
      </c>
      <c r="O1087" s="1">
        <v>2.7346307487614002E-3</v>
      </c>
      <c r="P1087" s="1">
        <v>2.3836140200626755E-3</v>
      </c>
      <c r="Q1087" s="1">
        <v>2.8606065545070999E-3</v>
      </c>
    </row>
    <row r="1088" spans="1:22" x14ac:dyDescent="0.2">
      <c r="L1088" s="1" t="s">
        <v>78</v>
      </c>
      <c r="M1088" s="1">
        <v>2.1975385584986299E-3</v>
      </c>
      <c r="N1088" s="1">
        <v>3.2840303916248001E-3</v>
      </c>
      <c r="O1088" s="1">
        <v>3.4779345599691902E-3</v>
      </c>
      <c r="P1088" s="1">
        <v>2.8606065545070999E-3</v>
      </c>
      <c r="Q1088" s="1">
        <v>3.7056214001855809E-3</v>
      </c>
    </row>
    <row r="1092" spans="12:17" x14ac:dyDescent="0.2">
      <c r="M1092" s="1">
        <v>3.0000000000000249E-2</v>
      </c>
      <c r="N1092" s="1">
        <v>2.9999999999999361E-2</v>
      </c>
      <c r="O1092" s="1">
        <v>2.0000000000000462E-2</v>
      </c>
      <c r="P1092" s="1">
        <v>-2.2100000000000009E-2</v>
      </c>
      <c r="Q1092" s="1">
        <v>9.9999999999997868E-3</v>
      </c>
    </row>
    <row r="1093" spans="12:17" x14ac:dyDescent="0.2">
      <c r="L1093" s="1">
        <v>3.0000000000000249E-2</v>
      </c>
      <c r="M1093" s="1">
        <v>1.9945855999999981E-3</v>
      </c>
    </row>
    <row r="1094" spans="12:17" x14ac:dyDescent="0.2">
      <c r="L1094" s="1">
        <v>2.9999999999999361E-2</v>
      </c>
      <c r="M1094" s="1">
        <v>2.3947519999999987E-3</v>
      </c>
      <c r="N1094" s="1">
        <v>3.4880400000000039E-3</v>
      </c>
    </row>
    <row r="1095" spans="12:17" x14ac:dyDescent="0.2">
      <c r="L1095" s="1">
        <v>2.0000000000000462E-2</v>
      </c>
      <c r="M1095" s="1">
        <v>2.3192895999999985E-3</v>
      </c>
      <c r="N1095" s="1">
        <v>3.3516320000000046E-3</v>
      </c>
      <c r="O1095" s="1">
        <v>3.5889535999999995E-3</v>
      </c>
    </row>
    <row r="1096" spans="12:17" x14ac:dyDescent="0.2">
      <c r="L1096" s="1">
        <v>-2.2100000000000009E-2</v>
      </c>
      <c r="M1096" s="1">
        <v>1.7707900479999993E-3</v>
      </c>
      <c r="N1096" s="1">
        <v>2.5535681600000011E-3</v>
      </c>
      <c r="O1096" s="1">
        <v>2.708930368000002E-3</v>
      </c>
      <c r="P1096" s="1">
        <v>2.3527216198399991E-3</v>
      </c>
    </row>
    <row r="1097" spans="12:17" x14ac:dyDescent="0.2">
      <c r="L1097" s="1">
        <v>9.9999999999997868E-3</v>
      </c>
      <c r="M1097" s="1">
        <v>2.164764799999999E-3</v>
      </c>
      <c r="N1097" s="1">
        <v>3.2500159999999979E-3</v>
      </c>
      <c r="O1097" s="1">
        <v>3.4455968000000037E-3</v>
      </c>
      <c r="P1097" s="1">
        <v>2.8254947840000008E-3</v>
      </c>
      <c r="Q1097" s="1">
        <v>3.6611583999999983E-3</v>
      </c>
    </row>
  </sheetData>
  <phoneticPr fontId="6" type="noConversion"/>
  <pageMargins left="0.7" right="0.7" top="0.75" bottom="0.75" header="0.3" footer="0.3"/>
  <pageSetup paperSize="9" orientation="portrait" horizontalDpi="0" verticalDpi="0"/>
  <drawing r:id="rId1"/>
  <extLst>
    <ext xmlns:x15="http://schemas.microsoft.com/office/spreadsheetml/2010/11/main" uri="{F7C9EE02-42E1-4005-9D12-6889AFFD525C}">
      <x15:webExtensions xmlns:xm="http://schemas.microsoft.com/office/excel/2006/main">
        <x15:webExtension appRef="{C2207CAF-9D9F-FF4A-BB04-5EF48C7B372A}">
          <xm:f>TSIR!$L$842:$P$1080</xm:f>
        </x15:webExtension>
        <x15:webExtension appRef="{94E4BEEE-13EE-8D4B-89F2-BEBFDAB1224B}">
          <xm:f>TSIR!$L$1083:$P$1087</xm:f>
        </x15:webExtension>
      </x15:webExtens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73500-E526-4834-A22C-F320E3266ED3}">
  <dimension ref="B5:AH48"/>
  <sheetViews>
    <sheetView topLeftCell="H1" zoomScale="88" workbookViewId="0">
      <selection activeCell="R37" sqref="R37:R38"/>
    </sheetView>
  </sheetViews>
  <sheetFormatPr baseColWidth="10" defaultColWidth="8.83203125" defaultRowHeight="15" x14ac:dyDescent="0.2"/>
  <cols>
    <col min="2" max="2" width="13.33203125" customWidth="1"/>
    <col min="3" max="3" width="33.1640625" customWidth="1"/>
    <col min="4" max="4" width="23.83203125" customWidth="1"/>
    <col min="5" max="5" width="23.6640625" customWidth="1"/>
    <col min="6" max="6" width="22" customWidth="1"/>
    <col min="7" max="7" width="25.33203125" customWidth="1"/>
    <col min="8" max="8" width="25.5" customWidth="1"/>
    <col min="9" max="9" width="22.6640625" customWidth="1"/>
    <col min="10" max="10" width="17.6640625" customWidth="1"/>
    <col min="13" max="13" width="12.33203125" customWidth="1"/>
    <col min="14" max="14" width="12.83203125" customWidth="1"/>
    <col min="15" max="16" width="14" customWidth="1"/>
    <col min="17" max="17" width="11.5" customWidth="1"/>
    <col min="18" max="18" width="18.33203125" customWidth="1"/>
    <col min="19" max="19" width="19.83203125" customWidth="1"/>
    <col min="20" max="20" width="11.33203125" bestFit="1" customWidth="1"/>
    <col min="21" max="22" width="9" bestFit="1" customWidth="1"/>
    <col min="23" max="23" width="14.83203125" customWidth="1"/>
    <col min="24" max="28" width="9" bestFit="1" customWidth="1"/>
    <col min="30" max="30" width="12" bestFit="1" customWidth="1"/>
    <col min="31" max="32" width="11.83203125" bestFit="1" customWidth="1"/>
    <col min="33" max="33" width="10.83203125" bestFit="1" customWidth="1"/>
    <col min="34" max="34" width="11.83203125" bestFit="1" customWidth="1"/>
  </cols>
  <sheetData>
    <row r="5" spans="2:25" ht="16" x14ac:dyDescent="0.2">
      <c r="D5" s="5" t="s">
        <v>15</v>
      </c>
      <c r="E5" s="5" t="s">
        <v>16</v>
      </c>
      <c r="F5" s="5" t="s">
        <v>17</v>
      </c>
      <c r="G5" s="5" t="s">
        <v>42</v>
      </c>
      <c r="H5" s="5"/>
      <c r="I5" s="5"/>
      <c r="J5" s="5"/>
      <c r="K5" s="5"/>
      <c r="L5" s="5"/>
    </row>
    <row r="6" spans="2:25" ht="16" x14ac:dyDescent="0.2">
      <c r="C6" s="49">
        <v>1</v>
      </c>
      <c r="D6" s="6">
        <v>2000000</v>
      </c>
      <c r="E6" s="4">
        <v>1</v>
      </c>
      <c r="F6" s="7" t="s">
        <v>18</v>
      </c>
      <c r="G6" s="26">
        <v>100</v>
      </c>
    </row>
    <row r="7" spans="2:25" ht="16" x14ac:dyDescent="0.2">
      <c r="C7" s="51">
        <v>2</v>
      </c>
      <c r="D7" s="6">
        <v>-1500000</v>
      </c>
      <c r="E7" s="4">
        <v>3</v>
      </c>
      <c r="F7" s="15">
        <v>5</v>
      </c>
      <c r="G7" s="26"/>
    </row>
    <row r="8" spans="2:25" ht="16" x14ac:dyDescent="0.2">
      <c r="C8" s="53">
        <v>3</v>
      </c>
      <c r="D8" s="6">
        <v>4000000</v>
      </c>
      <c r="E8" s="4">
        <v>5</v>
      </c>
      <c r="F8" s="15">
        <v>2</v>
      </c>
      <c r="G8" s="26"/>
    </row>
    <row r="10" spans="2:25" ht="16" x14ac:dyDescent="0.2">
      <c r="E10" s="4"/>
    </row>
    <row r="11" spans="2:25" ht="16" x14ac:dyDescent="0.2">
      <c r="B11" t="s">
        <v>61</v>
      </c>
      <c r="D11" s="50">
        <v>1</v>
      </c>
      <c r="E11" s="52">
        <v>2</v>
      </c>
      <c r="F11" s="53">
        <v>3</v>
      </c>
    </row>
    <row r="12" spans="2:25" x14ac:dyDescent="0.2">
      <c r="B12" t="s">
        <v>163</v>
      </c>
      <c r="C12" s="48" t="s">
        <v>60</v>
      </c>
      <c r="D12" s="90">
        <f>TSIR!G1080</f>
        <v>96.200096200096198</v>
      </c>
      <c r="E12" s="90">
        <f>TSIR!H1080</f>
        <v>103.44983049675432</v>
      </c>
      <c r="F12" s="90">
        <f xml:space="preserve"> TSIR!I1080</f>
        <v>91.618389018218593</v>
      </c>
      <c r="S12">
        <f>(T18*$D$6)+(U18*$D$7)+(V18*$D$8)</f>
        <v>-149500000</v>
      </c>
    </row>
    <row r="13" spans="2:25" x14ac:dyDescent="0.2">
      <c r="C13" s="48" t="s">
        <v>30</v>
      </c>
      <c r="D13" s="90">
        <f>TSIR!J1080</f>
        <v>403699002.72793531</v>
      </c>
      <c r="E13" s="91"/>
      <c r="F13" s="91"/>
    </row>
    <row r="14" spans="2:25" x14ac:dyDescent="0.2">
      <c r="N14" t="s">
        <v>143</v>
      </c>
    </row>
    <row r="15" spans="2:25" ht="16" x14ac:dyDescent="0.2">
      <c r="B15" t="s">
        <v>62</v>
      </c>
      <c r="L15" t="s">
        <v>137</v>
      </c>
      <c r="M15" t="s">
        <v>146</v>
      </c>
      <c r="N15" t="s">
        <v>147</v>
      </c>
      <c r="O15" t="s">
        <v>148</v>
      </c>
      <c r="P15" t="s">
        <v>141</v>
      </c>
      <c r="Q15" t="s">
        <v>144</v>
      </c>
      <c r="R15" t="s">
        <v>145</v>
      </c>
      <c r="S15" t="s">
        <v>136</v>
      </c>
      <c r="T15" t="s">
        <v>63</v>
      </c>
      <c r="U15" t="s">
        <v>64</v>
      </c>
      <c r="V15" t="s">
        <v>65</v>
      </c>
      <c r="W15" s="33" t="s">
        <v>149</v>
      </c>
      <c r="X15" s="33" t="s">
        <v>150</v>
      </c>
      <c r="Y15" s="33" t="s">
        <v>151</v>
      </c>
    </row>
    <row r="16" spans="2:25" x14ac:dyDescent="0.2">
      <c r="B16" s="44"/>
      <c r="D16" s="39"/>
      <c r="E16" s="39"/>
      <c r="F16" s="39"/>
      <c r="G16" s="36"/>
      <c r="H16" s="36"/>
      <c r="I16" s="30"/>
      <c r="L16">
        <v>1</v>
      </c>
      <c r="M16">
        <f xml:space="preserve"> 0 * 2000000</f>
        <v>0</v>
      </c>
      <c r="N16">
        <f>FI_Portfolio!D5 * FI_Portfolio!B5</f>
        <v>-7500000</v>
      </c>
      <c r="O16">
        <f>FI_Portfolio!D6 * FI_Portfolio!B6</f>
        <v>8000000</v>
      </c>
      <c r="P16">
        <f xml:space="preserve"> M16 + N16 + O16</f>
        <v>500000</v>
      </c>
      <c r="Q16" s="30">
        <f>TSIR!B1080</f>
        <v>3.95</v>
      </c>
      <c r="R16" s="30">
        <f>1/((1+Q16/100)^L16)</f>
        <v>0.96200096200096197</v>
      </c>
      <c r="S16" s="36">
        <f>R16*((T16*$D$6)+(U16*$D$7)+(V16*$D$8))</f>
        <v>192881192.88119286</v>
      </c>
      <c r="T16" s="39">
        <v>100</v>
      </c>
      <c r="U16" s="39">
        <v>5</v>
      </c>
      <c r="V16" s="39">
        <v>2</v>
      </c>
      <c r="W16">
        <f>L16/(1+Q16/100)</f>
        <v>0.96200096200096197</v>
      </c>
      <c r="X16">
        <f>_xlfn.STDEV.S(TSIR!L831:L1080)</f>
        <v>4.4750374120623125E-2</v>
      </c>
      <c r="Y16">
        <f>W16*X16/100</f>
        <v>4.3049902953942401E-4</v>
      </c>
    </row>
    <row r="17" spans="2:34" x14ac:dyDescent="0.2">
      <c r="B17" s="44"/>
      <c r="D17" s="39"/>
      <c r="E17" s="39"/>
      <c r="F17" s="39"/>
      <c r="G17" s="36"/>
      <c r="H17" s="36"/>
      <c r="I17" s="30"/>
      <c r="L17">
        <v>2</v>
      </c>
      <c r="N17">
        <f>FI_Portfolio!D5 * FI_Portfolio!B5</f>
        <v>-7500000</v>
      </c>
      <c r="O17">
        <f>FI_Portfolio!D6 * FI_Portfolio!B6</f>
        <v>8000000</v>
      </c>
      <c r="P17">
        <f xml:space="preserve"> M17 + N17 + O17</f>
        <v>500000</v>
      </c>
      <c r="Q17" s="30">
        <f>TSIR!C1080</f>
        <v>3.74</v>
      </c>
      <c r="R17" s="30">
        <f t="shared" ref="R17:R20" si="0">1/((1+Q17/100)^L17)</f>
        <v>0.92919638747771816</v>
      </c>
      <c r="S17" s="36">
        <f>R17*((T17*$D$6)+(U17*$D$7)+(V17*$D$8))</f>
        <v>464598.19373885909</v>
      </c>
      <c r="T17" s="39">
        <v>0</v>
      </c>
      <c r="U17" s="39">
        <v>5</v>
      </c>
      <c r="V17" s="39">
        <v>2</v>
      </c>
      <c r="W17">
        <f t="shared" ref="W17:W20" si="1">L17/(1+Q17/100)</f>
        <v>1.9278966647387699</v>
      </c>
      <c r="X17">
        <f>_xlfn.STDEV.S(TSIR!M831:M1080)</f>
        <v>5.91781056875859E-2</v>
      </c>
      <c r="Y17">
        <f t="shared" ref="Y17:Y20" si="2">W17*X17/100</f>
        <v>1.1408927258065528E-3</v>
      </c>
    </row>
    <row r="18" spans="2:34" x14ac:dyDescent="0.2">
      <c r="B18" s="44"/>
      <c r="D18" s="39"/>
      <c r="E18" s="39"/>
      <c r="F18" s="39"/>
      <c r="G18" s="36"/>
      <c r="H18" s="36"/>
      <c r="I18" s="30"/>
      <c r="L18">
        <v>3</v>
      </c>
      <c r="N18">
        <f>(FI_Portfolio!D5 * FI_Portfolio!B5) + 100</f>
        <v>-7499900</v>
      </c>
      <c r="O18">
        <f>FI_Portfolio!D6 * FI_Portfolio!B6</f>
        <v>8000000</v>
      </c>
      <c r="P18">
        <f xml:space="preserve"> M18 + N18 + O18</f>
        <v>500100</v>
      </c>
      <c r="Q18" s="30">
        <f>TSIR!D1080</f>
        <v>3.76</v>
      </c>
      <c r="R18" s="30">
        <f t="shared" si="0"/>
        <v>0.8951794642796278</v>
      </c>
      <c r="S18" s="36">
        <f>R18*((T18*$D$6)+(U18*$D$7)+(V18*$D$8))</f>
        <v>-133829329.90980436</v>
      </c>
      <c r="T18" s="39">
        <v>0</v>
      </c>
      <c r="U18" s="39">
        <v>105</v>
      </c>
      <c r="V18" s="39">
        <v>2</v>
      </c>
      <c r="W18">
        <f t="shared" si="1"/>
        <v>2.8912875867386272</v>
      </c>
      <c r="X18">
        <f>_xlfn.STDEV.S(TSIR!N831:N1080)</f>
        <v>6.0028052344492176E-2</v>
      </c>
      <c r="Y18">
        <f t="shared" si="2"/>
        <v>1.7355836259972677E-3</v>
      </c>
    </row>
    <row r="19" spans="2:34" x14ac:dyDescent="0.2">
      <c r="B19" s="44"/>
      <c r="D19" s="39"/>
      <c r="E19" s="39"/>
      <c r="F19" s="39"/>
      <c r="G19" s="36"/>
      <c r="H19" s="36"/>
      <c r="I19" s="30"/>
      <c r="L19">
        <v>4</v>
      </c>
      <c r="O19">
        <f>FI_Portfolio!D6 * FI_Portfolio!B6</f>
        <v>8000000</v>
      </c>
      <c r="P19">
        <f xml:space="preserve"> M19 + N19 + O19</f>
        <v>8000000</v>
      </c>
      <c r="Q19" s="30">
        <f>TSIR!E1080</f>
        <v>3.7865000000000002</v>
      </c>
      <c r="R19" s="30">
        <f t="shared" si="0"/>
        <v>0.86185962127637794</v>
      </c>
      <c r="S19" s="36">
        <f>R19*((T19*$D$6)+(U19*$D$7)+(V19*$D$8))</f>
        <v>6894876.9702110235</v>
      </c>
      <c r="T19" s="39">
        <v>0</v>
      </c>
      <c r="U19" s="39">
        <v>0</v>
      </c>
      <c r="V19" s="39">
        <v>2</v>
      </c>
      <c r="W19">
        <f>L19/(1+Q19/100)</f>
        <v>3.8540657985383455</v>
      </c>
      <c r="X19">
        <f>_xlfn.STDEV.S(TSIR!O831:O1080)</f>
        <v>4.8602163542831887E-2</v>
      </c>
      <c r="Y19">
        <f t="shared" si="2"/>
        <v>1.8731593624539563E-3</v>
      </c>
    </row>
    <row r="20" spans="2:34" x14ac:dyDescent="0.2">
      <c r="B20" s="44"/>
      <c r="D20" s="39"/>
      <c r="E20" s="39"/>
      <c r="F20" s="39"/>
      <c r="G20" s="36"/>
      <c r="H20" s="36"/>
      <c r="I20" s="30"/>
      <c r="L20">
        <v>5</v>
      </c>
      <c r="O20">
        <f>(FI_Portfolio!D6 * FI_Portfolio!B6) + 100</f>
        <v>8000100</v>
      </c>
      <c r="P20">
        <f xml:space="preserve"> M20 + N20 + O20</f>
        <v>8000100</v>
      </c>
      <c r="Q20" s="30">
        <f>TSIR!F1080</f>
        <v>3.88</v>
      </c>
      <c r="R20" s="30">
        <f t="shared" si="0"/>
        <v>0.82668545243283564</v>
      </c>
      <c r="S20" s="36">
        <f t="shared" ref="S20" si="3">R20*((T20*$D$6)+(U20*$D$7)+(V20*$D$8))</f>
        <v>337287664.59259695</v>
      </c>
      <c r="T20" s="39">
        <v>0</v>
      </c>
      <c r="U20" s="39">
        <v>0</v>
      </c>
      <c r="V20" s="39">
        <v>102</v>
      </c>
      <c r="W20">
        <f t="shared" si="1"/>
        <v>4.8132460531382364</v>
      </c>
      <c r="X20">
        <f>_xlfn.STDEV.S(TSIR!P831:P1080)</f>
        <v>6.0628886245663149E-2</v>
      </c>
      <c r="Y20">
        <f t="shared" si="2"/>
        <v>2.9182174742810522E-3</v>
      </c>
    </row>
    <row r="21" spans="2:34" x14ac:dyDescent="0.2">
      <c r="Q21" s="30"/>
    </row>
    <row r="23" spans="2:34" ht="16" x14ac:dyDescent="0.2">
      <c r="C23" s="1"/>
      <c r="D23" s="1"/>
      <c r="E23" s="1"/>
      <c r="F23" s="1"/>
      <c r="G23" s="1"/>
      <c r="H23" s="1"/>
    </row>
    <row r="24" spans="2:34" ht="17" thickBot="1" x14ac:dyDescent="0.25">
      <c r="C24" s="1"/>
      <c r="D24" s="1"/>
      <c r="E24" s="1"/>
      <c r="F24" s="1"/>
      <c r="G24" s="1"/>
      <c r="H24" s="1"/>
      <c r="J24" s="78"/>
      <c r="K24" s="78"/>
      <c r="L24" s="78"/>
      <c r="M24" s="78"/>
      <c r="N24" s="78"/>
      <c r="O24" s="78"/>
      <c r="Q24" t="s">
        <v>153</v>
      </c>
      <c r="R24" t="s">
        <v>152</v>
      </c>
      <c r="X24" t="s">
        <v>154</v>
      </c>
      <c r="AD24" s="33" t="s">
        <v>156</v>
      </c>
    </row>
    <row r="25" spans="2:34" ht="16" x14ac:dyDescent="0.2">
      <c r="C25" s="1"/>
      <c r="D25" s="1"/>
      <c r="E25" s="1"/>
      <c r="F25" s="1"/>
      <c r="G25" s="1"/>
      <c r="H25" s="1"/>
      <c r="J25" s="78"/>
      <c r="K25" s="78"/>
      <c r="L25" s="78"/>
      <c r="M25" s="78"/>
      <c r="N25" s="78"/>
      <c r="O25" s="78"/>
      <c r="Q25" s="80"/>
      <c r="R25" s="80" t="s">
        <v>74</v>
      </c>
      <c r="S25" s="80" t="s">
        <v>75</v>
      </c>
      <c r="T25" s="80" t="s">
        <v>76</v>
      </c>
      <c r="U25" s="80" t="s">
        <v>77</v>
      </c>
      <c r="V25" s="80" t="s">
        <v>78</v>
      </c>
      <c r="X25" cm="1">
        <f t="array" ref="X25:AB29">_xlfn.MAKEARRAY(5, 5, _xlfn.LAMBDA(_xlpm.i,_xlpm.j, IF(_xlpm.i=_xlpm.j, INDEX(Y16:Y20, _xlpm.i), 0)))</f>
        <v>4.3049902953942401E-4</v>
      </c>
      <c r="Y25">
        <v>0</v>
      </c>
      <c r="Z25">
        <v>0</v>
      </c>
      <c r="AA25">
        <v>0</v>
      </c>
      <c r="AB25">
        <v>0</v>
      </c>
      <c r="AD25" cm="1">
        <f t="array" ref="AD25:AH29">MMULT(MMULT(_xlfn.ANCHORARRAY(X25),R26:V30),_xlfn.ANCHORARRAY(X25))</f>
        <v>1.8532941443438586E-7</v>
      </c>
      <c r="AE25">
        <v>4.4592360724055351E-7</v>
      </c>
      <c r="AF25">
        <v>6.4768291352345219E-7</v>
      </c>
      <c r="AG25">
        <v>6.5917748535159007E-7</v>
      </c>
      <c r="AH25">
        <v>1.0063868392833056E-6</v>
      </c>
    </row>
    <row r="26" spans="2:34" ht="17" thickBot="1" x14ac:dyDescent="0.25">
      <c r="C26" s="1"/>
      <c r="D26" s="1"/>
      <c r="E26" s="1"/>
      <c r="F26" s="1"/>
      <c r="G26" s="1"/>
      <c r="H26" s="1"/>
      <c r="J26" s="78"/>
      <c r="K26" s="78"/>
      <c r="L26" s="78"/>
      <c r="M26" s="78"/>
      <c r="N26" s="78"/>
      <c r="O26" s="78"/>
      <c r="Q26" t="s">
        <v>74</v>
      </c>
      <c r="R26">
        <v>1</v>
      </c>
      <c r="S26">
        <v>0.90791141544008469</v>
      </c>
      <c r="T26">
        <v>0.86685152813891186</v>
      </c>
      <c r="U26">
        <v>0.81743920168811157</v>
      </c>
      <c r="V26" s="79">
        <v>0.80107857817757555</v>
      </c>
      <c r="X26">
        <v>0</v>
      </c>
      <c r="Y26">
        <v>1.1408927258065528E-3</v>
      </c>
      <c r="Z26">
        <v>0</v>
      </c>
      <c r="AA26">
        <v>0</v>
      </c>
      <c r="AB26">
        <v>0</v>
      </c>
      <c r="AD26">
        <v>4.4592360724055346E-7</v>
      </c>
      <c r="AE26">
        <v>1.301636211798306E-6</v>
      </c>
      <c r="AF26">
        <v>1.875737381164521E-6</v>
      </c>
      <c r="AG26">
        <v>1.9049825114401117E-6</v>
      </c>
      <c r="AH26">
        <v>3.0279449559634584E-6</v>
      </c>
    </row>
    <row r="27" spans="2:34" ht="17" thickBot="1" x14ac:dyDescent="0.25">
      <c r="C27" s="1"/>
      <c r="D27" s="1"/>
      <c r="E27" s="1"/>
      <c r="F27" s="1"/>
      <c r="G27" s="1"/>
      <c r="H27" s="1"/>
      <c r="J27" s="78"/>
      <c r="K27" s="78"/>
      <c r="L27" s="78"/>
      <c r="M27" s="78"/>
      <c r="N27" s="78"/>
      <c r="O27" s="78"/>
      <c r="Q27" t="s">
        <v>75</v>
      </c>
      <c r="R27">
        <v>0.90791141544008469</v>
      </c>
      <c r="S27">
        <v>1</v>
      </c>
      <c r="T27">
        <v>0.94728721978771357</v>
      </c>
      <c r="U27">
        <v>0.89139758786614176</v>
      </c>
      <c r="V27" s="79">
        <v>0.90946399675488088</v>
      </c>
      <c r="X27">
        <v>0</v>
      </c>
      <c r="Y27">
        <v>0</v>
      </c>
      <c r="Z27">
        <v>1.7355836259972677E-3</v>
      </c>
      <c r="AA27">
        <v>0</v>
      </c>
      <c r="AB27">
        <v>0</v>
      </c>
      <c r="AD27">
        <v>6.4768291352345219E-7</v>
      </c>
      <c r="AE27">
        <v>1.875737381164521E-6</v>
      </c>
      <c r="AF27">
        <v>3.0122505228298236E-6</v>
      </c>
      <c r="AG27">
        <v>3.0307416680786483E-6</v>
      </c>
      <c r="AH27">
        <v>4.8143146598457511E-6</v>
      </c>
    </row>
    <row r="28" spans="2:34" ht="17" thickBot="1" x14ac:dyDescent="0.25">
      <c r="C28" s="1"/>
      <c r="D28" s="1"/>
      <c r="E28" s="1"/>
      <c r="F28" s="1"/>
      <c r="G28" s="1"/>
      <c r="H28" s="1"/>
      <c r="J28" s="78"/>
      <c r="K28" s="78"/>
      <c r="L28" s="78"/>
      <c r="M28" s="78"/>
      <c r="N28" s="78"/>
      <c r="O28" s="78"/>
      <c r="Q28" t="s">
        <v>76</v>
      </c>
      <c r="R28">
        <v>0.86685152813891186</v>
      </c>
      <c r="S28">
        <v>0.94728721978771357</v>
      </c>
      <c r="T28">
        <v>1</v>
      </c>
      <c r="U28">
        <v>0.93224196388419356</v>
      </c>
      <c r="V28" s="79">
        <v>0.95054191912535246</v>
      </c>
      <c r="X28">
        <v>0</v>
      </c>
      <c r="Y28">
        <v>0</v>
      </c>
      <c r="Z28">
        <v>0</v>
      </c>
      <c r="AA28">
        <v>1.8731593624539563E-3</v>
      </c>
      <c r="AB28">
        <v>0</v>
      </c>
      <c r="AD28">
        <v>6.5917748535159007E-7</v>
      </c>
      <c r="AE28">
        <v>1.9049825114401117E-6</v>
      </c>
      <c r="AF28">
        <v>3.0307416680786483E-6</v>
      </c>
      <c r="AG28">
        <v>3.5087259971489119E-6</v>
      </c>
      <c r="AH28">
        <v>5.2625030401558617E-6</v>
      </c>
    </row>
    <row r="29" spans="2:34" ht="17" thickBot="1" x14ac:dyDescent="0.25">
      <c r="J29" s="78"/>
      <c r="K29" s="78"/>
      <c r="L29" s="78"/>
      <c r="M29" s="78"/>
      <c r="N29" s="78"/>
      <c r="O29" s="78"/>
      <c r="Q29" t="s">
        <v>77</v>
      </c>
      <c r="R29">
        <v>0.81743920168811157</v>
      </c>
      <c r="S29">
        <v>0.89139758786614176</v>
      </c>
      <c r="T29">
        <v>0.93224196388419356</v>
      </c>
      <c r="U29">
        <v>1</v>
      </c>
      <c r="V29" s="79">
        <v>0.96271996577405061</v>
      </c>
      <c r="X29">
        <v>0</v>
      </c>
      <c r="Y29">
        <v>0</v>
      </c>
      <c r="Z29">
        <v>0</v>
      </c>
      <c r="AA29">
        <v>0</v>
      </c>
      <c r="AB29">
        <v>2.9182174742810522E-3</v>
      </c>
      <c r="AD29">
        <v>1.0063868392833056E-6</v>
      </c>
      <c r="AE29">
        <v>3.0279449559634584E-6</v>
      </c>
      <c r="AF29">
        <v>4.8143146598457503E-6</v>
      </c>
      <c r="AG29">
        <v>5.2625030401558609E-6</v>
      </c>
      <c r="AH29">
        <v>8.5159932271992835E-6</v>
      </c>
    </row>
    <row r="30" spans="2:34" ht="17" thickBot="1" x14ac:dyDescent="0.25">
      <c r="C30" s="1"/>
      <c r="Q30" s="79" t="s">
        <v>78</v>
      </c>
      <c r="R30" s="79">
        <v>0.80107857817757555</v>
      </c>
      <c r="S30" s="79">
        <v>0.90946399675488088</v>
      </c>
      <c r="T30" s="79">
        <v>0.95054191912535246</v>
      </c>
      <c r="U30" s="79">
        <v>0.96271996577405061</v>
      </c>
      <c r="V30" s="79">
        <v>1</v>
      </c>
    </row>
    <row r="31" spans="2:34" ht="16" x14ac:dyDescent="0.2">
      <c r="C31" s="1"/>
    </row>
    <row r="32" spans="2:34" x14ac:dyDescent="0.2">
      <c r="Q32" t="s">
        <v>66</v>
      </c>
      <c r="R32">
        <v>2.33</v>
      </c>
    </row>
    <row r="33" spans="2:18" ht="16" x14ac:dyDescent="0.2">
      <c r="C33" s="1"/>
      <c r="D33" s="34"/>
      <c r="P33" t="s">
        <v>161</v>
      </c>
      <c r="Q33" t="s">
        <v>155</v>
      </c>
      <c r="R33" s="90" cm="1">
        <f t="array" ref="R33">R32* SQRT(MMULT(MMULT(TRANSPOSE(S16:S20),_xlfn.ANCHORARRAY( AD25)), S16:S20))</f>
        <v>1969010.2372512599</v>
      </c>
    </row>
    <row r="34" spans="2:18" ht="16" x14ac:dyDescent="0.2">
      <c r="C34" s="46"/>
      <c r="D34" s="47"/>
      <c r="I34" s="48"/>
      <c r="J34" s="76"/>
      <c r="Q34" t="s">
        <v>135</v>
      </c>
      <c r="R34" s="90" cm="1">
        <f t="array" ref="R34">2.665 * SQRT(MMULT(MMULT(TRANSPOSE(S16:S20),_xlfn.ANCHORARRAY( AD25)), S16:S20))</f>
        <v>2252108.2756543378</v>
      </c>
    </row>
    <row r="35" spans="2:18" x14ac:dyDescent="0.2">
      <c r="I35" s="48"/>
      <c r="J35" s="76"/>
    </row>
    <row r="36" spans="2:18" ht="16" x14ac:dyDescent="0.2">
      <c r="C36" s="1"/>
      <c r="D36" s="34"/>
    </row>
    <row r="37" spans="2:18" ht="16" x14ac:dyDescent="0.2">
      <c r="C37" s="46"/>
      <c r="D37" s="47"/>
      <c r="P37" t="s">
        <v>162</v>
      </c>
      <c r="Q37" t="s">
        <v>155</v>
      </c>
      <c r="R37" s="90">
        <f>TSIR!AE3</f>
        <v>2112647.3928448483</v>
      </c>
    </row>
    <row r="38" spans="2:18" x14ac:dyDescent="0.2">
      <c r="Q38" t="s">
        <v>135</v>
      </c>
      <c r="R38" s="90">
        <f>TSIR!AG3</f>
        <v>2491936.8885264401</v>
      </c>
    </row>
    <row r="43" spans="2:18" x14ac:dyDescent="0.2">
      <c r="C43" s="60"/>
      <c r="D43" s="61"/>
      <c r="E43" s="61"/>
      <c r="F43" s="61"/>
      <c r="G43" s="61"/>
      <c r="H43" s="62"/>
    </row>
    <row r="44" spans="2:18" x14ac:dyDescent="0.2">
      <c r="C44" s="63"/>
      <c r="D44" s="58"/>
      <c r="E44" s="58"/>
      <c r="F44" s="58"/>
      <c r="G44" s="58"/>
      <c r="H44" s="59"/>
    </row>
    <row r="47" spans="2:18" x14ac:dyDescent="0.2">
      <c r="B47" s="67"/>
      <c r="C47" s="64"/>
      <c r="D47" s="64"/>
      <c r="E47" s="64"/>
    </row>
    <row r="48" spans="2:18" ht="16" x14ac:dyDescent="0.2">
      <c r="C48" s="65"/>
      <c r="D48" s="26"/>
      <c r="E48" s="26"/>
    </row>
  </sheetData>
  <pageMargins left="0.7" right="0.7" top="0.75" bottom="0.75" header="0.3" footer="0.3"/>
  <drawing r:id="rId1"/>
  <extLst>
    <ext xmlns:x15="http://schemas.microsoft.com/office/spreadsheetml/2010/11/main" uri="{F7C9EE02-42E1-4005-9D12-6889AFFD525C}">
      <x15:webExtensions xmlns:xm="http://schemas.microsoft.com/office/excel/2006/main">
        <x15:webExtension appRef="{678D8EB4-5F20-BF4D-9EFC-55117E3DF46E}">
          <xm:f>TSIR!1:1048576</xm:f>
        </x15:webExtension>
      </x15:webExtens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5D219-99C0-4CEF-9177-A54446B7F890}">
  <dimension ref="A1:S252"/>
  <sheetViews>
    <sheetView zoomScaleNormal="224" workbookViewId="0">
      <selection activeCell="K4" sqref="K4:L5"/>
    </sheetView>
  </sheetViews>
  <sheetFormatPr baseColWidth="10" defaultColWidth="8.83203125" defaultRowHeight="15" x14ac:dyDescent="0.2"/>
  <cols>
    <col min="1" max="1" width="15.5" customWidth="1"/>
    <col min="2" max="2" width="17.33203125" customWidth="1"/>
    <col min="3" max="3" width="19.1640625" customWidth="1"/>
    <col min="4" max="4" width="20.83203125" customWidth="1"/>
    <col min="5" max="5" width="13.6640625" customWidth="1"/>
    <col min="6" max="6" width="12.6640625" customWidth="1"/>
    <col min="7" max="7" width="13.6640625" customWidth="1"/>
    <col min="8" max="8" width="26.1640625" customWidth="1"/>
    <col min="9" max="9" width="17.1640625" bestFit="1" customWidth="1"/>
    <col min="10" max="10" width="17.5" customWidth="1"/>
    <col min="11" max="11" width="22.5" customWidth="1"/>
    <col min="12" max="12" width="24.83203125" customWidth="1"/>
    <col min="13" max="13" width="18.5" customWidth="1"/>
    <col min="14" max="14" width="23" customWidth="1"/>
    <col min="15" max="15" width="20" customWidth="1"/>
    <col min="16" max="16" width="27.5" customWidth="1"/>
    <col min="17" max="17" width="29.33203125" customWidth="1"/>
    <col min="18" max="18" width="14.1640625" customWidth="1"/>
  </cols>
  <sheetData>
    <row r="1" spans="1:19" ht="16" x14ac:dyDescent="0.2">
      <c r="A1" t="s">
        <v>13</v>
      </c>
      <c r="B1" t="s">
        <v>164</v>
      </c>
      <c r="C1" t="s">
        <v>165</v>
      </c>
      <c r="D1" t="s">
        <v>166</v>
      </c>
      <c r="E1" t="s">
        <v>63</v>
      </c>
      <c r="F1" t="s">
        <v>64</v>
      </c>
      <c r="G1" t="s">
        <v>65</v>
      </c>
      <c r="H1" t="s">
        <v>101</v>
      </c>
      <c r="I1" t="s">
        <v>167</v>
      </c>
      <c r="J1" t="s">
        <v>168</v>
      </c>
      <c r="K1" s="88" t="s">
        <v>173</v>
      </c>
      <c r="L1" s="88" t="s">
        <v>171</v>
      </c>
      <c r="M1" s="88" t="s">
        <v>169</v>
      </c>
      <c r="N1" s="88" t="s">
        <v>178</v>
      </c>
      <c r="O1" s="88" t="s">
        <v>179</v>
      </c>
      <c r="P1" s="88" t="s">
        <v>170</v>
      </c>
      <c r="Q1" s="88" t="s">
        <v>180</v>
      </c>
    </row>
    <row r="2" spans="1:19" x14ac:dyDescent="0.2">
      <c r="A2" s="10">
        <v>45406</v>
      </c>
      <c r="B2">
        <v>0.91140002012252797</v>
      </c>
      <c r="C2">
        <f>B2/0.91188997-1</f>
        <v>-5.3729056529927544E-4</v>
      </c>
      <c r="D2">
        <f>$B$252*(1+C2)</f>
        <v>0.82829472581691388</v>
      </c>
      <c r="E2" s="36">
        <f>TSIR!X3*D2</f>
        <v>79.659042682911505</v>
      </c>
      <c r="F2" s="36">
        <f>TSIR!Y3*D2</f>
        <v>85.638572106240773</v>
      </c>
      <c r="G2" s="36">
        <f>TSIR!Z3*D2</f>
        <v>75.852430619752113</v>
      </c>
      <c r="H2" s="89">
        <f>E2*FI_Portfolio!$B$4+FI_Portfolio!$B$5*F2+FI_Portfolio!$B$6*G2</f>
        <v>334269949.68547028</v>
      </c>
      <c r="I2" s="34">
        <f>H2-TSIR!$AM$5*$B$252</f>
        <v>-291561.83527886868</v>
      </c>
      <c r="J2" s="36" cm="1">
        <f t="array" ref="J2:J251">_xlfn._xlws.SORT(I2:I251)</f>
        <v>-14705733.545042217</v>
      </c>
      <c r="K2" s="47">
        <f>ABS(_xlfn.PERCENTILE.INC(J1:J251,0.01))</f>
        <v>6343061.9626970803</v>
      </c>
      <c r="L2" s="47">
        <f>ABS(AVERAGEIF(J2:J25,  "&lt;"&amp;-K2))</f>
        <v>9553961.092811605</v>
      </c>
      <c r="M2">
        <f>CORREL(I2:I251,'Part 1'!Q396:Q645)</f>
        <v>0.12555557894731131</v>
      </c>
      <c r="N2" s="93">
        <f>SQRT(K2^2+'Part 1'!S396^2+2*M2*K2*'Part 1'!S396)</f>
        <v>17505724.037003372</v>
      </c>
      <c r="O2" s="47">
        <f>SQRT(L2^2 +  'Part 1'!T396^2 + 2 * M2 * L2 * 'Part 1'!T396)</f>
        <v>22581896.786847692</v>
      </c>
      <c r="P2" s="34">
        <f>K2+'Part 1'!S396</f>
        <v>21882205.4215368</v>
      </c>
      <c r="Q2" s="34">
        <f>L2+'Part 1'!T396</f>
        <v>28850817.847747937</v>
      </c>
      <c r="R2" s="20"/>
      <c r="S2" s="20"/>
    </row>
    <row r="3" spans="1:19" x14ac:dyDescent="0.2">
      <c r="A3" s="10">
        <v>45407</v>
      </c>
      <c r="B3">
        <v>0.91443997621536199</v>
      </c>
      <c r="C3">
        <f>B3/B2-1</f>
        <v>3.3354795103310853E-3</v>
      </c>
      <c r="D3">
        <f t="shared" ref="D3:D66" si="0">$B$252*(1+C3)</f>
        <v>0.83150424528939182</v>
      </c>
      <c r="E3" s="36">
        <f>TSIR!X4*D3</f>
        <v>79.960019741262784</v>
      </c>
      <c r="F3" s="36">
        <f>TSIR!Y4*D3</f>
        <v>85.854259229871658</v>
      </c>
      <c r="G3" s="36">
        <f>TSIR!Z4*D3</f>
        <v>75.970301630956087</v>
      </c>
      <c r="H3" s="89">
        <f>E3*FI_Portfolio!$B$4+FI_Portfolio!$B$5*F3+FI_Portfolio!$B$6*G3</f>
        <v>335019857.16154242</v>
      </c>
      <c r="I3" s="34">
        <f>H3-TSIR!$AM$5*$B$252</f>
        <v>458345.64079326391</v>
      </c>
      <c r="J3" s="36">
        <v>-7543704.163231194</v>
      </c>
      <c r="K3" t="s">
        <v>174</v>
      </c>
      <c r="N3" t="s">
        <v>175</v>
      </c>
      <c r="P3" t="s">
        <v>181</v>
      </c>
    </row>
    <row r="4" spans="1:19" x14ac:dyDescent="0.2">
      <c r="A4" s="10">
        <v>45408</v>
      </c>
      <c r="B4">
        <v>0.912519991397857</v>
      </c>
      <c r="C4">
        <f t="shared" ref="C4:C67" si="1">B4/B3-1</f>
        <v>-2.0996291363499786E-3</v>
      </c>
      <c r="D4">
        <f t="shared" si="0"/>
        <v>0.82699995334954135</v>
      </c>
      <c r="E4" s="36">
        <f>TSIR!X5*D4</f>
        <v>79.557475069700942</v>
      </c>
      <c r="F4" s="36">
        <f>TSIR!Y5*D4</f>
        <v>85.575484145763326</v>
      </c>
      <c r="G4" s="36">
        <f>TSIR!Z5*D4</f>
        <v>75.83617582419393</v>
      </c>
      <c r="H4" s="89">
        <f>E4*FI_Portfolio!$B$4+FI_Portfolio!$B$5*F4+FI_Portfolio!$B$6*G4</f>
        <v>334096427.21753258</v>
      </c>
      <c r="I4" s="34">
        <f>H4-TSIR!$AM$5*$B$252</f>
        <v>-465084.30321657658</v>
      </c>
      <c r="J4" s="36">
        <v>-6412445.5701614022</v>
      </c>
      <c r="K4" t="s">
        <v>176</v>
      </c>
      <c r="L4" t="s">
        <v>177</v>
      </c>
    </row>
    <row r="5" spans="1:19" x14ac:dyDescent="0.2">
      <c r="A5" s="10">
        <v>45411</v>
      </c>
      <c r="B5">
        <v>0.913688004016876</v>
      </c>
      <c r="C5">
        <f t="shared" si="1"/>
        <v>1.2799857866454545E-3</v>
      </c>
      <c r="D5">
        <f t="shared" si="0"/>
        <v>0.82980077542082453</v>
      </c>
      <c r="E5" s="36">
        <f>TSIR!X6*D5</f>
        <v>79.83459451807046</v>
      </c>
      <c r="F5" s="36">
        <f>TSIR!Y6*D5</f>
        <v>85.932663754782624</v>
      </c>
      <c r="G5" s="36">
        <f>TSIR!Z6*D5</f>
        <v>76.129319917674394</v>
      </c>
      <c r="H5" s="89">
        <f>E5*FI_Portfolio!$B$4+FI_Portfolio!$B$5*F5+FI_Portfolio!$B$6*G5</f>
        <v>335287473.07466453</v>
      </c>
      <c r="I5" s="34">
        <f>H5-TSIR!$AM$5*$B$252</f>
        <v>725961.55391538143</v>
      </c>
      <c r="J5" s="36">
        <v>-6270846.3712546229</v>
      </c>
      <c r="K5" s="42">
        <f>K2/N2</f>
        <v>0.36234216587038609</v>
      </c>
      <c r="L5" s="42">
        <f>1-K5</f>
        <v>0.63765783412961397</v>
      </c>
    </row>
    <row r="6" spans="1:19" x14ac:dyDescent="0.2">
      <c r="A6" s="10">
        <v>45412</v>
      </c>
      <c r="B6">
        <v>0.91071999073028498</v>
      </c>
      <c r="C6">
        <f t="shared" si="1"/>
        <v>-3.2483881516914836E-3</v>
      </c>
      <c r="D6">
        <f t="shared" si="0"/>
        <v>0.82604793080316719</v>
      </c>
      <c r="E6" s="36">
        <f>TSIR!X7*D6</f>
        <v>79.427685654150679</v>
      </c>
      <c r="F6" s="36">
        <f>TSIR!Y7*D6</f>
        <v>85.290503370582542</v>
      </c>
      <c r="G6" s="36">
        <f>TSIR!Z7*D6</f>
        <v>75.438604952569577</v>
      </c>
      <c r="H6" s="89">
        <f>E6*FI_Portfolio!$B$4+FI_Portfolio!$B$5*F6+FI_Portfolio!$B$6*G6</f>
        <v>332674036.06270587</v>
      </c>
      <c r="I6" s="34">
        <f>H6-TSIR!$AM$5*$B$252</f>
        <v>-1887475.4580432773</v>
      </c>
      <c r="J6" s="36">
        <v>-4465916.3354465365</v>
      </c>
    </row>
    <row r="7" spans="1:19" x14ac:dyDescent="0.2">
      <c r="A7" s="10">
        <v>45413</v>
      </c>
      <c r="B7">
        <v>0.91948997974395696</v>
      </c>
      <c r="C7">
        <f t="shared" si="1"/>
        <v>9.6297315343210066E-3</v>
      </c>
      <c r="D7">
        <f t="shared" si="0"/>
        <v>0.8367205437117532</v>
      </c>
      <c r="E7" s="36">
        <f>TSIR!X8*D7</f>
        <v>80.523582303123206</v>
      </c>
      <c r="F7" s="36">
        <f>TSIR!Y8*D7</f>
        <v>86.748343001763828</v>
      </c>
      <c r="G7" s="36">
        <f>TSIR!Z8*D7</f>
        <v>76.94046503744427</v>
      </c>
      <c r="H7" s="89">
        <f>E7*FI_Portfolio!$B$4+FI_Portfolio!$B$5*F7+FI_Portfolio!$B$6*G7</f>
        <v>338686510.25337774</v>
      </c>
      <c r="I7" s="34">
        <f>H7-TSIR!$AM$5*$B$252</f>
        <v>4124998.7326285839</v>
      </c>
      <c r="J7" s="36">
        <v>-4111971.7972438931</v>
      </c>
      <c r="M7" s="36"/>
    </row>
    <row r="8" spans="1:19" x14ac:dyDescent="0.2">
      <c r="A8" s="10">
        <v>45414</v>
      </c>
      <c r="B8">
        <v>0.91636002063751198</v>
      </c>
      <c r="C8">
        <f t="shared" si="1"/>
        <v>-3.4040165476479922E-3</v>
      </c>
      <c r="D8">
        <f t="shared" si="0"/>
        <v>0.82591895532630222</v>
      </c>
      <c r="E8" s="36">
        <f>TSIR!X9*D8</f>
        <v>79.491718510712445</v>
      </c>
      <c r="F8" s="36">
        <f>TSIR!Y9*D8</f>
        <v>85.629595116617963</v>
      </c>
      <c r="G8" s="36">
        <f>TSIR!Z9*D8</f>
        <v>75.914600963161334</v>
      </c>
      <c r="H8" s="89">
        <f>E8*FI_Portfolio!$B$4+FI_Portfolio!$B$5*F8+FI_Portfolio!$B$6*G8</f>
        <v>334197448.19914329</v>
      </c>
      <c r="I8" s="34">
        <f>H8-TSIR!$AM$5*$B$252</f>
        <v>-364063.32160586119</v>
      </c>
      <c r="J8" s="36">
        <v>-3348343.6426995397</v>
      </c>
    </row>
    <row r="9" spans="1:19" x14ac:dyDescent="0.2">
      <c r="A9" s="10">
        <v>45415</v>
      </c>
      <c r="B9">
        <v>0.90977001190185502</v>
      </c>
      <c r="C9">
        <f t="shared" si="1"/>
        <v>-7.1915061626894872E-3</v>
      </c>
      <c r="D9">
        <f t="shared" si="0"/>
        <v>0.82278011118273275</v>
      </c>
      <c r="E9" s="36">
        <f>TSIR!X10*D9</f>
        <v>79.181995109492135</v>
      </c>
      <c r="F9" s="36">
        <f>TSIR!Y10*D9</f>
        <v>85.301569411738654</v>
      </c>
      <c r="G9" s="36">
        <f>TSIR!Z10*D9</f>
        <v>75.693297159768221</v>
      </c>
      <c r="H9" s="89">
        <f>E9*FI_Portfolio!$B$4+FI_Portfolio!$B$5*F9+FI_Portfolio!$B$6*G9</f>
        <v>333184824.74044919</v>
      </c>
      <c r="I9" s="34">
        <f>H9-TSIR!$AM$5*$B$252</f>
        <v>-1376686.7802999616</v>
      </c>
      <c r="J9" s="36">
        <v>-3286396.9776628017</v>
      </c>
    </row>
    <row r="10" spans="1:19" x14ac:dyDescent="0.2">
      <c r="A10" s="10">
        <v>45418</v>
      </c>
      <c r="B10">
        <v>0.90593999624252297</v>
      </c>
      <c r="C10">
        <f t="shared" si="1"/>
        <v>-4.2098723954699935E-3</v>
      </c>
      <c r="D10">
        <f t="shared" si="0"/>
        <v>0.8252511103509782</v>
      </c>
      <c r="E10" s="36">
        <f>TSIR!X11*D10</f>
        <v>79.389236205000302</v>
      </c>
      <c r="F10" s="36">
        <f>TSIR!Y11*D10</f>
        <v>85.348925445923186</v>
      </c>
      <c r="G10" s="36">
        <f>TSIR!Z11*D10</f>
        <v>75.608474720263047</v>
      </c>
      <c r="H10" s="89">
        <f>E10*FI_Portfolio!$B$4+FI_Portfolio!$B$5*F10+FI_Portfolio!$B$6*G10</f>
        <v>333188983.122168</v>
      </c>
      <c r="I10" s="34">
        <f>H10-TSIR!$AM$5*$B$252</f>
        <v>-1372528.3985811472</v>
      </c>
      <c r="J10" s="36">
        <v>-3185424.3714815974</v>
      </c>
    </row>
    <row r="11" spans="1:19" x14ac:dyDescent="0.2">
      <c r="A11" s="10">
        <v>45419</v>
      </c>
      <c r="B11">
        <v>0.90670001506805398</v>
      </c>
      <c r="C11">
        <f t="shared" si="1"/>
        <v>8.3892843751609547E-4</v>
      </c>
      <c r="D11">
        <f t="shared" si="0"/>
        <v>0.82943525355330716</v>
      </c>
      <c r="E11" s="36">
        <f>TSIR!X12*D11</f>
        <v>79.784075947797916</v>
      </c>
      <c r="F11" s="36">
        <f>TSIR!Y12*D11</f>
        <v>85.894786191021808</v>
      </c>
      <c r="G11" s="36">
        <f>TSIR!Z12*D11</f>
        <v>75.993897243077456</v>
      </c>
      <c r="H11" s="89">
        <f>E11*FI_Portfolio!$B$4+FI_Portfolio!$B$5*F11+FI_Portfolio!$B$6*G11</f>
        <v>334701561.58137292</v>
      </c>
      <c r="I11" s="34">
        <f>H11-TSIR!$AM$5*$B$252</f>
        <v>140050.06062376499</v>
      </c>
      <c r="J11" s="36">
        <v>-3123365.6473320127</v>
      </c>
    </row>
    <row r="12" spans="1:19" x14ac:dyDescent="0.2">
      <c r="A12" s="10">
        <v>45420</v>
      </c>
      <c r="B12">
        <v>0.90847998857498102</v>
      </c>
      <c r="C12">
        <f t="shared" si="1"/>
        <v>1.9631338671517451E-3</v>
      </c>
      <c r="D12">
        <f t="shared" si="0"/>
        <v>0.83036692756106334</v>
      </c>
      <c r="E12" s="36">
        <f>TSIR!X13*D12</f>
        <v>79.881378312752602</v>
      </c>
      <c r="F12" s="36">
        <f>TSIR!Y13*D12</f>
        <v>85.83217098968322</v>
      </c>
      <c r="G12" s="36">
        <f>TSIR!Z13*D12</f>
        <v>76.006827509125287</v>
      </c>
      <c r="H12" s="89">
        <f>E12*FI_Portfolio!$B$4+FI_Portfolio!$B$5*F12+FI_Portfolio!$B$6*G12</f>
        <v>335041810.17748153</v>
      </c>
      <c r="I12" s="34">
        <f>H12-TSIR!$AM$5*$B$252</f>
        <v>480298.65673238039</v>
      </c>
      <c r="J12" s="36">
        <v>-3011267.9691702724</v>
      </c>
    </row>
    <row r="13" spans="1:19" x14ac:dyDescent="0.2">
      <c r="A13" s="10">
        <v>45421</v>
      </c>
      <c r="B13">
        <v>0.90798997879028298</v>
      </c>
      <c r="C13">
        <f t="shared" si="1"/>
        <v>-5.3937322875619031E-4</v>
      </c>
      <c r="D13">
        <f t="shared" si="0"/>
        <v>0.82829299983040061</v>
      </c>
      <c r="E13" s="36">
        <f>TSIR!X14*D13</f>
        <v>79.689532406234406</v>
      </c>
      <c r="F13" s="36">
        <f>TSIR!Y14*D13</f>
        <v>85.75769200132838</v>
      </c>
      <c r="G13" s="36">
        <f>TSIR!Z14*D13</f>
        <v>75.991665364199974</v>
      </c>
      <c r="H13" s="89">
        <f>E13*FI_Portfolio!$B$4+FI_Portfolio!$B$5*F13+FI_Portfolio!$B$6*G13</f>
        <v>334709188.26727617</v>
      </c>
      <c r="I13" s="34">
        <f>H13-TSIR!$AM$5*$B$252</f>
        <v>147676.74652701616</v>
      </c>
      <c r="J13" s="36">
        <v>-3004402.5784128904</v>
      </c>
    </row>
    <row r="14" spans="1:19" x14ac:dyDescent="0.2">
      <c r="A14" s="10">
        <v>45422</v>
      </c>
      <c r="B14">
        <v>0.90584999322891202</v>
      </c>
      <c r="C14">
        <f t="shared" si="1"/>
        <v>-2.3568383036804974E-3</v>
      </c>
      <c r="D14">
        <f t="shared" si="0"/>
        <v>0.82678679382420783</v>
      </c>
      <c r="E14" s="36">
        <f>TSIR!X15*D14</f>
        <v>79.498730175404589</v>
      </c>
      <c r="F14" s="36">
        <f>TSIR!Y15*D14</f>
        <v>85.411626179664992</v>
      </c>
      <c r="G14" s="36">
        <f>TSIR!Z15*D14</f>
        <v>75.574594064878042</v>
      </c>
      <c r="H14" s="89">
        <f>E14*FI_Portfolio!$B$4+FI_Portfolio!$B$5*F14+FI_Portfolio!$B$6*G14</f>
        <v>333178397.34082389</v>
      </c>
      <c r="I14" s="34">
        <f>H14-TSIR!$AM$5*$B$252</f>
        <v>-1383114.1799252629</v>
      </c>
      <c r="J14" s="36">
        <v>-2965536.9050314426</v>
      </c>
    </row>
    <row r="15" spans="1:19" x14ac:dyDescent="0.2">
      <c r="A15" s="10">
        <v>45425</v>
      </c>
      <c r="B15">
        <v>0.90644997358322099</v>
      </c>
      <c r="C15">
        <f t="shared" si="1"/>
        <v>6.6233963547346342E-4</v>
      </c>
      <c r="D15">
        <f t="shared" si="0"/>
        <v>0.82928890734950234</v>
      </c>
      <c r="E15" s="36">
        <f>TSIR!X16*D15</f>
        <v>79.785348022849931</v>
      </c>
      <c r="F15" s="36">
        <f>TSIR!Y16*D15</f>
        <v>85.769133999314519</v>
      </c>
      <c r="G15" s="36">
        <f>TSIR!Z16*D15</f>
        <v>76.045957530398198</v>
      </c>
      <c r="H15" s="89">
        <f>E15*FI_Portfolio!$B$4+FI_Portfolio!$B$5*F15+FI_Portfolio!$B$6*G15</f>
        <v>335100825.16832089</v>
      </c>
      <c r="I15" s="34">
        <f>H15-TSIR!$AM$5*$B$252</f>
        <v>539313.64757174253</v>
      </c>
      <c r="J15" s="36">
        <v>-2945494.7240586877</v>
      </c>
    </row>
    <row r="16" spans="1:19" x14ac:dyDescent="0.2">
      <c r="A16" s="10">
        <v>45426</v>
      </c>
      <c r="B16">
        <v>0.90789997577667203</v>
      </c>
      <c r="C16">
        <f t="shared" si="1"/>
        <v>1.5996494409054041E-3</v>
      </c>
      <c r="D16">
        <f t="shared" si="0"/>
        <v>0.83006569347765602</v>
      </c>
      <c r="E16" s="36">
        <f>TSIR!X17*D16</f>
        <v>79.852399564950076</v>
      </c>
      <c r="F16" s="36">
        <f>TSIR!Y17*D16</f>
        <v>85.963433112507488</v>
      </c>
      <c r="G16" s="36">
        <f>TSIR!Z17*D16</f>
        <v>76.18876014131034</v>
      </c>
      <c r="H16" s="89">
        <f>E16*FI_Portfolio!$B$4+FI_Portfolio!$B$5*F16+FI_Portfolio!$B$6*G16</f>
        <v>335514690.02638024</v>
      </c>
      <c r="I16" s="34">
        <f>H16-TSIR!$AM$5*$B$252</f>
        <v>953178.50563108921</v>
      </c>
      <c r="J16" s="36">
        <v>-2825177.872416079</v>
      </c>
    </row>
    <row r="17" spans="1:10" x14ac:dyDescent="0.2">
      <c r="A17" s="10">
        <v>45427</v>
      </c>
      <c r="B17">
        <v>0.90670001506805398</v>
      </c>
      <c r="C17">
        <f t="shared" si="1"/>
        <v>-1.321688226273543E-3</v>
      </c>
      <c r="D17">
        <f t="shared" si="0"/>
        <v>0.82764466409935811</v>
      </c>
      <c r="E17" s="36">
        <f>TSIR!X18*D17</f>
        <v>79.665479266470129</v>
      </c>
      <c r="F17" s="36">
        <f>TSIR!Y18*D17</f>
        <v>85.875878028246461</v>
      </c>
      <c r="G17" s="36">
        <f>TSIR!Z18*D17</f>
        <v>76.210815452629632</v>
      </c>
      <c r="H17" s="89">
        <f>E17*FI_Portfolio!$B$4+FI_Portfolio!$B$5*F17+FI_Portfolio!$B$6*G17</f>
        <v>335360403.30108905</v>
      </c>
      <c r="I17" s="34">
        <f>H17-TSIR!$AM$5*$B$252</f>
        <v>798891.78033989668</v>
      </c>
      <c r="J17" s="36">
        <v>-2771193.4119253159</v>
      </c>
    </row>
    <row r="18" spans="1:10" x14ac:dyDescent="0.2">
      <c r="A18" s="10">
        <v>45428</v>
      </c>
      <c r="B18">
        <v>0.90052998065948398</v>
      </c>
      <c r="C18">
        <f t="shared" si="1"/>
        <v>-6.8049347149364836E-3</v>
      </c>
      <c r="D18">
        <f t="shared" si="0"/>
        <v>0.82310047840434353</v>
      </c>
      <c r="E18" s="36">
        <f>TSIR!X19*D18</f>
        <v>79.159499750369633</v>
      </c>
      <c r="F18" s="36">
        <f>TSIR!Y19*D18</f>
        <v>84.98840823912343</v>
      </c>
      <c r="G18" s="36">
        <f>TSIR!Z19*D18</f>
        <v>75.238482741692422</v>
      </c>
      <c r="H18" s="89">
        <f>E18*FI_Portfolio!$B$4+FI_Portfolio!$B$5*F18+FI_Portfolio!$B$6*G18</f>
        <v>331790318.10882384</v>
      </c>
      <c r="I18" s="34">
        <f>H18-TSIR!$AM$5*$B$252</f>
        <v>-2771193.4119253159</v>
      </c>
      <c r="J18" s="36">
        <v>-2689174.3179702163</v>
      </c>
    </row>
    <row r="19" spans="1:10" x14ac:dyDescent="0.2">
      <c r="A19" s="10">
        <v>45429</v>
      </c>
      <c r="B19">
        <v>0.90599000453948897</v>
      </c>
      <c r="C19">
        <f t="shared" si="1"/>
        <v>6.0631228246355029E-3</v>
      </c>
      <c r="D19">
        <f t="shared" si="0"/>
        <v>0.8337647524096885</v>
      </c>
      <c r="E19" s="36">
        <f>TSIR!X20*D19</f>
        <v>80.20053409096657</v>
      </c>
      <c r="F19" s="36">
        <f>TSIR!Y20*D19</f>
        <v>86.203405382978559</v>
      </c>
      <c r="G19" s="36">
        <f>TSIR!Z20*D19</f>
        <v>76.249033328007187</v>
      </c>
      <c r="H19" s="89">
        <f>E19*FI_Portfolio!$B$4+FI_Portfolio!$B$5*F19+FI_Portfolio!$B$6*G19</f>
        <v>336092093.41949403</v>
      </c>
      <c r="I19" s="34">
        <f>H19-TSIR!$AM$5*$B$252</f>
        <v>1530581.8987448812</v>
      </c>
      <c r="J19" s="36">
        <v>-2686229.1002792716</v>
      </c>
    </row>
    <row r="20" spans="1:10" x14ac:dyDescent="0.2">
      <c r="A20" s="10">
        <v>45432</v>
      </c>
      <c r="B20">
        <v>0.90869998931884699</v>
      </c>
      <c r="C20">
        <f t="shared" si="1"/>
        <v>2.9911861784119864E-3</v>
      </c>
      <c r="D20">
        <f t="shared" si="0"/>
        <v>0.83121891563349715</v>
      </c>
      <c r="E20" s="36">
        <f>TSIR!X21*D20</f>
        <v>79.955647906261746</v>
      </c>
      <c r="F20" s="36">
        <f>TSIR!Y21*D20</f>
        <v>85.944654432179689</v>
      </c>
      <c r="G20" s="36">
        <f>TSIR!Z21*D20</f>
        <v>76.085662719465319</v>
      </c>
      <c r="H20" s="89">
        <f>E20*FI_Portfolio!$B$4+FI_Portfolio!$B$5*F20+FI_Portfolio!$B$6*G20</f>
        <v>335336965.04211521</v>
      </c>
      <c r="I20" s="34">
        <f>H20-TSIR!$AM$5*$B$252</f>
        <v>775453.52136605978</v>
      </c>
      <c r="J20" s="36">
        <v>-2525400.809145093</v>
      </c>
    </row>
    <row r="21" spans="1:10" x14ac:dyDescent="0.2">
      <c r="A21" s="10">
        <v>45433</v>
      </c>
      <c r="B21">
        <v>0.91012001037597601</v>
      </c>
      <c r="C21">
        <f t="shared" si="1"/>
        <v>1.5626951401126465E-3</v>
      </c>
      <c r="D21">
        <f t="shared" si="0"/>
        <v>0.83003506797041704</v>
      </c>
      <c r="E21" s="36">
        <f>TSIR!X22*D21</f>
        <v>79.857135652339508</v>
      </c>
      <c r="F21" s="36">
        <f>TSIR!Y22*D21</f>
        <v>85.889932851195539</v>
      </c>
      <c r="G21" s="36">
        <f>TSIR!Z22*D21</f>
        <v>76.148894670967366</v>
      </c>
      <c r="H21" s="89">
        <f>E21*FI_Portfolio!$B$4+FI_Portfolio!$B$5*F21+FI_Portfolio!$B$6*G21</f>
        <v>335474950.71175516</v>
      </c>
      <c r="I21" s="34">
        <f>H21-TSIR!$AM$5*$B$252</f>
        <v>913439.19100600481</v>
      </c>
      <c r="J21" s="36">
        <v>-2138376.9608293772</v>
      </c>
    </row>
    <row r="22" spans="1:10" x14ac:dyDescent="0.2">
      <c r="A22" s="10">
        <v>45434</v>
      </c>
      <c r="B22">
        <v>0.91115999221801702</v>
      </c>
      <c r="C22">
        <f t="shared" si="1"/>
        <v>1.1426864920940361E-3</v>
      </c>
      <c r="D22">
        <f t="shared" si="0"/>
        <v>0.82968699000345802</v>
      </c>
      <c r="E22" s="36">
        <f>TSIR!X23*D22</f>
        <v>79.800614600698083</v>
      </c>
      <c r="F22" s="36">
        <f>TSIR!Y23*D22</f>
        <v>85.759635494035436</v>
      </c>
      <c r="G22" s="36">
        <f>TSIR!Z23*D22</f>
        <v>75.876265117024289</v>
      </c>
      <c r="H22" s="89">
        <f>E22*FI_Portfolio!$B$4+FI_Portfolio!$B$5*F22+FI_Portfolio!$B$6*G22</f>
        <v>334466836.42844015</v>
      </c>
      <c r="I22" s="34">
        <f>H22-TSIR!$AM$5*$B$252</f>
        <v>-94675.092308998108</v>
      </c>
      <c r="J22" s="36">
        <v>-2052435.1053147912</v>
      </c>
    </row>
    <row r="23" spans="1:10" x14ac:dyDescent="0.2">
      <c r="A23" s="10">
        <v>45435</v>
      </c>
      <c r="B23">
        <v>0.91500002145767201</v>
      </c>
      <c r="C23">
        <f t="shared" si="1"/>
        <v>4.2144401339518911E-3</v>
      </c>
      <c r="D23">
        <f t="shared" si="0"/>
        <v>0.83223267511661136</v>
      </c>
      <c r="E23" s="36">
        <f>TSIR!X24*D23</f>
        <v>80.030067806193983</v>
      </c>
      <c r="F23" s="36">
        <f>TSIR!Y24*D23</f>
        <v>85.930959149553644</v>
      </c>
      <c r="G23" s="36">
        <f>TSIR!Z24*D23</f>
        <v>76.070767045498457</v>
      </c>
      <c r="H23" s="89">
        <f>E23*FI_Portfolio!$B$4+FI_Portfolio!$B$5*F23+FI_Portfolio!$B$6*G23</f>
        <v>335446765.07005131</v>
      </c>
      <c r="I23" s="34">
        <f>H23-TSIR!$AM$5*$B$252</f>
        <v>885253.54930216074</v>
      </c>
      <c r="J23" s="36">
        <v>-2048457.2680550218</v>
      </c>
    </row>
    <row r="24" spans="1:10" x14ac:dyDescent="0.2">
      <c r="A24" s="10">
        <v>45436</v>
      </c>
      <c r="B24">
        <v>0.91433000564575195</v>
      </c>
      <c r="C24">
        <f t="shared" si="1"/>
        <v>-7.3225770077323116E-4</v>
      </c>
      <c r="D24">
        <f t="shared" si="0"/>
        <v>0.82813314875306121</v>
      </c>
      <c r="E24" s="36">
        <f>TSIR!X25*D24</f>
        <v>79.658825389867374</v>
      </c>
      <c r="F24" s="36">
        <f>TSIR!Y25*D24</f>
        <v>85.66836762354886</v>
      </c>
      <c r="G24" s="36">
        <f>TSIR!Z25*D24</f>
        <v>75.836849071522209</v>
      </c>
      <c r="H24" s="89">
        <f>E24*FI_Portfolio!$B$4+FI_Portfolio!$B$5*F24+FI_Portfolio!$B$6*G24</f>
        <v>334162495.63050032</v>
      </c>
      <c r="I24" s="34">
        <f>H24-TSIR!$AM$5*$B$252</f>
        <v>-399015.89024883509</v>
      </c>
      <c r="J24" s="36">
        <v>-2012291.8426582217</v>
      </c>
    </row>
    <row r="25" spans="1:10" x14ac:dyDescent="0.2">
      <c r="A25" s="10">
        <v>45440</v>
      </c>
      <c r="B25">
        <v>0.91320002079009999</v>
      </c>
      <c r="C25">
        <f t="shared" si="1"/>
        <v>-1.2358610662174252E-3</v>
      </c>
      <c r="D25">
        <f t="shared" si="0"/>
        <v>0.82771579249998295</v>
      </c>
      <c r="E25" s="36">
        <f>TSIR!X26*D25</f>
        <v>79.626338864837223</v>
      </c>
      <c r="F25" s="36">
        <f>TSIR!Y26*D25</f>
        <v>85.536409398547477</v>
      </c>
      <c r="G25" s="36">
        <f>TSIR!Z26*D25</f>
        <v>75.729465494900566</v>
      </c>
      <c r="H25" s="89">
        <f>E25*FI_Portfolio!$B$4+FI_Portfolio!$B$5*F25+FI_Portfolio!$B$6*G25</f>
        <v>333865925.6114555</v>
      </c>
      <c r="I25" s="34">
        <f>H25-TSIR!$AM$5*$B$252</f>
        <v>-695585.90929365158</v>
      </c>
      <c r="J25" s="36">
        <v>-1978920.7345821261</v>
      </c>
    </row>
    <row r="26" spans="1:10" x14ac:dyDescent="0.2">
      <c r="A26" s="10">
        <v>45441</v>
      </c>
      <c r="B26">
        <v>0.91228997707366899</v>
      </c>
      <c r="C26">
        <f t="shared" si="1"/>
        <v>-9.9654368781509906E-4</v>
      </c>
      <c r="D26">
        <f t="shared" si="0"/>
        <v>0.82791412438416012</v>
      </c>
      <c r="E26" s="36">
        <f>TSIR!X27*D26</f>
        <v>79.637757251265882</v>
      </c>
      <c r="F26" s="36">
        <f>TSIR!Y27*D26</f>
        <v>85.555780780741685</v>
      </c>
      <c r="G26" s="36">
        <f>TSIR!Z27*D26</f>
        <v>75.611555563112987</v>
      </c>
      <c r="H26" s="89">
        <f>E26*FI_Portfolio!$B$4+FI_Portfolio!$B$5*F26+FI_Portfolio!$B$6*G26</f>
        <v>333388065.58387119</v>
      </c>
      <c r="I26" s="34">
        <f>H26-TSIR!$AM$5*$B$252</f>
        <v>-1173445.9368779659</v>
      </c>
      <c r="J26" s="36">
        <v>-1948124.4372304678</v>
      </c>
    </row>
    <row r="27" spans="1:10" x14ac:dyDescent="0.2">
      <c r="A27" s="10">
        <v>45442</v>
      </c>
      <c r="B27">
        <v>0.91280001401901201</v>
      </c>
      <c r="C27">
        <f t="shared" si="1"/>
        <v>5.5907327512150218E-4</v>
      </c>
      <c r="D27">
        <f t="shared" si="0"/>
        <v>0.82920332638602423</v>
      </c>
      <c r="E27" s="36">
        <f>TSIR!X28*D27</f>
        <v>79.79246789703852</v>
      </c>
      <c r="F27" s="36">
        <f>TSIR!Y28*D27</f>
        <v>85.897849714762685</v>
      </c>
      <c r="G27" s="36">
        <f>TSIR!Z28*D27</f>
        <v>76.178127142654972</v>
      </c>
      <c r="H27" s="89">
        <f>E27*FI_Portfolio!$B$4+FI_Portfolio!$B$5*F27+FI_Portfolio!$B$6*G27</f>
        <v>335450669.79255289</v>
      </c>
      <c r="I27" s="34">
        <f>H27-TSIR!$AM$5*$B$252</f>
        <v>889158.27180373669</v>
      </c>
      <c r="J27" s="36">
        <v>-1899324.7005978823</v>
      </c>
    </row>
    <row r="28" spans="1:10" x14ac:dyDescent="0.2">
      <c r="A28" s="10">
        <v>45443</v>
      </c>
      <c r="B28">
        <v>0.90331000089645297</v>
      </c>
      <c r="C28">
        <f t="shared" si="1"/>
        <v>-1.0396596162148386E-2</v>
      </c>
      <c r="D28">
        <f t="shared" si="0"/>
        <v>0.82012392489658115</v>
      </c>
      <c r="E28" s="36">
        <f>TSIR!X29*D28</f>
        <v>78.903591004096697</v>
      </c>
      <c r="F28" s="36">
        <f>TSIR!Y29*D28</f>
        <v>84.955812500922519</v>
      </c>
      <c r="G28" s="36">
        <f>TSIR!Z29*D28</f>
        <v>75.310638384970218</v>
      </c>
      <c r="H28" s="89">
        <f>E28*FI_Portfolio!$B$4+FI_Portfolio!$B$5*F28+FI_Portfolio!$B$6*G28</f>
        <v>331616016.79669046</v>
      </c>
      <c r="I28" s="34">
        <f>H28-TSIR!$AM$5*$B$252</f>
        <v>-2945494.7240586877</v>
      </c>
      <c r="J28" s="36">
        <v>-1887475.4580432773</v>
      </c>
    </row>
    <row r="29" spans="1:10" x14ac:dyDescent="0.2">
      <c r="A29" s="10">
        <v>45446</v>
      </c>
      <c r="B29">
        <v>0.901319980621337</v>
      </c>
      <c r="C29">
        <f t="shared" si="1"/>
        <v>-2.2030313769814125E-3</v>
      </c>
      <c r="D29">
        <f t="shared" si="0"/>
        <v>0.82691425977664046</v>
      </c>
      <c r="E29" s="36">
        <f>TSIR!X30*D29</f>
        <v>79.579853698069527</v>
      </c>
      <c r="F29" s="36">
        <f>TSIR!Y30*D29</f>
        <v>85.708380947580409</v>
      </c>
      <c r="G29" s="36">
        <f>TSIR!Z30*D29</f>
        <v>76.107719887240521</v>
      </c>
      <c r="H29" s="89">
        <f>E29*FI_Portfolio!$B$4+FI_Portfolio!$B$5*F29+FI_Portfolio!$B$6*G29</f>
        <v>335028015.52373052</v>
      </c>
      <c r="I29" s="34">
        <f>H29-TSIR!$AM$5*$B$252</f>
        <v>466504.00298136473</v>
      </c>
      <c r="J29" s="36">
        <v>-1885673.8942356706</v>
      </c>
    </row>
    <row r="30" spans="1:10" x14ac:dyDescent="0.2">
      <c r="A30" s="10">
        <v>45447</v>
      </c>
      <c r="B30">
        <v>0.89502000808715798</v>
      </c>
      <c r="C30">
        <f t="shared" si="1"/>
        <v>-6.9897180464545405E-3</v>
      </c>
      <c r="D30">
        <f t="shared" si="0"/>
        <v>0.82294734106618128</v>
      </c>
      <c r="E30" s="36">
        <f>TSIR!X31*D30</f>
        <v>79.190467770032853</v>
      </c>
      <c r="F30" s="36">
        <f>TSIR!Y31*D30</f>
        <v>85.295358136176745</v>
      </c>
      <c r="G30" s="36">
        <f>TSIR!Z31*D30</f>
        <v>75.640285159481934</v>
      </c>
      <c r="H30" s="89">
        <f>E30*FI_Portfolio!$B$4+FI_Portfolio!$B$5*F30+FI_Portfolio!$B$6*G30</f>
        <v>332999038.9737283</v>
      </c>
      <c r="I30" s="34">
        <f>H30-TSIR!$AM$5*$B$252</f>
        <v>-1562472.5470208526</v>
      </c>
      <c r="J30" s="36">
        <v>-1853021.8825229406</v>
      </c>
    </row>
    <row r="31" spans="1:10" x14ac:dyDescent="0.2">
      <c r="A31" s="10">
        <v>45448</v>
      </c>
      <c r="B31">
        <v>0.88994997739791804</v>
      </c>
      <c r="C31">
        <f t="shared" si="1"/>
        <v>-5.6647121219955965E-3</v>
      </c>
      <c r="D31">
        <f t="shared" si="0"/>
        <v>0.82404542647601742</v>
      </c>
      <c r="E31" s="36">
        <f>TSIR!X32*D31</f>
        <v>79.296134187453575</v>
      </c>
      <c r="F31" s="36">
        <f>TSIR!Y32*D31</f>
        <v>85.364277707713811</v>
      </c>
      <c r="G31" s="36">
        <f>TSIR!Z32*D31</f>
        <v>75.63828888638966</v>
      </c>
      <c r="H31" s="89">
        <f>E31*FI_Portfolio!$B$4+FI_Portfolio!$B$5*F31+FI_Portfolio!$B$6*G31</f>
        <v>333099007.35889506</v>
      </c>
      <c r="I31" s="34">
        <f>H31-TSIR!$AM$5*$B$252</f>
        <v>-1462504.1618540883</v>
      </c>
      <c r="J31" s="36">
        <v>-1839877.8046789765</v>
      </c>
    </row>
    <row r="32" spans="1:10" x14ac:dyDescent="0.2">
      <c r="A32" s="10">
        <v>45449</v>
      </c>
      <c r="B32">
        <v>0.89249998331069902</v>
      </c>
      <c r="C32">
        <f t="shared" si="1"/>
        <v>2.8653362296124918E-3</v>
      </c>
      <c r="D32">
        <f t="shared" si="0"/>
        <v>0.83111461874692905</v>
      </c>
      <c r="E32" s="36">
        <f>TSIR!X33*D32</f>
        <v>79.953306276760856</v>
      </c>
      <c r="F32" s="36">
        <f>TSIR!Y33*D32</f>
        <v>86.001257426708662</v>
      </c>
      <c r="G32" s="36">
        <f>TSIR!Z33*D32</f>
        <v>76.214635704052398</v>
      </c>
      <c r="H32" s="89">
        <f>E32*FI_Portfolio!$B$4+FI_Portfolio!$B$5*F32+FI_Portfolio!$B$6*G32</f>
        <v>335763269.22966838</v>
      </c>
      <c r="I32" s="34">
        <f>H32-TSIR!$AM$5*$B$252</f>
        <v>1201757.7089192271</v>
      </c>
      <c r="J32" s="36">
        <v>-1754313.1525486708</v>
      </c>
    </row>
    <row r="33" spans="1:10" x14ac:dyDescent="0.2">
      <c r="A33" s="10">
        <v>45450</v>
      </c>
      <c r="B33">
        <v>0.88972002267837502</v>
      </c>
      <c r="C33">
        <f t="shared" si="1"/>
        <v>-3.114801887179719E-3</v>
      </c>
      <c r="D33">
        <f t="shared" si="0"/>
        <v>0.82615863908401876</v>
      </c>
      <c r="E33" s="36">
        <f>TSIR!X34*D33</f>
        <v>79.407789223761895</v>
      </c>
      <c r="F33" s="36">
        <f>TSIR!Y34*D33</f>
        <v>85.09333159056311</v>
      </c>
      <c r="G33" s="36">
        <f>TSIR!Z34*D33</f>
        <v>75.105098388509646</v>
      </c>
      <c r="H33" s="89">
        <f>E33*FI_Portfolio!$B$4+FI_Portfolio!$B$5*F33+FI_Portfolio!$B$6*G33</f>
        <v>331595974.61571771</v>
      </c>
      <c r="I33" s="34">
        <f>H33-TSIR!$AM$5*$B$252</f>
        <v>-2965536.9050314426</v>
      </c>
      <c r="J33" s="36">
        <v>-1728500.3127500415</v>
      </c>
    </row>
    <row r="34" spans="1:10" x14ac:dyDescent="0.2">
      <c r="A34" s="10">
        <v>45453</v>
      </c>
      <c r="B34">
        <v>0.89609998464584295</v>
      </c>
      <c r="C34">
        <f t="shared" si="1"/>
        <v>7.1707523769803938E-3</v>
      </c>
      <c r="D34">
        <f t="shared" si="0"/>
        <v>0.83468268932489875</v>
      </c>
      <c r="E34" s="36">
        <f>TSIR!X35*D34</f>
        <v>80.304280289099353</v>
      </c>
      <c r="F34" s="36">
        <f>TSIR!Y35*D34</f>
        <v>86.416259183099129</v>
      </c>
      <c r="G34" s="36">
        <f>TSIR!Z35*D34</f>
        <v>76.403212775413536</v>
      </c>
      <c r="H34" s="89">
        <f>E34*FI_Portfolio!$B$4+FI_Portfolio!$B$5*F34+FI_Portfolio!$B$6*G34</f>
        <v>336597022.90520418</v>
      </c>
      <c r="I34" s="34">
        <f>H34-TSIR!$AM$5*$B$252</f>
        <v>2035511.3844550252</v>
      </c>
      <c r="J34" s="36">
        <v>-1700076.5240272284</v>
      </c>
    </row>
    <row r="35" spans="1:10" x14ac:dyDescent="0.2">
      <c r="A35" s="10">
        <v>45454</v>
      </c>
      <c r="B35">
        <v>0.89657998085021895</v>
      </c>
      <c r="C35">
        <f t="shared" si="1"/>
        <v>5.3565027630897433E-4</v>
      </c>
      <c r="D35">
        <f t="shared" si="0"/>
        <v>0.82918391480998832</v>
      </c>
      <c r="E35" s="36">
        <f>TSIR!X36*D35</f>
        <v>79.759899462292069</v>
      </c>
      <c r="F35" s="36">
        <f>TSIR!Y36*D35</f>
        <v>85.895791374208088</v>
      </c>
      <c r="G35" s="36">
        <f>TSIR!Z36*D35</f>
        <v>76.210954838370952</v>
      </c>
      <c r="H35" s="89">
        <f>E35*FI_Portfolio!$B$4+FI_Portfolio!$B$5*F35+FI_Portfolio!$B$6*G35</f>
        <v>335519931.21675581</v>
      </c>
      <c r="I35" s="34">
        <f>H35-TSIR!$AM$5*$B$252</f>
        <v>958419.69600665569</v>
      </c>
      <c r="J35" s="36">
        <v>-1675015.1857722998</v>
      </c>
    </row>
    <row r="36" spans="1:10" x14ac:dyDescent="0.2">
      <c r="A36" s="10">
        <v>45455</v>
      </c>
      <c r="B36">
        <v>0.897780001163482</v>
      </c>
      <c r="C36">
        <f t="shared" si="1"/>
        <v>1.3384420117490414E-3</v>
      </c>
      <c r="D36">
        <f t="shared" si="0"/>
        <v>0.82984922043281695</v>
      </c>
      <c r="E36" s="36">
        <f>TSIR!X37*D36</f>
        <v>79.862305883246748</v>
      </c>
      <c r="F36" s="36">
        <f>TSIR!Y37*D36</f>
        <v>86.057084252038564</v>
      </c>
      <c r="G36" s="36">
        <f>TSIR!Z37*D36</f>
        <v>76.343622280568965</v>
      </c>
      <c r="H36" s="89">
        <f>E36*FI_Portfolio!$B$4+FI_Portfolio!$B$5*F36+FI_Portfolio!$B$6*G36</f>
        <v>336013474.51071155</v>
      </c>
      <c r="I36" s="34">
        <f>H36-TSIR!$AM$5*$B$252</f>
        <v>1451962.989962399</v>
      </c>
      <c r="J36" s="36">
        <v>-1654102.6255238652</v>
      </c>
    </row>
    <row r="37" spans="1:10" x14ac:dyDescent="0.2">
      <c r="A37" s="10">
        <v>45456</v>
      </c>
      <c r="B37">
        <v>0.89425998926162698</v>
      </c>
      <c r="C37">
        <f t="shared" si="1"/>
        <v>-3.9207956262038435E-3</v>
      </c>
      <c r="D37">
        <f t="shared" si="0"/>
        <v>0.82549067983273983</v>
      </c>
      <c r="E37" s="36">
        <f>TSIR!X38*D37</f>
        <v>79.458146099984589</v>
      </c>
      <c r="F37" s="36">
        <f>TSIR!Y38*D37</f>
        <v>85.539103671742879</v>
      </c>
      <c r="G37" s="36">
        <f>TSIR!Z38*D37</f>
        <v>75.908490374358919</v>
      </c>
      <c r="H37" s="89">
        <f>E37*FI_Portfolio!$B$4+FI_Portfolio!$B$5*F37+FI_Portfolio!$B$6*G37</f>
        <v>334241598.18979055</v>
      </c>
      <c r="I37" s="34">
        <f>H37-TSIR!$AM$5*$B$252</f>
        <v>-319913.33095860481</v>
      </c>
      <c r="J37" s="36">
        <v>-1629058.0108399391</v>
      </c>
    </row>
    <row r="38" spans="1:10" x14ac:dyDescent="0.2">
      <c r="A38" s="10">
        <v>45457</v>
      </c>
      <c r="B38">
        <v>0.89393001794814997</v>
      </c>
      <c r="C38">
        <f t="shared" si="1"/>
        <v>-3.6898812139574133E-4</v>
      </c>
      <c r="D38">
        <f t="shared" si="0"/>
        <v>0.82843420478427454</v>
      </c>
      <c r="E38" s="36">
        <f>TSIR!X39*D38</f>
        <v>79.695450195697404</v>
      </c>
      <c r="F38" s="36">
        <f>TSIR!Y39*D38</f>
        <v>85.724638332363483</v>
      </c>
      <c r="G38" s="36">
        <f>TSIR!Z39*D38</f>
        <v>75.969266246104723</v>
      </c>
      <c r="H38" s="89">
        <f>E38*FI_Portfolio!$B$4+FI_Portfolio!$B$5*F38+FI_Portfolio!$B$6*G38</f>
        <v>334681007.87726843</v>
      </c>
      <c r="I38" s="34">
        <f>H38-TSIR!$AM$5*$B$252</f>
        <v>119496.35651928186</v>
      </c>
      <c r="J38" s="36">
        <v>-1605640.3434659839</v>
      </c>
    </row>
    <row r="39" spans="1:10" x14ac:dyDescent="0.2">
      <c r="A39" s="10">
        <v>45460</v>
      </c>
      <c r="B39">
        <v>0.89073002338409402</v>
      </c>
      <c r="C39">
        <f t="shared" si="1"/>
        <v>-3.5796924812984132E-3</v>
      </c>
      <c r="D39">
        <f t="shared" si="0"/>
        <v>0.82577336565304882</v>
      </c>
      <c r="E39" s="36">
        <f>TSIR!X40*D39</f>
        <v>79.408920632084687</v>
      </c>
      <c r="F39" s="36">
        <f>TSIR!Y40*D39</f>
        <v>85.217053085950781</v>
      </c>
      <c r="G39" s="36">
        <f>TSIR!Z40*D39</f>
        <v>75.379203695047792</v>
      </c>
      <c r="H39" s="89">
        <f>E39*FI_Portfolio!$B$4+FI_Portfolio!$B$5*F39+FI_Portfolio!$B$6*G39</f>
        <v>332509076.41543436</v>
      </c>
      <c r="I39" s="34">
        <f>H39-TSIR!$AM$5*$B$252</f>
        <v>-2052435.1053147912</v>
      </c>
      <c r="J39" s="36">
        <v>-1587664.8037913442</v>
      </c>
    </row>
    <row r="40" spans="1:10" x14ac:dyDescent="0.2">
      <c r="A40" s="10">
        <v>45461</v>
      </c>
      <c r="B40">
        <v>0.888300001621246</v>
      </c>
      <c r="C40">
        <f t="shared" si="1"/>
        <v>-2.7281237850451667E-3</v>
      </c>
      <c r="D40">
        <f t="shared" si="0"/>
        <v>0.82647909469438174</v>
      </c>
      <c r="E40" s="36">
        <f>TSIR!X41*D40</f>
        <v>79.522668593705561</v>
      </c>
      <c r="F40" s="36">
        <f>TSIR!Y41*D40</f>
        <v>85.66176978983043</v>
      </c>
      <c r="G40" s="36">
        <f>TSIR!Z41*D40</f>
        <v>75.929278692236494</v>
      </c>
      <c r="H40" s="89">
        <f>E40*FI_Portfolio!$B$4+FI_Portfolio!$B$5*F40+FI_Portfolio!$B$6*G40</f>
        <v>334269797.27161145</v>
      </c>
      <c r="I40" s="34">
        <f>H40-TSIR!$AM$5*$B$252</f>
        <v>-291714.2491376996</v>
      </c>
      <c r="J40" s="36">
        <v>-1573713.6246939301</v>
      </c>
    </row>
    <row r="41" spans="1:10" x14ac:dyDescent="0.2">
      <c r="A41" s="10">
        <v>45463</v>
      </c>
      <c r="B41">
        <v>0.88429999351501398</v>
      </c>
      <c r="C41">
        <f t="shared" si="1"/>
        <v>-4.5029923437257535E-3</v>
      </c>
      <c r="D41">
        <f t="shared" si="0"/>
        <v>0.82500819012506077</v>
      </c>
      <c r="E41" s="36">
        <f>TSIR!X42*D41</f>
        <v>79.358232986250556</v>
      </c>
      <c r="F41" s="36">
        <f>TSIR!Y42*D41</f>
        <v>85.301012764923087</v>
      </c>
      <c r="G41" s="36">
        <f>TSIR!Z42*D41</f>
        <v>75.517016095720663</v>
      </c>
      <c r="H41" s="89">
        <f>E41*FI_Portfolio!$B$4+FI_Portfolio!$B$5*F41+FI_Portfolio!$B$6*G41</f>
        <v>332833011.20799911</v>
      </c>
      <c r="I41" s="34">
        <f>H41-TSIR!$AM$5*$B$252</f>
        <v>-1728500.3127500415</v>
      </c>
      <c r="J41" s="36">
        <v>-1563507.6065201759</v>
      </c>
    </row>
    <row r="42" spans="1:10" x14ac:dyDescent="0.2">
      <c r="A42" s="10">
        <v>45464</v>
      </c>
      <c r="B42">
        <v>0.89148998260498002</v>
      </c>
      <c r="C42">
        <f t="shared" si="1"/>
        <v>8.1307125892724486E-3</v>
      </c>
      <c r="D42">
        <f t="shared" si="0"/>
        <v>0.83547824675123372</v>
      </c>
      <c r="E42" s="36">
        <f>TSIR!X43*D42</f>
        <v>80.373087710556391</v>
      </c>
      <c r="F42" s="36">
        <f>TSIR!Y43*D42</f>
        <v>86.430083010140606</v>
      </c>
      <c r="G42" s="36">
        <f>TSIR!Z43*D42</f>
        <v>76.545021177260921</v>
      </c>
      <c r="H42" s="89">
        <f>E42*FI_Portfolio!$B$4+FI_Portfolio!$B$5*F42+FI_Portfolio!$B$6*G42</f>
        <v>337281135.61494553</v>
      </c>
      <c r="I42" s="34">
        <f>H42-TSIR!$AM$5*$B$252</f>
        <v>2719624.0941963792</v>
      </c>
      <c r="J42" s="36">
        <v>-1562472.5470208526</v>
      </c>
    </row>
    <row r="43" spans="1:10" x14ac:dyDescent="0.2">
      <c r="A43" s="10">
        <v>45467</v>
      </c>
      <c r="B43">
        <v>0.89410001039505005</v>
      </c>
      <c r="C43">
        <f t="shared" si="1"/>
        <v>2.9277140977439498E-3</v>
      </c>
      <c r="D43">
        <f t="shared" si="0"/>
        <v>0.83116631378136441</v>
      </c>
      <c r="E43" s="36">
        <f>TSIR!X44*D43</f>
        <v>79.958279344046602</v>
      </c>
      <c r="F43" s="36">
        <f>TSIR!Y44*D43</f>
        <v>85.960686218184122</v>
      </c>
      <c r="G43" s="36">
        <f>TSIR!Z44*D43</f>
        <v>76.11555618103958</v>
      </c>
      <c r="H43" s="89">
        <f>E43*FI_Portfolio!$B$4+FI_Portfolio!$B$5*F43+FI_Portfolio!$B$6*G43</f>
        <v>335437754.08497536</v>
      </c>
      <c r="I43" s="34">
        <f>H43-TSIR!$AM$5*$B$252</f>
        <v>876242.56422621012</v>
      </c>
      <c r="J43" s="36">
        <v>-1532783.1217041016</v>
      </c>
    </row>
    <row r="44" spans="1:10" x14ac:dyDescent="0.2">
      <c r="A44" s="10">
        <v>45468</v>
      </c>
      <c r="B44">
        <v>0.89319002628326405</v>
      </c>
      <c r="C44">
        <f t="shared" si="1"/>
        <v>-1.0177654638253708E-3</v>
      </c>
      <c r="D44">
        <f t="shared" si="0"/>
        <v>0.82789653704950938</v>
      </c>
      <c r="E44" s="36">
        <f>TSIR!X45*D44</f>
        <v>79.643726507889312</v>
      </c>
      <c r="F44" s="36">
        <f>TSIR!Y45*D44</f>
        <v>85.672713079252048</v>
      </c>
      <c r="G44" s="36">
        <f>TSIR!Z45*D44</f>
        <v>75.920443678380337</v>
      </c>
      <c r="H44" s="89">
        <f>E44*FI_Portfolio!$B$4+FI_Portfolio!$B$5*F44+FI_Portfolio!$B$6*G44</f>
        <v>334460158.1104219</v>
      </c>
      <c r="I44" s="34">
        <f>H44-TSIR!$AM$5*$B$252</f>
        <v>-101353.41032725573</v>
      </c>
      <c r="J44" s="36">
        <v>-1532148.1328133941</v>
      </c>
    </row>
    <row r="45" spans="1:10" x14ac:dyDescent="0.2">
      <c r="A45" s="10">
        <v>45469</v>
      </c>
      <c r="B45">
        <v>0.89520001411437899</v>
      </c>
      <c r="C45">
        <f t="shared" si="1"/>
        <v>2.2503473751032121E-3</v>
      </c>
      <c r="D45">
        <f t="shared" si="0"/>
        <v>0.83060495288364311</v>
      </c>
      <c r="E45" s="36">
        <f>TSIR!X46*D45</f>
        <v>79.881222627778712</v>
      </c>
      <c r="F45" s="36">
        <f>TSIR!Y46*D45</f>
        <v>85.740024738096167</v>
      </c>
      <c r="G45" s="36">
        <f>TSIR!Z46*D45</f>
        <v>75.854239305689035</v>
      </c>
      <c r="H45" s="89">
        <f>E45*FI_Portfolio!$B$4+FI_Portfolio!$B$5*F45+FI_Portfolio!$B$6*G45</f>
        <v>334569365.37116933</v>
      </c>
      <c r="I45" s="34">
        <f>H45-TSIR!$AM$5*$B$252</f>
        <v>7853.8504201769829</v>
      </c>
      <c r="J45" s="36">
        <v>-1496690.8665817976</v>
      </c>
    </row>
    <row r="46" spans="1:10" x14ac:dyDescent="0.2">
      <c r="A46" s="10">
        <v>45470</v>
      </c>
      <c r="B46">
        <v>0.89670002460479703</v>
      </c>
      <c r="C46">
        <f t="shared" si="1"/>
        <v>1.6756149092580497E-3</v>
      </c>
      <c r="D46">
        <f t="shared" si="0"/>
        <v>0.83012864909989859</v>
      </c>
      <c r="E46" s="36">
        <f>TSIR!X47*D46</f>
        <v>79.881509728627663</v>
      </c>
      <c r="F46" s="36">
        <f>TSIR!Y47*D46</f>
        <v>85.968873381351187</v>
      </c>
      <c r="G46" s="36">
        <f>TSIR!Z47*D46</f>
        <v>76.159413849577561</v>
      </c>
      <c r="H46" s="89">
        <f>E46*FI_Portfolio!$B$4+FI_Portfolio!$B$5*F46+FI_Portfolio!$B$6*G46</f>
        <v>335447364.78353882</v>
      </c>
      <c r="I46" s="34">
        <f>H46-TSIR!$AM$5*$B$252</f>
        <v>885853.26278966665</v>
      </c>
      <c r="J46" s="36">
        <v>-1462504.1618540883</v>
      </c>
    </row>
    <row r="47" spans="1:10" x14ac:dyDescent="0.2">
      <c r="A47" s="10">
        <v>45471</v>
      </c>
      <c r="B47">
        <v>0.89851999282836903</v>
      </c>
      <c r="C47">
        <f t="shared" si="1"/>
        <v>2.0296288319765488E-3</v>
      </c>
      <c r="D47">
        <f t="shared" si="0"/>
        <v>0.83042203459821229</v>
      </c>
      <c r="E47" s="36">
        <f>TSIR!X48*D47</f>
        <v>79.894365460670784</v>
      </c>
      <c r="F47" s="36">
        <f>TSIR!Y48*D47</f>
        <v>85.838994990936143</v>
      </c>
      <c r="G47" s="36">
        <f>TSIR!Z48*D47</f>
        <v>75.944354212304319</v>
      </c>
      <c r="H47" s="89">
        <f>E47*FI_Portfolio!$B$4+FI_Portfolio!$B$5*F47+FI_Portfolio!$B$6*G47</f>
        <v>334807655.28415465</v>
      </c>
      <c r="I47" s="34">
        <f>H47-TSIR!$AM$5*$B$252</f>
        <v>246143.76340550184</v>
      </c>
      <c r="J47" s="36">
        <v>-1443550.2632504106</v>
      </c>
    </row>
    <row r="48" spans="1:10" x14ac:dyDescent="0.2">
      <c r="A48" s="10">
        <v>45474</v>
      </c>
      <c r="B48">
        <v>0.90020000934600797</v>
      </c>
      <c r="C48">
        <f t="shared" si="1"/>
        <v>1.8697597505321628E-3</v>
      </c>
      <c r="D48">
        <f t="shared" si="0"/>
        <v>0.83028954469565608</v>
      </c>
      <c r="E48" s="36">
        <f>TSIR!X49*D48</f>
        <v>79.866250932633321</v>
      </c>
      <c r="F48" s="36">
        <f>TSIR!Y49*D48</f>
        <v>85.753241365875311</v>
      </c>
      <c r="G48" s="36">
        <f>TSIR!Z49*D48</f>
        <v>75.691416248186769</v>
      </c>
      <c r="H48" s="89">
        <f>E48*FI_Portfolio!$B$4+FI_Portfolio!$B$5*F48+FI_Portfolio!$B$6*G48</f>
        <v>333868304.80920076</v>
      </c>
      <c r="I48" s="34">
        <f>H48-TSIR!$AM$5*$B$252</f>
        <v>-693206.711548388</v>
      </c>
      <c r="J48" s="36">
        <v>-1435166.8253575563</v>
      </c>
    </row>
    <row r="49" spans="1:10" x14ac:dyDescent="0.2">
      <c r="A49" s="10">
        <v>45475</v>
      </c>
      <c r="B49">
        <v>0.90315997600555398</v>
      </c>
      <c r="C49">
        <f t="shared" si="1"/>
        <v>3.2881211162132384E-3</v>
      </c>
      <c r="D49">
        <f t="shared" si="0"/>
        <v>0.83146499749385061</v>
      </c>
      <c r="E49" s="36">
        <f>TSIR!X50*D49</f>
        <v>80.010103684935601</v>
      </c>
      <c r="F49" s="36">
        <f>TSIR!Y50*D49</f>
        <v>86.108757172909364</v>
      </c>
      <c r="G49" s="36">
        <f>TSIR!Z50*D49</f>
        <v>76.350807578747123</v>
      </c>
      <c r="H49" s="89">
        <f>E49*FI_Portfolio!$B$4+FI_Portfolio!$B$5*F49+FI_Portfolio!$B$6*G49</f>
        <v>336260301.92549562</v>
      </c>
      <c r="I49" s="34">
        <f>H49-TSIR!$AM$5*$B$252</f>
        <v>1698790.4047464728</v>
      </c>
      <c r="J49" s="36">
        <v>-1431447.5171132088</v>
      </c>
    </row>
    <row r="50" spans="1:10" x14ac:dyDescent="0.2">
      <c r="A50" s="10">
        <v>45476</v>
      </c>
      <c r="B50">
        <v>0.90368998050689697</v>
      </c>
      <c r="C50">
        <f t="shared" si="1"/>
        <v>5.8683346851462481E-4</v>
      </c>
      <c r="D50">
        <f t="shared" si="0"/>
        <v>0.82922633236869681</v>
      </c>
      <c r="E50" s="36">
        <f>TSIR!X51*D50</f>
        <v>79.794681713692924</v>
      </c>
      <c r="F50" s="36">
        <f>TSIR!Y51*D50</f>
        <v>85.922072602885336</v>
      </c>
      <c r="G50" s="36">
        <f>TSIR!Z51*D50</f>
        <v>76.1813780486371</v>
      </c>
      <c r="H50" s="89">
        <f>E50*FI_Portfolio!$B$4+FI_Portfolio!$B$5*F50+FI_Portfolio!$B$6*G50</f>
        <v>335431766.71760625</v>
      </c>
      <c r="I50" s="34">
        <f>H50-TSIR!$AM$5*$B$252</f>
        <v>870255.19685709476</v>
      </c>
      <c r="J50" s="36">
        <v>-1419817.753159225</v>
      </c>
    </row>
    <row r="51" spans="1:10" x14ac:dyDescent="0.2">
      <c r="A51" s="10">
        <v>45478</v>
      </c>
      <c r="B51">
        <v>0.90025001764297397</v>
      </c>
      <c r="C51">
        <f t="shared" si="1"/>
        <v>-3.8065740885977473E-3</v>
      </c>
      <c r="D51">
        <f t="shared" si="0"/>
        <v>0.82558533978981552</v>
      </c>
      <c r="E51" s="36">
        <f>TSIR!X52*D51</f>
        <v>79.467257656157045</v>
      </c>
      <c r="F51" s="36">
        <f>TSIR!Y52*D51</f>
        <v>85.619382237920647</v>
      </c>
      <c r="G51" s="36">
        <f>TSIR!Z52*D51</f>
        <v>76.021667591619646</v>
      </c>
      <c r="H51" s="89">
        <f>E51*FI_Portfolio!$B$4+FI_Portfolio!$B$5*F51+FI_Portfolio!$B$6*G51</f>
        <v>334592112.32191169</v>
      </c>
      <c r="I51" s="34">
        <f>H51-TSIR!$AM$5*$B$252</f>
        <v>30600.801162540913</v>
      </c>
      <c r="J51" s="36">
        <v>-1412413.7934197783</v>
      </c>
    </row>
    <row r="52" spans="1:10" x14ac:dyDescent="0.2">
      <c r="A52" s="10">
        <v>45481</v>
      </c>
      <c r="B52">
        <v>0.89522999525070102</v>
      </c>
      <c r="C52">
        <f t="shared" si="1"/>
        <v>-5.5762535894376963E-3</v>
      </c>
      <c r="D52">
        <f t="shared" si="0"/>
        <v>0.82411873560028948</v>
      </c>
      <c r="E52" s="36">
        <f>TSIR!X53*D52</f>
        <v>79.272675606030148</v>
      </c>
      <c r="F52" s="36">
        <f>TSIR!Y53*D52</f>
        <v>85.230694109092653</v>
      </c>
      <c r="G52" s="36">
        <f>TSIR!Z53*D52</f>
        <v>75.47082018443642</v>
      </c>
      <c r="H52" s="89">
        <f>E52*FI_Portfolio!$B$4+FI_Portfolio!$B$5*F52+FI_Portfolio!$B$6*G52</f>
        <v>332582590.78616703</v>
      </c>
      <c r="I52" s="34">
        <f>H52-TSIR!$AM$5*$B$252</f>
        <v>-1978920.7345821261</v>
      </c>
      <c r="J52" s="36">
        <v>-1383114.1799252629</v>
      </c>
    </row>
    <row r="53" spans="1:10" x14ac:dyDescent="0.2">
      <c r="A53" s="10">
        <v>45482</v>
      </c>
      <c r="B53">
        <v>0.89780998229980402</v>
      </c>
      <c r="C53">
        <f t="shared" si="1"/>
        <v>2.8819265024520035E-3</v>
      </c>
      <c r="D53">
        <f t="shared" si="0"/>
        <v>0.83112836776964205</v>
      </c>
      <c r="E53" s="36">
        <f>TSIR!X54*D53</f>
        <v>79.931560662593</v>
      </c>
      <c r="F53" s="36">
        <f>TSIR!Y54*D53</f>
        <v>86.046735595304483</v>
      </c>
      <c r="G53" s="36">
        <f>TSIR!Z54*D53</f>
        <v>76.113291387324097</v>
      </c>
      <c r="H53" s="89">
        <f>E53*FI_Portfolio!$B$4+FI_Portfolio!$B$5*F53+FI_Portfolio!$B$6*G53</f>
        <v>335246183.48152566</v>
      </c>
      <c r="I53" s="34">
        <f>H53-TSIR!$AM$5*$B$252</f>
        <v>684671.96077650785</v>
      </c>
      <c r="J53" s="36">
        <v>-1376686.7802999616</v>
      </c>
    </row>
    <row r="54" spans="1:10" x14ac:dyDescent="0.2">
      <c r="A54" s="10">
        <v>45483</v>
      </c>
      <c r="B54">
        <v>0.897400021553039</v>
      </c>
      <c r="C54">
        <f t="shared" si="1"/>
        <v>-4.5662306595750657E-4</v>
      </c>
      <c r="D54">
        <f t="shared" si="0"/>
        <v>0.82836157820031842</v>
      </c>
      <c r="E54" s="36">
        <f>TSIR!X55*D54</f>
        <v>79.696130286734487</v>
      </c>
      <c r="F54" s="36">
        <f>TSIR!Y55*D54</f>
        <v>85.671740710016749</v>
      </c>
      <c r="G54" s="36">
        <f>TSIR!Z55*D54</f>
        <v>75.893230192076999</v>
      </c>
      <c r="H54" s="89">
        <f>E54*FI_Portfolio!$B$4+FI_Portfolio!$B$5*F54+FI_Portfolio!$B$6*G54</f>
        <v>334457570.27675188</v>
      </c>
      <c r="I54" s="34">
        <f>H54-TSIR!$AM$5*$B$252</f>
        <v>-103941.24399727583</v>
      </c>
      <c r="J54" s="36">
        <v>-1372528.3985811472</v>
      </c>
    </row>
    <row r="55" spans="1:10" x14ac:dyDescent="0.2">
      <c r="A55" s="10">
        <v>45484</v>
      </c>
      <c r="B55">
        <v>0.89920002222061102</v>
      </c>
      <c r="C55">
        <f t="shared" si="1"/>
        <v>2.0057952132170875E-3</v>
      </c>
      <c r="D55">
        <f t="shared" si="0"/>
        <v>0.83040228272500161</v>
      </c>
      <c r="E55" s="36">
        <f>TSIR!X56*D55</f>
        <v>79.961702717862451</v>
      </c>
      <c r="F55" s="36">
        <f>TSIR!Y56*D55</f>
        <v>86.189197499979699</v>
      </c>
      <c r="G55" s="36">
        <f>TSIR!Z56*D55</f>
        <v>76.467519726019788</v>
      </c>
      <c r="H55" s="89">
        <f>E55*FI_Portfolio!$B$4+FI_Portfolio!$B$5*F55+FI_Portfolio!$B$6*G55</f>
        <v>336509688.08983451</v>
      </c>
      <c r="I55" s="34">
        <f>H55-TSIR!$AM$5*$B$252</f>
        <v>1948176.5690853596</v>
      </c>
      <c r="J55" s="36">
        <v>-1365423.885946095</v>
      </c>
    </row>
    <row r="56" spans="1:10" x14ac:dyDescent="0.2">
      <c r="A56" s="10">
        <v>45485</v>
      </c>
      <c r="B56">
        <v>0.89603000879287698</v>
      </c>
      <c r="C56">
        <f t="shared" si="1"/>
        <v>-3.5253707177470561E-3</v>
      </c>
      <c r="D56">
        <f t="shared" si="0"/>
        <v>0.82581838427137433</v>
      </c>
      <c r="E56" s="36">
        <f>TSIR!X57*D56</f>
        <v>79.474389786485844</v>
      </c>
      <c r="F56" s="36">
        <f>TSIR!Y57*D56</f>
        <v>85.525842143333008</v>
      </c>
      <c r="G56" s="36">
        <f>TSIR!Z57*D56</f>
        <v>75.767117439826052</v>
      </c>
      <c r="H56" s="89">
        <f>E56*FI_Portfolio!$B$4+FI_Portfolio!$B$5*F56+FI_Portfolio!$B$6*G56</f>
        <v>333728486.11727643</v>
      </c>
      <c r="I56" s="34">
        <f>H56-TSIR!$AM$5*$B$252</f>
        <v>-833025.40347272158</v>
      </c>
      <c r="J56" s="36">
        <v>-1334150.4539307356</v>
      </c>
    </row>
    <row r="57" spans="1:10" x14ac:dyDescent="0.2">
      <c r="A57" s="10">
        <v>45488</v>
      </c>
      <c r="B57">
        <v>0.89688998460769598</v>
      </c>
      <c r="C57">
        <f t="shared" si="1"/>
        <v>9.597622918651183E-4</v>
      </c>
      <c r="D57">
        <f t="shared" si="0"/>
        <v>0.8295353934017603</v>
      </c>
      <c r="E57" s="36">
        <f>TSIR!X58*D57</f>
        <v>79.816741403036701</v>
      </c>
      <c r="F57" s="36">
        <f>TSIR!Y58*D57</f>
        <v>85.794267418923425</v>
      </c>
      <c r="G57" s="36">
        <f>TSIR!Z58*D57</f>
        <v>75.899707824278408</v>
      </c>
      <c r="H57" s="89">
        <f>E57*FI_Portfolio!$B$4+FI_Portfolio!$B$5*F57+FI_Portfolio!$B$6*G57</f>
        <v>334540912.9748019</v>
      </c>
      <c r="I57" s="34">
        <f>H57-TSIR!$AM$5*$B$252</f>
        <v>-20598.545947253704</v>
      </c>
      <c r="J57" s="36">
        <v>-1293598.7298793793</v>
      </c>
    </row>
    <row r="58" spans="1:10" x14ac:dyDescent="0.2">
      <c r="A58" s="10">
        <v>45489</v>
      </c>
      <c r="B58">
        <v>0.89547002315521196</v>
      </c>
      <c r="C58">
        <f t="shared" si="1"/>
        <v>-1.5832058299827256E-3</v>
      </c>
      <c r="D58">
        <f t="shared" si="0"/>
        <v>0.82742793400046011</v>
      </c>
      <c r="E58" s="36">
        <f>TSIR!X59*D58</f>
        <v>79.598646849491104</v>
      </c>
      <c r="F58" s="36">
        <f>TSIR!Y59*D58</f>
        <v>85.64301099381737</v>
      </c>
      <c r="G58" s="36">
        <f>TSIR!Z59*D58</f>
        <v>75.945232362405704</v>
      </c>
      <c r="H58" s="89">
        <f>E58*FI_Portfolio!$B$4+FI_Portfolio!$B$5*F58+FI_Portfolio!$B$6*G58</f>
        <v>334513706.65787899</v>
      </c>
      <c r="I58" s="34">
        <f>H58-TSIR!$AM$5*$B$252</f>
        <v>-47804.862870156765</v>
      </c>
      <c r="J58" s="36">
        <v>-1288077.4884342551</v>
      </c>
    </row>
    <row r="59" spans="1:10" x14ac:dyDescent="0.2">
      <c r="A59" s="10">
        <v>45490</v>
      </c>
      <c r="B59">
        <v>0.89322000741958596</v>
      </c>
      <c r="C59">
        <f t="shared" si="1"/>
        <v>-2.5126644973529899E-3</v>
      </c>
      <c r="D59">
        <f t="shared" si="0"/>
        <v>0.82665765442446371</v>
      </c>
      <c r="E59" s="36">
        <f>TSIR!X60*D59</f>
        <v>79.524545880179289</v>
      </c>
      <c r="F59" s="36">
        <f>TSIR!Y60*D59</f>
        <v>85.563283129329562</v>
      </c>
      <c r="G59" s="36">
        <f>TSIR!Z60*D59</f>
        <v>75.806307981653376</v>
      </c>
      <c r="H59" s="89">
        <f>E59*FI_Portfolio!$B$4+FI_Portfolio!$B$5*F59+FI_Portfolio!$B$6*G59</f>
        <v>333929398.99297774</v>
      </c>
      <c r="I59" s="34">
        <f>H59-TSIR!$AM$5*$B$252</f>
        <v>-632112.52777141333</v>
      </c>
      <c r="J59" s="36">
        <v>-1186015.0088350177</v>
      </c>
    </row>
    <row r="60" spans="1:10" x14ac:dyDescent="0.2">
      <c r="A60" s="10">
        <v>45491</v>
      </c>
      <c r="B60">
        <v>0.88235002756118697</v>
      </c>
      <c r="C60">
        <f t="shared" si="1"/>
        <v>-1.2169431683243581E-2</v>
      </c>
      <c r="D60">
        <f t="shared" si="0"/>
        <v>0.8186547051868287</v>
      </c>
      <c r="E60" s="36">
        <f>TSIR!X61*D60</f>
        <v>78.747085916393672</v>
      </c>
      <c r="F60" s="36">
        <f>TSIR!Y61*D60</f>
        <v>84.575247339401997</v>
      </c>
      <c r="G60" s="36">
        <f>TSIR!Z61*D60</f>
        <v>74.866073590404568</v>
      </c>
      <c r="H60" s="89">
        <f>E60*FI_Portfolio!$B$4+FI_Portfolio!$B$5*F60+FI_Portfolio!$B$6*G60</f>
        <v>330095595.18530262</v>
      </c>
      <c r="I60" s="34">
        <f>H60-TSIR!$AM$5*$B$252</f>
        <v>-4465916.3354465365</v>
      </c>
      <c r="J60" s="36">
        <v>-1175567.8106076717</v>
      </c>
    </row>
    <row r="61" spans="1:10" x14ac:dyDescent="0.2">
      <c r="A61" s="10">
        <v>45492</v>
      </c>
      <c r="B61">
        <v>0.88730001449584905</v>
      </c>
      <c r="C61">
        <f t="shared" si="1"/>
        <v>5.6100037173951733E-3</v>
      </c>
      <c r="D61">
        <f t="shared" si="0"/>
        <v>0.83338923448075408</v>
      </c>
      <c r="E61" s="36">
        <f>TSIR!X62*D61</f>
        <v>80.164412704959034</v>
      </c>
      <c r="F61" s="36">
        <f>TSIR!Y62*D61</f>
        <v>86.120827013770693</v>
      </c>
      <c r="G61" s="36">
        <f>TSIR!Z62*D61</f>
        <v>76.180142704668924</v>
      </c>
      <c r="H61" s="89">
        <f>E61*FI_Portfolio!$B$4+FI_Portfolio!$B$5*F61+FI_Portfolio!$B$6*G61</f>
        <v>335868155.70793772</v>
      </c>
      <c r="I61" s="34">
        <f>H61-TSIR!$AM$5*$B$252</f>
        <v>1306644.1871885657</v>
      </c>
      <c r="J61" s="36">
        <v>-1173445.9368779659</v>
      </c>
    </row>
    <row r="62" spans="1:10" x14ac:dyDescent="0.2">
      <c r="A62" s="10">
        <v>45495</v>
      </c>
      <c r="B62">
        <v>0.88801002502441395</v>
      </c>
      <c r="C62">
        <f t="shared" si="1"/>
        <v>8.0019217509907925E-4</v>
      </c>
      <c r="D62">
        <f t="shared" si="0"/>
        <v>0.82940315126319164</v>
      </c>
      <c r="E62" s="36">
        <f>TSIR!X63*D62</f>
        <v>79.780988001461296</v>
      </c>
      <c r="F62" s="36">
        <f>TSIR!Y63*D62</f>
        <v>85.777953093676715</v>
      </c>
      <c r="G62" s="36">
        <f>TSIR!Z63*D62</f>
        <v>75.953056715685392</v>
      </c>
      <c r="H62" s="89">
        <f>E62*FI_Portfolio!$B$4+FI_Portfolio!$B$5*F62+FI_Portfolio!$B$6*G62</f>
        <v>334707273.2251491</v>
      </c>
      <c r="I62" s="34">
        <f>H62-TSIR!$AM$5*$B$252</f>
        <v>145761.70439994335</v>
      </c>
      <c r="J62" s="36">
        <v>-1159509.7222396731</v>
      </c>
    </row>
    <row r="63" spans="1:10" x14ac:dyDescent="0.2">
      <c r="A63" s="10">
        <v>45496</v>
      </c>
      <c r="B63">
        <v>0.88950002193450906</v>
      </c>
      <c r="C63">
        <f t="shared" si="1"/>
        <v>1.6779055056885817E-3</v>
      </c>
      <c r="D63">
        <f t="shared" si="0"/>
        <v>0.83013054740878434</v>
      </c>
      <c r="E63" s="36">
        <f>TSIR!X64*D63</f>
        <v>79.881692398843768</v>
      </c>
      <c r="F63" s="36">
        <f>TSIR!Y64*D63</f>
        <v>85.953182179220789</v>
      </c>
      <c r="G63" s="36">
        <f>TSIR!Z64*D63</f>
        <v>76.128318949878036</v>
      </c>
      <c r="H63" s="89">
        <f>E63*FI_Portfolio!$B$4+FI_Portfolio!$B$5*F63+FI_Portfolio!$B$6*G63</f>
        <v>335346887.32836848</v>
      </c>
      <c r="I63" s="34">
        <f>H63-TSIR!$AM$5*$B$252</f>
        <v>785375.80761933327</v>
      </c>
      <c r="J63" s="36">
        <v>-1152150.6791394353</v>
      </c>
    </row>
    <row r="64" spans="1:10" x14ac:dyDescent="0.2">
      <c r="A64" s="10">
        <v>45497</v>
      </c>
      <c r="B64">
        <v>0.89152002334594704</v>
      </c>
      <c r="C64">
        <f t="shared" si="1"/>
        <v>2.2709402604002005E-3</v>
      </c>
      <c r="D64">
        <f t="shared" si="0"/>
        <v>0.83062201903140409</v>
      </c>
      <c r="E64" s="36">
        <f>TSIR!X65*D64</f>
        <v>79.928985665069689</v>
      </c>
      <c r="F64" s="36">
        <f>TSIR!Y65*D64</f>
        <v>85.976257293316948</v>
      </c>
      <c r="G64" s="36">
        <f>TSIR!Z65*D64</f>
        <v>76.204036833310795</v>
      </c>
      <c r="H64" s="89">
        <f>E64*FI_Portfolio!$B$4+FI_Portfolio!$B$5*F64+FI_Portfolio!$B$6*G64</f>
        <v>335709732.72340715</v>
      </c>
      <c r="I64" s="34">
        <f>H64-TSIR!$AM$5*$B$252</f>
        <v>1148221.2026579976</v>
      </c>
      <c r="J64" s="36">
        <v>-1139096.8978652358</v>
      </c>
    </row>
    <row r="65" spans="1:10" x14ac:dyDescent="0.2">
      <c r="A65" s="10">
        <v>45498</v>
      </c>
      <c r="B65">
        <v>0.88502001762390103</v>
      </c>
      <c r="C65">
        <f t="shared" si="1"/>
        <v>-7.2909251074932957E-3</v>
      </c>
      <c r="D65">
        <f t="shared" si="0"/>
        <v>0.82269771872641606</v>
      </c>
      <c r="E65" s="36">
        <f>TSIR!X66*D65</f>
        <v>79.135986795538287</v>
      </c>
      <c r="F65" s="36">
        <f>TSIR!Y66*D65</f>
        <v>85.059914493360338</v>
      </c>
      <c r="G65" s="36">
        <f>TSIR!Z66*D65</f>
        <v>75.338502215142</v>
      </c>
      <c r="H65" s="89">
        <f>E65*FI_Portfolio!$B$4+FI_Portfolio!$B$5*F65+FI_Portfolio!$B$6*G65</f>
        <v>332036110.71160406</v>
      </c>
      <c r="I65" s="34">
        <f>H65-TSIR!$AM$5*$B$252</f>
        <v>-2525400.809145093</v>
      </c>
      <c r="J65" s="36">
        <v>-1092830.3905082345</v>
      </c>
    </row>
    <row r="66" spans="1:10" x14ac:dyDescent="0.2">
      <c r="A66" s="10">
        <v>45499</v>
      </c>
      <c r="B66">
        <v>0.88063997030258101</v>
      </c>
      <c r="C66">
        <f t="shared" si="1"/>
        <v>-4.9490940703008635E-3</v>
      </c>
      <c r="D66">
        <f t="shared" si="0"/>
        <v>0.8246384877801789</v>
      </c>
      <c r="E66" s="36">
        <f>TSIR!X67*D66</f>
        <v>79.36083993650071</v>
      </c>
      <c r="F66" s="36">
        <f>TSIR!Y67*D66</f>
        <v>85.448554002820714</v>
      </c>
      <c r="G66" s="36">
        <f>TSIR!Z67*D66</f>
        <v>75.794466172757964</v>
      </c>
      <c r="H66" s="89">
        <f>E66*FI_Portfolio!$B$4+FI_Portfolio!$B$5*F66+FI_Portfolio!$B$6*G66</f>
        <v>333726713.55980223</v>
      </c>
      <c r="I66" s="34">
        <f>H66-TSIR!$AM$5*$B$252</f>
        <v>-834797.96094691753</v>
      </c>
      <c r="J66" s="36">
        <v>-1013716.4303494692</v>
      </c>
    </row>
    <row r="67" spans="1:10" x14ac:dyDescent="0.2">
      <c r="A67" s="10">
        <v>45502</v>
      </c>
      <c r="B67">
        <v>0.88429999351501398</v>
      </c>
      <c r="C67">
        <f t="shared" si="1"/>
        <v>4.1560948127024044E-3</v>
      </c>
      <c r="D67">
        <f t="shared" ref="D67:D130" si="2">$B$252*(1+C67)</f>
        <v>0.83218432201507897</v>
      </c>
      <c r="E67" s="36">
        <f>TSIR!X68*D67</f>
        <v>80.056211834062424</v>
      </c>
      <c r="F67" s="36">
        <f>TSIR!Y68*D67</f>
        <v>86.111947124686836</v>
      </c>
      <c r="G67" s="36">
        <f>TSIR!Z68*D67</f>
        <v>76.278974654884308</v>
      </c>
      <c r="H67" s="89">
        <f>E67*FI_Portfolio!$B$4+FI_Portfolio!$B$5*F67+FI_Portfolio!$B$6*G67</f>
        <v>336060401.60063183</v>
      </c>
      <c r="I67" s="34">
        <f>H67-TSIR!$AM$5*$B$252</f>
        <v>1498890.0798826814</v>
      </c>
      <c r="J67" s="36">
        <v>-992693.38983553648</v>
      </c>
    </row>
    <row r="68" spans="1:10" x14ac:dyDescent="0.2">
      <c r="A68" s="10">
        <v>45503</v>
      </c>
      <c r="B68">
        <v>0.886099994182586</v>
      </c>
      <c r="C68">
        <f t="shared" ref="C68:C131" si="3">B68/B67-1</f>
        <v>2.0355090815020738E-3</v>
      </c>
      <c r="D68">
        <f t="shared" si="2"/>
        <v>0.83042690779620409</v>
      </c>
      <c r="E68" s="36">
        <f>TSIR!X69*D68</f>
        <v>79.894834307889553</v>
      </c>
      <c r="F68" s="36">
        <f>TSIR!Y69*D68</f>
        <v>85.976394084376949</v>
      </c>
      <c r="G68" s="36">
        <f>TSIR!Z69*D68</f>
        <v>76.152971484425848</v>
      </c>
      <c r="H68" s="89">
        <f>E68*FI_Portfolio!$B$4+FI_Portfolio!$B$5*F68+FI_Portfolio!$B$6*G68</f>
        <v>335436963.42691708</v>
      </c>
      <c r="I68" s="34">
        <f>H68-TSIR!$AM$5*$B$252</f>
        <v>875451.9061679244</v>
      </c>
      <c r="J68" s="36">
        <v>-984131.05668312311</v>
      </c>
    </row>
    <row r="69" spans="1:10" x14ac:dyDescent="0.2">
      <c r="A69" s="10">
        <v>45504</v>
      </c>
      <c r="B69">
        <v>0.88203001022338801</v>
      </c>
      <c r="C69">
        <f t="shared" si="3"/>
        <v>-4.5931429702270599E-3</v>
      </c>
      <c r="D69">
        <f t="shared" si="2"/>
        <v>0.82493347869485401</v>
      </c>
      <c r="E69" s="36">
        <f>TSIR!X70*D69</f>
        <v>79.39686994175689</v>
      </c>
      <c r="F69" s="36">
        <f>TSIR!Y70*D69</f>
        <v>85.480242901011991</v>
      </c>
      <c r="G69" s="36">
        <f>TSIR!Z70*D69</f>
        <v>75.788586283159546</v>
      </c>
      <c r="H69" s="89">
        <f>E69*FI_Portfolio!$B$4+FI_Portfolio!$B$5*F69+FI_Portfolio!$B$6*G69</f>
        <v>333727720.66463393</v>
      </c>
      <c r="I69" s="34">
        <f>H69-TSIR!$AM$5*$B$252</f>
        <v>-833790.85611522198</v>
      </c>
      <c r="J69" s="36">
        <v>-965877.1970320344</v>
      </c>
    </row>
    <row r="70" spans="1:10" x14ac:dyDescent="0.2">
      <c r="A70" s="10">
        <v>45505</v>
      </c>
      <c r="B70">
        <v>0.87813997268676702</v>
      </c>
      <c r="C70">
        <f t="shared" si="3"/>
        <v>-4.410323335410915E-3</v>
      </c>
      <c r="D70">
        <f t="shared" si="2"/>
        <v>0.82508498863901159</v>
      </c>
      <c r="E70" s="36">
        <f>TSIR!X71*D70</f>
        <v>79.457337118548878</v>
      </c>
      <c r="F70" s="36">
        <f>TSIR!Y71*D70</f>
        <v>85.683499644731029</v>
      </c>
      <c r="G70" s="36">
        <f>TSIR!Z71*D70</f>
        <v>76.047848654137027</v>
      </c>
      <c r="H70" s="89">
        <f>E70*FI_Portfolio!$B$4+FI_Portfolio!$B$5*F70+FI_Portfolio!$B$6*G70</f>
        <v>334580819.38654935</v>
      </c>
      <c r="I70" s="34">
        <f>H70-TSIR!$AM$5*$B$252</f>
        <v>19307.865800201893</v>
      </c>
      <c r="J70" s="36">
        <v>-916168.03541976213</v>
      </c>
    </row>
    <row r="71" spans="1:10" x14ac:dyDescent="0.2">
      <c r="A71" s="10">
        <v>45506</v>
      </c>
      <c r="B71">
        <v>0.87290000915527299</v>
      </c>
      <c r="C71">
        <f t="shared" si="3"/>
        <v>-5.9671165127146431E-3</v>
      </c>
      <c r="D71">
        <f t="shared" si="2"/>
        <v>0.82379481186125292</v>
      </c>
      <c r="E71" s="36">
        <f>TSIR!X72*D71</f>
        <v>79.470848144052965</v>
      </c>
      <c r="F71" s="36">
        <f>TSIR!Y72*D71</f>
        <v>85.83827331297492</v>
      </c>
      <c r="G71" s="36">
        <f>TSIR!Z72*D71</f>
        <v>76.251745303777412</v>
      </c>
      <c r="H71" s="89">
        <f>E71*FI_Portfolio!$B$4+FI_Portfolio!$B$5*F71+FI_Portfolio!$B$6*G71</f>
        <v>335191267.53375322</v>
      </c>
      <c r="I71" s="34">
        <f>H71-TSIR!$AM$5*$B$252</f>
        <v>629756.01300406456</v>
      </c>
      <c r="J71" s="36">
        <v>-846218.49717062712</v>
      </c>
    </row>
    <row r="72" spans="1:10" x14ac:dyDescent="0.2">
      <c r="A72" s="10">
        <v>45509</v>
      </c>
      <c r="B72">
        <v>0.85610002279281605</v>
      </c>
      <c r="C72">
        <f t="shared" si="3"/>
        <v>-1.9246175032939572E-2</v>
      </c>
      <c r="D72">
        <f t="shared" si="2"/>
        <v>0.81278992490320168</v>
      </c>
      <c r="E72" s="36">
        <f>TSIR!X73*D72</f>
        <v>78.182947759061335</v>
      </c>
      <c r="F72" s="36">
        <f>TSIR!Y73*D72</f>
        <v>84.059791606984163</v>
      </c>
      <c r="G72" s="36">
        <f>TSIR!Z73*D72</f>
        <v>74.468214460735325</v>
      </c>
      <c r="H72" s="89">
        <f>E72*FI_Portfolio!$B$4+FI_Portfolio!$B$5*F72+FI_Portfolio!$B$6*G72</f>
        <v>328149065.95058775</v>
      </c>
      <c r="I72" s="34">
        <f>H72-TSIR!$AM$5*$B$252</f>
        <v>-6412445.5701614022</v>
      </c>
      <c r="J72" s="36">
        <v>-845879.22488415241</v>
      </c>
    </row>
    <row r="73" spans="1:10" x14ac:dyDescent="0.2">
      <c r="A73" s="10">
        <v>45510</v>
      </c>
      <c r="B73">
        <v>0.85483002662658603</v>
      </c>
      <c r="C73">
        <f t="shared" si="3"/>
        <v>-1.4834670393851779E-3</v>
      </c>
      <c r="D73">
        <f t="shared" si="2"/>
        <v>0.82751059152577999</v>
      </c>
      <c r="E73" s="36">
        <f>TSIR!X74*D73</f>
        <v>79.514806526931878</v>
      </c>
      <c r="F73" s="36">
        <f>TSIR!Y74*D73</f>
        <v>85.481504346417424</v>
      </c>
      <c r="G73" s="36">
        <f>TSIR!Z74*D73</f>
        <v>75.435465785963331</v>
      </c>
      <c r="H73" s="89">
        <f>E73*FI_Portfolio!$B$4+FI_Portfolio!$B$5*F73+FI_Portfolio!$B$6*G73</f>
        <v>332549219.67809093</v>
      </c>
      <c r="I73" s="34">
        <f>H73-TSIR!$AM$5*$B$252</f>
        <v>-2012291.8426582217</v>
      </c>
      <c r="J73" s="36">
        <v>-834797.96094691753</v>
      </c>
    </row>
    <row r="74" spans="1:10" x14ac:dyDescent="0.2">
      <c r="A74" s="10">
        <v>45511</v>
      </c>
      <c r="B74">
        <v>0.85255002975463801</v>
      </c>
      <c r="C74">
        <f t="shared" si="3"/>
        <v>-2.6671932441886259E-3</v>
      </c>
      <c r="D74">
        <f t="shared" si="2"/>
        <v>0.82652959027081119</v>
      </c>
      <c r="E74" s="36">
        <f>TSIR!X75*D74</f>
        <v>79.519875915991065</v>
      </c>
      <c r="F74" s="36">
        <f>TSIR!Y75*D74</f>
        <v>85.391786268141189</v>
      </c>
      <c r="G74" s="36">
        <f>TSIR!Z75*D74</f>
        <v>75.519163992318681</v>
      </c>
      <c r="H74" s="89">
        <f>E74*FI_Portfolio!$B$4+FI_Portfolio!$B$5*F74+FI_Portfolio!$B$6*G74</f>
        <v>333028728.39904505</v>
      </c>
      <c r="I74" s="34">
        <f>H74-TSIR!$AM$5*$B$252</f>
        <v>-1532783.1217041016</v>
      </c>
      <c r="J74" s="36">
        <v>-833790.85611522198</v>
      </c>
    </row>
    <row r="75" spans="1:10" x14ac:dyDescent="0.2">
      <c r="A75" s="10">
        <v>45512</v>
      </c>
      <c r="B75">
        <v>0.85926997661590498</v>
      </c>
      <c r="C75">
        <f t="shared" si="3"/>
        <v>7.8821730417404368E-3</v>
      </c>
      <c r="D75">
        <f t="shared" si="2"/>
        <v>0.83527227208661203</v>
      </c>
      <c r="E75" s="36">
        <f>TSIR!X76*D75</f>
        <v>80.330089640951329</v>
      </c>
      <c r="F75" s="36">
        <f>TSIR!Y76*D75</f>
        <v>86.291236077731639</v>
      </c>
      <c r="G75" s="36">
        <f>TSIR!Z76*D75</f>
        <v>76.384794896796336</v>
      </c>
      <c r="H75" s="89">
        <f>E75*FI_Portfolio!$B$4+FI_Portfolio!$B$5*F75+FI_Portfolio!$B$6*G75</f>
        <v>336762504.75249052</v>
      </c>
      <c r="I75" s="34">
        <f>H75-TSIR!$AM$5*$B$252</f>
        <v>2200993.2317413688</v>
      </c>
      <c r="J75" s="36">
        <v>-833025.40347272158</v>
      </c>
    </row>
    <row r="76" spans="1:10" x14ac:dyDescent="0.2">
      <c r="A76" s="10">
        <v>45513</v>
      </c>
      <c r="B76">
        <v>0.86685001850128096</v>
      </c>
      <c r="C76">
        <f t="shared" si="3"/>
        <v>8.821490441489388E-3</v>
      </c>
      <c r="D76">
        <f t="shared" si="2"/>
        <v>0.83605072198847996</v>
      </c>
      <c r="E76" s="36">
        <f>TSIR!X77*D76</f>
        <v>80.412688466719246</v>
      </c>
      <c r="F76" s="36">
        <f>TSIR!Y77*D76</f>
        <v>86.48778316544329</v>
      </c>
      <c r="G76" s="36">
        <f>TSIR!Z77*D76</f>
        <v>76.699290426770006</v>
      </c>
      <c r="H76" s="89">
        <f>E76*FI_Portfolio!$B$4+FI_Portfolio!$B$5*F76+FI_Portfolio!$B$6*G76</f>
        <v>337890863.89235353</v>
      </c>
      <c r="I76" s="34">
        <f>H76-TSIR!$AM$5*$B$252</f>
        <v>3329352.371604383</v>
      </c>
      <c r="J76" s="36">
        <v>-828627.57721418142</v>
      </c>
    </row>
    <row r="77" spans="1:10" x14ac:dyDescent="0.2">
      <c r="A77" s="10">
        <v>45516</v>
      </c>
      <c r="B77">
        <v>0.86504000425338701</v>
      </c>
      <c r="C77">
        <f t="shared" si="3"/>
        <v>-2.0880362337920566E-3</v>
      </c>
      <c r="D77">
        <f t="shared" si="2"/>
        <v>0.82700956085160715</v>
      </c>
      <c r="E77" s="36">
        <f>TSIR!X78*D77</f>
        <v>79.58136651766813</v>
      </c>
      <c r="F77" s="36">
        <f>TSIR!Y78*D77</f>
        <v>85.64808164071728</v>
      </c>
      <c r="G77" s="36">
        <f>TSIR!Z78*D77</f>
        <v>75.942883380037941</v>
      </c>
      <c r="H77" s="89">
        <f>E77*FI_Portfolio!$B$4+FI_Portfolio!$B$5*F77+FI_Portfolio!$B$6*G77</f>
        <v>334462144.09441209</v>
      </c>
      <c r="I77" s="34">
        <f>H77-TSIR!$AM$5*$B$252</f>
        <v>-99367.426337063313</v>
      </c>
      <c r="J77" s="36">
        <v>-813507.29760485888</v>
      </c>
    </row>
    <row r="78" spans="1:10" x14ac:dyDescent="0.2">
      <c r="A78" s="10">
        <v>45517</v>
      </c>
      <c r="B78">
        <v>0.86473000049590998</v>
      </c>
      <c r="C78">
        <f t="shared" si="3"/>
        <v>-3.5836927304255806E-4</v>
      </c>
      <c r="D78">
        <f t="shared" si="2"/>
        <v>0.82844300504865875</v>
      </c>
      <c r="E78" s="36">
        <f>TSIR!X79*D78</f>
        <v>79.75000048600873</v>
      </c>
      <c r="F78" s="36">
        <f>TSIR!Y79*D78</f>
        <v>85.86872790734509</v>
      </c>
      <c r="G78" s="36">
        <f>TSIR!Z79*D78</f>
        <v>76.146709171100809</v>
      </c>
      <c r="H78" s="89">
        <f>E78*FI_Portfolio!$B$4+FI_Portfolio!$B$5*F78+FI_Portfolio!$B$6*G78</f>
        <v>335283745.79540306</v>
      </c>
      <c r="I78" s="34">
        <f>H78-TSIR!$AM$5*$B$252</f>
        <v>722234.27465391159</v>
      </c>
      <c r="J78" s="36">
        <v>-695585.90929365158</v>
      </c>
    </row>
    <row r="79" spans="1:10" x14ac:dyDescent="0.2">
      <c r="A79" s="10">
        <v>45518</v>
      </c>
      <c r="B79">
        <v>0.86505001783370905</v>
      </c>
      <c r="C79">
        <f t="shared" si="3"/>
        <v>3.7007775561792577E-4</v>
      </c>
      <c r="D79">
        <f t="shared" si="2"/>
        <v>0.82904669823919086</v>
      </c>
      <c r="E79" s="36">
        <f>TSIR!X80*D79</f>
        <v>79.739030320206879</v>
      </c>
      <c r="F79" s="36">
        <f>TSIR!Y80*D79</f>
        <v>85.740704749904637</v>
      </c>
      <c r="G79" s="36">
        <f>TSIR!Z80*D79</f>
        <v>75.989633125187041</v>
      </c>
      <c r="H79" s="89">
        <f>E79*FI_Portfolio!$B$4+FI_Portfolio!$B$5*F79+FI_Portfolio!$B$6*G79</f>
        <v>334825536.01630497</v>
      </c>
      <c r="I79" s="34">
        <f>H79-TSIR!$AM$5*$B$252</f>
        <v>264024.49555581808</v>
      </c>
      <c r="J79" s="36">
        <v>-693206.711548388</v>
      </c>
    </row>
    <row r="80" spans="1:10" x14ac:dyDescent="0.2">
      <c r="A80" s="10">
        <v>45519</v>
      </c>
      <c r="B80">
        <v>0.86480599641799905</v>
      </c>
      <c r="C80">
        <f t="shared" si="3"/>
        <v>-2.8208937134188705E-4</v>
      </c>
      <c r="D80">
        <f t="shared" si="2"/>
        <v>0.8285062212543941</v>
      </c>
      <c r="E80" s="36">
        <f>TSIR!X81*D80</f>
        <v>79.625778111907167</v>
      </c>
      <c r="F80" s="36">
        <f>TSIR!Y81*D80</f>
        <v>85.380258055510893</v>
      </c>
      <c r="G80" s="36">
        <f>TSIR!Z81*D80</f>
        <v>75.487223715771989</v>
      </c>
      <c r="H80" s="89">
        <f>E80*FI_Portfolio!$B$4+FI_Portfolio!$B$5*F80+FI_Portfolio!$B$6*G80</f>
        <v>333130064.00363594</v>
      </c>
      <c r="I80" s="34">
        <f>H80-TSIR!$AM$5*$B$252</f>
        <v>-1431447.5171132088</v>
      </c>
      <c r="J80" s="36">
        <v>-675970.92864233255</v>
      </c>
    </row>
    <row r="81" spans="1:10" x14ac:dyDescent="0.2">
      <c r="A81" s="10">
        <v>45520</v>
      </c>
      <c r="B81">
        <v>0.87248998880386297</v>
      </c>
      <c r="C81">
        <f t="shared" si="3"/>
        <v>8.8852209833081286E-3</v>
      </c>
      <c r="D81">
        <f t="shared" si="2"/>
        <v>0.83610353803770676</v>
      </c>
      <c r="E81" s="36">
        <f>TSIR!X82*D81</f>
        <v>80.456460550202735</v>
      </c>
      <c r="F81" s="36">
        <f>TSIR!Y82*D81</f>
        <v>86.565634597489066</v>
      </c>
      <c r="G81" s="36">
        <f>TSIR!Z82*D81</f>
        <v>76.673079813787382</v>
      </c>
      <c r="H81" s="89">
        <f>E81*FI_Portfolio!$B$4+FI_Portfolio!$B$5*F81+FI_Portfolio!$B$6*G81</f>
        <v>337756788.45932144</v>
      </c>
      <c r="I81" s="34">
        <f>H81-TSIR!$AM$5*$B$252</f>
        <v>3195276.9385722876</v>
      </c>
      <c r="J81" s="36">
        <v>-670558.33729273081</v>
      </c>
    </row>
    <row r="82" spans="1:10" x14ac:dyDescent="0.2">
      <c r="A82" s="10">
        <v>45523</v>
      </c>
      <c r="B82">
        <v>0.86757999658584595</v>
      </c>
      <c r="C82">
        <f t="shared" si="3"/>
        <v>-5.6275628156471358E-3</v>
      </c>
      <c r="D82">
        <f t="shared" si="2"/>
        <v>0.82407621359216066</v>
      </c>
      <c r="E82" s="36">
        <f>TSIR!X83*D82</f>
        <v>79.283838136632724</v>
      </c>
      <c r="F82" s="36">
        <f>TSIR!Y83*D82</f>
        <v>85.273325647273481</v>
      </c>
      <c r="G82" s="36">
        <f>TSIR!Z83*D82</f>
        <v>75.568691426888492</v>
      </c>
      <c r="H82" s="89">
        <f>E82*FI_Portfolio!$B$4+FI_Portfolio!$B$5*F82+FI_Portfolio!$B$6*G82</f>
        <v>332932453.50990921</v>
      </c>
      <c r="I82" s="34">
        <f>H82-TSIR!$AM$5*$B$252</f>
        <v>-1629058.0108399391</v>
      </c>
      <c r="J82" s="36">
        <v>-647466.27630376816</v>
      </c>
    </row>
    <row r="83" spans="1:10" x14ac:dyDescent="0.2">
      <c r="A83" s="10">
        <v>45524</v>
      </c>
      <c r="B83">
        <v>0.86237001419067305</v>
      </c>
      <c r="C83">
        <f t="shared" si="3"/>
        <v>-6.005189625942875E-3</v>
      </c>
      <c r="D83">
        <f t="shared" si="2"/>
        <v>0.82376325914939619</v>
      </c>
      <c r="E83" s="36">
        <f>TSIR!X84*D83</f>
        <v>79.284240534109358</v>
      </c>
      <c r="F83" s="36">
        <f>TSIR!Y84*D83</f>
        <v>85.359723080933989</v>
      </c>
      <c r="G83" s="36">
        <f>TSIR!Z84*D83</f>
        <v>75.647266202670252</v>
      </c>
      <c r="H83" s="89">
        <f>E83*FI_Portfolio!$B$4+FI_Portfolio!$B$5*F83+FI_Portfolio!$B$6*G83</f>
        <v>333117961.25749874</v>
      </c>
      <c r="I83" s="34">
        <f>H83-TSIR!$AM$5*$B$252</f>
        <v>-1443550.2632504106</v>
      </c>
      <c r="J83" s="36">
        <v>-632112.52777141333</v>
      </c>
    </row>
    <row r="84" spans="1:10" x14ac:dyDescent="0.2">
      <c r="A84" s="10">
        <v>45525</v>
      </c>
      <c r="B84">
        <v>0.853559970855712</v>
      </c>
      <c r="C84">
        <f t="shared" si="3"/>
        <v>-1.0216082644326607E-2</v>
      </c>
      <c r="D84">
        <f t="shared" si="2"/>
        <v>0.82027352366934081</v>
      </c>
      <c r="E84" s="36">
        <f>TSIR!X85*D84</f>
        <v>78.963566005904966</v>
      </c>
      <c r="F84" s="36">
        <f>TSIR!Y85*D84</f>
        <v>84.998870864880899</v>
      </c>
      <c r="G84" s="36">
        <f>TSIR!Z85*D84</f>
        <v>75.360877872072578</v>
      </c>
      <c r="H84" s="89">
        <f>E84*FI_Portfolio!$B$4+FI_Portfolio!$B$5*F84+FI_Portfolio!$B$6*G84</f>
        <v>331872337.20277894</v>
      </c>
      <c r="I84" s="34">
        <f>H84-TSIR!$AM$5*$B$252</f>
        <v>-2689174.3179702163</v>
      </c>
      <c r="J84" s="36">
        <v>-627376.51866489649</v>
      </c>
    </row>
    <row r="85" spans="1:10" x14ac:dyDescent="0.2">
      <c r="A85" s="10">
        <v>45526</v>
      </c>
      <c r="B85">
        <v>0.85110002756118697</v>
      </c>
      <c r="C85">
        <f t="shared" si="3"/>
        <v>-2.8819806205987453E-3</v>
      </c>
      <c r="D85">
        <f t="shared" si="2"/>
        <v>0.82635158738048498</v>
      </c>
      <c r="E85" s="36">
        <f>TSIR!X86*D85</f>
        <v>79.441606170013941</v>
      </c>
      <c r="F85" s="36">
        <f>TSIR!Y86*D85</f>
        <v>85.298700053163017</v>
      </c>
      <c r="G85" s="36">
        <f>TSIR!Z86*D85</f>
        <v>75.431756139966978</v>
      </c>
      <c r="H85" s="89">
        <f>E85*FI_Portfolio!$B$4+FI_Portfolio!$B$5*F85+FI_Portfolio!$B$6*G85</f>
        <v>332662186.82015127</v>
      </c>
      <c r="I85" s="34">
        <f>H85-TSIR!$AM$5*$B$252</f>
        <v>-1899324.7005978823</v>
      </c>
      <c r="J85" s="36">
        <v>-619458.02104216814</v>
      </c>
    </row>
    <row r="86" spans="1:10" x14ac:dyDescent="0.2">
      <c r="A86" s="10">
        <v>45527</v>
      </c>
      <c r="B86">
        <v>0.85170000791549605</v>
      </c>
      <c r="C86">
        <f t="shared" si="3"/>
        <v>7.0494693323919222E-4</v>
      </c>
      <c r="D86">
        <f t="shared" si="2"/>
        <v>0.82932421772145271</v>
      </c>
      <c r="E86" s="36">
        <f>TSIR!X87*D86</f>
        <v>79.834830354394754</v>
      </c>
      <c r="F86" s="36">
        <f>TSIR!Y87*D86</f>
        <v>86.00602615466957</v>
      </c>
      <c r="G86" s="36">
        <f>TSIR!Z87*D86</f>
        <v>76.22784866812232</v>
      </c>
      <c r="H86" s="89">
        <f>E86*FI_Portfolio!$B$4+FI_Portfolio!$B$5*F86+FI_Portfolio!$B$6*G86</f>
        <v>335572016.14927441</v>
      </c>
      <c r="I86" s="34">
        <f>H86-TSIR!$AM$5*$B$252</f>
        <v>1010504.6285252571</v>
      </c>
      <c r="J86" s="36">
        <v>-542637.35849899054</v>
      </c>
    </row>
    <row r="87" spans="1:10" x14ac:dyDescent="0.2">
      <c r="A87" s="10">
        <v>45530</v>
      </c>
      <c r="B87">
        <v>0.84732002019882202</v>
      </c>
      <c r="C87">
        <f t="shared" si="3"/>
        <v>-5.1426413948191252E-3</v>
      </c>
      <c r="D87">
        <f t="shared" si="2"/>
        <v>0.82447808737045758</v>
      </c>
      <c r="E87" s="36">
        <f>TSIR!X88*D87</f>
        <v>79.299614058907139</v>
      </c>
      <c r="F87" s="36">
        <f>TSIR!Y88*D87</f>
        <v>85.268215182736427</v>
      </c>
      <c r="G87" s="36">
        <f>TSIR!Z88*D87</f>
        <v>75.502896073629145</v>
      </c>
      <c r="H87" s="89">
        <f>E87*FI_Portfolio!$B$4+FI_Portfolio!$B$5*F87+FI_Portfolio!$B$6*G87</f>
        <v>332708489.63822621</v>
      </c>
      <c r="I87" s="34">
        <f>H87-TSIR!$AM$5*$B$252</f>
        <v>-1853021.8825229406</v>
      </c>
      <c r="J87" s="36">
        <v>-539690.80149137974</v>
      </c>
    </row>
    <row r="88" spans="1:10" x14ac:dyDescent="0.2">
      <c r="A88" s="10">
        <v>45531</v>
      </c>
      <c r="B88">
        <v>0.84710001945495605</v>
      </c>
      <c r="C88">
        <f t="shared" si="3"/>
        <v>-2.5964303760261931E-4</v>
      </c>
      <c r="D88">
        <f t="shared" si="2"/>
        <v>0.82852482342901723</v>
      </c>
      <c r="E88" s="36">
        <f>TSIR!X89*D88</f>
        <v>79.734849718893017</v>
      </c>
      <c r="F88" s="36">
        <f>TSIR!Y89*D88</f>
        <v>85.763280263096149</v>
      </c>
      <c r="G88" s="36">
        <f>TSIR!Z89*D88</f>
        <v>75.912206524956034</v>
      </c>
      <c r="H88" s="89">
        <f>E88*FI_Portfolio!$B$4+FI_Portfolio!$B$5*F88+FI_Portfolio!$B$6*G88</f>
        <v>334473605.14296591</v>
      </c>
      <c r="I88" s="34">
        <f>H88-TSIR!$AM$5*$B$252</f>
        <v>-87906.377783238888</v>
      </c>
      <c r="J88" s="36">
        <v>-521968.87168711424</v>
      </c>
    </row>
    <row r="89" spans="1:10" x14ac:dyDescent="0.2">
      <c r="A89" s="10">
        <v>45532</v>
      </c>
      <c r="B89">
        <v>0.84171998500823897</v>
      </c>
      <c r="C89">
        <f t="shared" si="3"/>
        <v>-6.3511206742490334E-3</v>
      </c>
      <c r="D89">
        <f t="shared" si="2"/>
        <v>0.82347657225242288</v>
      </c>
      <c r="E89" s="36">
        <f>TSIR!X90*D89</f>
        <v>79.203286741600735</v>
      </c>
      <c r="F89" s="36">
        <f>TSIR!Y90*D89</f>
        <v>85.18774988118102</v>
      </c>
      <c r="G89" s="36">
        <f>TSIR!Z90*D89</f>
        <v>75.545562426692641</v>
      </c>
      <c r="H89" s="89">
        <f>E89*FI_Portfolio!$B$4+FI_Portfolio!$B$5*F89+FI_Portfolio!$B$6*G89</f>
        <v>332807198.36820048</v>
      </c>
      <c r="I89" s="34">
        <f>H89-TSIR!$AM$5*$B$252</f>
        <v>-1754313.1525486708</v>
      </c>
      <c r="J89" s="36">
        <v>-521305.16547143459</v>
      </c>
    </row>
    <row r="90" spans="1:10" x14ac:dyDescent="0.2">
      <c r="A90" s="10">
        <v>45533</v>
      </c>
      <c r="B90">
        <v>0.84182000160217196</v>
      </c>
      <c r="C90">
        <f t="shared" si="3"/>
        <v>1.1882406942254065E-4</v>
      </c>
      <c r="D90">
        <f t="shared" si="2"/>
        <v>0.82883847425929325</v>
      </c>
      <c r="E90" s="36">
        <f>TSIR!X91*D90</f>
        <v>79.719003006568556</v>
      </c>
      <c r="F90" s="36">
        <f>TSIR!Y91*D90</f>
        <v>85.649435229935591</v>
      </c>
      <c r="G90" s="36">
        <f>TSIR!Z91*D90</f>
        <v>75.831518417601089</v>
      </c>
      <c r="H90" s="89">
        <f>E90*FI_Portfolio!$B$4+FI_Portfolio!$B$5*F90+FI_Portfolio!$B$6*G90</f>
        <v>334289926.83863807</v>
      </c>
      <c r="I90" s="34">
        <f>H90-TSIR!$AM$5*$B$252</f>
        <v>-271584.68211108446</v>
      </c>
      <c r="J90" s="36">
        <v>-519409.93524765968</v>
      </c>
    </row>
    <row r="91" spans="1:10" x14ac:dyDescent="0.2">
      <c r="A91" s="10">
        <v>45534</v>
      </c>
      <c r="B91">
        <v>0.84693998098373402</v>
      </c>
      <c r="C91">
        <f t="shared" si="3"/>
        <v>6.0820357936584024E-3</v>
      </c>
      <c r="D91">
        <f t="shared" si="2"/>
        <v>0.83378042634363647</v>
      </c>
      <c r="E91" s="36">
        <f>TSIR!X92*D91</f>
        <v>80.20975722401505</v>
      </c>
      <c r="F91" s="36">
        <f>TSIR!Y92*D91</f>
        <v>86.183520274056647</v>
      </c>
      <c r="G91" s="36">
        <f>TSIR!Z92*D91</f>
        <v>76.21657560381297</v>
      </c>
      <c r="H91" s="89">
        <f>E91*FI_Portfolio!$B$4+FI_Portfolio!$B$5*F91+FI_Portfolio!$B$6*G91</f>
        <v>336010536.45219702</v>
      </c>
      <c r="I91" s="34">
        <f>H91-TSIR!$AM$5*$B$252</f>
        <v>1449024.9314478636</v>
      </c>
      <c r="J91" s="36">
        <v>-495864.83103859425</v>
      </c>
    </row>
    <row r="92" spans="1:10" x14ac:dyDescent="0.2">
      <c r="A92" s="10">
        <v>45538</v>
      </c>
      <c r="B92">
        <v>0.85136997699737504</v>
      </c>
      <c r="C92">
        <f t="shared" si="3"/>
        <v>5.2305902579963259E-3</v>
      </c>
      <c r="D92">
        <f t="shared" si="2"/>
        <v>0.83307479937041196</v>
      </c>
      <c r="E92" s="36">
        <f>TSIR!X93*D92</f>
        <v>80.165011486760207</v>
      </c>
      <c r="F92" s="36">
        <f>TSIR!Y93*D92</f>
        <v>86.320839800963356</v>
      </c>
      <c r="G92" s="36">
        <f>TSIR!Z93*D92</f>
        <v>76.534672092066899</v>
      </c>
      <c r="H92" s="89">
        <f>E92*FI_Portfolio!$B$4+FI_Portfolio!$B$5*F92+FI_Portfolio!$B$6*G92</f>
        <v>336987451.64034301</v>
      </c>
      <c r="I92" s="34">
        <f>H92-TSIR!$AM$5*$B$252</f>
        <v>2425940.1195938587</v>
      </c>
      <c r="J92" s="36">
        <v>-489109.13651698828</v>
      </c>
    </row>
    <row r="93" spans="1:10" x14ac:dyDescent="0.2">
      <c r="A93" s="10">
        <v>45539</v>
      </c>
      <c r="B93">
        <v>0.84992998838424605</v>
      </c>
      <c r="C93">
        <f t="shared" si="3"/>
        <v>-1.6913781928363791E-3</v>
      </c>
      <c r="D93">
        <f t="shared" si="2"/>
        <v>0.82733828723646885</v>
      </c>
      <c r="E93" s="36">
        <f>TSIR!X94*D93</f>
        <v>79.682007823988144</v>
      </c>
      <c r="F93" s="36">
        <f>TSIR!Y94*D93</f>
        <v>85.826787028028349</v>
      </c>
      <c r="G93" s="36">
        <f>TSIR!Z94*D93</f>
        <v>76.117156509150618</v>
      </c>
      <c r="H93" s="89">
        <f>E93*FI_Portfolio!$B$4+FI_Portfolio!$B$5*F93+FI_Portfolio!$B$6*G93</f>
        <v>335092461.14253628</v>
      </c>
      <c r="I93" s="34">
        <f>H93-TSIR!$AM$5*$B$252</f>
        <v>530949.62178713083</v>
      </c>
      <c r="J93" s="36">
        <v>-465084.30321657658</v>
      </c>
    </row>
    <row r="94" spans="1:10" x14ac:dyDescent="0.2">
      <c r="A94" s="10">
        <v>45540</v>
      </c>
      <c r="B94">
        <v>0.84604001045226995</v>
      </c>
      <c r="C94">
        <f t="shared" si="3"/>
        <v>-4.576821603119452E-3</v>
      </c>
      <c r="D94">
        <f t="shared" si="2"/>
        <v>0.8249470048646308</v>
      </c>
      <c r="E94" s="36">
        <f>TSIR!X95*D94</f>
        <v>79.375253041915798</v>
      </c>
      <c r="F94" s="36">
        <f>TSIR!Y95*D94</f>
        <v>85.38698576639122</v>
      </c>
      <c r="G94" s="36">
        <f>TSIR!Z95*D94</f>
        <v>75.65085164951752</v>
      </c>
      <c r="H94" s="89">
        <f>E94*FI_Portfolio!$B$4+FI_Portfolio!$B$5*F94+FI_Portfolio!$B$6*G94</f>
        <v>333273434.0323149</v>
      </c>
      <c r="I94" s="34">
        <f>H94-TSIR!$AM$5*$B$252</f>
        <v>-1288077.4884342551</v>
      </c>
      <c r="J94" s="36">
        <v>-459058.8560281992</v>
      </c>
    </row>
    <row r="95" spans="1:10" x14ac:dyDescent="0.2">
      <c r="A95" s="10">
        <v>45541</v>
      </c>
      <c r="B95">
        <v>0.84381002187728804</v>
      </c>
      <c r="C95">
        <f t="shared" si="3"/>
        <v>-2.6357956449244435E-3</v>
      </c>
      <c r="D95">
        <f t="shared" si="2"/>
        <v>0.82655561071722539</v>
      </c>
      <c r="E95" s="36">
        <f>TSIR!X96*D95</f>
        <v>79.598960970456986</v>
      </c>
      <c r="F95" s="36">
        <f>TSIR!Y96*D95</f>
        <v>85.67537277815434</v>
      </c>
      <c r="G95" s="36">
        <f>TSIR!Z96*D95</f>
        <v>75.872208515331081</v>
      </c>
      <c r="H95" s="89">
        <f>E95*FI_Portfolio!$B$4+FI_Portfolio!$B$5*F95+FI_Portfolio!$B$6*G95</f>
        <v>334173696.83500677</v>
      </c>
      <c r="I95" s="34">
        <f>H95-TSIR!$AM$5*$B$252</f>
        <v>-387814.68574237823</v>
      </c>
      <c r="J95" s="36">
        <v>-441355.51648193598</v>
      </c>
    </row>
    <row r="96" spans="1:10" x14ac:dyDescent="0.2">
      <c r="A96" s="10">
        <v>45544</v>
      </c>
      <c r="B96">
        <v>0.84394001960754395</v>
      </c>
      <c r="C96">
        <f t="shared" si="3"/>
        <v>1.540604246044186E-4</v>
      </c>
      <c r="D96">
        <f t="shared" si="2"/>
        <v>0.82886767603628675</v>
      </c>
      <c r="E96" s="36">
        <f>TSIR!X97*D96</f>
        <v>79.721811679935243</v>
      </c>
      <c r="F96" s="36">
        <f>TSIR!Y97*D96</f>
        <v>85.743969265783988</v>
      </c>
      <c r="G96" s="36">
        <f>TSIR!Z97*D96</f>
        <v>75.973477522052789</v>
      </c>
      <c r="H96" s="89">
        <f>E96*FI_Portfolio!$B$4+FI_Portfolio!$B$5*F96+FI_Portfolio!$B$6*G96</f>
        <v>334721579.54940569</v>
      </c>
      <c r="I96" s="34">
        <f>H96-TSIR!$AM$5*$B$252</f>
        <v>160068.0286565423</v>
      </c>
      <c r="J96" s="36">
        <v>-399015.89024883509</v>
      </c>
    </row>
    <row r="97" spans="1:10" x14ac:dyDescent="0.2">
      <c r="A97" s="10">
        <v>45545</v>
      </c>
      <c r="B97">
        <v>0.84944999217987005</v>
      </c>
      <c r="C97">
        <f t="shared" si="3"/>
        <v>6.5288675075372282E-3</v>
      </c>
      <c r="D97">
        <f t="shared" si="2"/>
        <v>0.83415073365819647</v>
      </c>
      <c r="E97" s="36">
        <f>TSIR!X98*D97</f>
        <v>80.283997464696498</v>
      </c>
      <c r="F97" s="36">
        <f>TSIR!Y98*D97</f>
        <v>86.574076146476671</v>
      </c>
      <c r="G97" s="36">
        <f>TSIR!Z98*D97</f>
        <v>76.638845538239167</v>
      </c>
      <c r="H97" s="89">
        <f>E97*FI_Portfolio!$B$4+FI_Portfolio!$B$5*F97+FI_Portfolio!$B$6*G97</f>
        <v>337262262.86263466</v>
      </c>
      <c r="I97" s="34">
        <f>H97-TSIR!$AM$5*$B$252</f>
        <v>2700751.3418855071</v>
      </c>
      <c r="J97" s="36">
        <v>-387814.68574237823</v>
      </c>
    </row>
    <row r="98" spans="1:10" x14ac:dyDescent="0.2">
      <c r="A98" s="10">
        <v>45546</v>
      </c>
      <c r="B98">
        <v>0.84662002325057895</v>
      </c>
      <c r="C98">
        <f t="shared" si="3"/>
        <v>-3.3315309380705926E-3</v>
      </c>
      <c r="D98">
        <f t="shared" si="2"/>
        <v>0.8259790270503834</v>
      </c>
      <c r="E98" s="36">
        <f>TSIR!X99*D98</f>
        <v>79.421060293306084</v>
      </c>
      <c r="F98" s="36">
        <f>TSIR!Y99*D98</f>
        <v>85.375959447052338</v>
      </c>
      <c r="G98" s="36">
        <f>TSIR!Z99*D98</f>
        <v>75.60447655469234</v>
      </c>
      <c r="H98" s="89">
        <f>E98*FI_Portfolio!$B$4+FI_Portfolio!$B$5*F98+FI_Portfolio!$B$6*G98</f>
        <v>333196087.63480306</v>
      </c>
      <c r="I98" s="34">
        <f>H98-TSIR!$AM$5*$B$252</f>
        <v>-1365423.885946095</v>
      </c>
      <c r="J98" s="36">
        <v>-377197.97374033928</v>
      </c>
    </row>
    <row r="99" spans="1:10" x14ac:dyDescent="0.2">
      <c r="A99" s="10">
        <v>45547</v>
      </c>
      <c r="B99">
        <v>0.85259997844696001</v>
      </c>
      <c r="C99">
        <f t="shared" si="3"/>
        <v>7.0633283316654527E-3</v>
      </c>
      <c r="D99">
        <f t="shared" si="2"/>
        <v>0.83459366272158442</v>
      </c>
      <c r="E99" s="36">
        <f>TSIR!X100*D99</f>
        <v>80.311168468204826</v>
      </c>
      <c r="F99" s="36">
        <f>TSIR!Y100*D99</f>
        <v>86.292892286475038</v>
      </c>
      <c r="G99" s="36">
        <f>TSIR!Z100*D99</f>
        <v>76.394668163197352</v>
      </c>
      <c r="H99" s="89">
        <f>E99*FI_Portfolio!$B$4+FI_Portfolio!$B$5*F99+FI_Portfolio!$B$6*G99</f>
        <v>336761671.15948653</v>
      </c>
      <c r="I99" s="34">
        <f>H99-TSIR!$AM$5*$B$252</f>
        <v>2200159.6387373805</v>
      </c>
      <c r="J99" s="36">
        <v>-366859.15029138327</v>
      </c>
    </row>
    <row r="100" spans="1:10" x14ac:dyDescent="0.2">
      <c r="A100" s="10">
        <v>45548</v>
      </c>
      <c r="B100">
        <v>0.84987998008728005</v>
      </c>
      <c r="C100">
        <f t="shared" si="3"/>
        <v>-3.1902397706302654E-3</v>
      </c>
      <c r="D100">
        <f t="shared" si="2"/>
        <v>0.82609612069248795</v>
      </c>
      <c r="E100" s="36">
        <f>TSIR!X101*D100</f>
        <v>79.539391555217406</v>
      </c>
      <c r="F100" s="36">
        <f>TSIR!Y101*D100</f>
        <v>85.580491242083923</v>
      </c>
      <c r="G100" s="36">
        <f>TSIR!Z101*D100</f>
        <v>75.827706978735307</v>
      </c>
      <c r="H100" s="89">
        <f>E100*FI_Portfolio!$B$4+FI_Portfolio!$B$5*F100+FI_Portfolio!$B$6*G100</f>
        <v>334018874.16225016</v>
      </c>
      <c r="I100" s="34">
        <f>H100-TSIR!$AM$5*$B$252</f>
        <v>-542637.35849899054</v>
      </c>
      <c r="J100" s="36">
        <v>-364063.32160586119</v>
      </c>
    </row>
    <row r="101" spans="1:10" x14ac:dyDescent="0.2">
      <c r="A101" s="10">
        <v>45551</v>
      </c>
      <c r="B101">
        <v>0.84769999980926503</v>
      </c>
      <c r="C101">
        <f t="shared" si="3"/>
        <v>-2.5650448640891499E-3</v>
      </c>
      <c r="D101">
        <f t="shared" si="2"/>
        <v>0.82661424471933476</v>
      </c>
      <c r="E101" s="36">
        <f>TSIR!X102*D101</f>
        <v>79.550981110512438</v>
      </c>
      <c r="F101" s="36">
        <f>TSIR!Y102*D101</f>
        <v>85.515374568048088</v>
      </c>
      <c r="G101" s="36">
        <f>TSIR!Z102*D101</f>
        <v>75.802660570027328</v>
      </c>
      <c r="H101" s="89">
        <f>E101*FI_Portfolio!$B$4+FI_Portfolio!$B$5*F101+FI_Portfolio!$B$6*G101</f>
        <v>334039542.64906204</v>
      </c>
      <c r="I101" s="34">
        <f>H101-TSIR!$AM$5*$B$252</f>
        <v>-521968.87168711424</v>
      </c>
      <c r="J101" s="36">
        <v>-358033.79374152422</v>
      </c>
    </row>
    <row r="102" spans="1:10" x14ac:dyDescent="0.2">
      <c r="A102" s="10">
        <v>45552</v>
      </c>
      <c r="B102">
        <v>0.84457999467849698</v>
      </c>
      <c r="C102">
        <f t="shared" si="3"/>
        <v>-3.6805534168574683E-3</v>
      </c>
      <c r="D102">
        <f t="shared" si="2"/>
        <v>0.82568977816131361</v>
      </c>
      <c r="E102" s="36">
        <f>TSIR!X103*D102</f>
        <v>79.408518769120363</v>
      </c>
      <c r="F102" s="36">
        <f>TSIR!Y103*D102</f>
        <v>85.346825256280482</v>
      </c>
      <c r="G102" s="36">
        <f>TSIR!Z103*D102</f>
        <v>75.544261765784441</v>
      </c>
      <c r="H102" s="89">
        <f>E102*FI_Portfolio!$B$4+FI_Portfolio!$B$5*F102+FI_Portfolio!$B$6*G102</f>
        <v>332973846.71695781</v>
      </c>
      <c r="I102" s="34">
        <f>H102-TSIR!$AM$5*$B$252</f>
        <v>-1587664.8037913442</v>
      </c>
      <c r="J102" s="36">
        <v>-334024.69446080923</v>
      </c>
    </row>
    <row r="103" spans="1:10" x14ac:dyDescent="0.2">
      <c r="A103" s="10">
        <v>45553</v>
      </c>
      <c r="B103">
        <v>0.84632998704910201</v>
      </c>
      <c r="C103">
        <f t="shared" si="3"/>
        <v>2.0720267844742679E-3</v>
      </c>
      <c r="D103">
        <f t="shared" si="2"/>
        <v>0.8304571714773652</v>
      </c>
      <c r="E103" s="36">
        <f>TSIR!X104*D103</f>
        <v>79.920813345911384</v>
      </c>
      <c r="F103" s="36">
        <f>TSIR!Y104*D103</f>
        <v>85.820498523499751</v>
      </c>
      <c r="G103" s="36">
        <f>TSIR!Z104*D103</f>
        <v>75.980663811034418</v>
      </c>
      <c r="H103" s="89">
        <f>E103*FI_Portfolio!$B$4+FI_Portfolio!$B$5*F103+FI_Portfolio!$B$6*G103</f>
        <v>335033534.15071082</v>
      </c>
      <c r="I103" s="34">
        <f>H103-TSIR!$AM$5*$B$252</f>
        <v>472022.62996166945</v>
      </c>
      <c r="J103" s="36">
        <v>-319913.33095860481</v>
      </c>
    </row>
    <row r="104" spans="1:10" x14ac:dyDescent="0.2">
      <c r="A104" s="10">
        <v>45554</v>
      </c>
      <c r="B104">
        <v>0.84729999303817705</v>
      </c>
      <c r="C104">
        <f t="shared" si="3"/>
        <v>1.1461321280332726E-3</v>
      </c>
      <c r="D104">
        <f t="shared" si="2"/>
        <v>0.82968984553978631</v>
      </c>
      <c r="E104" s="36">
        <f>TSIR!X105*D104</f>
        <v>79.831602572865037</v>
      </c>
      <c r="F104" s="36">
        <f>TSIR!Y105*D104</f>
        <v>85.878641827933009</v>
      </c>
      <c r="G104" s="36">
        <f>TSIR!Z105*D104</f>
        <v>75.948401074918877</v>
      </c>
      <c r="H104" s="89">
        <f>E104*FI_Portfolio!$B$4+FI_Portfolio!$B$5*F104+FI_Portfolio!$B$6*G104</f>
        <v>334638846.70350611</v>
      </c>
      <c r="I104" s="34">
        <f>H104-TSIR!$AM$5*$B$252</f>
        <v>77335.182756960392</v>
      </c>
      <c r="J104" s="36">
        <v>-291714.2491376996</v>
      </c>
    </row>
    <row r="105" spans="1:10" x14ac:dyDescent="0.2">
      <c r="A105" s="10">
        <v>45555</v>
      </c>
      <c r="B105">
        <v>0.84777998924255304</v>
      </c>
      <c r="C105">
        <f t="shared" si="3"/>
        <v>5.6650089498400114E-4</v>
      </c>
      <c r="D105">
        <f t="shared" si="2"/>
        <v>0.82920948195170907</v>
      </c>
      <c r="E105" s="36">
        <f>TSIR!X106*D105</f>
        <v>79.777706556831731</v>
      </c>
      <c r="F105" s="36">
        <f>TSIR!Y106*D105</f>
        <v>85.807475896681225</v>
      </c>
      <c r="G105" s="36">
        <f>TSIR!Z106*D105</f>
        <v>76.006625552447531</v>
      </c>
      <c r="H105" s="89">
        <f>E105*FI_Portfolio!$B$4+FI_Portfolio!$B$5*F105+FI_Portfolio!$B$6*G105</f>
        <v>334870701.4784317</v>
      </c>
      <c r="I105" s="34">
        <f>H105-TSIR!$AM$5*$B$252</f>
        <v>309189.95768254995</v>
      </c>
      <c r="J105" s="36">
        <v>-291561.83527886868</v>
      </c>
    </row>
    <row r="106" spans="1:10" x14ac:dyDescent="0.2">
      <c r="A106" s="10">
        <v>45558</v>
      </c>
      <c r="B106">
        <v>0.85089999437332098</v>
      </c>
      <c r="C106">
        <f t="shared" si="3"/>
        <v>3.6802061506022721E-3</v>
      </c>
      <c r="D106">
        <f t="shared" si="2"/>
        <v>0.83178993404525015</v>
      </c>
      <c r="E106" s="36">
        <f>TSIR!X107*D106</f>
        <v>80.02597017945449</v>
      </c>
      <c r="F106" s="36">
        <f>TSIR!Y107*D106</f>
        <v>86.024822342220716</v>
      </c>
      <c r="G106" s="36">
        <f>TSIR!Z107*D106</f>
        <v>76.104440193382672</v>
      </c>
      <c r="H106" s="89">
        <f>E106*FI_Portfolio!$B$4+FI_Portfolio!$B$5*F106+FI_Portfolio!$B$6*G106</f>
        <v>335432467.61910856</v>
      </c>
      <c r="I106" s="34">
        <f>H106-TSIR!$AM$5*$B$252</f>
        <v>870956.09835940599</v>
      </c>
      <c r="J106" s="36">
        <v>-274535.3665433526</v>
      </c>
    </row>
    <row r="107" spans="1:10" x14ac:dyDescent="0.2">
      <c r="A107" s="10">
        <v>45559</v>
      </c>
      <c r="B107">
        <v>0.84732002019882202</v>
      </c>
      <c r="C107">
        <f t="shared" si="3"/>
        <v>-4.2072795841719968E-3</v>
      </c>
      <c r="D107">
        <f t="shared" si="2"/>
        <v>0.82525325911741332</v>
      </c>
      <c r="E107" s="36">
        <f>TSIR!X108*D107</f>
        <v>79.412361346941253</v>
      </c>
      <c r="F107" s="36">
        <f>TSIR!Y108*D107</f>
        <v>85.446696931799764</v>
      </c>
      <c r="G107" s="36">
        <f>TSIR!Z108*D107</f>
        <v>75.747666547286627</v>
      </c>
      <c r="H107" s="89">
        <f>E107*FI_Portfolio!$B$4+FI_Portfolio!$B$5*F107+FI_Portfolio!$B$6*G107</f>
        <v>333645343.48532939</v>
      </c>
      <c r="I107" s="34">
        <f>H107-TSIR!$AM$5*$B$252</f>
        <v>-916168.03541976213</v>
      </c>
      <c r="J107" s="36">
        <v>-272594.97790592909</v>
      </c>
    </row>
    <row r="108" spans="1:10" x14ac:dyDescent="0.2">
      <c r="A108" s="10">
        <v>45560</v>
      </c>
      <c r="B108">
        <v>0.84150999784469604</v>
      </c>
      <c r="C108">
        <f t="shared" si="3"/>
        <v>-6.856939781456628E-3</v>
      </c>
      <c r="D108">
        <f t="shared" si="2"/>
        <v>0.82305737972551563</v>
      </c>
      <c r="E108" s="36">
        <f>TSIR!X109*D108</f>
        <v>79.170582890103461</v>
      </c>
      <c r="F108" s="36">
        <f>TSIR!Y109*D108</f>
        <v>85.030087805968861</v>
      </c>
      <c r="G108" s="36">
        <f>TSIR!Z109*D108</f>
        <v>75.235074894269871</v>
      </c>
      <c r="H108" s="89">
        <f>E108*FI_Portfolio!$B$4+FI_Portfolio!$B$5*F108+FI_Portfolio!$B$6*G108</f>
        <v>331736333.64833307</v>
      </c>
      <c r="I108" s="34">
        <f>H108-TSIR!$AM$5*$B$252</f>
        <v>-2825177.872416079</v>
      </c>
      <c r="J108" s="36">
        <v>-271736.31906145811</v>
      </c>
    </row>
    <row r="109" spans="1:10" x14ac:dyDescent="0.2">
      <c r="A109" s="10">
        <v>45561</v>
      </c>
      <c r="B109">
        <v>0.85057002305984497</v>
      </c>
      <c r="C109">
        <f t="shared" si="3"/>
        <v>1.0766390462803477E-2</v>
      </c>
      <c r="D109">
        <f t="shared" si="2"/>
        <v>0.83766253843214378</v>
      </c>
      <c r="E109" s="36">
        <f>TSIR!X110*D109</f>
        <v>80.528988505301271</v>
      </c>
      <c r="F109" s="36">
        <f>TSIR!Y110*D109</f>
        <v>86.534376137186754</v>
      </c>
      <c r="G109" s="36">
        <f>TSIR!Z110*D109</f>
        <v>76.635776057709748</v>
      </c>
      <c r="H109" s="89">
        <f>E109*FI_Portfolio!$B$4+FI_Portfolio!$B$5*F109+FI_Portfolio!$B$6*G109</f>
        <v>337799517.0356614</v>
      </c>
      <c r="I109" s="34">
        <f>H109-TSIR!$AM$5*$B$252</f>
        <v>3238005.5149122477</v>
      </c>
      <c r="J109" s="36">
        <v>-271584.68211108446</v>
      </c>
    </row>
    <row r="110" spans="1:10" x14ac:dyDescent="0.2">
      <c r="A110" s="10">
        <v>45562</v>
      </c>
      <c r="B110">
        <v>0.84623998403549106</v>
      </c>
      <c r="C110">
        <f t="shared" si="3"/>
        <v>-5.0907496231491489E-3</v>
      </c>
      <c r="D110">
        <f t="shared" si="2"/>
        <v>0.8245210921573114</v>
      </c>
      <c r="E110" s="36">
        <f>TSIR!X111*D110</f>
        <v>79.364817803187165</v>
      </c>
      <c r="F110" s="36">
        <f>TSIR!Y111*D110</f>
        <v>85.414698296755887</v>
      </c>
      <c r="G110" s="36">
        <f>TSIR!Z111*D110</f>
        <v>75.715273242250106</v>
      </c>
      <c r="H110" s="89">
        <f>E110*FI_Portfolio!$B$4+FI_Portfolio!$B$5*F110+FI_Portfolio!$B$6*G110</f>
        <v>333468681.13024092</v>
      </c>
      <c r="I110" s="34">
        <f>H110-TSIR!$AM$5*$B$252</f>
        <v>-1092830.3905082345</v>
      </c>
      <c r="J110" s="36">
        <v>-267679.04039597511</v>
      </c>
    </row>
    <row r="111" spans="1:10" x14ac:dyDescent="0.2">
      <c r="A111" s="10">
        <v>45565</v>
      </c>
      <c r="B111">
        <v>0.84049999713897705</v>
      </c>
      <c r="C111">
        <f t="shared" si="3"/>
        <v>-6.7829303800341911E-3</v>
      </c>
      <c r="D111">
        <f t="shared" si="2"/>
        <v>0.82311871427685046</v>
      </c>
      <c r="E111" s="36">
        <f>TSIR!X112*D111</f>
        <v>79.123206217134523</v>
      </c>
      <c r="F111" s="36">
        <f>TSIR!Y112*D111</f>
        <v>84.939374454064023</v>
      </c>
      <c r="G111" s="36">
        <f>TSIR!Z112*D111</f>
        <v>75.134684099023644</v>
      </c>
      <c r="H111" s="89">
        <f>E111*FI_Portfolio!$B$4+FI_Portfolio!$B$5*F111+FI_Portfolio!$B$6*G111</f>
        <v>331376087.14926755</v>
      </c>
      <c r="I111" s="34">
        <f>H111-TSIR!$AM$5*$B$252</f>
        <v>-3185424.3714815974</v>
      </c>
      <c r="J111" s="36">
        <v>-218768.14314627647</v>
      </c>
    </row>
    <row r="112" spans="1:10" x14ac:dyDescent="0.2">
      <c r="A112" s="10">
        <v>45566</v>
      </c>
      <c r="B112">
        <v>0.84530997276306097</v>
      </c>
      <c r="C112">
        <f t="shared" si="3"/>
        <v>5.7227550749039402E-3</v>
      </c>
      <c r="D112">
        <f t="shared" si="2"/>
        <v>0.83348267604077597</v>
      </c>
      <c r="E112" s="36">
        <f>TSIR!X113*D112</f>
        <v>80.196543446625242</v>
      </c>
      <c r="F112" s="36">
        <f>TSIR!Y113*D112</f>
        <v>86.364211788482095</v>
      </c>
      <c r="G112" s="36">
        <f>TSIR!Z113*D112</f>
        <v>76.605821355123112</v>
      </c>
      <c r="H112" s="89">
        <f>E112*FI_Portfolio!$B$4+FI_Portfolio!$B$5*F112+FI_Portfolio!$B$6*G112</f>
        <v>337270054.63101983</v>
      </c>
      <c r="I112" s="34">
        <f>H112-TSIR!$AM$5*$B$252</f>
        <v>2708543.110270679</v>
      </c>
      <c r="J112" s="36">
        <v>-209863.11648237705</v>
      </c>
    </row>
    <row r="113" spans="1:10" x14ac:dyDescent="0.2">
      <c r="A113" s="10">
        <v>45567</v>
      </c>
      <c r="B113">
        <v>0.84634000062942505</v>
      </c>
      <c r="C113">
        <f t="shared" si="3"/>
        <v>1.2185208971298156E-3</v>
      </c>
      <c r="D113">
        <f t="shared" si="2"/>
        <v>0.82974983700828742</v>
      </c>
      <c r="E113" s="36">
        <f>TSIR!X114*D113</f>
        <v>79.814335995410488</v>
      </c>
      <c r="F113" s="36">
        <f>TSIR!Y114*D113</f>
        <v>85.790528386800048</v>
      </c>
      <c r="G113" s="36">
        <f>TSIR!Z114*D113</f>
        <v>75.882985504896595</v>
      </c>
      <c r="H113" s="89">
        <f>E113*FI_Portfolio!$B$4+FI_Portfolio!$B$5*F113+FI_Portfolio!$B$6*G113</f>
        <v>334474821.43020725</v>
      </c>
      <c r="I113" s="34">
        <f>H113-TSIR!$AM$5*$B$252</f>
        <v>-86690.090541899204</v>
      </c>
      <c r="J113" s="36">
        <v>-155660.87679308653</v>
      </c>
    </row>
    <row r="114" spans="1:10" x14ac:dyDescent="0.2">
      <c r="A114" s="10">
        <v>45568</v>
      </c>
      <c r="B114">
        <v>0.84991002082824696</v>
      </c>
      <c r="C114">
        <f t="shared" si="3"/>
        <v>4.2181867761974523E-3</v>
      </c>
      <c r="D114">
        <f t="shared" si="2"/>
        <v>0.83223578010890586</v>
      </c>
      <c r="E114" s="36">
        <f>TSIR!X115*D114</f>
        <v>80.02267116431787</v>
      </c>
      <c r="F114" s="36">
        <f>TSIR!Y115*D114</f>
        <v>85.90685487639314</v>
      </c>
      <c r="G114" s="36">
        <f>TSIR!Z115*D114</f>
        <v>76.002341649644222</v>
      </c>
      <c r="H114" s="89">
        <f>E114*FI_Portfolio!$B$4+FI_Portfolio!$B$5*F114+FI_Portfolio!$B$6*G114</f>
        <v>335194426.61262298</v>
      </c>
      <c r="I114" s="34">
        <f>H114-TSIR!$AM$5*$B$252</f>
        <v>632915.0918738246</v>
      </c>
      <c r="J114" s="36">
        <v>-118440.93472737074</v>
      </c>
    </row>
    <row r="115" spans="1:10" x14ac:dyDescent="0.2">
      <c r="A115" s="10">
        <v>45569</v>
      </c>
      <c r="B115">
        <v>0.85180997848510698</v>
      </c>
      <c r="C115">
        <f t="shared" si="3"/>
        <v>2.2354809453928315E-3</v>
      </c>
      <c r="D115">
        <f t="shared" si="2"/>
        <v>0.83059263247868487</v>
      </c>
      <c r="E115" s="36">
        <f>TSIR!X116*D115</f>
        <v>79.764969987389293</v>
      </c>
      <c r="F115" s="36">
        <f>TSIR!Y116*D115</f>
        <v>85.406211079443196</v>
      </c>
      <c r="G115" s="36">
        <f>TSIR!Z116*D115</f>
        <v>75.432118592928887</v>
      </c>
      <c r="H115" s="89">
        <f>E115*FI_Portfolio!$B$4+FI_Portfolio!$B$5*F115+FI_Portfolio!$B$6*G115</f>
        <v>333149097.72732937</v>
      </c>
      <c r="I115" s="34">
        <f>H115-TSIR!$AM$5*$B$252</f>
        <v>-1412413.7934197783</v>
      </c>
      <c r="J115" s="36">
        <v>-103941.24399727583</v>
      </c>
    </row>
    <row r="116" spans="1:10" x14ac:dyDescent="0.2">
      <c r="A116" s="10">
        <v>45572</v>
      </c>
      <c r="B116">
        <v>0.85869002342224099</v>
      </c>
      <c r="C116">
        <f t="shared" si="3"/>
        <v>8.0769715205377679E-3</v>
      </c>
      <c r="D116">
        <f t="shared" si="2"/>
        <v>0.83543370937793049</v>
      </c>
      <c r="E116" s="36">
        <f>TSIR!X117*D116</f>
        <v>80.337889160297181</v>
      </c>
      <c r="F116" s="36">
        <f>TSIR!Y117*D116</f>
        <v>86.306033277070782</v>
      </c>
      <c r="G116" s="36">
        <f>TSIR!Z117*D116</f>
        <v>76.362214949891964</v>
      </c>
      <c r="H116" s="89">
        <f>E116*FI_Portfolio!$B$4+FI_Portfolio!$B$5*F116+FI_Portfolio!$B$6*G116</f>
        <v>336665588.20455611</v>
      </c>
      <c r="I116" s="34">
        <f>H116-TSIR!$AM$5*$B$252</f>
        <v>2104076.6838069558</v>
      </c>
      <c r="J116" s="36">
        <v>-101353.41032725573</v>
      </c>
    </row>
    <row r="117" spans="1:10" x14ac:dyDescent="0.2">
      <c r="A117" s="10">
        <v>45573</v>
      </c>
      <c r="B117">
        <v>0.85457998514175404</v>
      </c>
      <c r="C117">
        <f t="shared" si="3"/>
        <v>-4.7864050686261539E-3</v>
      </c>
      <c r="D117">
        <f t="shared" si="2"/>
        <v>0.82477331466342685</v>
      </c>
      <c r="E117" s="36">
        <f>TSIR!X118*D117</f>
        <v>79.366177315572259</v>
      </c>
      <c r="F117" s="36">
        <f>TSIR!Y118*D117</f>
        <v>85.391825530708545</v>
      </c>
      <c r="G117" s="36">
        <f>TSIR!Z118*D117</f>
        <v>75.565698140035892</v>
      </c>
      <c r="H117" s="89">
        <f>E117*FI_Portfolio!$B$4+FI_Portfolio!$B$5*F117+FI_Portfolio!$B$6*G117</f>
        <v>332907408.89522529</v>
      </c>
      <c r="I117" s="34">
        <f>H117-TSIR!$AM$5*$B$252</f>
        <v>-1654102.6255238652</v>
      </c>
      <c r="J117" s="36">
        <v>-99367.426337063313</v>
      </c>
    </row>
    <row r="118" spans="1:10" x14ac:dyDescent="0.2">
      <c r="A118" s="10">
        <v>45574</v>
      </c>
      <c r="B118">
        <v>0.85740000009536699</v>
      </c>
      <c r="C118">
        <f t="shared" si="3"/>
        <v>3.2998841567126735E-3</v>
      </c>
      <c r="D118">
        <f t="shared" si="2"/>
        <v>0.8314747459960341</v>
      </c>
      <c r="E118" s="36">
        <f>TSIR!X119*D118</f>
        <v>79.964872667439323</v>
      </c>
      <c r="F118" s="36">
        <f>TSIR!Y119*D118</f>
        <v>85.946272900409554</v>
      </c>
      <c r="G118" s="36">
        <f>TSIR!Z119*D118</f>
        <v>76.005702457000595</v>
      </c>
      <c r="H118" s="89">
        <f>E118*FI_Portfolio!$B$4+FI_Portfolio!$B$5*F118+FI_Portfolio!$B$6*G118</f>
        <v>335033145.81226671</v>
      </c>
      <c r="I118" s="34">
        <f>H118-TSIR!$AM$5*$B$252</f>
        <v>471634.29151755571</v>
      </c>
      <c r="J118" s="36">
        <v>-94675.092308998108</v>
      </c>
    </row>
    <row r="119" spans="1:10" x14ac:dyDescent="0.2">
      <c r="A119" s="10">
        <v>45575</v>
      </c>
      <c r="B119">
        <v>0.86046999692916804</v>
      </c>
      <c r="C119">
        <f t="shared" si="3"/>
        <v>3.5805887957307547E-3</v>
      </c>
      <c r="D119">
        <f t="shared" si="2"/>
        <v>0.8317073771585739</v>
      </c>
      <c r="E119" s="36">
        <f>TSIR!X120*D119</f>
        <v>80.025726658190507</v>
      </c>
      <c r="F119" s="36">
        <f>TSIR!Y120*D119</f>
        <v>86.06410921006686</v>
      </c>
      <c r="G119" s="36">
        <f>TSIR!Z120*D119</f>
        <v>76.200201823177267</v>
      </c>
      <c r="H119" s="89">
        <f>E119*FI_Portfolio!$B$4+FI_Portfolio!$B$5*F119+FI_Portfolio!$B$6*G119</f>
        <v>335756096.79398978</v>
      </c>
      <c r="I119" s="34">
        <f>H119-TSIR!$AM$5*$B$252</f>
        <v>1194585.2732406259</v>
      </c>
      <c r="J119" s="36">
        <v>-87906.377783238888</v>
      </c>
    </row>
    <row r="120" spans="1:10" x14ac:dyDescent="0.2">
      <c r="A120" s="10">
        <v>45576</v>
      </c>
      <c r="B120">
        <v>0.85654997825622503</v>
      </c>
      <c r="C120">
        <f t="shared" si="3"/>
        <v>-4.5556715364076794E-3</v>
      </c>
      <c r="D120">
        <f t="shared" si="2"/>
        <v>0.82496453277091752</v>
      </c>
      <c r="E120" s="36">
        <f>TSIR!X121*D120</f>
        <v>79.392217570100811</v>
      </c>
      <c r="F120" s="36">
        <f>TSIR!Y121*D120</f>
        <v>85.413483726473856</v>
      </c>
      <c r="G120" s="36">
        <f>TSIR!Z121*D120</f>
        <v>75.686287822779718</v>
      </c>
      <c r="H120" s="89">
        <f>E120*FI_Portfolio!$B$4+FI_Portfolio!$B$5*F120+FI_Portfolio!$B$6*G120</f>
        <v>333409360.84160972</v>
      </c>
      <c r="I120" s="34">
        <f>H120-TSIR!$AM$5*$B$252</f>
        <v>-1152150.6791394353</v>
      </c>
      <c r="J120" s="36">
        <v>-86690.090541899204</v>
      </c>
    </row>
    <row r="121" spans="1:10" x14ac:dyDescent="0.2">
      <c r="A121" s="10">
        <v>45580</v>
      </c>
      <c r="B121">
        <v>0.86210000514984098</v>
      </c>
      <c r="C121">
        <f t="shared" si="3"/>
        <v>6.4795132035548875E-3</v>
      </c>
      <c r="D121">
        <f t="shared" si="2"/>
        <v>0.83410983177231413</v>
      </c>
      <c r="E121" s="36">
        <f>TSIR!X122*D121</f>
        <v>80.241446057942682</v>
      </c>
      <c r="F121" s="36">
        <f>TSIR!Y122*D121</f>
        <v>86.265857042630444</v>
      </c>
      <c r="G121" s="36">
        <f>TSIR!Z122*D121</f>
        <v>76.488355118478566</v>
      </c>
      <c r="H121" s="89">
        <f>E121*FI_Portfolio!$B$4+FI_Portfolio!$B$5*F121+FI_Portfolio!$B$6*G121</f>
        <v>337037527.02585399</v>
      </c>
      <c r="I121" s="34">
        <f>H121-TSIR!$AM$5*$B$252</f>
        <v>2476015.5051048398</v>
      </c>
      <c r="J121" s="36">
        <v>-72889.894613683224</v>
      </c>
    </row>
    <row r="122" spans="1:10" x14ac:dyDescent="0.2">
      <c r="A122" s="10">
        <v>45581</v>
      </c>
      <c r="B122">
        <v>0.86254000663757302</v>
      </c>
      <c r="C122">
        <f t="shared" si="3"/>
        <v>5.1038334891972958E-4</v>
      </c>
      <c r="D122">
        <f t="shared" si="2"/>
        <v>0.82916297509658377</v>
      </c>
      <c r="E122" s="36">
        <f>TSIR!X123*D122</f>
        <v>79.773232162457532</v>
      </c>
      <c r="F122" s="36">
        <f>TSIR!Y123*D122</f>
        <v>85.823723306783506</v>
      </c>
      <c r="G122" s="36">
        <f>TSIR!Z123*D122</f>
        <v>76.036397285980826</v>
      </c>
      <c r="H122" s="89">
        <f>E122*FI_Portfolio!$B$4+FI_Portfolio!$B$5*F122+FI_Portfolio!$B$6*G122</f>
        <v>334956468.50866306</v>
      </c>
      <c r="I122" s="34">
        <f>H122-TSIR!$AM$5*$B$252</f>
        <v>394956.98791390657</v>
      </c>
      <c r="J122" s="36">
        <v>-69944.30624628067</v>
      </c>
    </row>
    <row r="123" spans="1:10" x14ac:dyDescent="0.2">
      <c r="A123" s="10">
        <v>45582</v>
      </c>
      <c r="B123">
        <v>0.86529999971389704</v>
      </c>
      <c r="C123">
        <f t="shared" si="3"/>
        <v>3.1998435493829636E-3</v>
      </c>
      <c r="D123">
        <f t="shared" si="2"/>
        <v>0.8313918383431157</v>
      </c>
      <c r="E123" s="36">
        <f>TSIR!X124*D123</f>
        <v>79.94921034167858</v>
      </c>
      <c r="F123" s="36">
        <f>TSIR!Y124*D123</f>
        <v>85.890711393529855</v>
      </c>
      <c r="G123" s="36">
        <f>TSIR!Z124*D123</f>
        <v>75.962487827832334</v>
      </c>
      <c r="H123" s="89">
        <f>E123*FI_Portfolio!$B$4+FI_Portfolio!$B$5*F123+FI_Portfolio!$B$6*G123</f>
        <v>334912304.90439165</v>
      </c>
      <c r="I123" s="34">
        <f>H123-TSIR!$AM$5*$B$252</f>
        <v>350793.38364249468</v>
      </c>
      <c r="J123" s="36">
        <v>-47804.862870156765</v>
      </c>
    </row>
    <row r="124" spans="1:10" x14ac:dyDescent="0.2">
      <c r="A124" s="10">
        <v>45583</v>
      </c>
      <c r="B124">
        <v>0.86593002080917303</v>
      </c>
      <c r="C124">
        <f t="shared" si="3"/>
        <v>7.280955685706747E-4</v>
      </c>
      <c r="D124">
        <f t="shared" si="2"/>
        <v>0.82934340192149725</v>
      </c>
      <c r="E124" s="36">
        <f>TSIR!X125*D124</f>
        <v>79.798268249927574</v>
      </c>
      <c r="F124" s="36">
        <f>TSIR!Y125*D124</f>
        <v>85.864599592009284</v>
      </c>
      <c r="G124" s="36">
        <f>TSIR!Z125*D124</f>
        <v>76.052771341130665</v>
      </c>
      <c r="H124" s="89">
        <f>E124*FI_Portfolio!$B$4+FI_Portfolio!$B$5*F124+FI_Portfolio!$B$6*G124</f>
        <v>335010722.4763639</v>
      </c>
      <c r="I124" s="34">
        <f>H124-TSIR!$AM$5*$B$252</f>
        <v>449210.95561474562</v>
      </c>
      <c r="J124" s="36">
        <v>-20598.545947253704</v>
      </c>
    </row>
    <row r="125" spans="1:10" x14ac:dyDescent="0.2">
      <c r="A125" s="10">
        <v>45586</v>
      </c>
      <c r="B125">
        <v>0.86492997407913197</v>
      </c>
      <c r="C125">
        <f t="shared" si="3"/>
        <v>-1.1548816948355745E-3</v>
      </c>
      <c r="D125">
        <f t="shared" si="2"/>
        <v>0.827782903344222</v>
      </c>
      <c r="E125" s="36">
        <f>TSIR!X126*D125</f>
        <v>79.594509936944419</v>
      </c>
      <c r="F125" s="36">
        <f>TSIR!Y126*D125</f>
        <v>85.424787797848126</v>
      </c>
      <c r="G125" s="36">
        <f>TSIR!Z126*D125</f>
        <v>75.494381302704767</v>
      </c>
      <c r="H125" s="89">
        <f>E125*FI_Portfolio!$B$4+FI_Portfolio!$B$5*F125+FI_Portfolio!$B$6*G125</f>
        <v>333029363.38793576</v>
      </c>
      <c r="I125" s="34">
        <f>H125-TSIR!$AM$5*$B$252</f>
        <v>-1532148.1328133941</v>
      </c>
      <c r="J125" s="36">
        <v>5800.3867824077606</v>
      </c>
    </row>
    <row r="126" spans="1:10" x14ac:dyDescent="0.2">
      <c r="A126" s="10">
        <v>45587</v>
      </c>
      <c r="B126">
        <v>0.86540997028350797</v>
      </c>
      <c r="C126">
        <f t="shared" si="3"/>
        <v>5.5495383298165279E-4</v>
      </c>
      <c r="D126">
        <f t="shared" si="2"/>
        <v>0.82919991243954527</v>
      </c>
      <c r="E126" s="36">
        <f>TSIR!X127*D126</f>
        <v>79.769111345795594</v>
      </c>
      <c r="F126" s="36">
        <f>TSIR!Y127*D126</f>
        <v>85.712283043758887</v>
      </c>
      <c r="G126" s="36">
        <f>TSIR!Z127*D126</f>
        <v>75.899378445394674</v>
      </c>
      <c r="H126" s="89">
        <f>E126*FI_Portfolio!$B$4+FI_Portfolio!$B$5*F126+FI_Portfolio!$B$6*G126</f>
        <v>334567311.90753156</v>
      </c>
      <c r="I126" s="34">
        <f>H126-TSIR!$AM$5*$B$252</f>
        <v>5800.3867824077606</v>
      </c>
      <c r="J126" s="36">
        <v>7853.8504201769829</v>
      </c>
    </row>
    <row r="127" spans="1:10" x14ac:dyDescent="0.2">
      <c r="A127" s="10">
        <v>45588</v>
      </c>
      <c r="B127">
        <v>0.86553001403808505</v>
      </c>
      <c r="C127">
        <f t="shared" si="3"/>
        <v>1.3871316335500872E-4</v>
      </c>
      <c r="D127">
        <f t="shared" si="2"/>
        <v>0.82885495714699886</v>
      </c>
      <c r="E127" s="36">
        <f>TSIR!X128*D127</f>
        <v>79.712921441334757</v>
      </c>
      <c r="F127" s="36">
        <f>TSIR!Y128*D127</f>
        <v>85.62826897473424</v>
      </c>
      <c r="G127" s="36">
        <f>TSIR!Z128*D127</f>
        <v>75.764665541233327</v>
      </c>
      <c r="H127" s="89">
        <f>E127*FI_Portfolio!$B$4+FI_Portfolio!$B$5*F127+FI_Portfolio!$B$6*G127</f>
        <v>334042101.58550149</v>
      </c>
      <c r="I127" s="34">
        <f>H127-TSIR!$AM$5*$B$252</f>
        <v>-519409.93524765968</v>
      </c>
      <c r="J127" s="36">
        <v>19307.865800201893</v>
      </c>
    </row>
    <row r="128" spans="1:10" x14ac:dyDescent="0.2">
      <c r="A128" s="10">
        <v>45589</v>
      </c>
      <c r="B128">
        <v>0.86673998832702603</v>
      </c>
      <c r="C128">
        <f t="shared" si="3"/>
        <v>1.3979576321054843E-3</v>
      </c>
      <c r="D128">
        <f t="shared" si="2"/>
        <v>0.82989854340803115</v>
      </c>
      <c r="E128" s="36">
        <f>TSIR!X129*D128</f>
        <v>79.851683191381824</v>
      </c>
      <c r="F128" s="36">
        <f>TSIR!Y129*D128</f>
        <v>85.876189758161019</v>
      </c>
      <c r="G128" s="36">
        <f>TSIR!Z129*D128</f>
        <v>76.10224618557082</v>
      </c>
      <c r="H128" s="89">
        <f>E128*FI_Portfolio!$B$4+FI_Portfolio!$B$5*F128+FI_Portfolio!$B$6*G128</f>
        <v>335298066.48780543</v>
      </c>
      <c r="I128" s="34">
        <f>H128-TSIR!$AM$5*$B$252</f>
        <v>736554.96705627441</v>
      </c>
      <c r="J128" s="36">
        <v>20264.5457701087</v>
      </c>
    </row>
    <row r="129" spans="1:10" x14ac:dyDescent="0.2">
      <c r="A129" s="10">
        <v>45590</v>
      </c>
      <c r="B129">
        <v>0.86586999893188399</v>
      </c>
      <c r="C129">
        <f t="shared" si="3"/>
        <v>-1.0037489983832915E-3</v>
      </c>
      <c r="D129">
        <f t="shared" si="2"/>
        <v>0.82790815305507981</v>
      </c>
      <c r="E129" s="36">
        <f>TSIR!X130*D129</f>
        <v>79.614208390718318</v>
      </c>
      <c r="F129" s="36">
        <f>TSIR!Y130*D129</f>
        <v>85.575002329458925</v>
      </c>
      <c r="G129" s="36">
        <f>TSIR!Z130*D129</f>
        <v>75.712429752154179</v>
      </c>
      <c r="H129" s="89">
        <f>E129*FI_Portfolio!$B$4+FI_Portfolio!$B$5*F129+FI_Portfolio!$B$6*G129</f>
        <v>333715632.295865</v>
      </c>
      <c r="I129" s="34">
        <f>H129-TSIR!$AM$5*$B$252</f>
        <v>-845879.22488415241</v>
      </c>
      <c r="J129" s="36">
        <v>30600.801162540913</v>
      </c>
    </row>
    <row r="130" spans="1:10" x14ac:dyDescent="0.2">
      <c r="A130" s="10">
        <v>45593</v>
      </c>
      <c r="B130">
        <v>0.86845999956130904</v>
      </c>
      <c r="C130">
        <f t="shared" si="3"/>
        <v>2.991211882407363E-3</v>
      </c>
      <c r="D130">
        <f t="shared" si="2"/>
        <v>0.83121893693542626</v>
      </c>
      <c r="E130" s="36">
        <f>TSIR!X131*D130</f>
        <v>79.971034917782006</v>
      </c>
      <c r="F130" s="36">
        <f>TSIR!Y131*D130</f>
        <v>85.898810103435082</v>
      </c>
      <c r="G130" s="36">
        <f>TSIR!Z131*D130</f>
        <v>76.016439477216238</v>
      </c>
      <c r="H130" s="89">
        <f>E130*FI_Portfolio!$B$4+FI_Portfolio!$B$5*F130+FI_Portfolio!$B$6*G130</f>
        <v>335159612.58927637</v>
      </c>
      <c r="I130" s="34">
        <f>H130-TSIR!$AM$5*$B$252</f>
        <v>598101.06852722168</v>
      </c>
      <c r="J130" s="36">
        <v>77335.182756960392</v>
      </c>
    </row>
    <row r="131" spans="1:10" x14ac:dyDescent="0.2">
      <c r="A131" s="10">
        <v>45594</v>
      </c>
      <c r="B131">
        <v>0.86485999822616499</v>
      </c>
      <c r="C131">
        <f t="shared" si="3"/>
        <v>-4.1452701759004951E-3</v>
      </c>
      <c r="D131">
        <f t="shared" ref="D131:D194" si="4">$B$252*(1+C131)</f>
        <v>0.82530464879442422</v>
      </c>
      <c r="E131" s="36">
        <f>TSIR!X132*D131</f>
        <v>79.386749595462121</v>
      </c>
      <c r="F131" s="36">
        <f>TSIR!Y132*D131</f>
        <v>85.400416575273951</v>
      </c>
      <c r="G131" s="36">
        <f>TSIR!Z132*D131</f>
        <v>75.613367591844579</v>
      </c>
      <c r="H131" s="89">
        <f>E131*FI_Portfolio!$B$4+FI_Portfolio!$B$5*F131+FI_Portfolio!$B$6*G131</f>
        <v>333126344.6953916</v>
      </c>
      <c r="I131" s="34">
        <f>H131-TSIR!$AM$5*$B$252</f>
        <v>-1435166.8253575563</v>
      </c>
      <c r="J131" s="36">
        <v>118820.82516801357</v>
      </c>
    </row>
    <row r="132" spans="1:10" x14ac:dyDescent="0.2">
      <c r="A132" s="10">
        <v>45595</v>
      </c>
      <c r="B132">
        <v>0.86721998453140203</v>
      </c>
      <c r="C132">
        <f t="shared" ref="C132:C195" si="5">B132/B131-1</f>
        <v>2.7287495202430456E-3</v>
      </c>
      <c r="D132">
        <f t="shared" si="4"/>
        <v>0.83100142387740628</v>
      </c>
      <c r="E132" s="36">
        <f>TSIR!X133*D132</f>
        <v>79.950108127516472</v>
      </c>
      <c r="F132" s="36">
        <f>TSIR!Y133*D132</f>
        <v>85.829020599230375</v>
      </c>
      <c r="G132" s="36">
        <f>TSIR!Z133*D132</f>
        <v>76.028907458320376</v>
      </c>
      <c r="H132" s="89">
        <f>E132*FI_Portfolio!$B$4+FI_Portfolio!$B$5*F132+FI_Portfolio!$B$6*G132</f>
        <v>335272315.18946892</v>
      </c>
      <c r="I132" s="34">
        <f>H132-TSIR!$AM$5*$B$252</f>
        <v>710803.66871976852</v>
      </c>
      <c r="J132" s="36">
        <v>119496.35651928186</v>
      </c>
    </row>
    <row r="133" spans="1:10" x14ac:dyDescent="0.2">
      <c r="A133" s="10">
        <v>45596</v>
      </c>
      <c r="B133">
        <v>0.86629998683929399</v>
      </c>
      <c r="C133">
        <f t="shared" si="5"/>
        <v>-1.0608585001706805E-3</v>
      </c>
      <c r="D133">
        <f t="shared" si="4"/>
        <v>0.82786082412656858</v>
      </c>
      <c r="E133" s="36">
        <f>TSIR!X134*D133</f>
        <v>79.647953062013514</v>
      </c>
      <c r="F133" s="36">
        <f>TSIR!Y134*D133</f>
        <v>85.68671741116539</v>
      </c>
      <c r="G133" s="36">
        <f>TSIR!Z134*D133</f>
        <v>75.813997677994706</v>
      </c>
      <c r="H133" s="89">
        <f>E133*FI_Portfolio!$B$4+FI_Portfolio!$B$5*F133+FI_Portfolio!$B$6*G133</f>
        <v>334021820.71925777</v>
      </c>
      <c r="I133" s="34">
        <f>H133-TSIR!$AM$5*$B$252</f>
        <v>-539690.80149137974</v>
      </c>
      <c r="J133" s="36">
        <v>140050.06062376499</v>
      </c>
    </row>
    <row r="134" spans="1:10" x14ac:dyDescent="0.2">
      <c r="A134" s="10">
        <v>45597</v>
      </c>
      <c r="B134">
        <v>0.86353999376296997</v>
      </c>
      <c r="C134">
        <f t="shared" si="5"/>
        <v>-3.1859553483244429E-3</v>
      </c>
      <c r="D134">
        <f t="shared" si="4"/>
        <v>0.82609967136462958</v>
      </c>
      <c r="E134" s="36">
        <f>TSIR!X135*D134</f>
        <v>79.463223486401461</v>
      </c>
      <c r="F134" s="36">
        <f>TSIR!Y135*D134</f>
        <v>85.321245278549625</v>
      </c>
      <c r="G134" s="36">
        <f>TSIR!Z135*D134</f>
        <v>75.444263665272928</v>
      </c>
      <c r="H134" s="89">
        <f>E134*FI_Portfolio!$B$4+FI_Portfolio!$B$5*F134+FI_Portfolio!$B$6*G134</f>
        <v>332721633.71607018</v>
      </c>
      <c r="I134" s="34">
        <f>H134-TSIR!$AM$5*$B$252</f>
        <v>-1839877.8046789765</v>
      </c>
      <c r="J134" s="36">
        <v>141590.59638828039</v>
      </c>
    </row>
    <row r="135" spans="1:10" x14ac:dyDescent="0.2">
      <c r="A135" s="10">
        <v>45600</v>
      </c>
      <c r="B135">
        <v>0.86760002374649003</v>
      </c>
      <c r="C135">
        <f t="shared" si="5"/>
        <v>4.7016119842093751E-3</v>
      </c>
      <c r="D135">
        <f t="shared" si="4"/>
        <v>0.83263641391579368</v>
      </c>
      <c r="E135" s="36">
        <f>TSIR!X136*D135</f>
        <v>80.122826589279626</v>
      </c>
      <c r="F135" s="36">
        <f>TSIR!Y136*D135</f>
        <v>86.321540418751397</v>
      </c>
      <c r="G135" s="36">
        <f>TSIR!Z136*D135</f>
        <v>76.460468156157773</v>
      </c>
      <c r="H135" s="89">
        <f>E135*FI_Portfolio!$B$4+FI_Portfolio!$B$5*F135+FI_Portfolio!$B$6*G135</f>
        <v>336605215.17506325</v>
      </c>
      <c r="I135" s="34">
        <f>H135-TSIR!$AM$5*$B$252</f>
        <v>2043703.6543141007</v>
      </c>
      <c r="J135" s="36">
        <v>145761.70439994335</v>
      </c>
    </row>
    <row r="136" spans="1:10" x14ac:dyDescent="0.2">
      <c r="A136" s="10">
        <v>45601</v>
      </c>
      <c r="B136">
        <v>0.86417001485824496</v>
      </c>
      <c r="C136">
        <f t="shared" si="5"/>
        <v>-3.9534448989910764E-3</v>
      </c>
      <c r="D136">
        <f t="shared" si="4"/>
        <v>0.82546362207441015</v>
      </c>
      <c r="E136" s="36">
        <f>TSIR!X137*D136</f>
        <v>79.394404354564799</v>
      </c>
      <c r="F136" s="36">
        <f>TSIR!Y137*D136</f>
        <v>85.369400963343338</v>
      </c>
      <c r="G136" s="36">
        <f>TSIR!Z137*D136</f>
        <v>75.660197311949887</v>
      </c>
      <c r="H136" s="89">
        <f>E136*FI_Portfolio!$B$4+FI_Portfolio!$B$5*F136+FI_Portfolio!$B$6*G136</f>
        <v>333375496.51191413</v>
      </c>
      <c r="I136" s="34">
        <f>H136-TSIR!$AM$5*$B$252</f>
        <v>-1186015.0088350177</v>
      </c>
      <c r="J136" s="36">
        <v>147676.74652701616</v>
      </c>
    </row>
    <row r="137" spans="1:10" x14ac:dyDescent="0.2">
      <c r="A137" s="10">
        <v>45602</v>
      </c>
      <c r="B137">
        <v>0.862410008907318</v>
      </c>
      <c r="C137">
        <f t="shared" si="5"/>
        <v>-2.0366431612599545E-3</v>
      </c>
      <c r="D137">
        <f t="shared" si="4"/>
        <v>0.82705215234653751</v>
      </c>
      <c r="E137" s="36">
        <f>TSIR!X138*D137</f>
        <v>79.531892715312765</v>
      </c>
      <c r="F137" s="36">
        <f>TSIR!Y138*D137</f>
        <v>85.349019601313572</v>
      </c>
      <c r="G137" s="36">
        <f>TSIR!Z138*D137</f>
        <v>75.393282763715874</v>
      </c>
      <c r="H137" s="89">
        <f>E137*FI_Portfolio!$B$4+FI_Portfolio!$B$5*F137+FI_Portfolio!$B$6*G137</f>
        <v>332613387.08351868</v>
      </c>
      <c r="I137" s="34">
        <f>H137-TSIR!$AM$5*$B$252</f>
        <v>-1948124.4372304678</v>
      </c>
      <c r="J137" s="36">
        <v>160068.0286565423</v>
      </c>
    </row>
    <row r="138" spans="1:10" x14ac:dyDescent="0.2">
      <c r="A138" s="10">
        <v>45603</v>
      </c>
      <c r="B138">
        <v>0.87569999694824197</v>
      </c>
      <c r="C138">
        <f t="shared" si="5"/>
        <v>1.5410289657656673E-2</v>
      </c>
      <c r="D138">
        <f t="shared" si="4"/>
        <v>0.84151112345088641</v>
      </c>
      <c r="E138" s="36">
        <f>TSIR!X139*D138</f>
        <v>80.976820963326261</v>
      </c>
      <c r="F138" s="36">
        <f>TSIR!Y139*D138</f>
        <v>87.220178429234622</v>
      </c>
      <c r="G138" s="36">
        <f>TSIR!Z139*D138</f>
        <v>77.448583027568375</v>
      </c>
      <c r="H138" s="89">
        <f>E138*FI_Portfolio!$B$4+FI_Portfolio!$B$5*F138+FI_Portfolio!$B$6*G138</f>
        <v>340917706.39307404</v>
      </c>
      <c r="I138" s="34">
        <f>H138-TSIR!$AM$5*$B$252</f>
        <v>6356194.8723248839</v>
      </c>
      <c r="J138" s="36">
        <v>218773.95742684603</v>
      </c>
    </row>
    <row r="139" spans="1:10" x14ac:dyDescent="0.2">
      <c r="A139" s="10">
        <v>45604</v>
      </c>
      <c r="B139">
        <v>0.87278002500534002</v>
      </c>
      <c r="C139">
        <f t="shared" si="5"/>
        <v>-3.3344432489184062E-3</v>
      </c>
      <c r="D139">
        <f t="shared" si="4"/>
        <v>0.82597661350189144</v>
      </c>
      <c r="E139" s="36">
        <f>TSIR!X140*D139</f>
        <v>79.428465573794725</v>
      </c>
      <c r="F139" s="36">
        <f>TSIR!Y140*D139</f>
        <v>85.329789046713643</v>
      </c>
      <c r="G139" s="36">
        <f>TSIR!Z140*D139</f>
        <v>75.569861547517732</v>
      </c>
      <c r="H139" s="89">
        <f>E139*FI_Portfolio!$B$4+FI_Portfolio!$B$5*F139+FI_Portfolio!$B$6*G139</f>
        <v>333141693.76758993</v>
      </c>
      <c r="I139" s="34">
        <f>H139-TSIR!$AM$5*$B$252</f>
        <v>-1419817.753159225</v>
      </c>
      <c r="J139" s="36">
        <v>246143.76340550184</v>
      </c>
    </row>
    <row r="140" spans="1:10" x14ac:dyDescent="0.2">
      <c r="A140" s="10">
        <v>45608</v>
      </c>
      <c r="B140">
        <v>0.88027000427246005</v>
      </c>
      <c r="C140">
        <f t="shared" si="5"/>
        <v>8.5817491836779336E-3</v>
      </c>
      <c r="D140">
        <f t="shared" si="4"/>
        <v>0.83585203881848125</v>
      </c>
      <c r="E140" s="36">
        <f>TSIR!X141*D140</f>
        <v>80.362661168972338</v>
      </c>
      <c r="F140" s="36">
        <f>TSIR!Y141*D140</f>
        <v>86.211109644367312</v>
      </c>
      <c r="G140" s="36">
        <f>TSIR!Z141*D140</f>
        <v>76.160479630177932</v>
      </c>
      <c r="H140" s="89">
        <f>E140*FI_Portfolio!$B$4+FI_Portfolio!$B$5*F140+FI_Portfolio!$B$6*G140</f>
        <v>336050576.39210546</v>
      </c>
      <c r="I140" s="34">
        <f>H140-TSIR!$AM$5*$B$252</f>
        <v>1489064.8713563085</v>
      </c>
      <c r="J140" s="36">
        <v>258368.75682973862</v>
      </c>
    </row>
    <row r="141" spans="1:10" x14ac:dyDescent="0.2">
      <c r="A141" s="10">
        <v>45609</v>
      </c>
      <c r="B141">
        <v>0.88216000795364302</v>
      </c>
      <c r="C141">
        <f t="shared" si="5"/>
        <v>2.147072684528295E-3</v>
      </c>
      <c r="D141">
        <f t="shared" si="4"/>
        <v>0.83051936501657597</v>
      </c>
      <c r="E141" s="36">
        <f>TSIR!X142*D141</f>
        <v>79.949881114418176</v>
      </c>
      <c r="F141" s="36">
        <f>TSIR!Y142*D141</f>
        <v>86.015343487657191</v>
      </c>
      <c r="G141" s="36">
        <f>TSIR!Z142*D141</f>
        <v>76.16311153500601</v>
      </c>
      <c r="H141" s="89">
        <f>E141*FI_Portfolio!$B$4+FI_Portfolio!$B$5*F141+FI_Portfolio!$B$6*G141</f>
        <v>335529193.13737464</v>
      </c>
      <c r="I141" s="34">
        <f>H141-TSIR!$AM$5*$B$252</f>
        <v>967681.6166254878</v>
      </c>
      <c r="J141" s="36">
        <v>264024.49555581808</v>
      </c>
    </row>
    <row r="142" spans="1:10" x14ac:dyDescent="0.2">
      <c r="A142" s="10">
        <v>45610</v>
      </c>
      <c r="B142">
        <v>0.88577002286911</v>
      </c>
      <c r="C142">
        <f t="shared" si="5"/>
        <v>4.0922450382228082E-3</v>
      </c>
      <c r="D142">
        <f t="shared" si="4"/>
        <v>0.83213140715297684</v>
      </c>
      <c r="E142" s="36">
        <f>TSIR!X143*D142</f>
        <v>80.012635303170839</v>
      </c>
      <c r="F142" s="36">
        <f>TSIR!Y143*D142</f>
        <v>85.963754151617977</v>
      </c>
      <c r="G142" s="36">
        <f>TSIR!Z143*D142</f>
        <v>76.164915007410329</v>
      </c>
      <c r="H142" s="89">
        <f>E142*FI_Portfolio!$B$4+FI_Portfolio!$B$5*F142+FI_Portfolio!$B$6*G142</f>
        <v>335739299.40855604</v>
      </c>
      <c r="I142" s="34">
        <f>H142-TSIR!$AM$5*$B$252</f>
        <v>1177787.8878068924</v>
      </c>
      <c r="J142" s="36">
        <v>283105.56414353848</v>
      </c>
    </row>
    <row r="143" spans="1:10" x14ac:dyDescent="0.2">
      <c r="A143" s="10">
        <v>45611</v>
      </c>
      <c r="B143">
        <v>0.89043998718261697</v>
      </c>
      <c r="C143">
        <f t="shared" si="5"/>
        <v>5.2722085789045359E-3</v>
      </c>
      <c r="D143">
        <f t="shared" si="4"/>
        <v>0.83310929013768142</v>
      </c>
      <c r="E143" s="36">
        <f>TSIR!X144*D143</f>
        <v>80.16061677452916</v>
      </c>
      <c r="F143" s="36">
        <f>TSIR!Y144*D143</f>
        <v>86.25598744667009</v>
      </c>
      <c r="G143" s="36">
        <f>TSIR!Z144*D143</f>
        <v>76.398615485402956</v>
      </c>
      <c r="H143" s="89">
        <f>E143*FI_Portfolio!$B$4+FI_Portfolio!$B$5*F143+FI_Portfolio!$B$6*G143</f>
        <v>336531714.320665</v>
      </c>
      <c r="I143" s="34">
        <f>H143-TSIR!$AM$5*$B$252</f>
        <v>1970202.7999158502</v>
      </c>
      <c r="J143" s="36">
        <v>309189.95768254995</v>
      </c>
    </row>
    <row r="144" spans="1:10" x14ac:dyDescent="0.2">
      <c r="A144" s="10">
        <v>45614</v>
      </c>
      <c r="B144">
        <v>0.88867002725601196</v>
      </c>
      <c r="C144">
        <f t="shared" si="5"/>
        <v>-1.9877363461688891E-3</v>
      </c>
      <c r="D144">
        <f t="shared" si="4"/>
        <v>0.82709268338047603</v>
      </c>
      <c r="E144" s="36">
        <f>TSIR!X145*D144</f>
        <v>79.574050738933607</v>
      </c>
      <c r="F144" s="36">
        <f>TSIR!Y145*D144</f>
        <v>85.609434742600016</v>
      </c>
      <c r="G144" s="36">
        <f>TSIR!Z145*D144</f>
        <v>75.846551660075008</v>
      </c>
      <c r="H144" s="89">
        <f>E144*FI_Portfolio!$B$4+FI_Portfolio!$B$5*F144+FI_Portfolio!$B$6*G144</f>
        <v>334120156.00426722</v>
      </c>
      <c r="I144" s="34">
        <f>H144-TSIR!$AM$5*$B$252</f>
        <v>-441355.51648193598</v>
      </c>
      <c r="J144" s="36">
        <v>323652.13987189531</v>
      </c>
    </row>
    <row r="145" spans="1:10" x14ac:dyDescent="0.2">
      <c r="A145" s="10">
        <v>45615</v>
      </c>
      <c r="B145">
        <v>0.88319998979568404</v>
      </c>
      <c r="C145">
        <f t="shared" si="5"/>
        <v>-6.1553076986494704E-3</v>
      </c>
      <c r="D145">
        <f t="shared" si="4"/>
        <v>0.82363885029782125</v>
      </c>
      <c r="E145" s="36">
        <f>TSIR!X146*D145</f>
        <v>79.226515034419123</v>
      </c>
      <c r="F145" s="36">
        <f>TSIR!Y146*D145</f>
        <v>85.228782053822357</v>
      </c>
      <c r="G145" s="36">
        <f>TSIR!Z146*D145</f>
        <v>75.562894502154307</v>
      </c>
      <c r="H145" s="89">
        <f>E145*FI_Portfolio!$B$4+FI_Portfolio!$B$5*F145+FI_Portfolio!$B$6*G145</f>
        <v>332861434.99672192</v>
      </c>
      <c r="I145" s="34">
        <f>H145-TSIR!$AM$5*$B$252</f>
        <v>-1700076.5240272284</v>
      </c>
      <c r="J145" s="36">
        <v>337002.55992978811</v>
      </c>
    </row>
    <row r="146" spans="1:10" x14ac:dyDescent="0.2">
      <c r="A146" s="10">
        <v>45616</v>
      </c>
      <c r="B146">
        <v>0.88207000494003296</v>
      </c>
      <c r="C146">
        <f t="shared" si="5"/>
        <v>-1.2794212734450472E-3</v>
      </c>
      <c r="D146">
        <f t="shared" si="4"/>
        <v>0.8276796924138452</v>
      </c>
      <c r="E146" s="36">
        <f>TSIR!X147*D146</f>
        <v>79.599893480846802</v>
      </c>
      <c r="F146" s="36">
        <f>TSIR!Y147*D146</f>
        <v>85.57424232558526</v>
      </c>
      <c r="G146" s="36">
        <f>TSIR!Z147*D146</f>
        <v>75.727395187457148</v>
      </c>
      <c r="H146" s="89">
        <f>E146*FI_Portfolio!$B$4+FI_Portfolio!$B$5*F146+FI_Portfolio!$B$6*G146</f>
        <v>333748004.22314429</v>
      </c>
      <c r="I146" s="34">
        <f>H146-TSIR!$AM$5*$B$252</f>
        <v>-813507.29760485888</v>
      </c>
      <c r="J146" s="36">
        <v>348116.21123129129</v>
      </c>
    </row>
    <row r="147" spans="1:10" x14ac:dyDescent="0.2">
      <c r="A147" s="10">
        <v>45617</v>
      </c>
      <c r="B147">
        <v>0.88365000486373901</v>
      </c>
      <c r="C147">
        <f t="shared" si="5"/>
        <v>1.7912409614397884E-3</v>
      </c>
      <c r="D147">
        <f t="shared" si="4"/>
        <v>0.83022447303438363</v>
      </c>
      <c r="E147" s="36">
        <f>TSIR!X148*D147</f>
        <v>79.8523105736639</v>
      </c>
      <c r="F147" s="36">
        <f>TSIR!Y148*D147</f>
        <v>85.793402651357667</v>
      </c>
      <c r="G147" s="36">
        <f>TSIR!Z148*D147</f>
        <v>75.991735195041684</v>
      </c>
      <c r="H147" s="89">
        <f>E147*FI_Portfolio!$B$4+FI_Portfolio!$B$5*F147+FI_Portfolio!$B$6*G147</f>
        <v>334981457.95045805</v>
      </c>
      <c r="I147" s="34">
        <f>H147-TSIR!$AM$5*$B$252</f>
        <v>419946.42970889807</v>
      </c>
      <c r="J147" s="36">
        <v>350793.38364249468</v>
      </c>
    </row>
    <row r="148" spans="1:10" x14ac:dyDescent="0.2">
      <c r="A148" s="10">
        <v>45618</v>
      </c>
      <c r="B148">
        <v>0.88690000772476196</v>
      </c>
      <c r="C148">
        <f t="shared" si="5"/>
        <v>3.677929998454621E-3</v>
      </c>
      <c r="D148">
        <f t="shared" si="4"/>
        <v>0.83178804770691928</v>
      </c>
      <c r="E148" s="36">
        <f>TSIR!X149*D148</f>
        <v>79.995003626362688</v>
      </c>
      <c r="F148" s="36">
        <f>TSIR!Y149*D148</f>
        <v>85.999751634786591</v>
      </c>
      <c r="G148" s="36">
        <f>TSIR!Z149*D148</f>
        <v>76.204234973589408</v>
      </c>
      <c r="H148" s="89">
        <f>E148*FI_Portfolio!$B$4+FI_Portfolio!$B$5*F148+FI_Portfolio!$B$6*G148</f>
        <v>335807319.69490308</v>
      </c>
      <c r="I148" s="34">
        <f>H148-TSIR!$AM$5*$B$252</f>
        <v>1245808.174153924</v>
      </c>
      <c r="J148" s="36">
        <v>356688.86659771204</v>
      </c>
    </row>
    <row r="149" spans="1:10" x14ac:dyDescent="0.2">
      <c r="A149" s="10">
        <v>45621</v>
      </c>
      <c r="B149">
        <v>0.89047002792358398</v>
      </c>
      <c r="C149">
        <f t="shared" si="5"/>
        <v>4.0252792510178104E-3</v>
      </c>
      <c r="D149">
        <f t="shared" si="4"/>
        <v>0.8320759099264885</v>
      </c>
      <c r="E149" s="36">
        <f>TSIR!X150*D149</f>
        <v>80.084303169055687</v>
      </c>
      <c r="F149" s="36">
        <f>TSIR!Y150*D149</f>
        <v>86.341258862298048</v>
      </c>
      <c r="G149" s="36">
        <f>TSIR!Z150*D149</f>
        <v>76.689451927762775</v>
      </c>
      <c r="H149" s="89">
        <f>E149*FI_Portfolio!$B$4+FI_Portfolio!$B$5*F149+FI_Portfolio!$B$6*G149</f>
        <v>337414525.75571537</v>
      </c>
      <c r="I149" s="34">
        <f>H149-TSIR!$AM$5*$B$252</f>
        <v>2853014.2349662185</v>
      </c>
      <c r="J149" s="36">
        <v>392083.38046115637</v>
      </c>
    </row>
    <row r="150" spans="1:10" x14ac:dyDescent="0.2">
      <c r="A150" s="10">
        <v>45622</v>
      </c>
      <c r="B150">
        <v>0.88880002498626698</v>
      </c>
      <c r="C150">
        <f t="shared" si="5"/>
        <v>-1.8754173469612834E-3</v>
      </c>
      <c r="D150">
        <f t="shared" si="4"/>
        <v>0.82718576662787935</v>
      </c>
      <c r="E150" s="36">
        <f>TSIR!X151*D150</f>
        <v>79.575350324952311</v>
      </c>
      <c r="F150" s="36">
        <f>TSIR!Y151*D150</f>
        <v>85.57222734698189</v>
      </c>
      <c r="G150" s="36">
        <f>TSIR!Z151*D150</f>
        <v>75.785443843163122</v>
      </c>
      <c r="H150" s="89">
        <f>E150*FI_Portfolio!$B$4+FI_Portfolio!$B$5*F150+FI_Portfolio!$B$6*G150</f>
        <v>333934135.00208426</v>
      </c>
      <c r="I150" s="34">
        <f>H150-TSIR!$AM$5*$B$252</f>
        <v>-627376.51866489649</v>
      </c>
      <c r="J150" s="36">
        <v>394956.98791390657</v>
      </c>
    </row>
    <row r="151" spans="1:10" x14ac:dyDescent="0.2">
      <c r="A151" s="10">
        <v>45623</v>
      </c>
      <c r="B151">
        <v>0.88626998662948597</v>
      </c>
      <c r="C151">
        <f t="shared" si="5"/>
        <v>-2.8465777291355465E-3</v>
      </c>
      <c r="D151">
        <f t="shared" si="4"/>
        <v>0.82638092717275624</v>
      </c>
      <c r="E151" s="36">
        <f>TSIR!X152*D151</f>
        <v>79.520874439256772</v>
      </c>
      <c r="F151" s="36">
        <f>TSIR!Y152*D151</f>
        <v>85.581496418780134</v>
      </c>
      <c r="G151" s="36">
        <f>TSIR!Z152*D151</f>
        <v>75.918309781814884</v>
      </c>
      <c r="H151" s="89">
        <f>E151*FI_Portfolio!$B$4+FI_Portfolio!$B$5*F151+FI_Portfolio!$B$6*G151</f>
        <v>334342743.37760288</v>
      </c>
      <c r="I151" s="34">
        <f>H151-TSIR!$AM$5*$B$252</f>
        <v>-218768.14314627647</v>
      </c>
      <c r="J151" s="36">
        <v>403215.53201901913</v>
      </c>
    </row>
    <row r="152" spans="1:10" x14ac:dyDescent="0.2">
      <c r="A152" s="10">
        <v>45625</v>
      </c>
      <c r="B152">
        <v>0.88234001398086503</v>
      </c>
      <c r="C152">
        <f t="shared" si="5"/>
        <v>-4.4342838050589473E-3</v>
      </c>
      <c r="D152">
        <f t="shared" si="4"/>
        <v>0.82506513163939543</v>
      </c>
      <c r="E152" s="36">
        <f>TSIR!X153*D152</f>
        <v>79.401898916311765</v>
      </c>
      <c r="F152" s="36">
        <f>TSIR!Y153*D152</f>
        <v>85.515981283633792</v>
      </c>
      <c r="G152" s="36">
        <f>TSIR!Z153*D152</f>
        <v>75.800764509090527</v>
      </c>
      <c r="H152" s="89">
        <f>E152*FI_Portfolio!$B$4+FI_Portfolio!$B$5*F152+FI_Portfolio!$B$6*G152</f>
        <v>333732883.94353497</v>
      </c>
      <c r="I152" s="34">
        <f>H152-TSIR!$AM$5*$B$252</f>
        <v>-828627.57721418142</v>
      </c>
      <c r="J152" s="36">
        <v>419946.42970889807</v>
      </c>
    </row>
    <row r="153" spans="1:10" x14ac:dyDescent="0.2">
      <c r="A153" s="10">
        <v>45628</v>
      </c>
      <c r="B153">
        <v>0.88202697038650502</v>
      </c>
      <c r="C153">
        <f t="shared" si="5"/>
        <v>-3.5478793820953314E-4</v>
      </c>
      <c r="D153">
        <f t="shared" si="4"/>
        <v>0.82844597304408829</v>
      </c>
      <c r="E153" s="36">
        <f>TSIR!X154*D153</f>
        <v>79.696582303423597</v>
      </c>
      <c r="F153" s="36">
        <f>TSIR!Y154*D153</f>
        <v>85.677119278920202</v>
      </c>
      <c r="G153" s="36">
        <f>TSIR!Z154*D153</f>
        <v>75.798729173941311</v>
      </c>
      <c r="H153" s="89">
        <f>E153*FI_Portfolio!$B$4+FI_Portfolio!$B$5*F153+FI_Portfolio!$B$6*G153</f>
        <v>334072402.38423216</v>
      </c>
      <c r="I153" s="34">
        <f>H153-TSIR!$AM$5*$B$252</f>
        <v>-489109.13651698828</v>
      </c>
      <c r="J153" s="36">
        <v>449210.95561474562</v>
      </c>
    </row>
    <row r="154" spans="1:10" x14ac:dyDescent="0.2">
      <c r="A154" s="10">
        <v>45629</v>
      </c>
      <c r="B154">
        <v>0.88628000020980802</v>
      </c>
      <c r="C154">
        <f t="shared" si="5"/>
        <v>4.8218818313903178E-3</v>
      </c>
      <c r="D154">
        <f t="shared" si="4"/>
        <v>0.83273608634894647</v>
      </c>
      <c r="E154" s="36">
        <f>TSIR!X155*D154</f>
        <v>80.132417854979465</v>
      </c>
      <c r="F154" s="36">
        <f>TSIR!Y155*D154</f>
        <v>86.102319325849038</v>
      </c>
      <c r="G154" s="36">
        <f>TSIR!Z155*D154</f>
        <v>76.191460178717918</v>
      </c>
      <c r="H154" s="89">
        <f>E154*FI_Portfolio!$B$4+FI_Portfolio!$B$5*F154+FI_Portfolio!$B$6*G154</f>
        <v>335877197.43605703</v>
      </c>
      <c r="I154" s="34">
        <f>H154-TSIR!$AM$5*$B$252</f>
        <v>1315685.9153078794</v>
      </c>
      <c r="J154" s="36">
        <v>458345.64079326391</v>
      </c>
    </row>
    <row r="155" spans="1:10" x14ac:dyDescent="0.2">
      <c r="A155" s="10">
        <v>45630</v>
      </c>
      <c r="B155">
        <v>0.88639998435974099</v>
      </c>
      <c r="C155">
        <f t="shared" si="5"/>
        <v>1.3537950749720196E-4</v>
      </c>
      <c r="D155">
        <f t="shared" si="4"/>
        <v>0.82885219441304325</v>
      </c>
      <c r="E155" s="36">
        <f>TSIR!X156*D155</f>
        <v>79.766354962279209</v>
      </c>
      <c r="F155" s="36">
        <f>TSIR!Y156*D155</f>
        <v>85.839295180398082</v>
      </c>
      <c r="G155" s="36">
        <f>TSIR!Z156*D155</f>
        <v>76.077952686927219</v>
      </c>
      <c r="H155" s="89">
        <f>E155*FI_Portfolio!$B$4+FI_Portfolio!$B$5*F155+FI_Portfolio!$B$6*G155</f>
        <v>335085577.90167016</v>
      </c>
      <c r="I155" s="34">
        <f>H155-TSIR!$AM$5*$B$252</f>
        <v>524066.3809210062</v>
      </c>
      <c r="J155" s="36">
        <v>462810.30637145042</v>
      </c>
    </row>
    <row r="156" spans="1:10" x14ac:dyDescent="0.2">
      <c r="A156" s="10">
        <v>45631</v>
      </c>
      <c r="B156">
        <v>0.88375002145767201</v>
      </c>
      <c r="C156">
        <f t="shared" si="5"/>
        <v>-2.9895791390194271E-3</v>
      </c>
      <c r="D156">
        <f t="shared" si="4"/>
        <v>0.82626241618432905</v>
      </c>
      <c r="E156" s="36">
        <f>TSIR!X157*D156</f>
        <v>79.486523923456375</v>
      </c>
      <c r="F156" s="36">
        <f>TSIR!Y157*D156</f>
        <v>85.452776718904772</v>
      </c>
      <c r="G156" s="36">
        <f>TSIR!Z157*D156</f>
        <v>75.70043788879039</v>
      </c>
      <c r="H156" s="89">
        <f>E156*FI_Portfolio!$B$4+FI_Portfolio!$B$5*F156+FI_Portfolio!$B$6*G156</f>
        <v>333595634.32371712</v>
      </c>
      <c r="I156" s="34">
        <f>H156-TSIR!$AM$5*$B$252</f>
        <v>-965877.1970320344</v>
      </c>
      <c r="J156" s="36">
        <v>466504.00298136473</v>
      </c>
    </row>
    <row r="157" spans="1:10" x14ac:dyDescent="0.2">
      <c r="A157" s="10">
        <v>45632</v>
      </c>
      <c r="B157">
        <v>0.87841999530792203</v>
      </c>
      <c r="C157">
        <f t="shared" si="5"/>
        <v>-6.0311468405495061E-3</v>
      </c>
      <c r="D157">
        <f t="shared" si="4"/>
        <v>0.82374174736736305</v>
      </c>
      <c r="E157" s="36">
        <f>TSIR!X158*D157</f>
        <v>79.274540214355028</v>
      </c>
      <c r="F157" s="36">
        <f>TSIR!Y158*D157</f>
        <v>85.333200489500484</v>
      </c>
      <c r="G157" s="36">
        <f>TSIR!Z158*D157</f>
        <v>75.609629550398978</v>
      </c>
      <c r="H157" s="89">
        <f>E157*FI_Portfolio!$B$4+FI_Portfolio!$B$5*F157+FI_Portfolio!$B$6*G157</f>
        <v>332987797.89605522</v>
      </c>
      <c r="I157" s="34">
        <f>H157-TSIR!$AM$5*$B$252</f>
        <v>-1573713.6246939301</v>
      </c>
      <c r="J157" s="36">
        <v>471634.29151755571</v>
      </c>
    </row>
    <row r="158" spans="1:10" x14ac:dyDescent="0.2">
      <c r="A158" s="10">
        <v>45635</v>
      </c>
      <c r="B158">
        <v>0.87866997718811002</v>
      </c>
      <c r="C158">
        <f t="shared" si="5"/>
        <v>2.8458127265240662E-4</v>
      </c>
      <c r="D158">
        <f t="shared" si="4"/>
        <v>0.828975843883898</v>
      </c>
      <c r="E158" s="36">
        <f>TSIR!X159*D158</f>
        <v>79.739884944584261</v>
      </c>
      <c r="F158" s="36">
        <f>TSIR!Y159*D158</f>
        <v>85.664755789893093</v>
      </c>
      <c r="G158" s="36">
        <f>TSIR!Z159*D158</f>
        <v>75.811212655489868</v>
      </c>
      <c r="H158" s="89">
        <f>E158*FI_Portfolio!$B$4+FI_Portfolio!$B$5*F158+FI_Portfolio!$B$6*G158</f>
        <v>334227486.82628834</v>
      </c>
      <c r="I158" s="34">
        <f>H158-TSIR!$AM$5*$B$252</f>
        <v>-334024.69446080923</v>
      </c>
      <c r="J158" s="36">
        <v>472022.62996166945</v>
      </c>
    </row>
    <row r="159" spans="1:10" x14ac:dyDescent="0.2">
      <c r="A159" s="10">
        <v>45636</v>
      </c>
      <c r="B159">
        <v>0.878589987754821</v>
      </c>
      <c r="C159">
        <f t="shared" si="5"/>
        <v>-9.1034672135892336E-5</v>
      </c>
      <c r="D159">
        <f t="shared" si="4"/>
        <v>0.82866455592581412</v>
      </c>
      <c r="E159" s="36">
        <f>TSIR!X160*D159</f>
        <v>79.702275264577679</v>
      </c>
      <c r="F159" s="36">
        <f>TSIR!Y160*D159</f>
        <v>85.745481473917209</v>
      </c>
      <c r="G159" s="36">
        <f>TSIR!Z160*D159</f>
        <v>75.852081013044554</v>
      </c>
      <c r="H159" s="89">
        <f>E159*FI_Portfolio!$B$4+FI_Portfolio!$B$5*F159+FI_Portfolio!$B$6*G159</f>
        <v>334194652.37045777</v>
      </c>
      <c r="I159" s="34">
        <f>H159-TSIR!$AM$5*$B$252</f>
        <v>-366859.15029138327</v>
      </c>
      <c r="J159" s="36">
        <v>474545.15324914455</v>
      </c>
    </row>
    <row r="160" spans="1:10" x14ac:dyDescent="0.2">
      <c r="A160" s="10">
        <v>45637</v>
      </c>
      <c r="B160">
        <v>0.88249999284744196</v>
      </c>
      <c r="C160">
        <f t="shared" si="5"/>
        <v>4.4503182908022243E-3</v>
      </c>
      <c r="D160">
        <f t="shared" si="4"/>
        <v>0.83242815678031945</v>
      </c>
      <c r="E160" s="36">
        <f>TSIR!X161*D160</f>
        <v>80.08737317493933</v>
      </c>
      <c r="F160" s="36">
        <f>TSIR!Y161*D160</f>
        <v>86.092318963343828</v>
      </c>
      <c r="G160" s="36">
        <f>TSIR!Z161*D160</f>
        <v>76.128741419542408</v>
      </c>
      <c r="H160" s="89">
        <f>E160*FI_Portfolio!$B$4+FI_Portfolio!$B$5*F160+FI_Portfolio!$B$6*G160</f>
        <v>335551233.58303255</v>
      </c>
      <c r="I160" s="34">
        <f>H160-TSIR!$AM$5*$B$252</f>
        <v>989722.06228339672</v>
      </c>
      <c r="J160" s="36">
        <v>480298.65673238039</v>
      </c>
    </row>
    <row r="161" spans="1:10" x14ac:dyDescent="0.2">
      <c r="A161" s="10">
        <v>45638</v>
      </c>
      <c r="B161">
        <v>0.88321000337600697</v>
      </c>
      <c r="C161">
        <f t="shared" si="5"/>
        <v>8.0454451480971301E-4</v>
      </c>
      <c r="D161">
        <f t="shared" si="4"/>
        <v>0.82940675822120347</v>
      </c>
      <c r="E161" s="36">
        <f>TSIR!X162*D161</f>
        <v>79.781334957791785</v>
      </c>
      <c r="F161" s="36">
        <f>TSIR!Y162*D161</f>
        <v>85.686784475059497</v>
      </c>
      <c r="G161" s="36">
        <f>TSIR!Z162*D161</f>
        <v>75.815334819339711</v>
      </c>
      <c r="H161" s="89">
        <f>E161*FI_Portfolio!$B$4+FI_Portfolio!$B$5*F161+FI_Portfolio!$B$6*G161</f>
        <v>334293832.48035318</v>
      </c>
      <c r="I161" s="34">
        <f>H161-TSIR!$AM$5*$B$252</f>
        <v>-267679.04039597511</v>
      </c>
      <c r="J161" s="36">
        <v>492862.6472838521</v>
      </c>
    </row>
    <row r="162" spans="1:10" x14ac:dyDescent="0.2">
      <c r="A162" s="10">
        <v>45639</v>
      </c>
      <c r="B162">
        <v>0.89200997352600098</v>
      </c>
      <c r="C162">
        <f t="shared" si="5"/>
        <v>9.9636214675522528E-3</v>
      </c>
      <c r="D162">
        <f t="shared" si="4"/>
        <v>0.83699725165501926</v>
      </c>
      <c r="E162" s="36">
        <f>TSIR!X163*D162</f>
        <v>80.503727195827565</v>
      </c>
      <c r="F162" s="36">
        <f>TSIR!Y163*D162</f>
        <v>86.42219583765548</v>
      </c>
      <c r="G162" s="36">
        <f>TSIR!Z163*D162</f>
        <v>76.437959532596267</v>
      </c>
      <c r="H162" s="89">
        <f>E162*FI_Portfolio!$B$4+FI_Portfolio!$B$5*F162+FI_Portfolio!$B$6*G162</f>
        <v>337125998.76555693</v>
      </c>
      <c r="I162" s="34">
        <f>H162-TSIR!$AM$5*$B$252</f>
        <v>2564487.2448077798</v>
      </c>
      <c r="J162" s="36">
        <v>524066.3809210062</v>
      </c>
    </row>
    <row r="163" spans="1:10" x14ac:dyDescent="0.2">
      <c r="A163" s="10">
        <v>45642</v>
      </c>
      <c r="B163">
        <v>0.89174401760101296</v>
      </c>
      <c r="C163">
        <f t="shared" si="5"/>
        <v>-2.9815353289908142E-4</v>
      </c>
      <c r="D163">
        <f t="shared" si="4"/>
        <v>0.8284929082411453</v>
      </c>
      <c r="E163" s="36">
        <f>TSIR!X164*D163</f>
        <v>79.701097473895643</v>
      </c>
      <c r="F163" s="36">
        <f>TSIR!Y164*D163</f>
        <v>85.684939873329569</v>
      </c>
      <c r="G163" s="36">
        <f>TSIR!Z164*D163</f>
        <v>75.904195519176483</v>
      </c>
      <c r="H163" s="89">
        <f>E163*FI_Portfolio!$B$4+FI_Portfolio!$B$5*F163+FI_Portfolio!$B$6*G163</f>
        <v>334491567.21450287</v>
      </c>
      <c r="I163" s="34">
        <f>H163-TSIR!$AM$5*$B$252</f>
        <v>-69944.30624628067</v>
      </c>
      <c r="J163" s="36">
        <v>530949.62178713083</v>
      </c>
    </row>
    <row r="164" spans="1:10" x14ac:dyDescent="0.2">
      <c r="A164" s="10">
        <v>45643</v>
      </c>
      <c r="B164">
        <v>0.89403998851776101</v>
      </c>
      <c r="C164">
        <f t="shared" si="5"/>
        <v>2.5746973026234965E-3</v>
      </c>
      <c r="D164">
        <f t="shared" si="4"/>
        <v>0.83087375464257618</v>
      </c>
      <c r="E164" s="36">
        <f>TSIR!X165*D164</f>
        <v>79.922446579701443</v>
      </c>
      <c r="F164" s="36">
        <f>TSIR!Y165*D164</f>
        <v>85.953364654623869</v>
      </c>
      <c r="G164" s="36">
        <f>TSIR!Z165*D164</f>
        <v>76.089062505792242</v>
      </c>
      <c r="H164" s="89">
        <f>E164*FI_Portfolio!$B$4+FI_Portfolio!$B$5*F164+FI_Portfolio!$B$6*G164</f>
        <v>335271096.20063603</v>
      </c>
      <c r="I164" s="34">
        <f>H164-TSIR!$AM$5*$B$252</f>
        <v>709584.67988687754</v>
      </c>
      <c r="J164" s="36">
        <v>539313.64757174253</v>
      </c>
    </row>
    <row r="165" spans="1:10" x14ac:dyDescent="0.2">
      <c r="A165" s="10">
        <v>45644</v>
      </c>
      <c r="B165">
        <v>0.89248001575469904</v>
      </c>
      <c r="C165">
        <f t="shared" si="5"/>
        <v>-1.7448579292836941E-3</v>
      </c>
      <c r="D165">
        <f t="shared" si="4"/>
        <v>0.82729396643968545</v>
      </c>
      <c r="E165" s="36">
        <f>TSIR!X166*D165</f>
        <v>79.547496773046674</v>
      </c>
      <c r="F165" s="36">
        <f>TSIR!Y166*D165</f>
        <v>85.282562477143998</v>
      </c>
      <c r="G165" s="36">
        <f>TSIR!Z166*D165</f>
        <v>75.312996182385604</v>
      </c>
      <c r="H165" s="89">
        <f>E165*FI_Portfolio!$B$4+FI_Portfolio!$B$5*F165+FI_Portfolio!$B$6*G165</f>
        <v>332423134.55991977</v>
      </c>
      <c r="I165" s="34">
        <f>H165-TSIR!$AM$5*$B$252</f>
        <v>-2138376.9608293772</v>
      </c>
      <c r="J165" s="36">
        <v>543251.99201065302</v>
      </c>
    </row>
    <row r="166" spans="1:10" x14ac:dyDescent="0.2">
      <c r="A166" s="10">
        <v>45645</v>
      </c>
      <c r="B166">
        <v>0.901700019836425</v>
      </c>
      <c r="C166">
        <f t="shared" si="5"/>
        <v>1.033076810569189E-2</v>
      </c>
      <c r="D166">
        <f t="shared" si="4"/>
        <v>0.83730152075991116</v>
      </c>
      <c r="E166" s="36">
        <f>TSIR!X167*D166</f>
        <v>80.563987372261252</v>
      </c>
      <c r="F166" s="36">
        <f>TSIR!Y167*D166</f>
        <v>86.621726306109167</v>
      </c>
      <c r="G166" s="36">
        <f>TSIR!Z167*D166</f>
        <v>76.609138149733568</v>
      </c>
      <c r="H166" s="89">
        <f>E166*FI_Portfolio!$B$4+FI_Portfolio!$B$5*F166+FI_Portfolio!$B$6*G166</f>
        <v>337631937.88429308</v>
      </c>
      <c r="I166" s="34">
        <f>H166-TSIR!$AM$5*$B$252</f>
        <v>3070426.3635439277</v>
      </c>
      <c r="J166" s="36">
        <v>551142.609187603</v>
      </c>
    </row>
    <row r="167" spans="1:10" x14ac:dyDescent="0.2">
      <c r="A167" s="10">
        <v>45646</v>
      </c>
      <c r="B167">
        <v>0.89898997545242298</v>
      </c>
      <c r="C167">
        <f t="shared" si="5"/>
        <v>-3.0054833363468703E-3</v>
      </c>
      <c r="D167">
        <f t="shared" si="4"/>
        <v>0.82624923573983589</v>
      </c>
      <c r="E167" s="36">
        <f>TSIR!X168*D167</f>
        <v>79.492903188362106</v>
      </c>
      <c r="F167" s="36">
        <f>TSIR!Y168*D167</f>
        <v>85.544608534500284</v>
      </c>
      <c r="G167" s="36">
        <f>TSIR!Z168*D167</f>
        <v>75.904520644808017</v>
      </c>
      <c r="H167" s="89">
        <f>E167*FI_Portfolio!$B$4+FI_Portfolio!$B$5*F167+FI_Portfolio!$B$6*G167</f>
        <v>334286976.1542058</v>
      </c>
      <c r="I167" s="34">
        <f>H167-TSIR!$AM$5*$B$252</f>
        <v>-274535.3665433526</v>
      </c>
      <c r="J167" s="36">
        <v>598101.06852722168</v>
      </c>
    </row>
    <row r="168" spans="1:10" x14ac:dyDescent="0.2">
      <c r="A168" s="10">
        <v>45649</v>
      </c>
      <c r="B168">
        <v>0.89305001497268599</v>
      </c>
      <c r="C168">
        <f t="shared" si="5"/>
        <v>-6.6073712076128999E-3</v>
      </c>
      <c r="D168">
        <f t="shared" si="4"/>
        <v>0.82326420718540294</v>
      </c>
      <c r="E168" s="36">
        <f>TSIR!X169*D168</f>
        <v>79.205715526784957</v>
      </c>
      <c r="F168" s="36">
        <f>TSIR!Y169*D168</f>
        <v>85.077499445835258</v>
      </c>
      <c r="G168" s="36">
        <f>TSIR!Z169*D168</f>
        <v>75.188765416690472</v>
      </c>
      <c r="H168" s="89">
        <f>E168*FI_Portfolio!$B$4+FI_Portfolio!$B$5*F168+FI_Portfolio!$B$6*G168</f>
        <v>331550243.55157888</v>
      </c>
      <c r="I168" s="34">
        <f>H168-TSIR!$AM$5*$B$252</f>
        <v>-3011267.9691702724</v>
      </c>
      <c r="J168" s="36">
        <v>627387.25955986977</v>
      </c>
    </row>
    <row r="169" spans="1:10" x14ac:dyDescent="0.2">
      <c r="A169" s="10">
        <v>45650</v>
      </c>
      <c r="B169">
        <v>0.89846998453140203</v>
      </c>
      <c r="C169">
        <f t="shared" si="5"/>
        <v>6.0690548881316975E-3</v>
      </c>
      <c r="D169">
        <f t="shared" si="4"/>
        <v>0.83376966854799028</v>
      </c>
      <c r="E169" s="36">
        <f>TSIR!X170*D169</f>
        <v>80.22415746637067</v>
      </c>
      <c r="F169" s="36">
        <f>TSIR!Y170*D169</f>
        <v>86.254849555035079</v>
      </c>
      <c r="G169" s="36">
        <f>TSIR!Z170*D169</f>
        <v>76.422442760067099</v>
      </c>
      <c r="H169" s="89">
        <f>E169*FI_Portfolio!$B$4+FI_Portfolio!$B$5*F169+FI_Portfolio!$B$6*G169</f>
        <v>336755811.64045715</v>
      </c>
      <c r="I169" s="34">
        <f>H169-TSIR!$AM$5*$B$252</f>
        <v>2194300.1197080016</v>
      </c>
      <c r="J169" s="36">
        <v>629756.01300406456</v>
      </c>
    </row>
    <row r="170" spans="1:10" x14ac:dyDescent="0.2">
      <c r="A170" s="10">
        <v>45652</v>
      </c>
      <c r="B170">
        <v>0.89942002296447698</v>
      </c>
      <c r="C170">
        <f t="shared" si="5"/>
        <v>1.0573958500912362E-3</v>
      </c>
      <c r="D170">
        <f t="shared" si="4"/>
        <v>0.8296163062368046</v>
      </c>
      <c r="E170" s="36">
        <f>TSIR!X171*D170</f>
        <v>79.816846857495136</v>
      </c>
      <c r="F170" s="36">
        <f>TSIR!Y171*D170</f>
        <v>85.845857466785503</v>
      </c>
      <c r="G170" s="36">
        <f>TSIR!Z171*D170</f>
        <v>76.042787289796578</v>
      </c>
      <c r="H170" s="89">
        <f>E170*FI_Portfolio!$B$4+FI_Portfolio!$B$5*F170+FI_Portfolio!$B$6*G170</f>
        <v>335036056.6739983</v>
      </c>
      <c r="I170" s="34">
        <f>H170-TSIR!$AM$5*$B$252</f>
        <v>474545.15324914455</v>
      </c>
      <c r="J170" s="36">
        <v>630475.97169625759</v>
      </c>
    </row>
    <row r="171" spans="1:10" x14ac:dyDescent="0.2">
      <c r="A171" s="10">
        <v>45653</v>
      </c>
      <c r="B171">
        <v>0.89889997243881203</v>
      </c>
      <c r="C171">
        <f t="shared" si="5"/>
        <v>-5.7820652463447253E-4</v>
      </c>
      <c r="D171">
        <f t="shared" si="4"/>
        <v>0.82826081712477451</v>
      </c>
      <c r="E171" s="36">
        <f>TSIR!X172*D171</f>
        <v>79.701772240644203</v>
      </c>
      <c r="F171" s="36">
        <f>TSIR!Y172*D171</f>
        <v>85.661344726843069</v>
      </c>
      <c r="G171" s="36">
        <f>TSIR!Z172*D171</f>
        <v>75.78216974106347</v>
      </c>
      <c r="H171" s="89">
        <f>E171*FI_Portfolio!$B$4+FI_Portfolio!$B$5*F171+FI_Portfolio!$B$6*G171</f>
        <v>334040206.35527772</v>
      </c>
      <c r="I171" s="34">
        <f>H171-TSIR!$AM$5*$B$252</f>
        <v>-521305.16547143459</v>
      </c>
      <c r="J171" s="36">
        <v>632915.0918738246</v>
      </c>
    </row>
    <row r="172" spans="1:10" x14ac:dyDescent="0.2">
      <c r="A172" s="10">
        <v>45656</v>
      </c>
      <c r="B172">
        <v>0.90183997154235795</v>
      </c>
      <c r="C172">
        <f t="shared" si="5"/>
        <v>3.2706632480690168E-3</v>
      </c>
      <c r="D172">
        <f t="shared" si="4"/>
        <v>0.8314505294602047</v>
      </c>
      <c r="E172" s="36">
        <f>TSIR!X173*D172</f>
        <v>80.008711456909623</v>
      </c>
      <c r="F172" s="36">
        <f>TSIR!Y173*D172</f>
        <v>86.178173276651137</v>
      </c>
      <c r="G172" s="36">
        <f>TSIR!Z173*D172</f>
        <v>76.455686670403281</v>
      </c>
      <c r="H172" s="89">
        <f>E172*FI_Portfolio!$B$4+FI_Portfolio!$B$5*F172+FI_Portfolio!$B$6*G172</f>
        <v>336572909.68045568</v>
      </c>
      <c r="I172" s="34">
        <f>H172-TSIR!$AM$5*$B$252</f>
        <v>2011398.159706533</v>
      </c>
      <c r="J172" s="36">
        <v>658359.86490994692</v>
      </c>
    </row>
    <row r="173" spans="1:10" x14ac:dyDescent="0.2">
      <c r="A173" s="10">
        <v>45657</v>
      </c>
      <c r="B173">
        <v>0.90324002504348699</v>
      </c>
      <c r="C173">
        <f t="shared" si="5"/>
        <v>1.5524411706153707E-3</v>
      </c>
      <c r="D173">
        <f t="shared" si="4"/>
        <v>0.83002657009573577</v>
      </c>
      <c r="E173" s="36">
        <f>TSIR!X174*D173</f>
        <v>79.85631807732689</v>
      </c>
      <c r="F173" s="36">
        <f>TSIR!Y174*D173</f>
        <v>85.910880286658653</v>
      </c>
      <c r="G173" s="36">
        <f>TSIR!Z174*D173</f>
        <v>76.013049589003273</v>
      </c>
      <c r="H173" s="89">
        <f>E173*FI_Portfolio!$B$4+FI_Portfolio!$B$5*F173+FI_Portfolio!$B$6*G173</f>
        <v>334898514.08067894</v>
      </c>
      <c r="I173" s="34">
        <f>H173-TSIR!$AM$5*$B$252</f>
        <v>337002.55992978811</v>
      </c>
      <c r="J173" s="36">
        <v>684671.96077650785</v>
      </c>
    </row>
    <row r="174" spans="1:10" x14ac:dyDescent="0.2">
      <c r="A174" s="10">
        <v>45659</v>
      </c>
      <c r="B174">
        <v>0.90775001049041704</v>
      </c>
      <c r="C174">
        <f t="shared" si="5"/>
        <v>4.9931195716363952E-3</v>
      </c>
      <c r="D174">
        <f t="shared" si="4"/>
        <v>0.83287799791379802</v>
      </c>
      <c r="E174" s="36">
        <f>TSIR!X175*D174</f>
        <v>80.115236428799349</v>
      </c>
      <c r="F174" s="36">
        <f>TSIR!Y175*D174</f>
        <v>86.115450676263336</v>
      </c>
      <c r="G174" s="36">
        <f>TSIR!Z175*D174</f>
        <v>76.30646670897876</v>
      </c>
      <c r="H174" s="89">
        <f>E174*FI_Portfolio!$B$4+FI_Portfolio!$B$5*F174+FI_Portfolio!$B$6*G174</f>
        <v>336283163.67911875</v>
      </c>
      <c r="I174" s="34">
        <f>H174-TSIR!$AM$5*$B$252</f>
        <v>1721652.1583696008</v>
      </c>
      <c r="J174" s="36">
        <v>698227.05526381731</v>
      </c>
    </row>
    <row r="175" spans="1:10" x14ac:dyDescent="0.2">
      <c r="A175" s="10">
        <v>45660</v>
      </c>
      <c r="B175">
        <v>0.91201001405715898</v>
      </c>
      <c r="C175">
        <f t="shared" si="5"/>
        <v>4.6929259350163566E-3</v>
      </c>
      <c r="D175">
        <f t="shared" si="4"/>
        <v>0.83262921543938551</v>
      </c>
      <c r="E175" s="36">
        <f>TSIR!X176*D175</f>
        <v>80.09130583295358</v>
      </c>
      <c r="F175" s="36">
        <f>TSIR!Y176*D175</f>
        <v>86.06488541595094</v>
      </c>
      <c r="G175" s="36">
        <f>TSIR!Z176*D175</f>
        <v>76.179121350313224</v>
      </c>
      <c r="H175" s="89">
        <f>E175*FI_Portfolio!$B$4+FI_Portfolio!$B$5*F175+FI_Portfolio!$B$6*G175</f>
        <v>335801768.94323367</v>
      </c>
      <c r="I175" s="34">
        <f>H175-TSIR!$AM$5*$B$252</f>
        <v>1240257.4224845171</v>
      </c>
      <c r="J175" s="36">
        <v>709584.67988687754</v>
      </c>
    </row>
    <row r="176" spans="1:10" x14ac:dyDescent="0.2">
      <c r="A176" s="10">
        <v>45663</v>
      </c>
      <c r="B176">
        <v>0.909309983253479</v>
      </c>
      <c r="C176">
        <f t="shared" si="5"/>
        <v>-2.9605275841968481E-3</v>
      </c>
      <c r="D176">
        <f t="shared" si="4"/>
        <v>0.82628649236987273</v>
      </c>
      <c r="E176" s="36">
        <f>TSIR!X177*D176</f>
        <v>79.496487624578847</v>
      </c>
      <c r="F176" s="36">
        <f>TSIR!Y177*D176</f>
        <v>85.524508132652869</v>
      </c>
      <c r="G176" s="36">
        <f>TSIR!Z177*D176</f>
        <v>75.669932664990768</v>
      </c>
      <c r="H176" s="89">
        <f>E176*FI_Portfolio!$B$4+FI_Portfolio!$B$5*F176+FI_Portfolio!$B$6*G176</f>
        <v>333385943.71014148</v>
      </c>
      <c r="I176" s="34">
        <f>H176-TSIR!$AM$5*$B$252</f>
        <v>-1175567.8106076717</v>
      </c>
      <c r="J176" s="36">
        <v>710803.66871976852</v>
      </c>
    </row>
    <row r="177" spans="1:10" x14ac:dyDescent="0.2">
      <c r="A177" s="10">
        <v>45664</v>
      </c>
      <c r="B177">
        <v>0.90504002571105902</v>
      </c>
      <c r="C177">
        <f t="shared" si="5"/>
        <v>-4.6958216901371586E-3</v>
      </c>
      <c r="D177">
        <f t="shared" si="4"/>
        <v>0.82484838473251576</v>
      </c>
      <c r="E177" s="36">
        <f>TSIR!X178*D177</f>
        <v>79.335229848275063</v>
      </c>
      <c r="F177" s="36">
        <f>TSIR!Y178*D177</f>
        <v>85.260975007904662</v>
      </c>
      <c r="G177" s="36">
        <f>TSIR!Z178*D177</f>
        <v>75.433514267000248</v>
      </c>
      <c r="H177" s="89">
        <f>E177*FI_Portfolio!$B$4+FI_Portfolio!$B$5*F177+FI_Portfolio!$B$6*G177</f>
        <v>332513054.25269413</v>
      </c>
      <c r="I177" s="34">
        <f>H177-TSIR!$AM$5*$B$252</f>
        <v>-2048457.2680550218</v>
      </c>
      <c r="J177" s="36">
        <v>722234.27465391159</v>
      </c>
    </row>
    <row r="178" spans="1:10" x14ac:dyDescent="0.2">
      <c r="A178" s="10">
        <v>45665</v>
      </c>
      <c r="B178">
        <v>0.90944999456405595</v>
      </c>
      <c r="C178">
        <f t="shared" si="5"/>
        <v>4.8726782547900971E-3</v>
      </c>
      <c r="D178">
        <f t="shared" si="4"/>
        <v>0.83277818337687481</v>
      </c>
      <c r="E178" s="36">
        <f>TSIR!X179*D178</f>
        <v>80.113341354196706</v>
      </c>
      <c r="F178" s="36">
        <f>TSIR!Y179*D178</f>
        <v>86.197535331010783</v>
      </c>
      <c r="G178" s="36">
        <f>TSIR!Z179*D178</f>
        <v>76.333174704710473</v>
      </c>
      <c r="H178" s="89">
        <f>E178*FI_Portfolio!$B$4+FI_Portfolio!$B$5*F178+FI_Portfolio!$B$6*G178</f>
        <v>336263078.53071916</v>
      </c>
      <c r="I178" s="34">
        <f>H178-TSIR!$AM$5*$B$252</f>
        <v>1701567.0099700093</v>
      </c>
      <c r="J178" s="36">
        <v>725961.55391538143</v>
      </c>
    </row>
    <row r="179" spans="1:10" x14ac:dyDescent="0.2">
      <c r="A179" s="10">
        <v>45666</v>
      </c>
      <c r="B179">
        <v>0.91095000505447299</v>
      </c>
      <c r="C179">
        <f t="shared" si="5"/>
        <v>1.6493600521005902E-3</v>
      </c>
      <c r="D179">
        <f t="shared" si="4"/>
        <v>0.83010689064957788</v>
      </c>
      <c r="E179" s="36">
        <f>TSIR!X180*D179</f>
        <v>79.879415959351235</v>
      </c>
      <c r="F179" s="36">
        <f>TSIR!Y180*D179</f>
        <v>85.876313425040692</v>
      </c>
      <c r="G179" s="36">
        <f>TSIR!Z180*D179</f>
        <v>76.019990011494784</v>
      </c>
      <c r="H179" s="89">
        <f>E179*FI_Portfolio!$B$4+FI_Portfolio!$B$5*F179+FI_Portfolio!$B$6*G179</f>
        <v>335024321.8271206</v>
      </c>
      <c r="I179" s="34">
        <f>H179-TSIR!$AM$5*$B$252</f>
        <v>462810.30637145042</v>
      </c>
      <c r="J179" s="36">
        <v>736554.96705627441</v>
      </c>
    </row>
    <row r="180" spans="1:10" x14ac:dyDescent="0.2">
      <c r="A180" s="10">
        <v>45667</v>
      </c>
      <c r="B180">
        <v>0.91206997632980302</v>
      </c>
      <c r="C180">
        <f t="shared" si="5"/>
        <v>1.2294541622654975E-3</v>
      </c>
      <c r="D180">
        <f t="shared" si="4"/>
        <v>0.82975889784243595</v>
      </c>
      <c r="E180" s="36">
        <f>TSIR!X181*D180</f>
        <v>79.753834856058816</v>
      </c>
      <c r="F180" s="36">
        <f>TSIR!Y181*D180</f>
        <v>85.488049828484392</v>
      </c>
      <c r="G180" s="36">
        <f>TSIR!Z181*D180</f>
        <v>75.568050030252152</v>
      </c>
      <c r="H180" s="89">
        <f>E180*FI_Portfolio!$B$4+FI_Portfolio!$B$5*F180+FI_Portfolio!$B$6*G180</f>
        <v>333547795.09039968</v>
      </c>
      <c r="I180" s="34">
        <f>H180-TSIR!$AM$5*$B$252</f>
        <v>-1013716.4303494692</v>
      </c>
      <c r="J180" s="36">
        <v>742749.12710016966</v>
      </c>
    </row>
    <row r="181" spans="1:10" x14ac:dyDescent="0.2">
      <c r="A181" s="10">
        <v>45670</v>
      </c>
      <c r="B181">
        <v>0.91676998138427701</v>
      </c>
      <c r="C181">
        <f t="shared" si="5"/>
        <v>5.1531189233824382E-3</v>
      </c>
      <c r="D181">
        <f t="shared" si="4"/>
        <v>0.833010595776564</v>
      </c>
      <c r="E181" s="36">
        <f>TSIR!X182*D181</f>
        <v>80.14340925308484</v>
      </c>
      <c r="F181" s="36">
        <f>TSIR!Y182*D181</f>
        <v>86.107315182466451</v>
      </c>
      <c r="G181" s="36">
        <f>TSIR!Z182*D181</f>
        <v>76.248491693963174</v>
      </c>
      <c r="H181" s="89">
        <f>E181*FI_Portfolio!$B$4+FI_Portfolio!$B$5*F181+FI_Portfolio!$B$6*G181</f>
        <v>336119812.50832272</v>
      </c>
      <c r="I181" s="34">
        <f>H181-TSIR!$AM$5*$B$252</f>
        <v>1558300.9875735641</v>
      </c>
      <c r="J181" s="36">
        <v>775453.52136605978</v>
      </c>
    </row>
    <row r="182" spans="1:10" x14ac:dyDescent="0.2">
      <c r="A182" s="10">
        <v>45671</v>
      </c>
      <c r="B182">
        <v>0.91578000783920199</v>
      </c>
      <c r="C182">
        <f t="shared" si="5"/>
        <v>-1.0798494335299003E-3</v>
      </c>
      <c r="D182">
        <f t="shared" si="4"/>
        <v>0.82784508558045644</v>
      </c>
      <c r="E182" s="36">
        <f>TSIR!X183*D182</f>
        <v>79.654102336231745</v>
      </c>
      <c r="F182" s="36">
        <f>TSIR!Y183*D182</f>
        <v>85.710957919836147</v>
      </c>
      <c r="G182" s="36">
        <f>TSIR!Z183*D182</f>
        <v>75.916020712811687</v>
      </c>
      <c r="H182" s="89">
        <f>E182*FI_Portfolio!$B$4+FI_Portfolio!$B$5*F182+FI_Portfolio!$B$6*G182</f>
        <v>334405850.64395607</v>
      </c>
      <c r="I182" s="34">
        <f>H182-TSIR!$AM$5*$B$252</f>
        <v>-155660.87679308653</v>
      </c>
      <c r="J182" s="36">
        <v>785375.80761933327</v>
      </c>
    </row>
    <row r="183" spans="1:10" x14ac:dyDescent="0.2">
      <c r="A183" s="10">
        <v>45672</v>
      </c>
      <c r="B183">
        <v>0.91246002912521296</v>
      </c>
      <c r="C183">
        <f t="shared" si="5"/>
        <v>-3.6253015850635784E-3</v>
      </c>
      <c r="D183">
        <f t="shared" si="4"/>
        <v>0.82573556756439448</v>
      </c>
      <c r="E183" s="36">
        <f>TSIR!X184*D183</f>
        <v>79.458772860315108</v>
      </c>
      <c r="F183" s="36">
        <f>TSIR!Y184*D183</f>
        <v>85.700667439784695</v>
      </c>
      <c r="G183" s="36">
        <f>TSIR!Z184*D183</f>
        <v>76.13791395659841</v>
      </c>
      <c r="H183" s="89">
        <f>E183*FI_Portfolio!$B$4+FI_Portfolio!$B$5*F183+FI_Portfolio!$B$6*G183</f>
        <v>334918200.38734686</v>
      </c>
      <c r="I183" s="34">
        <f>H183-TSIR!$AM$5*$B$252</f>
        <v>356688.86659771204</v>
      </c>
      <c r="J183" s="36">
        <v>798891.78033989668</v>
      </c>
    </row>
    <row r="184" spans="1:10" x14ac:dyDescent="0.2">
      <c r="A184" s="10">
        <v>45673</v>
      </c>
      <c r="B184">
        <v>0.91211998462677002</v>
      </c>
      <c r="C184">
        <f t="shared" si="5"/>
        <v>-3.7266782937217524E-4</v>
      </c>
      <c r="D184">
        <f t="shared" si="4"/>
        <v>0.82843115526308608</v>
      </c>
      <c r="E184" s="36">
        <f>TSIR!X185*D184</f>
        <v>79.702824250826055</v>
      </c>
      <c r="F184" s="36">
        <f>TSIR!Y185*D184</f>
        <v>85.817092914294207</v>
      </c>
      <c r="G184" s="36">
        <f>TSIR!Z185*D184</f>
        <v>76.108161249931484</v>
      </c>
      <c r="H184" s="89">
        <f>E184*FI_Portfolio!$B$4+FI_Portfolio!$B$5*F184+FI_Portfolio!$B$6*G184</f>
        <v>335112654.12993675</v>
      </c>
      <c r="I184" s="34">
        <f>H184-TSIR!$AM$5*$B$252</f>
        <v>551142.609187603</v>
      </c>
      <c r="J184" s="36">
        <v>830245.90132117271</v>
      </c>
    </row>
    <row r="185" spans="1:10" x14ac:dyDescent="0.2">
      <c r="A185" s="10">
        <v>45674</v>
      </c>
      <c r="B185">
        <v>0.91117000579833896</v>
      </c>
      <c r="C185">
        <f t="shared" si="5"/>
        <v>-1.0415064294636567E-3</v>
      </c>
      <c r="D185">
        <f t="shared" si="4"/>
        <v>0.82787686196164634</v>
      </c>
      <c r="E185" s="36">
        <f>TSIR!X186*D185</f>
        <v>79.618855737800175</v>
      </c>
      <c r="F185" s="36">
        <f>TSIR!Y186*D185</f>
        <v>85.54968249214491</v>
      </c>
      <c r="G185" s="36">
        <f>TSIR!Z186*D185</f>
        <v>75.744441361518355</v>
      </c>
      <c r="H185" s="89">
        <f>E185*FI_Portfolio!$B$4+FI_Portfolio!$B$5*F185+FI_Portfolio!$B$6*G185</f>
        <v>333890953.18345642</v>
      </c>
      <c r="I185" s="34">
        <f>H185-TSIR!$AM$5*$B$252</f>
        <v>-670558.33729273081</v>
      </c>
      <c r="J185" s="36">
        <v>870255.19685709476</v>
      </c>
    </row>
    <row r="186" spans="1:10" x14ac:dyDescent="0.2">
      <c r="A186" s="10">
        <v>45678</v>
      </c>
      <c r="B186">
        <v>0.90605998039245605</v>
      </c>
      <c r="C186">
        <f t="shared" si="5"/>
        <v>-5.6082019528349569E-3</v>
      </c>
      <c r="D186">
        <f t="shared" si="4"/>
        <v>0.82409225871360758</v>
      </c>
      <c r="E186" s="36">
        <f>TSIR!X187*D186</f>
        <v>79.277754566003608</v>
      </c>
      <c r="F186" s="36">
        <f>TSIR!Y187*D186</f>
        <v>85.250728629980486</v>
      </c>
      <c r="G186" s="36">
        <f>TSIR!Z187*D186</f>
        <v>75.569113747561659</v>
      </c>
      <c r="H186" s="89">
        <f>E186*FI_Portfolio!$B$4+FI_Portfolio!$B$5*F186+FI_Portfolio!$B$6*G186</f>
        <v>332955871.17728317</v>
      </c>
      <c r="I186" s="34">
        <f>H186-TSIR!$AM$5*$B$252</f>
        <v>-1605640.3434659839</v>
      </c>
      <c r="J186" s="36">
        <v>870956.09835940599</v>
      </c>
    </row>
    <row r="187" spans="1:10" x14ac:dyDescent="0.2">
      <c r="A187" s="10">
        <v>45679</v>
      </c>
      <c r="B187">
        <v>0.90671002864837602</v>
      </c>
      <c r="C187">
        <f t="shared" si="5"/>
        <v>7.1744505881210507E-4</v>
      </c>
      <c r="D187">
        <f t="shared" si="4"/>
        <v>0.82933457541804001</v>
      </c>
      <c r="E187" s="36">
        <f>TSIR!X188*D187</f>
        <v>79.789741718110434</v>
      </c>
      <c r="F187" s="36">
        <f>TSIR!Y188*D187</f>
        <v>85.7723711201443</v>
      </c>
      <c r="G187" s="36">
        <f>TSIR!Z188*D187</f>
        <v>75.88053595750435</v>
      </c>
      <c r="H187" s="89">
        <f>E187*FI_Portfolio!$B$4+FI_Portfolio!$B$5*F187+FI_Portfolio!$B$6*G187</f>
        <v>334443070.58602178</v>
      </c>
      <c r="I187" s="34">
        <f>H187-TSIR!$AM$5*$B$252</f>
        <v>-118440.93472737074</v>
      </c>
      <c r="J187" s="36">
        <v>875451.9061679244</v>
      </c>
    </row>
    <row r="188" spans="1:10" x14ac:dyDescent="0.2">
      <c r="A188" s="10">
        <v>45680</v>
      </c>
      <c r="B188">
        <v>0.90631002187728804</v>
      </c>
      <c r="C188">
        <f t="shared" si="5"/>
        <v>-4.4116283977169157E-4</v>
      </c>
      <c r="D188">
        <f t="shared" si="4"/>
        <v>0.82837439070816765</v>
      </c>
      <c r="E188" s="36">
        <f>TSIR!X189*D188</f>
        <v>79.705031339186732</v>
      </c>
      <c r="F188" s="36">
        <f>TSIR!Y189*D188</f>
        <v>85.673449238050452</v>
      </c>
      <c r="G188" s="36">
        <f>TSIR!Z189*D188</f>
        <v>75.825897226427472</v>
      </c>
      <c r="H188" s="89">
        <f>E188*FI_Portfolio!$B$4+FI_Portfolio!$B$5*F188+FI_Portfolio!$B$6*G188</f>
        <v>334203477.72700763</v>
      </c>
      <c r="I188" s="34">
        <f>H188-TSIR!$AM$5*$B$252</f>
        <v>-358033.79374152422</v>
      </c>
      <c r="J188" s="36">
        <v>876242.56422621012</v>
      </c>
    </row>
    <row r="189" spans="1:10" x14ac:dyDescent="0.2">
      <c r="A189" s="10">
        <v>45681</v>
      </c>
      <c r="B189">
        <v>0.907490015029907</v>
      </c>
      <c r="C189">
        <f t="shared" si="5"/>
        <v>1.301975178620296E-3</v>
      </c>
      <c r="D189">
        <f t="shared" si="4"/>
        <v>0.82981899890952981</v>
      </c>
      <c r="E189" s="36">
        <f>TSIR!X190*D189</f>
        <v>79.836347788101762</v>
      </c>
      <c r="F189" s="36">
        <f>TSIR!Y190*D189</f>
        <v>85.891626008539305</v>
      </c>
      <c r="G189" s="36">
        <f>TSIR!Z190*D189</f>
        <v>76.096153705566138</v>
      </c>
      <c r="H189" s="89">
        <f>E189*FI_Portfolio!$B$4+FI_Portfolio!$B$5*F189+FI_Portfolio!$B$6*G189</f>
        <v>335219871.3856591</v>
      </c>
      <c r="I189" s="34">
        <f>H189-TSIR!$AM$5*$B$252</f>
        <v>658359.86490994692</v>
      </c>
      <c r="J189" s="36">
        <v>885253.54930216074</v>
      </c>
    </row>
    <row r="190" spans="1:10" x14ac:dyDescent="0.2">
      <c r="A190" s="10">
        <v>45684</v>
      </c>
      <c r="B190">
        <v>0.90684002637863104</v>
      </c>
      <c r="C190">
        <f t="shared" si="5"/>
        <v>-7.1624881873166846E-4</v>
      </c>
      <c r="D190">
        <f t="shared" si="4"/>
        <v>0.82814641595396432</v>
      </c>
      <c r="E190" s="36">
        <f>TSIR!X191*D190</f>
        <v>79.698432870172681</v>
      </c>
      <c r="F190" s="36">
        <f>TSIR!Y191*D190</f>
        <v>85.883473847184618</v>
      </c>
      <c r="G190" s="36">
        <f>TSIR!Z191*D190</f>
        <v>76.255727065239171</v>
      </c>
      <c r="H190" s="89">
        <f>E190*FI_Portfolio!$B$4+FI_Portfolio!$B$5*F190+FI_Portfolio!$B$6*G190</f>
        <v>335594563.23052514</v>
      </c>
      <c r="I190" s="34">
        <f>H190-TSIR!$AM$5*$B$252</f>
        <v>1033051.7097759843</v>
      </c>
      <c r="J190" s="36">
        <v>885853.26278966665</v>
      </c>
    </row>
    <row r="191" spans="1:10" x14ac:dyDescent="0.2">
      <c r="A191" s="10">
        <v>45685</v>
      </c>
      <c r="B191">
        <v>0.90400999784469604</v>
      </c>
      <c r="C191">
        <f t="shared" si="5"/>
        <v>-3.1207582943116874E-3</v>
      </c>
      <c r="D191">
        <f t="shared" si="4"/>
        <v>0.82615370277117217</v>
      </c>
      <c r="E191" s="36">
        <f>TSIR!X192*D191</f>
        <v>79.468420812925373</v>
      </c>
      <c r="F191" s="36">
        <f>TSIR!Y192*D191</f>
        <v>85.44115123980842</v>
      </c>
      <c r="G191" s="36">
        <f>TSIR!Z192*D191</f>
        <v>75.656721758092829</v>
      </c>
      <c r="H191" s="89">
        <f>E191*FI_Portfolio!$B$4+FI_Portfolio!$B$5*F191+FI_Portfolio!$B$6*G191</f>
        <v>333402001.79850948</v>
      </c>
      <c r="I191" s="34">
        <f>H191-TSIR!$AM$5*$B$252</f>
        <v>-1159509.7222396731</v>
      </c>
      <c r="J191" s="36">
        <v>889158.27180373669</v>
      </c>
    </row>
    <row r="192" spans="1:10" x14ac:dyDescent="0.2">
      <c r="A192" s="10">
        <v>45686</v>
      </c>
      <c r="B192">
        <v>0.90412998199462802</v>
      </c>
      <c r="C192">
        <f t="shared" si="5"/>
        <v>1.3272436169731172E-4</v>
      </c>
      <c r="D192">
        <f t="shared" si="4"/>
        <v>0.82884999398751302</v>
      </c>
      <c r="E192" s="36">
        <f>TSIR!X193*D192</f>
        <v>79.712444122669069</v>
      </c>
      <c r="F192" s="36">
        <f>TSIR!Y193*D192</f>
        <v>85.696723935957522</v>
      </c>
      <c r="G192" s="36">
        <f>TSIR!Z193*D192</f>
        <v>75.867961515716232</v>
      </c>
      <c r="H192" s="89">
        <f>E192*FI_Portfolio!$B$4+FI_Portfolio!$B$5*F192+FI_Portfolio!$B$6*G192</f>
        <v>334351648.40426677</v>
      </c>
      <c r="I192" s="34">
        <f>H192-TSIR!$AM$5*$B$252</f>
        <v>-209863.11648237705</v>
      </c>
      <c r="J192" s="36">
        <v>913439.19100600481</v>
      </c>
    </row>
    <row r="193" spans="1:10" x14ac:dyDescent="0.2">
      <c r="A193" s="10">
        <v>45687</v>
      </c>
      <c r="B193">
        <v>0.90627002716064398</v>
      </c>
      <c r="C193">
        <f t="shared" si="5"/>
        <v>2.3669662644023592E-3</v>
      </c>
      <c r="D193">
        <f t="shared" si="4"/>
        <v>0.83070159962196088</v>
      </c>
      <c r="E193" s="36">
        <f>TSIR!X194*D193</f>
        <v>79.921262230321418</v>
      </c>
      <c r="F193" s="36">
        <f>TSIR!Y194*D193</f>
        <v>86.006322664095393</v>
      </c>
      <c r="G193" s="36">
        <f>TSIR!Z194*D193</f>
        <v>76.24645347227073</v>
      </c>
      <c r="H193" s="89">
        <f>E193*FI_Portfolio!$B$4+FI_Portfolio!$B$5*F193+FI_Portfolio!$B$6*G193</f>
        <v>335818854.35358268</v>
      </c>
      <c r="I193" s="34">
        <f>H193-TSIR!$AM$5*$B$252</f>
        <v>1257342.8328335285</v>
      </c>
      <c r="J193" s="36">
        <v>953178.50563108921</v>
      </c>
    </row>
    <row r="194" spans="1:10" x14ac:dyDescent="0.2">
      <c r="A194" s="10">
        <v>45688</v>
      </c>
      <c r="B194">
        <v>0.90936899185180597</v>
      </c>
      <c r="C194">
        <f t="shared" si="5"/>
        <v>3.4194716787347978E-3</v>
      </c>
      <c r="D194">
        <f t="shared" si="4"/>
        <v>0.83157385295903474</v>
      </c>
      <c r="E194" s="36">
        <f>TSIR!X195*D194</f>
        <v>79.989789626686672</v>
      </c>
      <c r="F194" s="36">
        <f>TSIR!Y195*D194</f>
        <v>85.955053576962683</v>
      </c>
      <c r="G194" s="36">
        <f>TSIR!Z195*D194</f>
        <v>76.014441156207624</v>
      </c>
      <c r="H194" s="89">
        <f>E194*FI_Portfolio!$B$4+FI_Portfolio!$B$5*F194+FI_Portfolio!$B$6*G194</f>
        <v>335104763.5127598</v>
      </c>
      <c r="I194" s="34">
        <f>H194-TSIR!$AM$5*$B$252</f>
        <v>543251.99201065302</v>
      </c>
      <c r="J194" s="36">
        <v>958419.69600665569</v>
      </c>
    </row>
    <row r="195" spans="1:10" x14ac:dyDescent="0.2">
      <c r="A195" s="10">
        <v>45691</v>
      </c>
      <c r="B195">
        <v>0.91522997617721502</v>
      </c>
      <c r="C195">
        <f t="shared" si="5"/>
        <v>6.4451112561842994E-3</v>
      </c>
      <c r="D195">
        <f t="shared" ref="D195:D252" si="6">$B$252*(1+C195)</f>
        <v>0.83408132150245018</v>
      </c>
      <c r="E195" s="36">
        <f>TSIR!X196*D195</f>
        <v>80.215553135453945</v>
      </c>
      <c r="F195" s="36">
        <f>TSIR!Y196*D195</f>
        <v>86.258764313007219</v>
      </c>
      <c r="G195" s="36">
        <f>TSIR!Z196*D195</f>
        <v>76.449042763218074</v>
      </c>
      <c r="H195" s="89">
        <f>E195*FI_Portfolio!$B$4+FI_Portfolio!$B$5*F195+FI_Portfolio!$B$6*G195</f>
        <v>336839130.85426939</v>
      </c>
      <c r="I195" s="34">
        <f>H195-TSIR!$AM$5*$B$252</f>
        <v>2277619.3335202336</v>
      </c>
      <c r="J195" s="36">
        <v>967681.6166254878</v>
      </c>
    </row>
    <row r="196" spans="1:10" x14ac:dyDescent="0.2">
      <c r="A196" s="10">
        <v>45692</v>
      </c>
      <c r="B196">
        <v>0.911610007286071</v>
      </c>
      <c r="C196">
        <f t="shared" ref="C196:C251" si="7">B196/B195-1</f>
        <v>-3.9552560398689041E-3</v>
      </c>
      <c r="D196">
        <f t="shared" si="6"/>
        <v>0.82546212110951911</v>
      </c>
      <c r="E196" s="36">
        <f>TSIR!X197*D196</f>
        <v>79.424816810306865</v>
      </c>
      <c r="F196" s="36">
        <f>TSIR!Y197*D196</f>
        <v>85.46571808469669</v>
      </c>
      <c r="G196" s="36">
        <f>TSIR!Z197*D196</f>
        <v>75.766059132502463</v>
      </c>
      <c r="H196" s="89">
        <f>E196*FI_Portfolio!$B$4+FI_Portfolio!$B$5*F196+FI_Portfolio!$B$6*G196</f>
        <v>333715293.02357852</v>
      </c>
      <c r="I196" s="34">
        <f>H196-TSIR!$AM$5*$B$252</f>
        <v>-846218.49717062712</v>
      </c>
      <c r="J196" s="36">
        <v>989722.06228339672</v>
      </c>
    </row>
    <row r="197" spans="1:10" x14ac:dyDescent="0.2">
      <c r="A197" s="10">
        <v>45693</v>
      </c>
      <c r="B197">
        <v>0.90523999929428101</v>
      </c>
      <c r="C197">
        <f t="shared" si="7"/>
        <v>-6.9876459679879543E-3</v>
      </c>
      <c r="D197">
        <f t="shared" si="6"/>
        <v>0.8229490582804897</v>
      </c>
      <c r="E197" s="36">
        <f>TSIR!X198*D197</f>
        <v>79.175395255001888</v>
      </c>
      <c r="F197" s="36">
        <f>TSIR!Y198*D197</f>
        <v>85.271615298712859</v>
      </c>
      <c r="G197" s="36">
        <f>TSIR!Z198*D197</f>
        <v>75.638659088073624</v>
      </c>
      <c r="H197" s="89">
        <f>E197*FI_Portfolio!$B$4+FI_Portfolio!$B$5*F197+FI_Portfolio!$B$6*G197</f>
        <v>332998003.91422898</v>
      </c>
      <c r="I197" s="34">
        <f>H197-TSIR!$AM$5*$B$252</f>
        <v>-1563507.6065201759</v>
      </c>
      <c r="J197" s="36">
        <v>1010504.6285252571</v>
      </c>
    </row>
    <row r="198" spans="1:10" x14ac:dyDescent="0.2">
      <c r="A198" s="10">
        <v>45694</v>
      </c>
      <c r="B198">
        <v>0.90132999420166005</v>
      </c>
      <c r="C198">
        <f t="shared" si="7"/>
        <v>-4.3193021692249367E-3</v>
      </c>
      <c r="D198">
        <f t="shared" si="6"/>
        <v>0.82516042152027658</v>
      </c>
      <c r="E198" s="36">
        <f>TSIR!X199*D198</f>
        <v>79.365242042923597</v>
      </c>
      <c r="F198" s="36">
        <f>TSIR!Y199*D198</f>
        <v>85.26935738651234</v>
      </c>
      <c r="G198" s="36">
        <f>TSIR!Z199*D198</f>
        <v>75.462347405108687</v>
      </c>
      <c r="H198" s="89">
        <f>E198*FI_Portfolio!$B$4+FI_Portfolio!$B$5*F198+FI_Portfolio!$B$6*G198</f>
        <v>332675837.62651348</v>
      </c>
      <c r="I198" s="34">
        <f>H198-TSIR!$AM$5*$B$252</f>
        <v>-1885673.8942356706</v>
      </c>
      <c r="J198" s="36">
        <v>1033051.7097759843</v>
      </c>
    </row>
    <row r="199" spans="1:10" x14ac:dyDescent="0.2">
      <c r="A199" s="10">
        <v>45695</v>
      </c>
      <c r="B199">
        <v>0.90509998798370295</v>
      </c>
      <c r="C199">
        <f t="shared" si="7"/>
        <v>4.1827009045471986E-3</v>
      </c>
      <c r="D199">
        <f t="shared" si="6"/>
        <v>0.83220637154763444</v>
      </c>
      <c r="E199" s="36">
        <f>TSIR!X200*D199</f>
        <v>80.012149942085799</v>
      </c>
      <c r="F199" s="36">
        <f>TSIR!Y200*D199</f>
        <v>85.902690737363429</v>
      </c>
      <c r="G199" s="36">
        <f>TSIR!Z200*D199</f>
        <v>76.033499217430716</v>
      </c>
      <c r="H199" s="89">
        <f>E199*FI_Portfolio!$B$4+FI_Portfolio!$B$5*F199+FI_Portfolio!$B$6*G199</f>
        <v>335304260.64784932</v>
      </c>
      <c r="I199" s="34">
        <f>H199-TSIR!$AM$5*$B$252</f>
        <v>742749.12710016966</v>
      </c>
      <c r="J199" s="36">
        <v>1148221.2026579976</v>
      </c>
    </row>
    <row r="200" spans="1:10" x14ac:dyDescent="0.2">
      <c r="A200" s="10">
        <v>45698</v>
      </c>
      <c r="B200">
        <v>0.91074001789092995</v>
      </c>
      <c r="C200">
        <f t="shared" si="7"/>
        <v>6.2313887770468757E-3</v>
      </c>
      <c r="D200">
        <f t="shared" si="6"/>
        <v>0.8339042011350899</v>
      </c>
      <c r="E200" s="36">
        <f>TSIR!X201*D200</f>
        <v>80.229382445169307</v>
      </c>
      <c r="F200" s="36">
        <f>TSIR!Y201*D200</f>
        <v>86.291048014605934</v>
      </c>
      <c r="G200" s="36">
        <f>TSIR!Z201*D200</f>
        <v>76.401213052393842</v>
      </c>
      <c r="H200" s="89">
        <f>E200*FI_Portfolio!$B$4+FI_Portfolio!$B$5*F200+FI_Portfolio!$B$6*G200</f>
        <v>336627045.07800508</v>
      </c>
      <c r="I200" s="34">
        <f>H200-TSIR!$AM$5*$B$252</f>
        <v>2065533.5572559237</v>
      </c>
      <c r="J200" s="36">
        <v>1177787.8878068924</v>
      </c>
    </row>
    <row r="201" spans="1:10" x14ac:dyDescent="0.2">
      <c r="A201" s="10">
        <v>45699</v>
      </c>
      <c r="B201">
        <v>0.91132998466491699</v>
      </c>
      <c r="C201">
        <f t="shared" si="7"/>
        <v>6.4778835056933382E-4</v>
      </c>
      <c r="D201">
        <f t="shared" si="6"/>
        <v>0.8292768481176509</v>
      </c>
      <c r="E201" s="36">
        <f>TSIR!X202*D201</f>
        <v>79.768838795464688</v>
      </c>
      <c r="F201" s="36">
        <f>TSIR!Y202*D201</f>
        <v>85.832513783672596</v>
      </c>
      <c r="G201" s="36">
        <f>TSIR!Z202*D201</f>
        <v>75.875217071566809</v>
      </c>
      <c r="H201" s="89">
        <f>E201*FI_Portfolio!$B$4+FI_Portfolio!$B$5*F201+FI_Portfolio!$B$6*G201</f>
        <v>334289775.20168769</v>
      </c>
      <c r="I201" s="34">
        <f>H201-TSIR!$AM$5*$B$252</f>
        <v>-271736.31906145811</v>
      </c>
      <c r="J201" s="36">
        <v>1194585.2732406259</v>
      </c>
    </row>
    <row r="202" spans="1:10" x14ac:dyDescent="0.2">
      <c r="A202" s="10">
        <v>45700</v>
      </c>
      <c r="B202">
        <v>0.91298997402191095</v>
      </c>
      <c r="C202">
        <f t="shared" si="7"/>
        <v>1.8215019640819285E-3</v>
      </c>
      <c r="D202">
        <f t="shared" si="6"/>
        <v>0.83024955153771329</v>
      </c>
      <c r="E202" s="36">
        <f>TSIR!X203*D202</f>
        <v>79.831687647857038</v>
      </c>
      <c r="F202" s="36">
        <f>TSIR!Y203*D202</f>
        <v>85.679338716512504</v>
      </c>
      <c r="G202" s="36">
        <f>TSIR!Z203*D202</f>
        <v>75.685293342790359</v>
      </c>
      <c r="H202" s="89">
        <f>E202*FI_Portfolio!$B$4+FI_Portfolio!$B$5*F202+FI_Portfolio!$B$6*G202</f>
        <v>333885540.59210682</v>
      </c>
      <c r="I202" s="34">
        <f>H202-TSIR!$AM$5*$B$252</f>
        <v>-675970.92864233255</v>
      </c>
      <c r="J202" s="36">
        <v>1201757.7089192271</v>
      </c>
    </row>
    <row r="203" spans="1:10" x14ac:dyDescent="0.2">
      <c r="A203" s="10">
        <v>45701</v>
      </c>
      <c r="B203">
        <v>0.91339999437332098</v>
      </c>
      <c r="C203">
        <f t="shared" si="7"/>
        <v>4.4909622567246288E-4</v>
      </c>
      <c r="D203">
        <f t="shared" si="6"/>
        <v>0.82911218400606379</v>
      </c>
      <c r="E203" s="36">
        <f>TSIR!X204*D203</f>
        <v>79.783697460167815</v>
      </c>
      <c r="F203" s="36">
        <f>TSIR!Y204*D203</f>
        <v>85.911731860933713</v>
      </c>
      <c r="G203" s="36">
        <f>TSIR!Z204*D203</f>
        <v>76.272732442161441</v>
      </c>
      <c r="H203" s="89">
        <f>E203*FI_Portfolio!$B$4+FI_Portfolio!$B$5*F203+FI_Portfolio!$B$6*G203</f>
        <v>335790726.8975808</v>
      </c>
      <c r="I203" s="34">
        <f>H203-TSIR!$AM$5*$B$252</f>
        <v>1229215.3768316507</v>
      </c>
      <c r="J203" s="36">
        <v>1229215.3768316507</v>
      </c>
    </row>
    <row r="204" spans="1:10" x14ac:dyDescent="0.2">
      <c r="A204" s="10">
        <v>45702</v>
      </c>
      <c r="B204">
        <v>0.90324997901916504</v>
      </c>
      <c r="C204">
        <f t="shared" si="7"/>
        <v>-1.1112344445677214E-2</v>
      </c>
      <c r="D204">
        <f t="shared" si="6"/>
        <v>0.81953075566408951</v>
      </c>
      <c r="E204" s="36">
        <f>TSIR!X205*D204</f>
        <v>78.869286465603849</v>
      </c>
      <c r="F204" s="36">
        <f>TSIR!Y205*D204</f>
        <v>84.896974693705275</v>
      </c>
      <c r="G204" s="36">
        <f>TSIR!Z205*D204</f>
        <v>75.290999512921616</v>
      </c>
      <c r="H204" s="89">
        <f>E204*FI_Portfolio!$B$4+FI_Portfolio!$B$5*F204+FI_Portfolio!$B$6*G204</f>
        <v>331557108.94233626</v>
      </c>
      <c r="I204" s="34">
        <f>H204-TSIR!$AM$5*$B$252</f>
        <v>-3004402.5784128904</v>
      </c>
      <c r="J204" s="36">
        <v>1240257.4224845171</v>
      </c>
    </row>
    <row r="205" spans="1:10" x14ac:dyDescent="0.2">
      <c r="A205" s="10">
        <v>45706</v>
      </c>
      <c r="B205">
        <v>0.90072000026702803</v>
      </c>
      <c r="C205">
        <f t="shared" si="7"/>
        <v>-2.8009729431538455E-3</v>
      </c>
      <c r="D205">
        <f t="shared" si="6"/>
        <v>0.82641872168309072</v>
      </c>
      <c r="E205" s="36">
        <f>TSIR!X206*D205</f>
        <v>79.493913205376174</v>
      </c>
      <c r="F205" s="36">
        <f>TSIR!Y206*D205</f>
        <v>85.333273338610326</v>
      </c>
      <c r="G205" s="36">
        <f>TSIR!Z206*D205</f>
        <v>75.474644983034992</v>
      </c>
      <c r="H205" s="89">
        <f>E205*FI_Portfolio!$B$4+FI_Portfolio!$B$5*F205+FI_Portfolio!$B$6*G205</f>
        <v>332886496.33497685</v>
      </c>
      <c r="I205" s="34">
        <f>H205-TSIR!$AM$5*$B$252</f>
        <v>-1675015.1857722998</v>
      </c>
      <c r="J205" s="36">
        <v>1245808.174153924</v>
      </c>
    </row>
    <row r="206" spans="1:10" x14ac:dyDescent="0.2">
      <c r="A206" s="10">
        <v>45707</v>
      </c>
      <c r="B206">
        <v>0.90359997749328602</v>
      </c>
      <c r="C206">
        <f t="shared" si="7"/>
        <v>3.1974167614843285E-3</v>
      </c>
      <c r="D206">
        <f t="shared" si="6"/>
        <v>0.83138982716691257</v>
      </c>
      <c r="E206" s="36">
        <f>TSIR!X207*D206</f>
        <v>79.995172439806851</v>
      </c>
      <c r="F206" s="36">
        <f>TSIR!Y207*D206</f>
        <v>86.076472603701959</v>
      </c>
      <c r="G206" s="36">
        <f>TSIR!Z207*D206</f>
        <v>76.274866256723485</v>
      </c>
      <c r="H206" s="89">
        <f>E206*FI_Portfolio!$B$4+FI_Portfolio!$B$5*F206+FI_Portfolio!$B$6*G206</f>
        <v>335975101.00095469</v>
      </c>
      <c r="I206" s="34">
        <f>H206-TSIR!$AM$5*$B$252</f>
        <v>1413589.4802055359</v>
      </c>
      <c r="J206" s="36">
        <v>1257342.8328335285</v>
      </c>
    </row>
    <row r="207" spans="1:10" x14ac:dyDescent="0.2">
      <c r="A207" s="10">
        <v>45708</v>
      </c>
      <c r="B207">
        <v>0.90456002950668302</v>
      </c>
      <c r="C207">
        <f t="shared" si="7"/>
        <v>1.0624745875496E-3</v>
      </c>
      <c r="D207">
        <f t="shared" si="6"/>
        <v>0.82962051518968594</v>
      </c>
      <c r="E207" s="36">
        <f>TSIR!X208*D207</f>
        <v>79.824931703039169</v>
      </c>
      <c r="F207" s="36">
        <f>TSIR!Y208*D207</f>
        <v>85.892546826889117</v>
      </c>
      <c r="G207" s="36">
        <f>TSIR!Z208*D207</f>
        <v>76.112173852567082</v>
      </c>
      <c r="H207" s="89">
        <f>E207*FI_Portfolio!$B$4+FI_Portfolio!$B$5*F207+FI_Portfolio!$B$6*G207</f>
        <v>335259738.57601297</v>
      </c>
      <c r="I207" s="34">
        <f>H207-TSIR!$AM$5*$B$252</f>
        <v>698227.05526381731</v>
      </c>
      <c r="J207" s="36">
        <v>1306644.1871885657</v>
      </c>
    </row>
    <row r="208" spans="1:10" x14ac:dyDescent="0.2">
      <c r="A208" s="10">
        <v>45709</v>
      </c>
      <c r="B208">
        <v>0.89806002378463701</v>
      </c>
      <c r="C208">
        <f t="shared" si="7"/>
        <v>-7.1858201888390649E-3</v>
      </c>
      <c r="D208">
        <f t="shared" si="6"/>
        <v>0.82278482337670156</v>
      </c>
      <c r="E208" s="36">
        <f>TSIR!X209*D208</f>
        <v>79.190069622396692</v>
      </c>
      <c r="F208" s="36">
        <f>TSIR!Y209*D208</f>
        <v>85.304654699455213</v>
      </c>
      <c r="G208" s="36">
        <f>TSIR!Z209*D208</f>
        <v>75.660415864639191</v>
      </c>
      <c r="H208" s="89">
        <f>E208*FI_Portfolio!$B$4+FI_Portfolio!$B$5*F208+FI_Portfolio!$B$6*G208</f>
        <v>333064820.65416735</v>
      </c>
      <c r="I208" s="34">
        <f>H208-TSIR!$AM$5*$B$252</f>
        <v>-1496690.8665817976</v>
      </c>
      <c r="J208" s="36">
        <v>1315685.9153078794</v>
      </c>
    </row>
    <row r="209" spans="1:10" x14ac:dyDescent="0.2">
      <c r="A209" s="10">
        <v>45712</v>
      </c>
      <c r="B209">
        <v>0.89845001697540205</v>
      </c>
      <c r="C209">
        <f t="shared" si="7"/>
        <v>4.3426183154382514E-4</v>
      </c>
      <c r="D209">
        <f t="shared" si="6"/>
        <v>0.82909989015027363</v>
      </c>
      <c r="E209" s="36">
        <f>TSIR!X210*D209</f>
        <v>79.759489191945519</v>
      </c>
      <c r="F209" s="36">
        <f>TSIR!Y210*D209</f>
        <v>85.819783856062415</v>
      </c>
      <c r="G209" s="36">
        <f>TSIR!Z210*D209</f>
        <v>76.066267892058889</v>
      </c>
      <c r="H209" s="89">
        <f>E209*FI_Portfolio!$B$4+FI_Portfolio!$B$5*F209+FI_Portfolio!$B$6*G209</f>
        <v>335054374.168033</v>
      </c>
      <c r="I209" s="34">
        <f>H209-TSIR!$AM$5*$B$252</f>
        <v>492862.6472838521</v>
      </c>
      <c r="J209" s="36">
        <v>1413589.4802055359</v>
      </c>
    </row>
    <row r="210" spans="1:10" x14ac:dyDescent="0.2">
      <c r="A210" s="10">
        <v>45713</v>
      </c>
      <c r="B210">
        <v>0.897300004959106</v>
      </c>
      <c r="C210">
        <f t="shared" si="7"/>
        <v>-1.2799955418416609E-3</v>
      </c>
      <c r="D210">
        <f t="shared" si="6"/>
        <v>0.82767921649465415</v>
      </c>
      <c r="E210" s="36">
        <f>TSIR!X211*D210</f>
        <v>79.645806052218461</v>
      </c>
      <c r="F210" s="36">
        <f>TSIR!Y211*D210</f>
        <v>85.831667101532091</v>
      </c>
      <c r="G210" s="36">
        <f>TSIR!Z211*D210</f>
        <v>76.211911492482884</v>
      </c>
      <c r="H210" s="89">
        <f>E210*FI_Portfolio!$B$4+FI_Portfolio!$B$5*F210+FI_Portfolio!$B$6*G210</f>
        <v>335391757.42207032</v>
      </c>
      <c r="I210" s="34">
        <f>H210-TSIR!$AM$5*$B$252</f>
        <v>830245.90132117271</v>
      </c>
      <c r="J210" s="36">
        <v>1449024.9314478636</v>
      </c>
    </row>
    <row r="211" spans="1:10" x14ac:dyDescent="0.2">
      <c r="A211" s="10">
        <v>45714</v>
      </c>
      <c r="B211">
        <v>0.89240002632141102</v>
      </c>
      <c r="C211">
        <f t="shared" si="7"/>
        <v>-5.4608030877234537E-3</v>
      </c>
      <c r="D211">
        <f t="shared" si="6"/>
        <v>0.82421441404908014</v>
      </c>
      <c r="E211" s="36">
        <f>TSIR!X212*D211</f>
        <v>79.289505921027427</v>
      </c>
      <c r="F211" s="36">
        <f>TSIR!Y212*D211</f>
        <v>85.355983940655292</v>
      </c>
      <c r="G211" s="36">
        <f>TSIR!Z212*D211</f>
        <v>75.719344672953014</v>
      </c>
      <c r="H211" s="89">
        <f>E211*FI_Portfolio!$B$4+FI_Portfolio!$B$5*F211+FI_Portfolio!$B$6*G211</f>
        <v>333422414.62288392</v>
      </c>
      <c r="I211" s="34">
        <f>H211-TSIR!$AM$5*$B$252</f>
        <v>-1139096.8978652358</v>
      </c>
      <c r="J211" s="36">
        <v>1451962.989962399</v>
      </c>
    </row>
    <row r="212" spans="1:10" x14ac:dyDescent="0.2">
      <c r="A212" s="10">
        <v>45715</v>
      </c>
      <c r="B212">
        <v>0.89429998397827104</v>
      </c>
      <c r="C212">
        <f t="shared" si="7"/>
        <v>2.1290425827213966E-3</v>
      </c>
      <c r="D212">
        <f t="shared" si="6"/>
        <v>0.83050442275000458</v>
      </c>
      <c r="E212" s="36">
        <f>TSIR!X213*D212</f>
        <v>79.886920233744178</v>
      </c>
      <c r="F212" s="36">
        <f>TSIR!Y213*D212</f>
        <v>85.891104465783897</v>
      </c>
      <c r="G212" s="36">
        <f>TSIR!Z213*D212</f>
        <v>75.986994972952132</v>
      </c>
      <c r="H212" s="89">
        <f>E212*FI_Portfolio!$B$4+FI_Portfolio!$B$5*F212+FI_Portfolio!$B$6*G212</f>
        <v>334885163.66062105</v>
      </c>
      <c r="I212" s="34">
        <f>H212-TSIR!$AM$5*$B$252</f>
        <v>323652.13987189531</v>
      </c>
      <c r="J212" s="36">
        <v>1489064.8713563085</v>
      </c>
    </row>
    <row r="213" spans="1:10" x14ac:dyDescent="0.2">
      <c r="A213" s="10">
        <v>45716</v>
      </c>
      <c r="B213">
        <v>0.89991998672485296</v>
      </c>
      <c r="C213">
        <f t="shared" si="7"/>
        <v>6.2842478444218308E-3</v>
      </c>
      <c r="D213">
        <f t="shared" si="6"/>
        <v>0.83394800755858622</v>
      </c>
      <c r="E213" s="36">
        <f>TSIR!X214*D213</f>
        <v>80.26448580929609</v>
      </c>
      <c r="F213" s="36">
        <f>TSIR!Y214*D213</f>
        <v>86.415832288285785</v>
      </c>
      <c r="G213" s="36">
        <f>TSIR!Z214*D213</f>
        <v>76.617010055481131</v>
      </c>
      <c r="H213" s="89">
        <f>E213*FI_Portfolio!$B$4+FI_Portfolio!$B$5*F213+FI_Portfolio!$B$6*G213</f>
        <v>337373263.40808803</v>
      </c>
      <c r="I213" s="34">
        <f>H213-TSIR!$AM$5*$B$252</f>
        <v>2811751.8873388767</v>
      </c>
      <c r="J213" s="36">
        <v>1498890.0798826814</v>
      </c>
    </row>
    <row r="214" spans="1:10" x14ac:dyDescent="0.2">
      <c r="A214" s="10">
        <v>45719</v>
      </c>
      <c r="B214">
        <v>0.90257000923156705</v>
      </c>
      <c r="C214">
        <f t="shared" si="7"/>
        <v>2.9447312492285604E-3</v>
      </c>
      <c r="D214">
        <f t="shared" si="6"/>
        <v>0.83118041657548569</v>
      </c>
      <c r="E214" s="36">
        <f>TSIR!X215*D214</f>
        <v>79.975023244057127</v>
      </c>
      <c r="F214" s="36">
        <f>TSIR!Y215*D214</f>
        <v>86.124164455821244</v>
      </c>
      <c r="G214" s="36">
        <f>TSIR!Z215*D214</f>
        <v>76.361239428075748</v>
      </c>
      <c r="H214" s="89">
        <f>E214*FI_Portfolio!$B$4+FI_Portfolio!$B$5*F214+FI_Portfolio!$B$6*G214</f>
        <v>336208757.51668537</v>
      </c>
      <c r="I214" s="34">
        <f>H214-TSIR!$AM$5*$B$252</f>
        <v>1647245.9959362149</v>
      </c>
      <c r="J214" s="36">
        <v>1530581.8987448812</v>
      </c>
    </row>
    <row r="215" spans="1:10" x14ac:dyDescent="0.2">
      <c r="A215" s="10">
        <v>45720</v>
      </c>
      <c r="B215">
        <v>0.89660000801086404</v>
      </c>
      <c r="C215">
        <f t="shared" si="7"/>
        <v>-6.6144467017974495E-3</v>
      </c>
      <c r="D215">
        <f t="shared" si="6"/>
        <v>0.82325834344035242</v>
      </c>
      <c r="E215" s="36">
        <f>TSIR!X216*D215</f>
        <v>79.212772389141975</v>
      </c>
      <c r="F215" s="36">
        <f>TSIR!Y216*D215</f>
        <v>85.144329288405558</v>
      </c>
      <c r="G215" s="36">
        <f>TSIR!Z216*D215</f>
        <v>75.291557893698553</v>
      </c>
      <c r="H215" s="89">
        <f>E215*FI_Portfolio!$B$4+FI_Portfolio!$B$5*F215+FI_Portfolio!$B$6*G215</f>
        <v>331875282.42046988</v>
      </c>
      <c r="I215" s="34">
        <f>H215-TSIR!$AM$5*$B$252</f>
        <v>-2686229.1002792716</v>
      </c>
      <c r="J215" s="36">
        <v>1558300.9875735641</v>
      </c>
    </row>
    <row r="216" spans="1:10" x14ac:dyDescent="0.2">
      <c r="A216" s="10">
        <v>45721</v>
      </c>
      <c r="B216">
        <v>0.88963997364044101</v>
      </c>
      <c r="C216">
        <f t="shared" si="7"/>
        <v>-7.7626971985691462E-3</v>
      </c>
      <c r="D216">
        <f t="shared" si="6"/>
        <v>0.82230674232365786</v>
      </c>
      <c r="E216" s="36">
        <f>TSIR!X217*D216</f>
        <v>79.090770638035764</v>
      </c>
      <c r="F216" s="36">
        <f>TSIR!Y217*D216</f>
        <v>84.90830351257739</v>
      </c>
      <c r="G216" s="36">
        <f>TSIR!Z217*D216</f>
        <v>75.09852046771104</v>
      </c>
      <c r="H216" s="89">
        <f>E216*FI_Portfolio!$B$4+FI_Portfolio!$B$5*F216+FI_Portfolio!$B$6*G216</f>
        <v>331213167.87804961</v>
      </c>
      <c r="I216" s="34">
        <f>H216-TSIR!$AM$5*$B$252</f>
        <v>-3348343.6426995397</v>
      </c>
      <c r="J216" s="36">
        <v>1647245.9959362149</v>
      </c>
    </row>
    <row r="217" spans="1:10" x14ac:dyDescent="0.2">
      <c r="A217" s="10">
        <v>45722</v>
      </c>
      <c r="B217">
        <v>0.89069002866744995</v>
      </c>
      <c r="C217">
        <f t="shared" si="7"/>
        <v>1.1803145745712396E-3</v>
      </c>
      <c r="D217">
        <f t="shared" si="6"/>
        <v>0.82971817390053015</v>
      </c>
      <c r="E217" s="36">
        <f>TSIR!X218*D217</f>
        <v>79.849694341307881</v>
      </c>
      <c r="F217" s="36">
        <f>TSIR!Y218*D217</f>
        <v>85.905656460132946</v>
      </c>
      <c r="G217" s="36">
        <f>TSIR!Z218*D217</f>
        <v>76.087770875007266</v>
      </c>
      <c r="H217" s="89">
        <f>E217*FI_Portfolio!$B$4+FI_Portfolio!$B$5*F217+FI_Portfolio!$B$6*G217</f>
        <v>335191987.49244541</v>
      </c>
      <c r="I217" s="34">
        <f>H217-TSIR!$AM$5*$B$252</f>
        <v>630475.97169625759</v>
      </c>
      <c r="J217" s="36">
        <v>1698790.4047464728</v>
      </c>
    </row>
    <row r="218" spans="1:10" x14ac:dyDescent="0.2">
      <c r="A218" s="10">
        <v>45723</v>
      </c>
      <c r="B218">
        <v>0.88331997394561701</v>
      </c>
      <c r="C218">
        <f t="shared" si="7"/>
        <v>-8.2745449983976371E-3</v>
      </c>
      <c r="D218">
        <f t="shared" si="6"/>
        <v>0.82188255357802797</v>
      </c>
      <c r="E218" s="36">
        <f>TSIR!X219*D218</f>
        <v>79.042369068862072</v>
      </c>
      <c r="F218" s="36">
        <f>TSIR!Y219*D218</f>
        <v>84.95329424764347</v>
      </c>
      <c r="G218" s="36">
        <f>TSIR!Z219*D218</f>
        <v>75.195837276789547</v>
      </c>
      <c r="H218" s="89">
        <f>E218*FI_Portfolio!$B$4+FI_Portfolio!$B$5*F218+FI_Portfolio!$B$6*G218</f>
        <v>331438145.87341714</v>
      </c>
      <c r="I218" s="34">
        <f>H218-TSIR!$AM$5*$B$252</f>
        <v>-3123365.6473320127</v>
      </c>
      <c r="J218" s="36">
        <v>1701567.0099700093</v>
      </c>
    </row>
    <row r="219" spans="1:10" x14ac:dyDescent="0.2">
      <c r="A219" s="10">
        <v>45726</v>
      </c>
      <c r="B219">
        <v>0.87734001874923695</v>
      </c>
      <c r="C219">
        <f t="shared" si="7"/>
        <v>-6.7698629859673787E-3</v>
      </c>
      <c r="D219">
        <f t="shared" si="6"/>
        <v>0.82312954374900937</v>
      </c>
      <c r="E219" s="36">
        <f>TSIR!X220*D219</f>
        <v>79.238500553427926</v>
      </c>
      <c r="F219" s="36">
        <f>TSIR!Y220*D219</f>
        <v>85.386791384435739</v>
      </c>
      <c r="G219" s="36">
        <f>TSIR!Z220*D219</f>
        <v>75.795141608465954</v>
      </c>
      <c r="H219" s="89">
        <f>E219*FI_Portfolio!$B$4+FI_Portfolio!$B$5*F219+FI_Portfolio!$B$6*G219</f>
        <v>333577380.46406603</v>
      </c>
      <c r="I219" s="34">
        <f>H219-TSIR!$AM$5*$B$252</f>
        <v>-984131.05668312311</v>
      </c>
      <c r="J219" s="36">
        <v>1716344.6496566534</v>
      </c>
    </row>
    <row r="220" spans="1:10" x14ac:dyDescent="0.2">
      <c r="A220" s="10">
        <v>45727</v>
      </c>
      <c r="B220">
        <v>0.879980027675628</v>
      </c>
      <c r="C220">
        <f t="shared" si="7"/>
        <v>3.0091057856391767E-3</v>
      </c>
      <c r="D220">
        <f t="shared" si="6"/>
        <v>0.83123376632879065</v>
      </c>
      <c r="E220" s="36">
        <f>TSIR!X221*D220</f>
        <v>79.92632368546063</v>
      </c>
      <c r="F220" s="36">
        <f>TSIR!Y221*D220</f>
        <v>85.962764496197096</v>
      </c>
      <c r="G220" s="36">
        <f>TSIR!Z221*D220</f>
        <v>75.984029114566766</v>
      </c>
      <c r="H220" s="89">
        <f>E220*FI_Portfolio!$B$4+FI_Portfolio!$B$5*F220+FI_Portfolio!$B$6*G220</f>
        <v>334844617.08489269</v>
      </c>
      <c r="I220" s="34">
        <f>H220-TSIR!$AM$5*$B$252</f>
        <v>283105.56414353848</v>
      </c>
      <c r="J220" s="36">
        <v>1721652.1583696008</v>
      </c>
    </row>
    <row r="221" spans="1:10" x14ac:dyDescent="0.2">
      <c r="A221" s="10">
        <v>45728</v>
      </c>
      <c r="B221">
        <v>0.88344001770019498</v>
      </c>
      <c r="C221">
        <f t="shared" si="7"/>
        <v>3.9318960837169126E-3</v>
      </c>
      <c r="D221">
        <f t="shared" si="6"/>
        <v>0.83199851956041959</v>
      </c>
      <c r="E221" s="36">
        <f>TSIR!X222*D221</f>
        <v>80.007550683759931</v>
      </c>
      <c r="F221" s="36">
        <f>TSIR!Y222*D221</f>
        <v>85.927848000052606</v>
      </c>
      <c r="G221" s="36">
        <f>TSIR!Z222*D221</f>
        <v>76.016392353217014</v>
      </c>
      <c r="H221" s="89">
        <f>E221*FI_Portfolio!$B$4+FI_Portfolio!$B$5*F221+FI_Portfolio!$B$6*G221</f>
        <v>335188898.78030902</v>
      </c>
      <c r="I221" s="34">
        <f>H221-TSIR!$AM$5*$B$252</f>
        <v>627387.25955986977</v>
      </c>
      <c r="J221" s="36">
        <v>1948176.5690853596</v>
      </c>
    </row>
    <row r="222" spans="1:10" x14ac:dyDescent="0.2">
      <c r="A222" s="10">
        <v>45729</v>
      </c>
      <c r="B222">
        <v>0.88177001476287797</v>
      </c>
      <c r="C222">
        <f t="shared" si="7"/>
        <v>-1.8903410575223933E-3</v>
      </c>
      <c r="D222">
        <f t="shared" si="6"/>
        <v>0.82717339875198892</v>
      </c>
      <c r="E222" s="36">
        <f>TSIR!X223*D222</f>
        <v>79.604792488883547</v>
      </c>
      <c r="F222" s="36">
        <f>TSIR!Y223*D222</f>
        <v>85.690177093496217</v>
      </c>
      <c r="G222" s="36">
        <f>TSIR!Z223*D222</f>
        <v>76.026491535163316</v>
      </c>
      <c r="H222" s="89">
        <f>E222*FI_Portfolio!$B$4+FI_Portfolio!$B$5*F222+FI_Portfolio!$B$6*G222</f>
        <v>334780285.478176</v>
      </c>
      <c r="I222" s="34">
        <f>H222-TSIR!$AM$5*$B$252</f>
        <v>218773.95742684603</v>
      </c>
      <c r="J222" s="36">
        <v>1970202.7999158502</v>
      </c>
    </row>
    <row r="223" spans="1:10" x14ac:dyDescent="0.2">
      <c r="A223" s="10">
        <v>45730</v>
      </c>
      <c r="B223">
        <v>0.88261997699737504</v>
      </c>
      <c r="C223">
        <f t="shared" si="7"/>
        <v>9.6392735097206028E-4</v>
      </c>
      <c r="D223">
        <f t="shared" si="6"/>
        <v>0.82953884515284459</v>
      </c>
      <c r="E223" s="36">
        <f>TSIR!X224*D223</f>
        <v>79.755681679919675</v>
      </c>
      <c r="F223" s="36">
        <f>TSIR!Y224*D223</f>
        <v>85.649819886309487</v>
      </c>
      <c r="G223" s="36">
        <f>TSIR!Z224*D223</f>
        <v>75.757253289833855</v>
      </c>
      <c r="H223" s="89">
        <f>E223*FI_Portfolio!$B$4+FI_Portfolio!$B$5*F223+FI_Portfolio!$B$6*G223</f>
        <v>334065646.68971056</v>
      </c>
      <c r="I223" s="34">
        <f>H223-TSIR!$AM$5*$B$252</f>
        <v>-495864.83103859425</v>
      </c>
      <c r="J223" s="36">
        <v>2011398.159706533</v>
      </c>
    </row>
    <row r="224" spans="1:10" x14ac:dyDescent="0.2">
      <c r="A224" s="10">
        <v>45733</v>
      </c>
      <c r="B224">
        <v>0.88409000635147095</v>
      </c>
      <c r="C224">
        <f t="shared" si="7"/>
        <v>1.665529211220429E-3</v>
      </c>
      <c r="D224">
        <f t="shared" si="6"/>
        <v>0.8301202906785069</v>
      </c>
      <c r="E224" s="36">
        <f>TSIR!X225*D224</f>
        <v>79.842290148937863</v>
      </c>
      <c r="F224" s="36">
        <f>TSIR!Y225*D224</f>
        <v>85.804423116836844</v>
      </c>
      <c r="G224" s="36">
        <f>TSIR!Z225*D224</f>
        <v>75.982920527339999</v>
      </c>
      <c r="H224" s="89">
        <f>E224*FI_Portfolio!$B$4+FI_Portfolio!$B$5*F224+FI_Portfolio!$B$6*G224</f>
        <v>334909627.73198044</v>
      </c>
      <c r="I224" s="34">
        <f>H224-TSIR!$AM$5*$B$252</f>
        <v>348116.21123129129</v>
      </c>
      <c r="J224" s="36">
        <v>2035511.3844550252</v>
      </c>
    </row>
    <row r="225" spans="1:10" x14ac:dyDescent="0.2">
      <c r="A225" s="10">
        <v>45734</v>
      </c>
      <c r="B225">
        <v>0.88120198249816895</v>
      </c>
      <c r="C225">
        <f t="shared" si="7"/>
        <v>-3.2666627069121157E-3</v>
      </c>
      <c r="D225">
        <f t="shared" si="6"/>
        <v>0.82603278594827367</v>
      </c>
      <c r="E225" s="36">
        <f>TSIR!X226*D225</f>
        <v>79.449147441403639</v>
      </c>
      <c r="F225" s="36">
        <f>TSIR!Y226*D225</f>
        <v>85.498581950075405</v>
      </c>
      <c r="G225" s="36">
        <f>TSIR!Z226*D225</f>
        <v>75.815905821687807</v>
      </c>
      <c r="H225" s="89">
        <f>E225*FI_Portfolio!$B$4+FI_Portfolio!$B$5*F225+FI_Portfolio!$B$6*G225</f>
        <v>333914045.24444538</v>
      </c>
      <c r="I225" s="34">
        <f>H225-TSIR!$AM$5*$B$252</f>
        <v>-647466.27630376816</v>
      </c>
      <c r="J225" s="36">
        <v>2036145.2380437255</v>
      </c>
    </row>
    <row r="226" spans="1:10" x14ac:dyDescent="0.2">
      <c r="A226" s="10">
        <v>45735</v>
      </c>
      <c r="B226">
        <v>0.876744985580444</v>
      </c>
      <c r="C226">
        <f t="shared" si="7"/>
        <v>-5.0578607473050763E-3</v>
      </c>
      <c r="D226">
        <f t="shared" si="6"/>
        <v>0.82454834848427838</v>
      </c>
      <c r="E226" s="36">
        <f>TSIR!X227*D226</f>
        <v>79.344529299872832</v>
      </c>
      <c r="F226" s="36">
        <f>TSIR!Y227*D226</f>
        <v>85.438832027631818</v>
      </c>
      <c r="G226" s="36">
        <f>TSIR!Z227*D226</f>
        <v>75.684275558142957</v>
      </c>
      <c r="H226" s="89">
        <f>E226*FI_Portfolio!$B$4+FI_Portfolio!$B$5*F226+FI_Portfolio!$B$6*G226</f>
        <v>333267912.79086977</v>
      </c>
      <c r="I226" s="34">
        <f>H226-TSIR!$AM$5*$B$252</f>
        <v>-1293598.7298793793</v>
      </c>
      <c r="J226" s="36">
        <v>2043703.6543141007</v>
      </c>
    </row>
    <row r="227" spans="1:10" x14ac:dyDescent="0.2">
      <c r="A227" s="10">
        <v>45736</v>
      </c>
      <c r="B227">
        <v>0.87639999389648404</v>
      </c>
      <c r="C227">
        <f t="shared" si="7"/>
        <v>-3.9349148228273734E-4</v>
      </c>
      <c r="D227">
        <f t="shared" si="6"/>
        <v>0.82841389786897301</v>
      </c>
      <c r="E227" s="36">
        <f>TSIR!X228*D227</f>
        <v>79.724174561541048</v>
      </c>
      <c r="F227" s="36">
        <f>TSIR!Y228*D227</f>
        <v>85.748824811701382</v>
      </c>
      <c r="G227" s="36">
        <f>TSIR!Z228*D227</f>
        <v>75.969497552901856</v>
      </c>
      <c r="H227" s="89">
        <f>E227*FI_Portfolio!$B$4+FI_Portfolio!$B$5*F227+FI_Portfolio!$B$6*G227</f>
        <v>334703102.11713743</v>
      </c>
      <c r="I227" s="34">
        <f>H227-TSIR!$AM$5*$B$252</f>
        <v>141590.59638828039</v>
      </c>
      <c r="J227" s="36">
        <v>2065533.5572559237</v>
      </c>
    </row>
    <row r="228" spans="1:10" x14ac:dyDescent="0.2">
      <c r="A228" s="10">
        <v>45737</v>
      </c>
      <c r="B228">
        <v>0.88137698173522905</v>
      </c>
      <c r="C228">
        <f t="shared" si="7"/>
        <v>5.6788999011938568E-3</v>
      </c>
      <c r="D228">
        <f t="shared" si="6"/>
        <v>0.8334463315041154</v>
      </c>
      <c r="E228" s="36">
        <f>TSIR!X229*D228</f>
        <v>80.19304642587467</v>
      </c>
      <c r="F228" s="36">
        <f>TSIR!Y229*D228</f>
        <v>86.244054177270712</v>
      </c>
      <c r="G228" s="36">
        <f>TSIR!Z229*D228</f>
        <v>76.394411293237397</v>
      </c>
      <c r="H228" s="89">
        <f>E228*FI_Portfolio!$B$4+FI_Portfolio!$B$5*F228+FI_Portfolio!$B$6*G228</f>
        <v>336597656.75879288</v>
      </c>
      <c r="I228" s="34">
        <f>H228-TSIR!$AM$5*$B$252</f>
        <v>2036145.2380437255</v>
      </c>
      <c r="J228" s="36">
        <v>2104076.6838069558</v>
      </c>
    </row>
    <row r="229" spans="1:10" x14ac:dyDescent="0.2">
      <c r="A229" s="10">
        <v>45740</v>
      </c>
      <c r="B229">
        <v>0.88292002677917403</v>
      </c>
      <c r="C229">
        <f t="shared" si="7"/>
        <v>1.7507208333340518E-3</v>
      </c>
      <c r="D229">
        <f t="shared" si="6"/>
        <v>0.83019089238341726</v>
      </c>
      <c r="E229" s="36">
        <f>TSIR!X230*D229</f>
        <v>79.810699133187583</v>
      </c>
      <c r="F229" s="36">
        <f>TSIR!Y230*D229</f>
        <v>85.670292526994004</v>
      </c>
      <c r="G229" s="36">
        <f>TSIR!Z230*D229</f>
        <v>75.746623297209197</v>
      </c>
      <c r="H229" s="89">
        <f>E229*FI_Portfolio!$B$4+FI_Portfolio!$B$5*F229+FI_Portfolio!$B$6*G229</f>
        <v>334102452.66472095</v>
      </c>
      <c r="I229" s="34">
        <f>H229-TSIR!$AM$5*$B$252</f>
        <v>-459058.8560281992</v>
      </c>
      <c r="J229" s="36">
        <v>2194300.1197080016</v>
      </c>
    </row>
    <row r="230" spans="1:10" x14ac:dyDescent="0.2">
      <c r="A230" s="10">
        <v>45741</v>
      </c>
      <c r="B230">
        <v>0.88269001245498602</v>
      </c>
      <c r="C230">
        <f t="shared" si="7"/>
        <v>-2.6051546823224747E-4</v>
      </c>
      <c r="D230">
        <f t="shared" si="6"/>
        <v>0.82852410041085722</v>
      </c>
      <c r="E230" s="36">
        <f>TSIR!X231*D230</f>
        <v>79.719436198485255</v>
      </c>
      <c r="F230" s="36">
        <f>TSIR!Y231*D230</f>
        <v>85.784976176619409</v>
      </c>
      <c r="G230" s="36">
        <f>TSIR!Z231*D230</f>
        <v>75.979731053468939</v>
      </c>
      <c r="H230" s="89">
        <f>E230*FI_Portfolio!$B$4+FI_Portfolio!$B$5*F230+FI_Portfolio!$B$6*G230</f>
        <v>334680332.34591717</v>
      </c>
      <c r="I230" s="34">
        <f>H230-TSIR!$AM$5*$B$252</f>
        <v>118820.82516801357</v>
      </c>
      <c r="J230" s="36">
        <v>2200159.6387373805</v>
      </c>
    </row>
    <row r="231" spans="1:10" x14ac:dyDescent="0.2">
      <c r="A231" s="10">
        <v>45742</v>
      </c>
      <c r="B231">
        <v>0.88265001773834195</v>
      </c>
      <c r="C231">
        <f t="shared" si="7"/>
        <v>-4.5310036456469582E-5</v>
      </c>
      <c r="D231">
        <f t="shared" si="6"/>
        <v>0.82870244976038709</v>
      </c>
      <c r="E231" s="36">
        <f>TSIR!X232*D231</f>
        <v>79.713586933473167</v>
      </c>
      <c r="F231" s="36">
        <f>TSIR!Y232*D231</f>
        <v>85.659736226202881</v>
      </c>
      <c r="G231" s="36">
        <f>TSIR!Z232*D231</f>
        <v>75.887763024623368</v>
      </c>
      <c r="H231" s="89">
        <f>E231*FI_Portfolio!$B$4+FI_Portfolio!$B$5*F231+FI_Portfolio!$B$6*G231</f>
        <v>334488621.62613547</v>
      </c>
      <c r="I231" s="34">
        <f>H231-TSIR!$AM$5*$B$252</f>
        <v>-72889.894613683224</v>
      </c>
      <c r="J231" s="36">
        <v>2200993.2317413688</v>
      </c>
    </row>
    <row r="232" spans="1:10" x14ac:dyDescent="0.2">
      <c r="A232" s="10">
        <v>45743</v>
      </c>
      <c r="B232">
        <v>0.88415998220443703</v>
      </c>
      <c r="C232">
        <f t="shared" si="7"/>
        <v>1.7107170857642018E-3</v>
      </c>
      <c r="D232">
        <f t="shared" si="6"/>
        <v>0.83015773967765627</v>
      </c>
      <c r="E232" s="36">
        <f>TSIR!X233*D232</f>
        <v>79.861254418244954</v>
      </c>
      <c r="F232" s="36">
        <f>TSIR!Y233*D232</f>
        <v>85.902986117299321</v>
      </c>
      <c r="G232" s="36">
        <f>TSIR!Z233*D232</f>
        <v>76.024174348056803</v>
      </c>
      <c r="H232" s="89">
        <f>E232*FI_Portfolio!$B$4+FI_Portfolio!$B$5*F232+FI_Portfolio!$B$6*G232</f>
        <v>334964727.05276817</v>
      </c>
      <c r="I232" s="34">
        <f>H232-TSIR!$AM$5*$B$252</f>
        <v>403215.53201901913</v>
      </c>
      <c r="J232" s="36">
        <v>2277619.3335202336</v>
      </c>
    </row>
    <row r="233" spans="1:10" x14ac:dyDescent="0.2">
      <c r="A233" s="10">
        <v>45744</v>
      </c>
      <c r="B233">
        <v>0.88139998912811202</v>
      </c>
      <c r="C233">
        <f t="shared" si="7"/>
        <v>-3.1215991810030763E-3</v>
      </c>
      <c r="D233">
        <f t="shared" si="6"/>
        <v>0.8261530058947355</v>
      </c>
      <c r="E233" s="36">
        <f>TSIR!X234*D233</f>
        <v>79.521898728918615</v>
      </c>
      <c r="F233" s="36">
        <f>TSIR!Y234*D233</f>
        <v>85.676027404929371</v>
      </c>
      <c r="G233" s="36">
        <f>TSIR!Z234*D233</f>
        <v>76.072530981783927</v>
      </c>
      <c r="H233" s="89">
        <f>E233*FI_Portfolio!$B$4+FI_Portfolio!$B$5*F233+FI_Portfolio!$B$6*G233</f>
        <v>334819880.27757889</v>
      </c>
      <c r="I233" s="34">
        <f>H233-TSIR!$AM$5*$B$252</f>
        <v>258368.75682973862</v>
      </c>
      <c r="J233" s="36">
        <v>2371184.5666845441</v>
      </c>
    </row>
    <row r="234" spans="1:10" x14ac:dyDescent="0.2">
      <c r="A234" s="10">
        <v>45747</v>
      </c>
      <c r="B234">
        <v>0.88085001707077004</v>
      </c>
      <c r="C234">
        <f t="shared" si="7"/>
        <v>-6.239755662874602E-4</v>
      </c>
      <c r="D234">
        <f t="shared" si="6"/>
        <v>0.82822288648919495</v>
      </c>
      <c r="E234" s="36">
        <f>TSIR!X235*D234</f>
        <v>79.682786847142083</v>
      </c>
      <c r="F234" s="36">
        <f>TSIR!Y235*D234</f>
        <v>85.724933960903996</v>
      </c>
      <c r="G234" s="36">
        <f>TSIR!Z235*D234</f>
        <v>75.950900828397764</v>
      </c>
      <c r="H234" s="89">
        <f>E234*FI_Portfolio!$B$4+FI_Portfolio!$B$5*F234+FI_Portfolio!$B$6*G234</f>
        <v>334581776.06651926</v>
      </c>
      <c r="I234" s="34">
        <f>H234-TSIR!$AM$5*$B$252</f>
        <v>20264.5457701087</v>
      </c>
      <c r="J234" s="36">
        <v>2425940.1195938587</v>
      </c>
    </row>
    <row r="235" spans="1:10" x14ac:dyDescent="0.2">
      <c r="A235" s="10">
        <v>45748</v>
      </c>
      <c r="B235">
        <v>0.88381999731063798</v>
      </c>
      <c r="C235">
        <f t="shared" si="7"/>
        <v>3.3717207042176511E-3</v>
      </c>
      <c r="D235">
        <f t="shared" si="6"/>
        <v>0.83153427981641337</v>
      </c>
      <c r="E235" s="36">
        <f>TSIR!X236*D235</f>
        <v>80.009071472761804</v>
      </c>
      <c r="F235" s="36">
        <f>TSIR!Y236*D235</f>
        <v>86.114801940193004</v>
      </c>
      <c r="G235" s="36">
        <f>TSIR!Z236*D235</f>
        <v>76.35797903379293</v>
      </c>
      <c r="H235" s="89">
        <f>E235*FI_Portfolio!$B$4+FI_Portfolio!$B$5*F235+FI_Portfolio!$B$6*G235</f>
        <v>336277856.17040581</v>
      </c>
      <c r="I235" s="34">
        <f>H235-TSIR!$AM$5*$B$252</f>
        <v>1716344.6496566534</v>
      </c>
      <c r="J235" s="36">
        <v>2476015.5051048398</v>
      </c>
    </row>
    <row r="236" spans="1:10" x14ac:dyDescent="0.2">
      <c r="A236" s="10">
        <v>45749</v>
      </c>
      <c r="B236">
        <v>0.88340002298355103</v>
      </c>
      <c r="C236">
        <f t="shared" si="7"/>
        <v>-4.7518083814002132E-4</v>
      </c>
      <c r="D236">
        <f t="shared" si="6"/>
        <v>0.82834619863219983</v>
      </c>
      <c r="E236" s="36">
        <f>TSIR!X237*D236</f>
        <v>79.66399294404691</v>
      </c>
      <c r="F236" s="36">
        <f>TSIR!Y237*D236</f>
        <v>85.598181979197406</v>
      </c>
      <c r="G236" s="36">
        <f>TSIR!Z237*D236</f>
        <v>75.75283514510231</v>
      </c>
      <c r="H236" s="89">
        <f>E236*FI_Portfolio!$B$4+FI_Portfolio!$B$5*F236+FI_Portfolio!$B$6*G236</f>
        <v>333942053.49970698</v>
      </c>
      <c r="I236" s="34">
        <f>H236-TSIR!$AM$5*$B$252</f>
        <v>-619458.02104216814</v>
      </c>
      <c r="J236" s="36">
        <v>2564487.2448077798</v>
      </c>
    </row>
    <row r="237" spans="1:10" x14ac:dyDescent="0.2">
      <c r="A237" s="10">
        <v>45750</v>
      </c>
      <c r="B237">
        <v>0.87678998708724898</v>
      </c>
      <c r="C237">
        <f t="shared" si="7"/>
        <v>-7.4824945939865328E-3</v>
      </c>
      <c r="D237">
        <f t="shared" si="6"/>
        <v>0.82253895743017968</v>
      </c>
      <c r="E237" s="36">
        <f>TSIR!X238*D237</f>
        <v>79.219778236557815</v>
      </c>
      <c r="F237" s="36">
        <f>TSIR!Y238*D237</f>
        <v>85.582197781139911</v>
      </c>
      <c r="G237" s="36">
        <f>TSIR!Z238*D237</f>
        <v>76.055664185359362</v>
      </c>
      <c r="H237" s="89">
        <f>E237*FI_Portfolio!$B$4+FI_Portfolio!$B$5*F237+FI_Portfolio!$B$6*G237</f>
        <v>334288916.54284322</v>
      </c>
      <c r="I237" s="34">
        <f>H237-TSIR!$AM$5*$B$252</f>
        <v>-272594.97790592909</v>
      </c>
      <c r="J237" s="36">
        <v>2578944.8241344094</v>
      </c>
    </row>
    <row r="238" spans="1:10" x14ac:dyDescent="0.2">
      <c r="A238" s="10">
        <v>45751</v>
      </c>
      <c r="B238">
        <v>0.85921001434326105</v>
      </c>
      <c r="C238">
        <f t="shared" si="7"/>
        <v>-2.0050380368039633E-2</v>
      </c>
      <c r="D238">
        <f t="shared" si="6"/>
        <v>0.81212344777379086</v>
      </c>
      <c r="E238" s="36">
        <f>TSIR!X239*D238</f>
        <v>78.171474422349689</v>
      </c>
      <c r="F238" s="36">
        <f>TSIR!Y239*D238</f>
        <v>84.062630323906646</v>
      </c>
      <c r="G238" s="36">
        <f>TSIR!Z239*D238</f>
        <v>74.510415447663789</v>
      </c>
      <c r="H238" s="89">
        <f>E238*FI_Portfolio!$B$4+FI_Portfolio!$B$5*F238+FI_Portfolio!$B$6*G238</f>
        <v>328290665.14949453</v>
      </c>
      <c r="I238" s="34">
        <f>H238-TSIR!$AM$5*$B$252</f>
        <v>-6270846.3712546229</v>
      </c>
      <c r="J238" s="36">
        <v>2700751.3418855071</v>
      </c>
    </row>
    <row r="239" spans="1:10" x14ac:dyDescent="0.2">
      <c r="A239" s="10">
        <v>45754</v>
      </c>
      <c r="B239">
        <v>0.85161000490188599</v>
      </c>
      <c r="C239">
        <f t="shared" si="7"/>
        <v>-8.8453455086695554E-3</v>
      </c>
      <c r="D239">
        <f t="shared" si="6"/>
        <v>0.82140950836314519</v>
      </c>
      <c r="E239" s="36">
        <f>TSIR!X240*D239</f>
        <v>79.019673724208289</v>
      </c>
      <c r="F239" s="36">
        <f>TSIR!Y240*D239</f>
        <v>84.837215803890885</v>
      </c>
      <c r="G239" s="36">
        <f>TSIR!Z240*D239</f>
        <v>74.916503995231238</v>
      </c>
      <c r="H239" s="89">
        <f>E239*FI_Portfolio!$B$4+FI_Portfolio!$B$5*F239+FI_Portfolio!$B$6*G239</f>
        <v>330449539.72350526</v>
      </c>
      <c r="I239" s="34">
        <f>H239-TSIR!$AM$5*$B$252</f>
        <v>-4111971.7972438931</v>
      </c>
      <c r="J239" s="36">
        <v>2708543.110270679</v>
      </c>
    </row>
    <row r="240" spans="1:10" x14ac:dyDescent="0.2">
      <c r="A240" s="10">
        <v>45755</v>
      </c>
      <c r="B240">
        <v>0.85970997810363703</v>
      </c>
      <c r="C240">
        <f t="shared" si="7"/>
        <v>9.5113645390818569E-3</v>
      </c>
      <c r="D240">
        <f t="shared" si="6"/>
        <v>0.83662244824811871</v>
      </c>
      <c r="E240" s="36">
        <f>TSIR!X241*D240</f>
        <v>80.506394173221594</v>
      </c>
      <c r="F240" s="36">
        <f>TSIR!Y241*D240</f>
        <v>86.573852029321259</v>
      </c>
      <c r="G240" s="36">
        <f>TSIR!Z241*D240</f>
        <v>76.445171446243108</v>
      </c>
      <c r="H240" s="89">
        <f>E240*FI_Portfolio!$B$4+FI_Portfolio!$B$5*F240+FI_Portfolio!$B$6*G240</f>
        <v>336932696.0874337</v>
      </c>
      <c r="I240" s="34">
        <f>H240-TSIR!$AM$5*$B$252</f>
        <v>2371184.5666845441</v>
      </c>
      <c r="J240" s="36">
        <v>2719624.0941963792</v>
      </c>
    </row>
    <row r="241" spans="1:10" x14ac:dyDescent="0.2">
      <c r="A241" s="10">
        <v>45756</v>
      </c>
      <c r="B241">
        <v>0.84565997123718195</v>
      </c>
      <c r="C241">
        <f t="shared" si="7"/>
        <v>-1.6342728622793068E-2</v>
      </c>
      <c r="D241">
        <f t="shared" si="6"/>
        <v>0.81519612708114653</v>
      </c>
      <c r="E241" s="36">
        <f>TSIR!X242*D241</f>
        <v>78.271351616048634</v>
      </c>
      <c r="F241" s="36">
        <f>TSIR!Y242*D241</f>
        <v>83.868432155032181</v>
      </c>
      <c r="G241" s="36">
        <f>TSIR!Z242*D241</f>
        <v>74.069438089492252</v>
      </c>
      <c r="H241" s="89">
        <f>E241*FI_Portfolio!$B$4+FI_Portfolio!$B$5*F241+FI_Portfolio!$B$6*G241</f>
        <v>327017807.35751796</v>
      </c>
      <c r="I241" s="34">
        <f>H241-TSIR!$AM$5*$B$252</f>
        <v>-7543704.163231194</v>
      </c>
      <c r="J241" s="36">
        <v>2725062.5024444461</v>
      </c>
    </row>
    <row r="242" spans="1:10" x14ac:dyDescent="0.2">
      <c r="A242" s="10">
        <v>45757</v>
      </c>
      <c r="B242">
        <v>0.85544997453689497</v>
      </c>
      <c r="C242">
        <f t="shared" si="7"/>
        <v>1.1576760911824246E-2</v>
      </c>
      <c r="D242">
        <f t="shared" si="6"/>
        <v>0.83833412483806524</v>
      </c>
      <c r="E242" s="36">
        <f>TSIR!X243*D242</f>
        <v>80.694400311682102</v>
      </c>
      <c r="F242" s="36">
        <f>TSIR!Y243*D242</f>
        <v>86.869968817349928</v>
      </c>
      <c r="G242" s="36">
        <f>TSIR!Z243*D242</f>
        <v>76.879830064234227</v>
      </c>
      <c r="H242" s="89">
        <f>E242*FI_Portfolio!$B$4+FI_Portfolio!$B$5*F242+FI_Portfolio!$B$6*G242</f>
        <v>338603167.65427625</v>
      </c>
      <c r="I242" s="34">
        <f>H242-TSIR!$AM$5*$B$252</f>
        <v>4041656.1335271001</v>
      </c>
      <c r="J242" s="36">
        <v>2811751.8873388767</v>
      </c>
    </row>
    <row r="243" spans="1:10" x14ac:dyDescent="0.2">
      <c r="A243" s="10">
        <v>45758</v>
      </c>
      <c r="B243">
        <v>0.82076001167297297</v>
      </c>
      <c r="C243">
        <f t="shared" si="7"/>
        <v>-4.0551714181418674E-2</v>
      </c>
      <c r="D243">
        <f t="shared" si="6"/>
        <v>0.79513317238929115</v>
      </c>
      <c r="E243" s="36">
        <f>TSIR!X244*D243</f>
        <v>76.440412650383692</v>
      </c>
      <c r="F243" s="36">
        <f>TSIR!Y244*D243</f>
        <v>81.965074669511836</v>
      </c>
      <c r="G243" s="36">
        <f>TSIR!Z244*D243</f>
        <v>72.480641169801814</v>
      </c>
      <c r="H243" s="89">
        <f>E243*FI_Portfolio!$B$4+FI_Portfolio!$B$5*F243+FI_Portfolio!$B$6*G243</f>
        <v>319855777.97570693</v>
      </c>
      <c r="I243" s="34">
        <f>H243-TSIR!$AM$5*$B$252</f>
        <v>-14705733.545042217</v>
      </c>
      <c r="J243" s="36">
        <v>2853014.2349662185</v>
      </c>
    </row>
    <row r="244" spans="1:10" x14ac:dyDescent="0.2">
      <c r="A244" s="10">
        <v>45761</v>
      </c>
      <c r="B244">
        <v>0.81805998086929299</v>
      </c>
      <c r="C244">
        <f t="shared" si="7"/>
        <v>-3.2896714816508243E-3</v>
      </c>
      <c r="D244">
        <f t="shared" si="6"/>
        <v>0.82601371765629672</v>
      </c>
      <c r="E244" s="36">
        <f>TSIR!X245*D244</f>
        <v>79.500839042954453</v>
      </c>
      <c r="F244" s="36">
        <f>TSIR!Y245*D244</f>
        <v>85.709237462050552</v>
      </c>
      <c r="G244" s="36">
        <f>TSIR!Z245*D244</f>
        <v>76.128943252094302</v>
      </c>
      <c r="H244" s="89">
        <f>E244*FI_Portfolio!$B$4+FI_Portfolio!$B$5*F244+FI_Portfolio!$B$6*G244</f>
        <v>334953594.90121031</v>
      </c>
      <c r="I244" s="34">
        <f>H244-TSIR!$AM$5*$B$252</f>
        <v>392083.38046115637</v>
      </c>
      <c r="J244" s="36">
        <v>3070426.3635439277</v>
      </c>
    </row>
    <row r="245" spans="1:10" x14ac:dyDescent="0.2">
      <c r="A245" s="10">
        <v>45762</v>
      </c>
      <c r="B245">
        <v>0.81595999002456598</v>
      </c>
      <c r="C245">
        <f t="shared" si="7"/>
        <v>-2.5670377403078648E-3</v>
      </c>
      <c r="D245">
        <f t="shared" si="6"/>
        <v>0.82661259314309732</v>
      </c>
      <c r="E245" s="36">
        <f>TSIR!X246*D245</f>
        <v>79.520210980576934</v>
      </c>
      <c r="F245" s="36">
        <f>TSIR!Y246*D245</f>
        <v>85.557878555155085</v>
      </c>
      <c r="G245" s="36">
        <f>TSIR!Z246*D245</f>
        <v>75.870177354646884</v>
      </c>
      <c r="H245" s="89">
        <f>E245*FI_Portfolio!$B$4+FI_Portfolio!$B$5*F245+FI_Portfolio!$B$6*G245</f>
        <v>334184313.54700881</v>
      </c>
      <c r="I245" s="34">
        <f>H245-TSIR!$AM$5*$B$252</f>
        <v>-377197.97374033928</v>
      </c>
      <c r="J245" s="36">
        <v>3195276.9385722876</v>
      </c>
    </row>
    <row r="246" spans="1:10" x14ac:dyDescent="0.2">
      <c r="A246" s="10">
        <v>45763</v>
      </c>
      <c r="B246">
        <v>0.82077002525329501</v>
      </c>
      <c r="C246">
        <f t="shared" si="7"/>
        <v>5.8949400553134357E-3</v>
      </c>
      <c r="D246">
        <f t="shared" si="6"/>
        <v>0.83362537262144054</v>
      </c>
      <c r="E246" s="36">
        <f>TSIR!X247*D246</f>
        <v>80.217991976659036</v>
      </c>
      <c r="F246" s="36">
        <f>TSIR!Y247*D246</f>
        <v>86.426311884486196</v>
      </c>
      <c r="G246" s="36">
        <f>TSIR!Z247*D246</f>
        <v>76.622514474151203</v>
      </c>
      <c r="H246" s="89">
        <f>E246*FI_Portfolio!$B$4+FI_Portfolio!$B$5*F246+FI_Portfolio!$B$6*G246</f>
        <v>337286574.0231936</v>
      </c>
      <c r="I246" s="34">
        <f>H246-TSIR!$AM$5*$B$252</f>
        <v>2725062.5024444461</v>
      </c>
      <c r="J246" s="36">
        <v>3238005.5149122477</v>
      </c>
    </row>
    <row r="247" spans="1:10" x14ac:dyDescent="0.2">
      <c r="A247" s="10">
        <v>45764</v>
      </c>
      <c r="B247">
        <v>0.81375002861022905</v>
      </c>
      <c r="C247">
        <f t="shared" si="7"/>
        <v>-8.5529398334198703E-3</v>
      </c>
      <c r="D247">
        <f t="shared" si="6"/>
        <v>0.82165183664245167</v>
      </c>
      <c r="E247" s="36">
        <f>TSIR!X248*D247</f>
        <v>79.020180481097483</v>
      </c>
      <c r="F247" s="36">
        <f>TSIR!Y248*D247</f>
        <v>84.884120997211312</v>
      </c>
      <c r="G247" s="36">
        <f>TSIR!Z248*D247</f>
        <v>75.140233769177073</v>
      </c>
      <c r="H247" s="89">
        <f>E247*FI_Portfolio!$B$4+FI_Portfolio!$B$5*F247+FI_Portfolio!$B$6*G247</f>
        <v>331275114.54308635</v>
      </c>
      <c r="I247" s="34">
        <f>H247-TSIR!$AM$5*$B$252</f>
        <v>-3286396.9776628017</v>
      </c>
      <c r="J247" s="36">
        <v>3329352.371604383</v>
      </c>
    </row>
    <row r="248" spans="1:10" x14ac:dyDescent="0.2">
      <c r="A248" s="10">
        <v>45768</v>
      </c>
      <c r="B248">
        <f>AVERAGE(B249,B247)</f>
        <v>0.811400026082992</v>
      </c>
      <c r="C248">
        <f t="shared" si="7"/>
        <v>-2.8878678274832925E-3</v>
      </c>
      <c r="D248">
        <f t="shared" si="6"/>
        <v>0.82634670841665148</v>
      </c>
      <c r="E248" s="36">
        <f>TSIR!X249*D248</f>
        <v>79.525234185030456</v>
      </c>
      <c r="F248" s="36">
        <f>TSIR!Y249*D248</f>
        <v>85.603795409317371</v>
      </c>
      <c r="G248" s="36">
        <f>TSIR!Z249*D248</f>
        <v>75.645646452683394</v>
      </c>
      <c r="H248" s="89">
        <f>E248*FI_Portfolio!$B$4+FI_Portfolio!$B$5*F248+FI_Portfolio!$B$6*G248</f>
        <v>333227361.06681842</v>
      </c>
      <c r="I248" s="34">
        <f>H248-TSIR!$AM$5*$B$252</f>
        <v>-1334150.4539307356</v>
      </c>
      <c r="J248" s="36">
        <v>4041656.1335271001</v>
      </c>
    </row>
    <row r="249" spans="1:10" x14ac:dyDescent="0.2">
      <c r="A249" s="10">
        <v>45769</v>
      </c>
      <c r="B249">
        <v>0.80905002355575495</v>
      </c>
      <c r="C249">
        <f t="shared" si="7"/>
        <v>-2.8962317620097044E-3</v>
      </c>
      <c r="D249">
        <f t="shared" si="6"/>
        <v>0.82633977688955207</v>
      </c>
      <c r="E249" s="36">
        <f>TSIR!X250*D249</f>
        <v>79.471030668354686</v>
      </c>
      <c r="F249" s="36">
        <f>TSIR!Y250*D249</f>
        <v>85.370646784221307</v>
      </c>
      <c r="G249" s="36">
        <f>TSIR!Z250*D249</f>
        <v>75.670681742634059</v>
      </c>
      <c r="H249" s="89">
        <f>E249*FI_Portfolio!$B$4+FI_Portfolio!$B$5*F249+FI_Portfolio!$B$6*G249</f>
        <v>333568818.13091362</v>
      </c>
      <c r="I249" s="34">
        <f>H249-TSIR!$AM$5*$B$252</f>
        <v>-992693.38983553648</v>
      </c>
      <c r="J249" s="36">
        <v>4124998.7326285839</v>
      </c>
    </row>
    <row r="250" spans="1:10" x14ac:dyDescent="0.2">
      <c r="A250" s="10">
        <v>45770</v>
      </c>
      <c r="B250">
        <v>0.82607001066207797</v>
      </c>
      <c r="C250">
        <f t="shared" si="7"/>
        <v>2.1037002176355735E-2</v>
      </c>
      <c r="D250">
        <f t="shared" si="6"/>
        <v>0.84617420518363307</v>
      </c>
      <c r="E250" s="36">
        <f>TSIR!X251*D250</f>
        <v>81.37855406651596</v>
      </c>
      <c r="F250" s="36">
        <f>TSIR!Y251*D250</f>
        <v>87.416748166331303</v>
      </c>
      <c r="G250" s="36">
        <f>TSIR!Z251*D250</f>
        <v>77.450927899062265</v>
      </c>
      <c r="H250" s="89">
        <f>E250*FI_Portfolio!$B$4+FI_Portfolio!$B$5*F250+FI_Portfolio!$B$6*G250</f>
        <v>341435697.47978401</v>
      </c>
      <c r="I250" s="34">
        <f>H250-TSIR!$AM$5*$B$252</f>
        <v>6874185.9590348601</v>
      </c>
      <c r="J250" s="36">
        <v>6356194.8723248839</v>
      </c>
    </row>
    <row r="251" spans="1:10" x14ac:dyDescent="0.2">
      <c r="A251" s="10">
        <v>45771</v>
      </c>
      <c r="B251">
        <v>0.82980000972747803</v>
      </c>
      <c r="C251">
        <f t="shared" si="7"/>
        <v>4.5153546518539311E-3</v>
      </c>
      <c r="D251">
        <f t="shared" si="6"/>
        <v>0.83248205501417749</v>
      </c>
      <c r="E251" s="36">
        <f>TSIR!X252*D251</f>
        <v>80.115682322603945</v>
      </c>
      <c r="F251" s="36">
        <f>TSIR!Y252*D251</f>
        <v>86.28323377384848</v>
      </c>
      <c r="G251" s="36">
        <f>TSIR!Z252*D251</f>
        <v>76.583485590112105</v>
      </c>
      <c r="H251" s="89">
        <f>E251*FI_Portfolio!$B$4+FI_Portfolio!$B$5*F251+FI_Portfolio!$B$6*G251</f>
        <v>337140456.34488356</v>
      </c>
      <c r="I251" s="34">
        <f>H251-TSIR!$AM$5*$B$252</f>
        <v>2578944.8241344094</v>
      </c>
      <c r="J251" s="36">
        <v>6874185.9590348601</v>
      </c>
    </row>
    <row r="252" spans="1:10" x14ac:dyDescent="0.2">
      <c r="A252" s="10">
        <v>45772</v>
      </c>
      <c r="B252">
        <v>0.82874000000000003</v>
      </c>
      <c r="C252">
        <f>B252/B251-1</f>
        <v>-1.2774279525811227E-3</v>
      </c>
      <c r="D252">
        <f t="shared" si="6"/>
        <v>0.82768134435857799</v>
      </c>
      <c r="E252" s="36"/>
      <c r="F252" s="36"/>
      <c r="G252" s="36"/>
      <c r="H252" s="89"/>
      <c r="I252" s="3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2209D-FD8B-9A42-A7DF-E12380174ED2}">
  <dimension ref="A1:B2"/>
  <sheetViews>
    <sheetView workbookViewId="0"/>
  </sheetViews>
  <sheetFormatPr baseColWidth="10" defaultRowHeight="15" x14ac:dyDescent="0.2"/>
  <sheetData>
    <row r="1" spans="1:2" x14ac:dyDescent="0.2">
      <c r="A1" s="80"/>
      <c r="B1" s="80" t="s">
        <v>74</v>
      </c>
    </row>
    <row r="2" spans="1:2" ht="16" thickBot="1" x14ac:dyDescent="0.25">
      <c r="A2" s="79" t="s">
        <v>74</v>
      </c>
      <c r="B2" s="7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Option_Portfolio</vt:lpstr>
      <vt:lpstr>Underlying_Assets</vt:lpstr>
      <vt:lpstr>Part 1</vt:lpstr>
      <vt:lpstr>FI_Portfolio</vt:lpstr>
      <vt:lpstr>TSIR</vt:lpstr>
      <vt:lpstr>Part2</vt:lpstr>
      <vt:lpstr>Part3</vt:lpstr>
      <vt:lpstr>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Alberto Plazzi</dc:creator>
  <cp:keywords/>
  <dc:description/>
  <cp:lastModifiedBy>Copa Alan</cp:lastModifiedBy>
  <cp:revision/>
  <dcterms:created xsi:type="dcterms:W3CDTF">2017-04-14T12:37:42Z</dcterms:created>
  <dcterms:modified xsi:type="dcterms:W3CDTF">2025-05-22T12:38:30Z</dcterms:modified>
  <cp:category/>
  <cp:contentStatus/>
</cp:coreProperties>
</file>